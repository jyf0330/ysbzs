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4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5.xml" ContentType="application/vnd.openxmlformats-officedocument.spreadsheetml.table+xml"/>
  <Override PartName="/xl/worksheets/sheet11.xml" ContentType="application/vnd.openxmlformats-officedocument.spreadsheetml.worksheet+xml"/>
  <Override PartName="/xl/tables/table6.xml" ContentType="application/vnd.openxmlformats-officedocument.spreadsheetml.table+xml"/>
  <Override PartName="/xl/worksheets/sheet12.xml" ContentType="application/vnd.openxmlformats-officedocument.spreadsheetml.worksheet+xml"/>
  <Override PartName="/xl/tables/table7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ables/table8.xml" ContentType="application/vnd.openxmlformats-officedocument.spreadsheetml.table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README" sheetId="1" state="visible" r:id="rId1"/>
    <sheet xmlns:r="http://schemas.openxmlformats.org/officeDocument/2006/relationships" name="PETS" sheetId="2" state="visible" r:id="rId2"/>
    <sheet xmlns:r="http://schemas.openxmlformats.org/officeDocument/2006/relationships" name="SHOP_STORES" sheetId="3" state="visible" r:id="rId3"/>
    <sheet xmlns:r="http://schemas.openxmlformats.org/officeDocument/2006/relationships" name="WAVES" sheetId="4" state="visible" r:id="rId4"/>
    <sheet xmlns:r="http://schemas.openxmlformats.org/officeDocument/2006/relationships" name="SHOP_ITEMS" sheetId="5" state="visible" r:id="rId5"/>
    <sheet xmlns:r="http://schemas.openxmlformats.org/officeDocument/2006/relationships" name="MECHANICS_QUALITY" sheetId="6" state="visible" r:id="rId6"/>
    <sheet xmlns:r="http://schemas.openxmlformats.org/officeDocument/2006/relationships" name="SHAPES_TRIALS" sheetId="7" state="visible" r:id="rId7"/>
    <sheet xmlns:r="http://schemas.openxmlformats.org/officeDocument/2006/relationships" name="BAZAAR_OBJECTS" sheetId="8" state="visible" r:id="rId8"/>
    <sheet xmlns:r="http://schemas.openxmlformats.org/officeDocument/2006/relationships" name="BAZAAR_REFERENCE_SNAPSHOTS" sheetId="9" state="visible" r:id="rId9"/>
    <sheet xmlns:r="http://schemas.openxmlformats.org/officeDocument/2006/relationships" name="SHOP_MAPPING" sheetId="10" state="visible" r:id="rId10"/>
    <sheet xmlns:r="http://schemas.openxmlformats.org/officeDocument/2006/relationships" name="ENCHANTMENTS" sheetId="11" state="visible" r:id="rId11"/>
    <sheet xmlns:r="http://schemas.openxmlformats.org/officeDocument/2006/relationships" name="PET_ENCHANTMENTS" sheetId="12" state="visible" r:id="rId12"/>
    <sheet xmlns:r="http://schemas.openxmlformats.org/officeDocument/2006/relationships" name="AUDIT" sheetId="13" state="visible" r:id="rId13"/>
    <sheet xmlns:r="http://schemas.openxmlformats.org/officeDocument/2006/relationships" name="ATTRIBUTES_EFFECTS" sheetId="14" state="visible" r:id="rId14"/>
    <sheet xmlns:r="http://schemas.openxmlformats.org/officeDocument/2006/relationships" name="PET_STAT_RULES" sheetId="15" state="visible" r:id="rId15"/>
    <sheet xmlns:r="http://schemas.openxmlformats.org/officeDocument/2006/relationships" name="ROUTE" sheetId="16" state="visible" r:id="rId16"/>
    <sheet xmlns:r="http://schemas.openxmlformats.org/officeDocument/2006/relationships" name="HERO_CATALOG" sheetId="17" state="visible" r:id="rId17"/>
    <sheet xmlns:r="http://schemas.openxmlformats.org/officeDocument/2006/relationships" name="TAG_CATALOG" sheetId="18" state="visible" r:id="rId18"/>
    <sheet xmlns:r="http://schemas.openxmlformats.org/officeDocument/2006/relationships" name="HERO_SKILLS" sheetId="19" state="visible" r:id="rId19"/>
    <sheet xmlns:r="http://schemas.openxmlformats.org/officeDocument/2006/relationships" name="BZ_GAMEPLAY" sheetId="20" state="visible" r:id="rId20"/>
    <sheet xmlns:r="http://schemas.openxmlformats.org/officeDocument/2006/relationships" name="BZ_HEROES" sheetId="21" state="visible" r:id="rId21"/>
    <sheet xmlns:r="http://schemas.openxmlformats.org/officeDocument/2006/relationships" name="BZ_ITEMS" sheetId="22" state="visible" r:id="rId22"/>
    <sheet xmlns:r="http://schemas.openxmlformats.org/officeDocument/2006/relationships" name="BZ_ITEM_EFFECTS" sheetId="23" state="visible" r:id="rId23"/>
    <sheet xmlns:r="http://schemas.openxmlformats.org/officeDocument/2006/relationships" name="BZ_ITEM_SKILLS" sheetId="24" state="visible" r:id="rId24"/>
    <sheet xmlns:r="http://schemas.openxmlformats.org/officeDocument/2006/relationships" name="BZ_STALLS" sheetId="25" state="visible" r:id="rId25"/>
    <sheet xmlns:r="http://schemas.openxmlformats.org/officeDocument/2006/relationships" name="BZ_STALL_OFFERS" sheetId="26" state="visible" r:id="rId26"/>
    <sheet xmlns:r="http://schemas.openxmlformats.org/officeDocument/2006/relationships" name="BZ_EVENTS" sheetId="27" state="visible" r:id="rId27"/>
    <sheet xmlns:r="http://schemas.openxmlformats.org/officeDocument/2006/relationships" name="BZ_EVENT_OPTIONS" sheetId="28" state="visible" r:id="rId28"/>
    <sheet xmlns:r="http://schemas.openxmlformats.org/officeDocument/2006/relationships" name="BZ_ENCOUNTERS" sheetId="29" state="visible" r:id="rId29"/>
    <sheet xmlns:r="http://schemas.openxmlformats.org/officeDocument/2006/relationships" name="BZ_ENEMIES" sheetId="30" state="visible" r:id="rId30"/>
    <sheet xmlns:r="http://schemas.openxmlformats.org/officeDocument/2006/relationships" name="BZ_REWARDS" sheetId="31" state="visible" r:id="rId31"/>
    <sheet xmlns:r="http://schemas.openxmlformats.org/officeDocument/2006/relationships" name="BZ_SOURCE_SNAPSHOT" sheetId="32" state="visible" r:id="rId32"/>
    <sheet xmlns:r="http://schemas.openxmlformats.org/officeDocument/2006/relationships" name="BZ_ITEM_UPGRADES" sheetId="33" state="visible" r:id="rId33"/>
    <sheet xmlns:r="http://schemas.openxmlformats.org/officeDocument/2006/relationships" name="BZ_ENCHANTMENTS" sheetId="34" state="visible" r:id="rId34"/>
    <sheet xmlns:r="http://schemas.openxmlformats.org/officeDocument/2006/relationships" name="BZ_LEVEL_UP_CHOICES" sheetId="35" state="visible" r:id="rId35"/>
    <sheet xmlns:r="http://schemas.openxmlformats.org/officeDocument/2006/relationships" name="BZ_GHOST_SNAPSHOTS" sheetId="36" state="visible" r:id="rId36"/>
    <sheet xmlns:r="http://schemas.openxmlformats.org/officeDocument/2006/relationships" name="BZ_LAST_CHANCE_CHOICES" sheetId="37" state="visible" r:id="rId37"/>
    <sheet xmlns:r="http://schemas.openxmlformats.org/officeDocument/2006/relationships" name="BZ_HERO_SKILLS" sheetId="38" state="visible" r:id="rId38"/>
    <sheet xmlns:r="http://schemas.openxmlformats.org/officeDocument/2006/relationships" name="BZ_HERO_SKILL_LOADOUTS" sheetId="39" state="visible" r:id="rId39"/>
    <sheet xmlns:r="http://schemas.openxmlformats.org/officeDocument/2006/relationships" name="BZ_HERO_SKILL_TRAINERS" sheetId="40" state="visible" r:id="rId40"/>
    <sheet xmlns:r="http://schemas.openxmlformats.org/officeDocument/2006/relationships" name="BZ_HERO_SKILL_OFFERS" sheetId="41" state="visible" r:id="rId41"/>
  </sheets>
  <definedNames>
    <definedName name="_xlnm._FilterDatabase" localSheetId="7" hidden="1">'BAZAAR_OBJECTS'!$A$1:$AA$370</definedName>
    <definedName name="_xlnm._FilterDatabase" localSheetId="8" hidden="1">'BAZAAR_REFERENCE_SNAPSHOTS'!$A$1:$W$3</definedName>
    <definedName name="_xlnm._FilterDatabase" localSheetId="19" hidden="1">'BZ_GAMEPLAY'!$A$1:$AL$7</definedName>
    <definedName name="_xlnm._FilterDatabase" localSheetId="20" hidden="1">'BZ_HEROES'!$A$1:$I$2</definedName>
    <definedName name="_xlnm._FilterDatabase" localSheetId="21" hidden="1">'BZ_ITEMS'!$A$1:$Q$71</definedName>
    <definedName name="_xlnm._FilterDatabase" localSheetId="22" hidden="1">'BZ_ITEM_EFFECTS'!$A$1:$R$133</definedName>
    <definedName name="_xlnm._FilterDatabase" localSheetId="23" hidden="1">'BZ_ITEM_SKILLS'!$A$1:$F$20</definedName>
    <definedName name="_xlnm._FilterDatabase" localSheetId="24" hidden="1">'BZ_STALLS'!$A$1:$E$2</definedName>
    <definedName name="_xlnm._FilterDatabase" localSheetId="25" hidden="1">'BZ_STALL_OFFERS'!$A$1:$K$34</definedName>
    <definedName name="_xlnm._FilterDatabase" localSheetId="26" hidden="1">'BZ_EVENTS'!$A$1:$E$5</definedName>
    <definedName name="_xlnm._FilterDatabase" localSheetId="27" hidden="1">'BZ_EVENT_OPTIONS'!$A$1:$G$9</definedName>
    <definedName name="_xlnm._FilterDatabase" localSheetId="28" hidden="1">'BZ_ENCOUNTERS'!$A$1:$I$21</definedName>
    <definedName name="_xlnm._FilterDatabase" localSheetId="29" hidden="1">'BZ_ENEMIES'!$A$1:$J$3</definedName>
    <definedName name="_xlnm._FilterDatabase" localSheetId="30" hidden="1">'BZ_REWARDS'!$A$1:$H$9</definedName>
    <definedName name="_xlnm._FilterDatabase" localSheetId="31" hidden="1">'BZ_SOURCE_SNAPSHOT'!$A$1:$H$2</definedName>
    <definedName name="_xlnm._FilterDatabase" localSheetId="32" hidden="1">'BZ_ITEM_UPGRADES'!$A$1:$G$52</definedName>
    <definedName name="_xlnm._FilterDatabase" localSheetId="33" hidden="1">'BZ_ENCHANTMENTS'!$A$1:$K$133</definedName>
    <definedName name="_xlnm._FilterDatabase" localSheetId="34" hidden="1">'BZ_LEVEL_UP_CHOICES'!$A$1:$N$10</definedName>
    <definedName name="_xlnm._FilterDatabase" localSheetId="35" hidden="1">'BZ_GHOST_SNAPSHOTS'!$A$1:$O$21</definedName>
    <definedName name="_xlnm._FilterDatabase" localSheetId="36" hidden="1">'BZ_LAST_CHANCE_CHOICES'!$A$1:$O$4</definedName>
    <definedName name="_xlnm._FilterDatabase" localSheetId="37" hidden="1">'BZ_HERO_SKILLS'!$A$1:$P$9</definedName>
    <definedName name="_xlnm._FilterDatabase" localSheetId="38" hidden="1">'BZ_HERO_SKILL_LOADOUTS'!$A$1:$J$22</definedName>
    <definedName name="_xlnm._FilterDatabase" localSheetId="39" hidden="1">'BZ_HERO_SKILL_TRAINERS'!$A$1:$G$3</definedName>
    <definedName name="_xlnm._FilterDatabase" localSheetId="40" hidden="1">'BZ_HERO_SKILL_OFFERS'!$A$1:$O$8</definedName>
  </definedNames>
</workbook>
</file>

<file path=xl/styles.xml><?xml version="1.0" encoding="utf-8"?>
<styleSheet xmlns="http://schemas.openxmlformats.org/spreadsheetml/2006/main">
  <numFmts count="0"/>
  <fonts count="14">
    <font>
      <name val="Calibri"/>
      <color theme="1"/>
      <sz val="11"/>
    </font>
    <font>
      <b val="1"/>
      <color rgb="FFFFFFFF"/>
    </font>
    <font>
      <name val="Calibri"/>
      <b val="1"/>
      <color rgb="FFFFFFFF"/>
      <sz val="11"/>
    </font>
    <font>
      <name val="Calibri"/>
      <color rgb="FF1F2937"/>
      <sz val="10"/>
    </font>
    <font>
      <name val="Calibri"/>
      <b val="1"/>
      <color rgb="FFFFFFFF"/>
      <sz val="19"/>
    </font>
    <font>
      <name val="Calibri"/>
      <i val="1"/>
      <color rgb="FF1F2937"/>
      <sz val="11"/>
    </font>
    <font>
      <name val="Calibri"/>
      <b val="1"/>
      <color theme="1"/>
      <sz val="11"/>
    </font>
    <font>
      <name val="Calibri"/>
      <b val="1"/>
      <color rgb="FF17365D"/>
      <sz val="11"/>
    </font>
    <font>
      <name val="Calibri"/>
      <b val="1"/>
      <color rgb="FF1F2937"/>
      <sz val="10"/>
    </font>
    <font>
      <name val="Calibri"/>
      <color rgb="FF17365D"/>
      <sz val="11"/>
    </font>
    <font>
      <name val="Calibri"/>
      <color rgb="FF1F2937"/>
      <sz val="11"/>
    </font>
    <font>
      <name val="Calibri"/>
      <b val="1"/>
      <color rgb="FFFFFFFF"/>
      <sz val="10"/>
    </font>
    <font>
      <name val="Calibri"/>
      <color rgb="FF107C41"/>
      <sz val="11"/>
    </font>
    <font>
      <b val="1"/>
      <color rgb="00FFFFFF"/>
    </font>
  </fonts>
  <fills count="111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D9E5F3"/>
      </patternFill>
    </fill>
    <fill>
      <patternFill patternType="solid">
        <fgColor rgb="FFFFFFFF"/>
      </patternFill>
    </fill>
    <fill>
      <patternFill patternType="solid">
        <fgColor rgb="FF1F4E78"/>
      </patternFill>
    </fill>
    <fill>
      <patternFill patternType="solid">
        <fgColor rgb="FFD9E5F3"/>
      </patternFill>
    </fill>
    <fill>
      <patternFill patternType="solid">
        <fgColor rgb="FFFFFFFF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548235"/>
      </patternFill>
    </fill>
    <fill>
      <patternFill patternType="solid">
        <fgColor rgb="FF375623"/>
      </patternFill>
    </fill>
    <fill>
      <patternFill patternType="solid">
        <fgColor rgb="FFC65911"/>
      </patternFill>
    </fill>
    <fill>
      <patternFill patternType="solid">
        <fgColor rgb="FF833C0C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E2F0D9"/>
      </patternFill>
    </fill>
    <fill>
      <patternFill patternType="solid">
        <fgColor rgb="FF1F4E78"/>
      </patternFill>
    </fill>
    <fill>
      <patternFill patternType="solid">
        <fgColor rgb="FFE2F0D9"/>
      </patternFill>
    </fill>
    <fill>
      <patternFill patternType="solid">
        <fgColor rgb="FF1F4E78"/>
      </patternFill>
    </fill>
    <fill>
      <patternFill patternType="solid">
        <fgColor rgb="001F4E78"/>
      </patternFill>
    </fill>
    <fill>
      <patternFill patternType="solid">
        <fgColor rgb="00EAF2F8"/>
      </patternFill>
    </fill>
    <fill>
      <patternFill patternType="solid">
        <fgColor rgb="0017365D"/>
      </patternFill>
    </fill>
    <fill>
      <patternFill patternType="solid">
        <fgColor rgb="00DCE6F1"/>
      </patternFill>
    </fill>
  </fills>
  <borders count="27">
    <border/>
    <border>
      <bottom style="thin">
        <color rgb="FF9DC3E6"/>
      </bottom>
    </border>
    <border>
      <bottom style="thin">
        <color rgb="FFD9E2F3"/>
      </bottom>
    </border>
    <border>
      <top style="thin">
        <color rgb="FFD9E2F3"/>
      </top>
      <bottom style="thin">
        <color rgb="FFD9E2F3"/>
      </bottom>
    </border>
    <border>
      <top style="thin">
        <color rgb="FFD9E2F3"/>
      </top>
    </border>
    <border>
      <bottom style="thin">
        <color rgb="FFE5E7EB"/>
      </bottom>
    </border>
    <border>
      <top style="thin">
        <color rgb="FFE5E7EB"/>
      </top>
      <bottom style="thin">
        <color rgb="FFE5E7EB"/>
      </bottom>
    </border>
    <border>
      <top style="thin">
        <color rgb="FFE5E7EB"/>
      </top>
    </border>
    <border>
      <left style="thin">
        <color rgb="FFB4C7E7"/>
      </left>
      <right style="thin">
        <color rgb="FFB4C7E7"/>
      </right>
      <top style="thin">
        <color rgb="FFB4C7E7"/>
      </top>
      <bottom style="thin">
        <color rgb="FFB4C7E7"/>
      </bottom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</border>
    <border>
      <left style="thin">
        <color rgb="FF17365D"/>
      </left>
      <top style="thin">
        <color rgb="FF17365D"/>
      </top>
      <bottom style="thin">
        <color rgb="FF17365D"/>
      </bottom>
    </border>
    <border>
      <top style="thin">
        <color rgb="FF17365D"/>
      </top>
      <bottom style="thin">
        <color rgb="FF17365D"/>
      </bottom>
    </border>
    <border>
      <right style="thin">
        <color rgb="FF17365D"/>
      </right>
      <top style="thin">
        <color rgb="FF17365D"/>
      </top>
      <bottom style="thin">
        <color rgb="FF17365D"/>
      </bottom>
    </border>
    <border>
      <right style="thin">
        <color rgb="FFD9E2F3"/>
      </right>
      <bottom style="thin">
        <color rgb="FFD9E2F3"/>
      </bottom>
    </border>
    <border>
      <left style="thin">
        <color rgb="FFD9E2F3"/>
      </left>
      <right style="thin">
        <color rgb="FFD9E2F3"/>
      </right>
      <bottom style="thin">
        <color rgb="FFD9E2F3"/>
      </bottom>
    </border>
    <border>
      <left style="thin">
        <color rgb="FFD9E2F3"/>
      </left>
      <bottom style="thin">
        <color rgb="FFD9E2F3"/>
      </bottom>
    </border>
    <border>
      <right style="thin">
        <color rgb="FFD9E2F3"/>
      </right>
      <top style="thin">
        <color rgb="FFD9E2F3"/>
      </top>
      <bottom style="thin">
        <color rgb="FFD9E2F3"/>
      </bottom>
    </border>
    <border>
      <left style="thin">
        <color rgb="FFD9E2F3"/>
      </left>
      <top style="thin">
        <color rgb="FFD9E2F3"/>
      </top>
      <bottom style="thin">
        <color rgb="FFD9E2F3"/>
      </bottom>
    </border>
    <border>
      <right style="thin">
        <color rgb="FFD9E2F3"/>
      </right>
      <top style="thin">
        <color rgb="FFD9E2F3"/>
      </top>
    </border>
    <border>
      <left style="thin">
        <color rgb="FFD9E2F3"/>
      </left>
      <right style="thin">
        <color rgb="FFD9E2F3"/>
      </right>
      <top style="thin">
        <color rgb="FFD9E2F3"/>
      </top>
    </border>
    <border>
      <left style="thin">
        <color rgb="FFD9E2F3"/>
      </left>
      <top style="thin">
        <color rgb="FFD9E2F3"/>
      </top>
    </border>
    <border>
      <left style="thin">
        <color rgb="FF17365D"/>
      </left>
      <right style="thin">
        <color rgb="FF17365D"/>
      </right>
      <top style="thin">
        <color rgb="FF17365D"/>
      </top>
      <bottom style="thin">
        <color rgb="FF17365D"/>
      </bottom>
    </border>
    <border>
      <right style="thin">
        <color rgb="FFD9E2F3"/>
      </right>
    </border>
    <border>
      <left style="thin">
        <color rgb="FFD9E2F3"/>
      </left>
      <right style="thin">
        <color rgb="FFD9E2F3"/>
      </right>
    </border>
    <border>
      <left style="thin">
        <color rgb="FFD9E2F3"/>
      </left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bottom style="thin">
        <color rgb="00B8C4CE"/>
      </bottom>
    </border>
  </borders>
  <cellStyleXfs count="1">
    <xf numFmtId="0" fontId="0" fillId="0" borderId="0"/>
  </cellStyleXfs>
  <cellXfs count="467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1" fillId="3" borderId="0" applyAlignment="1" pivotButton="0" quotePrefix="0" xfId="0">
      <alignment vertical="center" wrapText="1"/>
    </xf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0" fillId="4" borderId="0" pivotButton="0" quotePrefix="0" xfId="0"/>
    <xf numFmtId="0" fontId="2" fillId="4" borderId="0" pivotButton="0" quotePrefix="0" xfId="0"/>
    <xf numFmtId="0" fontId="2" fillId="4" borderId="0" applyAlignment="1" pivotButton="0" quotePrefix="0" xfId="0">
      <alignment wrapText="1"/>
    </xf>
    <xf numFmtId="0" fontId="0" fillId="5" borderId="0" pivotButton="0" quotePrefix="0" xfId="0"/>
    <xf numFmtId="0" fontId="2" fillId="5" borderId="0" pivotButton="0" quotePrefix="0" xfId="0"/>
    <xf numFmtId="0" fontId="2" fillId="5" borderId="0" applyAlignment="1" pivotButton="0" quotePrefix="0" xfId="0">
      <alignment wrapText="1"/>
    </xf>
    <xf numFmtId="0" fontId="2" fillId="5" borderId="0" applyAlignment="1" pivotButton="0" quotePrefix="0" xfId="0">
      <alignment horizontal="center" wrapText="1"/>
    </xf>
    <xf numFmtId="0" fontId="2" fillId="5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6" borderId="0" pivotButton="0" quotePrefix="0" xfId="0"/>
    <xf numFmtId="0" fontId="2" fillId="6" borderId="0" pivotButton="0" quotePrefix="0" xfId="0"/>
    <xf numFmtId="0" fontId="2" fillId="6" borderId="0" applyAlignment="1" pivotButton="0" quotePrefix="0" xfId="0">
      <alignment wrapText="1"/>
    </xf>
    <xf numFmtId="0" fontId="2" fillId="6" borderId="0" applyAlignment="1" pivotButton="0" quotePrefix="0" xfId="0">
      <alignment horizontal="center" wrapText="1"/>
    </xf>
    <xf numFmtId="0" fontId="2" fillId="6" borderId="0" applyAlignment="1" pivotButton="0" quotePrefix="0" xfId="0">
      <alignment horizontal="center" vertical="center" wrapText="1"/>
    </xf>
    <xf numFmtId="0" fontId="2" fillId="7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right" wrapText="1"/>
    </xf>
    <xf numFmtId="0" fontId="0" fillId="0" borderId="0" applyAlignment="1" pivotButton="0" quotePrefix="0" xfId="0">
      <alignment horizontal="right" vertical="top" wrapText="1"/>
    </xf>
    <xf numFmtId="0" fontId="0" fillId="8" borderId="0" applyAlignment="1" pivotButton="0" quotePrefix="0" xfId="0">
      <alignment horizontal="right" vertical="top" wrapText="1"/>
    </xf>
    <xf numFmtId="0" fontId="0" fillId="8" borderId="1" applyAlignment="1" pivotButton="0" quotePrefix="0" xfId="0">
      <alignment horizontal="right" vertical="top" wrapText="1"/>
    </xf>
    <xf numFmtId="0" fontId="0" fillId="9" borderId="0" applyAlignment="1" pivotButton="0" quotePrefix="0" xfId="0">
      <alignment horizontal="right" vertical="top" wrapText="1"/>
    </xf>
    <xf numFmtId="0" fontId="0" fillId="9" borderId="1" applyAlignment="1" pivotButton="0" quotePrefix="0" xfId="0">
      <alignment horizontal="right" vertical="top" wrapText="1"/>
    </xf>
    <xf numFmtId="0" fontId="2" fillId="10" borderId="0" applyAlignment="1" pivotButton="0" quotePrefix="0" xfId="0">
      <alignment horizontal="center" vertical="center" wrapText="1"/>
    </xf>
    <xf numFmtId="0" fontId="0" fillId="11" borderId="1" applyAlignment="1" pivotButton="0" quotePrefix="0" xfId="0">
      <alignment horizontal="right" vertical="top" wrapText="1"/>
    </xf>
    <xf numFmtId="0" fontId="0" fillId="12" borderId="1" applyAlignment="1" pivotButton="0" quotePrefix="0" xfId="0">
      <alignment horizontal="right" vertical="top" wrapText="1"/>
    </xf>
    <xf numFmtId="0" fontId="1" fillId="13" borderId="0" applyAlignment="1" pivotButton="0" quotePrefix="0" xfId="0">
      <alignment horizontal="center" vertical="center" wrapText="1"/>
    </xf>
    <xf numFmtId="0" fontId="2" fillId="13" borderId="0" applyAlignment="1" pivotButton="0" quotePrefix="0" xfId="0">
      <alignment horizontal="center" vertical="center" wrapText="1"/>
    </xf>
    <xf numFmtId="0" fontId="0" fillId="13" borderId="0" pivotButton="0" quotePrefix="0" xfId="0"/>
    <xf numFmtId="0" fontId="2" fillId="13" borderId="0" pivotButton="0" quotePrefix="0" xfId="0"/>
    <xf numFmtId="0" fontId="2" fillId="13" borderId="0" applyAlignment="1" pivotButton="0" quotePrefix="0" xfId="0">
      <alignment wrapText="1"/>
    </xf>
    <xf numFmtId="0" fontId="2" fillId="13" borderId="0" applyAlignment="1" pivotButton="0" quotePrefix="0" xfId="0">
      <alignment horizontal="center" wrapText="1"/>
    </xf>
    <xf numFmtId="0" fontId="3" fillId="0" borderId="0" applyAlignment="1" pivotButton="0" quotePrefix="0" xfId="0">
      <alignment vertical="top" wrapText="1"/>
    </xf>
    <xf numFmtId="0" fontId="3" fillId="8" borderId="1" applyAlignment="1" pivotButton="0" quotePrefix="0" xfId="0">
      <alignment horizontal="right" vertical="top" wrapText="1"/>
    </xf>
    <xf numFmtId="0" fontId="3" fillId="0" borderId="0" pivotButton="0" quotePrefix="0" xfId="0"/>
    <xf numFmtId="0" fontId="3" fillId="9" borderId="1" applyAlignment="1" pivotButton="0" quotePrefix="0" xfId="0">
      <alignment horizontal="right" vertical="top" wrapText="1"/>
    </xf>
    <xf numFmtId="0" fontId="3" fillId="0" borderId="0" applyAlignment="1" pivotButton="0" quotePrefix="0" xfId="0">
      <alignment wrapText="1"/>
    </xf>
    <xf numFmtId="0" fontId="0" fillId="14" borderId="0" pivotButton="0" quotePrefix="0" xfId="0"/>
    <xf numFmtId="0" fontId="4" fillId="14" borderId="0" pivotButton="0" quotePrefix="0" xfId="0"/>
    <xf numFmtId="0" fontId="4" fillId="14" borderId="0" applyAlignment="1" pivotButton="0" quotePrefix="0" xfId="0">
      <alignment vertical="center"/>
    </xf>
    <xf numFmtId="0" fontId="0" fillId="15" borderId="0" pivotButton="0" quotePrefix="0" xfId="0"/>
    <xf numFmtId="0" fontId="5" fillId="15" borderId="0" pivotButton="0" quotePrefix="0" xfId="0"/>
    <xf numFmtId="0" fontId="0" fillId="16" borderId="0" pivotButton="0" quotePrefix="0" xfId="0"/>
    <xf numFmtId="0" fontId="6" fillId="16" borderId="0" pivotButton="0" quotePrefix="0" xfId="0"/>
    <xf numFmtId="0" fontId="0" fillId="17" borderId="0" pivotButton="0" quotePrefix="0" xfId="0"/>
    <xf numFmtId="0" fontId="7" fillId="17" borderId="0" pivotButton="0" quotePrefix="0" xfId="0"/>
    <xf numFmtId="0" fontId="0" fillId="18" borderId="0" pivotButton="0" quotePrefix="0" xfId="0"/>
    <xf numFmtId="0" fontId="2" fillId="18" borderId="0" pivotButton="0" quotePrefix="0" xfId="0"/>
    <xf numFmtId="0" fontId="4" fillId="14" borderId="0" applyAlignment="1" pivotButton="0" quotePrefix="0" xfId="0">
      <alignment vertical="center" wrapText="1"/>
    </xf>
    <xf numFmtId="0" fontId="5" fillId="15" borderId="0" applyAlignment="1" pivotButton="0" quotePrefix="0" xfId="0">
      <alignment wrapText="1"/>
    </xf>
    <xf numFmtId="0" fontId="6" fillId="16" borderId="0" applyAlignment="1" pivotButton="0" quotePrefix="0" xfId="0">
      <alignment wrapText="1"/>
    </xf>
    <xf numFmtId="0" fontId="7" fillId="17" borderId="0" applyAlignment="1" pivotButton="0" quotePrefix="0" xfId="0">
      <alignment wrapText="1"/>
    </xf>
    <xf numFmtId="0" fontId="2" fillId="18" borderId="0" applyAlignment="1" pivotButton="0" quotePrefix="0" xfId="0">
      <alignment wrapText="1"/>
    </xf>
    <xf numFmtId="0" fontId="3" fillId="19" borderId="0" applyAlignment="1" pivotButton="0" quotePrefix="0" xfId="0">
      <alignment vertical="top" wrapText="1"/>
    </xf>
    <xf numFmtId="0" fontId="8" fillId="19" borderId="0" applyAlignment="1" pivotButton="0" quotePrefix="0" xfId="0">
      <alignment vertical="top" wrapText="1"/>
    </xf>
    <xf numFmtId="0" fontId="8" fillId="19" borderId="0" applyAlignment="1" pivotButton="0" quotePrefix="0" xfId="0">
      <alignment horizontal="center" vertical="top" wrapText="1"/>
    </xf>
    <xf numFmtId="0" fontId="3" fillId="20" borderId="0" applyAlignment="1" pivotButton="0" quotePrefix="0" xfId="0">
      <alignment vertical="top" wrapText="1"/>
    </xf>
    <xf numFmtId="0" fontId="8" fillId="20" borderId="0" applyAlignment="1" pivotButton="0" quotePrefix="0" xfId="0">
      <alignment vertical="top" wrapText="1"/>
    </xf>
    <xf numFmtId="0" fontId="8" fillId="20" borderId="0" applyAlignment="1" pivotButton="0" quotePrefix="0" xfId="0">
      <alignment horizontal="center" vertical="top" wrapText="1"/>
    </xf>
    <xf numFmtId="0" fontId="3" fillId="21" borderId="0" applyAlignment="1" pivotButton="0" quotePrefix="0" xfId="0">
      <alignment vertical="top" wrapText="1"/>
    </xf>
    <xf numFmtId="0" fontId="8" fillId="21" borderId="0" applyAlignment="1" pivotButton="0" quotePrefix="0" xfId="0">
      <alignment vertical="top" wrapText="1"/>
    </xf>
    <xf numFmtId="0" fontId="8" fillId="21" borderId="0" applyAlignment="1" pivotButton="0" quotePrefix="0" xfId="0">
      <alignment horizontal="center" vertical="top" wrapText="1"/>
    </xf>
    <xf numFmtId="0" fontId="3" fillId="22" borderId="0" applyAlignment="1" pivotButton="0" quotePrefix="0" xfId="0">
      <alignment vertical="top" wrapText="1"/>
    </xf>
    <xf numFmtId="0" fontId="8" fillId="22" borderId="0" applyAlignment="1" pivotButton="0" quotePrefix="0" xfId="0">
      <alignment vertical="top" wrapText="1"/>
    </xf>
    <xf numFmtId="0" fontId="8" fillId="22" borderId="0" applyAlignment="1" pivotButton="0" quotePrefix="0" xfId="0">
      <alignment horizontal="center" vertical="top" wrapText="1"/>
    </xf>
    <xf numFmtId="0" fontId="0" fillId="23" borderId="0" pivotButton="0" quotePrefix="0" xfId="0"/>
    <xf numFmtId="0" fontId="2" fillId="23" borderId="0" pivotButton="0" quotePrefix="0" xfId="0"/>
    <xf numFmtId="0" fontId="2" fillId="23" borderId="0" applyAlignment="1" pivotButton="0" quotePrefix="0" xfId="0">
      <alignment wrapText="1"/>
    </xf>
    <xf numFmtId="0" fontId="2" fillId="23" borderId="0" applyAlignment="1" pivotButton="0" quotePrefix="0" xfId="0">
      <alignment horizontal="center" wrapText="1"/>
    </xf>
    <xf numFmtId="0" fontId="2" fillId="23" borderId="0" applyAlignment="1" pivotButton="0" quotePrefix="0" xfId="0">
      <alignment horizontal="center" vertical="center" wrapText="1"/>
    </xf>
    <xf numFmtId="0" fontId="0" fillId="24" borderId="0" pivotButton="0" quotePrefix="0" xfId="0"/>
    <xf numFmtId="0" fontId="4" fillId="24" borderId="0" pivotButton="0" quotePrefix="0" xfId="0"/>
    <xf numFmtId="0" fontId="4" fillId="24" borderId="0" applyAlignment="1" pivotButton="0" quotePrefix="0" xfId="0">
      <alignment vertical="center"/>
    </xf>
    <xf numFmtId="0" fontId="0" fillId="25" borderId="0" pivotButton="0" quotePrefix="0" xfId="0"/>
    <xf numFmtId="0" fontId="5" fillId="25" borderId="0" pivotButton="0" quotePrefix="0" xfId="0"/>
    <xf numFmtId="0" fontId="0" fillId="26" borderId="0" pivotButton="0" quotePrefix="0" xfId="0"/>
    <xf numFmtId="0" fontId="6" fillId="26" borderId="0" pivotButton="0" quotePrefix="0" xfId="0"/>
    <xf numFmtId="0" fontId="0" fillId="27" borderId="0" pivotButton="0" quotePrefix="0" xfId="0"/>
    <xf numFmtId="0" fontId="7" fillId="27" borderId="0" pivotButton="0" quotePrefix="0" xfId="0"/>
    <xf numFmtId="0" fontId="0" fillId="28" borderId="0" pivotButton="0" quotePrefix="0" xfId="0"/>
    <xf numFmtId="0" fontId="2" fillId="28" borderId="0" pivotButton="0" quotePrefix="0" xfId="0"/>
    <xf numFmtId="0" fontId="4" fillId="24" borderId="0" applyAlignment="1" pivotButton="0" quotePrefix="0" xfId="0">
      <alignment vertical="center" wrapText="1"/>
    </xf>
    <xf numFmtId="0" fontId="5" fillId="25" borderId="0" applyAlignment="1" pivotButton="0" quotePrefix="0" xfId="0">
      <alignment wrapText="1"/>
    </xf>
    <xf numFmtId="0" fontId="6" fillId="26" borderId="0" applyAlignment="1" pivotButton="0" quotePrefix="0" xfId="0">
      <alignment wrapText="1"/>
    </xf>
    <xf numFmtId="0" fontId="7" fillId="27" borderId="0" applyAlignment="1" pivotButton="0" quotePrefix="0" xfId="0">
      <alignment wrapText="1"/>
    </xf>
    <xf numFmtId="0" fontId="2" fillId="28" borderId="0" applyAlignment="1" pivotButton="0" quotePrefix="0" xfId="0">
      <alignment wrapText="1"/>
    </xf>
    <xf numFmtId="0" fontId="3" fillId="29" borderId="0" applyAlignment="1" pivotButton="0" quotePrefix="0" xfId="0">
      <alignment vertical="top" wrapText="1"/>
    </xf>
    <xf numFmtId="0" fontId="8" fillId="29" borderId="0" applyAlignment="1" pivotButton="0" quotePrefix="0" xfId="0">
      <alignment vertical="top" wrapText="1"/>
    </xf>
    <xf numFmtId="0" fontId="8" fillId="29" borderId="0" applyAlignment="1" pivotButton="0" quotePrefix="0" xfId="0">
      <alignment horizontal="center" vertical="top" wrapText="1"/>
    </xf>
    <xf numFmtId="0" fontId="3" fillId="30" borderId="0" applyAlignment="1" pivotButton="0" quotePrefix="0" xfId="0">
      <alignment vertical="top" wrapText="1"/>
    </xf>
    <xf numFmtId="0" fontId="8" fillId="30" borderId="0" applyAlignment="1" pivotButton="0" quotePrefix="0" xfId="0">
      <alignment vertical="top" wrapText="1"/>
    </xf>
    <xf numFmtId="0" fontId="8" fillId="30" borderId="0" applyAlignment="1" pivotButton="0" quotePrefix="0" xfId="0">
      <alignment horizontal="center" vertical="top" wrapText="1"/>
    </xf>
    <xf numFmtId="0" fontId="3" fillId="31" borderId="0" applyAlignment="1" pivotButton="0" quotePrefix="0" xfId="0">
      <alignment vertical="top" wrapText="1"/>
    </xf>
    <xf numFmtId="0" fontId="8" fillId="31" borderId="0" applyAlignment="1" pivotButton="0" quotePrefix="0" xfId="0">
      <alignment vertical="top" wrapText="1"/>
    </xf>
    <xf numFmtId="0" fontId="8" fillId="31" borderId="0" applyAlignment="1" pivotButton="0" quotePrefix="0" xfId="0">
      <alignment horizontal="center" vertical="top" wrapText="1"/>
    </xf>
    <xf numFmtId="0" fontId="3" fillId="32" borderId="0" applyAlignment="1" pivotButton="0" quotePrefix="0" xfId="0">
      <alignment vertical="top" wrapText="1"/>
    </xf>
    <xf numFmtId="0" fontId="8" fillId="32" borderId="0" applyAlignment="1" pivotButton="0" quotePrefix="0" xfId="0">
      <alignment vertical="top" wrapText="1"/>
    </xf>
    <xf numFmtId="0" fontId="8" fillId="32" borderId="0" applyAlignment="1" pivotButton="0" quotePrefix="0" xfId="0">
      <alignment horizontal="center" vertical="top" wrapText="1"/>
    </xf>
    <xf numFmtId="0" fontId="0" fillId="33" borderId="0" pivotButton="0" quotePrefix="0" xfId="0"/>
    <xf numFmtId="0" fontId="2" fillId="33" borderId="0" pivotButton="0" quotePrefix="0" xfId="0"/>
    <xf numFmtId="0" fontId="2" fillId="33" borderId="0" applyAlignment="1" pivotButton="0" quotePrefix="0" xfId="0">
      <alignment wrapText="1"/>
    </xf>
    <xf numFmtId="0" fontId="2" fillId="33" borderId="0" applyAlignment="1" pivotButton="0" quotePrefix="0" xfId="0">
      <alignment horizontal="center" wrapText="1"/>
    </xf>
    <xf numFmtId="0" fontId="2" fillId="33" borderId="0" applyAlignment="1" pivotButton="0" quotePrefix="0" xfId="0">
      <alignment horizontal="center" vertical="center" wrapText="1"/>
    </xf>
    <xf numFmtId="0" fontId="0" fillId="34" borderId="0" pivotButton="0" quotePrefix="0" xfId="0"/>
    <xf numFmtId="0" fontId="4" fillId="34" borderId="0" pivotButton="0" quotePrefix="0" xfId="0"/>
    <xf numFmtId="0" fontId="4" fillId="34" borderId="0" applyAlignment="1" pivotButton="0" quotePrefix="0" xfId="0">
      <alignment vertical="center"/>
    </xf>
    <xf numFmtId="0" fontId="0" fillId="35" borderId="0" pivotButton="0" quotePrefix="0" xfId="0"/>
    <xf numFmtId="0" fontId="5" fillId="35" borderId="0" pivotButton="0" quotePrefix="0" xfId="0"/>
    <xf numFmtId="0" fontId="0" fillId="36" borderId="0" pivotButton="0" quotePrefix="0" xfId="0"/>
    <xf numFmtId="0" fontId="6" fillId="36" borderId="0" pivotButton="0" quotePrefix="0" xfId="0"/>
    <xf numFmtId="0" fontId="0" fillId="37" borderId="0" pivotButton="0" quotePrefix="0" xfId="0"/>
    <xf numFmtId="0" fontId="7" fillId="37" borderId="0" pivotButton="0" quotePrefix="0" xfId="0"/>
    <xf numFmtId="0" fontId="0" fillId="38" borderId="0" pivotButton="0" quotePrefix="0" xfId="0"/>
    <xf numFmtId="0" fontId="2" fillId="38" borderId="0" pivotButton="0" quotePrefix="0" xfId="0"/>
    <xf numFmtId="0" fontId="4" fillId="34" borderId="0" applyAlignment="1" pivotButton="0" quotePrefix="0" xfId="0">
      <alignment vertical="center" wrapText="1"/>
    </xf>
    <xf numFmtId="0" fontId="5" fillId="35" borderId="0" applyAlignment="1" pivotButton="0" quotePrefix="0" xfId="0">
      <alignment wrapText="1"/>
    </xf>
    <xf numFmtId="0" fontId="6" fillId="36" borderId="0" applyAlignment="1" pivotButton="0" quotePrefix="0" xfId="0">
      <alignment wrapText="1"/>
    </xf>
    <xf numFmtId="0" fontId="7" fillId="37" borderId="0" applyAlignment="1" pivotButton="0" quotePrefix="0" xfId="0">
      <alignment wrapText="1"/>
    </xf>
    <xf numFmtId="0" fontId="2" fillId="38" borderId="0" applyAlignment="1" pivotButton="0" quotePrefix="0" xfId="0">
      <alignment wrapText="1"/>
    </xf>
    <xf numFmtId="0" fontId="3" fillId="39" borderId="0" applyAlignment="1" pivotButton="0" quotePrefix="0" xfId="0">
      <alignment vertical="top" wrapText="1"/>
    </xf>
    <xf numFmtId="0" fontId="8" fillId="39" borderId="0" applyAlignment="1" pivotButton="0" quotePrefix="0" xfId="0">
      <alignment vertical="top" wrapText="1"/>
    </xf>
    <xf numFmtId="0" fontId="8" fillId="39" borderId="0" applyAlignment="1" pivotButton="0" quotePrefix="0" xfId="0">
      <alignment horizontal="center" vertical="top" wrapText="1"/>
    </xf>
    <xf numFmtId="0" fontId="3" fillId="40" borderId="0" applyAlignment="1" pivotButton="0" quotePrefix="0" xfId="0">
      <alignment vertical="top" wrapText="1"/>
    </xf>
    <xf numFmtId="0" fontId="8" fillId="40" borderId="0" applyAlignment="1" pivotButton="0" quotePrefix="0" xfId="0">
      <alignment vertical="top" wrapText="1"/>
    </xf>
    <xf numFmtId="0" fontId="8" fillId="40" borderId="0" applyAlignment="1" pivotButton="0" quotePrefix="0" xfId="0">
      <alignment horizontal="center" vertical="top" wrapText="1"/>
    </xf>
    <xf numFmtId="0" fontId="3" fillId="41" borderId="0" applyAlignment="1" pivotButton="0" quotePrefix="0" xfId="0">
      <alignment vertical="top" wrapText="1"/>
    </xf>
    <xf numFmtId="0" fontId="8" fillId="41" borderId="0" applyAlignment="1" pivotButton="0" quotePrefix="0" xfId="0">
      <alignment vertical="top" wrapText="1"/>
    </xf>
    <xf numFmtId="0" fontId="8" fillId="41" borderId="0" applyAlignment="1" pivotButton="0" quotePrefix="0" xfId="0">
      <alignment horizontal="center" vertical="top" wrapText="1"/>
    </xf>
    <xf numFmtId="0" fontId="3" fillId="42" borderId="0" applyAlignment="1" pivotButton="0" quotePrefix="0" xfId="0">
      <alignment vertical="top" wrapText="1"/>
    </xf>
    <xf numFmtId="0" fontId="8" fillId="42" borderId="0" applyAlignment="1" pivotButton="0" quotePrefix="0" xfId="0">
      <alignment vertical="top" wrapText="1"/>
    </xf>
    <xf numFmtId="0" fontId="8" fillId="42" borderId="0" applyAlignment="1" pivotButton="0" quotePrefix="0" xfId="0">
      <alignment horizontal="center" vertical="top" wrapText="1"/>
    </xf>
    <xf numFmtId="0" fontId="0" fillId="43" borderId="0" pivotButton="0" quotePrefix="0" xfId="0"/>
    <xf numFmtId="0" fontId="2" fillId="43" borderId="0" pivotButton="0" quotePrefix="0" xfId="0"/>
    <xf numFmtId="0" fontId="2" fillId="43" borderId="0" applyAlignment="1" pivotButton="0" quotePrefix="0" xfId="0">
      <alignment wrapText="1"/>
    </xf>
    <xf numFmtId="0" fontId="2" fillId="43" borderId="0" applyAlignment="1" pivotButton="0" quotePrefix="0" xfId="0">
      <alignment horizontal="center" wrapText="1"/>
    </xf>
    <xf numFmtId="0" fontId="2" fillId="43" borderId="0" applyAlignment="1" pivotButton="0" quotePrefix="0" xfId="0">
      <alignment horizontal="center" vertical="center" wrapText="1"/>
    </xf>
    <xf numFmtId="0" fontId="0" fillId="44" borderId="0" pivotButton="0" quotePrefix="0" xfId="0"/>
    <xf numFmtId="0" fontId="4" fillId="44" borderId="0" pivotButton="0" quotePrefix="0" xfId="0"/>
    <xf numFmtId="0" fontId="4" fillId="44" borderId="0" applyAlignment="1" pivotButton="0" quotePrefix="0" xfId="0">
      <alignment vertical="center"/>
    </xf>
    <xf numFmtId="0" fontId="0" fillId="45" borderId="0" pivotButton="0" quotePrefix="0" xfId="0"/>
    <xf numFmtId="0" fontId="5" fillId="45" borderId="0" pivotButton="0" quotePrefix="0" xfId="0"/>
    <xf numFmtId="0" fontId="0" fillId="46" borderId="0" pivotButton="0" quotePrefix="0" xfId="0"/>
    <xf numFmtId="0" fontId="6" fillId="46" borderId="0" pivotButton="0" quotePrefix="0" xfId="0"/>
    <xf numFmtId="0" fontId="0" fillId="47" borderId="0" pivotButton="0" quotePrefix="0" xfId="0"/>
    <xf numFmtId="0" fontId="7" fillId="47" borderId="0" pivotButton="0" quotePrefix="0" xfId="0"/>
    <xf numFmtId="0" fontId="0" fillId="48" borderId="0" pivotButton="0" quotePrefix="0" xfId="0"/>
    <xf numFmtId="0" fontId="2" fillId="48" borderId="0" pivotButton="0" quotePrefix="0" xfId="0"/>
    <xf numFmtId="0" fontId="4" fillId="44" borderId="0" applyAlignment="1" pivotButton="0" quotePrefix="0" xfId="0">
      <alignment vertical="center" wrapText="1"/>
    </xf>
    <xf numFmtId="0" fontId="5" fillId="45" borderId="0" applyAlignment="1" pivotButton="0" quotePrefix="0" xfId="0">
      <alignment wrapText="1"/>
    </xf>
    <xf numFmtId="0" fontId="6" fillId="46" borderId="0" applyAlignment="1" pivotButton="0" quotePrefix="0" xfId="0">
      <alignment wrapText="1"/>
    </xf>
    <xf numFmtId="0" fontId="7" fillId="47" borderId="0" applyAlignment="1" pivotButton="0" quotePrefix="0" xfId="0">
      <alignment wrapText="1"/>
    </xf>
    <xf numFmtId="0" fontId="2" fillId="48" borderId="0" applyAlignment="1" pivotButton="0" quotePrefix="0" xfId="0">
      <alignment wrapText="1"/>
    </xf>
    <xf numFmtId="0" fontId="3" fillId="49" borderId="0" applyAlignment="1" pivotButton="0" quotePrefix="0" xfId="0">
      <alignment vertical="top" wrapText="1"/>
    </xf>
    <xf numFmtId="0" fontId="8" fillId="49" borderId="0" applyAlignment="1" pivotButton="0" quotePrefix="0" xfId="0">
      <alignment vertical="top" wrapText="1"/>
    </xf>
    <xf numFmtId="0" fontId="8" fillId="49" borderId="0" applyAlignment="1" pivotButton="0" quotePrefix="0" xfId="0">
      <alignment horizontal="center" vertical="top" wrapText="1"/>
    </xf>
    <xf numFmtId="0" fontId="3" fillId="50" borderId="0" applyAlignment="1" pivotButton="0" quotePrefix="0" xfId="0">
      <alignment vertical="top" wrapText="1"/>
    </xf>
    <xf numFmtId="0" fontId="8" fillId="50" borderId="0" applyAlignment="1" pivotButton="0" quotePrefix="0" xfId="0">
      <alignment vertical="top" wrapText="1"/>
    </xf>
    <xf numFmtId="0" fontId="8" fillId="50" borderId="0" applyAlignment="1" pivotButton="0" quotePrefix="0" xfId="0">
      <alignment horizontal="center" vertical="top" wrapText="1"/>
    </xf>
    <xf numFmtId="0" fontId="3" fillId="51" borderId="0" applyAlignment="1" pivotButton="0" quotePrefix="0" xfId="0">
      <alignment vertical="top" wrapText="1"/>
    </xf>
    <xf numFmtId="0" fontId="8" fillId="51" borderId="0" applyAlignment="1" pivotButton="0" quotePrefix="0" xfId="0">
      <alignment vertical="top" wrapText="1"/>
    </xf>
    <xf numFmtId="0" fontId="8" fillId="51" borderId="0" applyAlignment="1" pivotButton="0" quotePrefix="0" xfId="0">
      <alignment horizontal="center" vertical="top" wrapText="1"/>
    </xf>
    <xf numFmtId="0" fontId="3" fillId="52" borderId="0" applyAlignment="1" pivotButton="0" quotePrefix="0" xfId="0">
      <alignment vertical="top" wrapText="1"/>
    </xf>
    <xf numFmtId="0" fontId="8" fillId="52" borderId="0" applyAlignment="1" pivotButton="0" quotePrefix="0" xfId="0">
      <alignment vertical="top" wrapText="1"/>
    </xf>
    <xf numFmtId="0" fontId="8" fillId="52" borderId="0" applyAlignment="1" pivotButton="0" quotePrefix="0" xfId="0">
      <alignment horizontal="center" vertical="top" wrapText="1"/>
    </xf>
    <xf numFmtId="0" fontId="0" fillId="53" borderId="0" pivotButton="0" quotePrefix="0" xfId="0"/>
    <xf numFmtId="0" fontId="2" fillId="53" borderId="0" pivotButton="0" quotePrefix="0" xfId="0"/>
    <xf numFmtId="0" fontId="2" fillId="53" borderId="0" applyAlignment="1" pivotButton="0" quotePrefix="0" xfId="0">
      <alignment wrapText="1"/>
    </xf>
    <xf numFmtId="0" fontId="2" fillId="53" borderId="0" applyAlignment="1" pivotButton="0" quotePrefix="0" xfId="0">
      <alignment horizontal="center" wrapText="1"/>
    </xf>
    <xf numFmtId="0" fontId="2" fillId="53" borderId="0" applyAlignment="1" pivotButton="0" quotePrefix="0" xfId="0">
      <alignment horizontal="center" vertical="center" wrapText="1"/>
    </xf>
    <xf numFmtId="0" fontId="0" fillId="54" borderId="0" pivotButton="0" quotePrefix="0" xfId="0"/>
    <xf numFmtId="0" fontId="4" fillId="54" borderId="0" pivotButton="0" quotePrefix="0" xfId="0"/>
    <xf numFmtId="0" fontId="4" fillId="54" borderId="0" applyAlignment="1" pivotButton="0" quotePrefix="0" xfId="0">
      <alignment vertical="center"/>
    </xf>
    <xf numFmtId="0" fontId="0" fillId="55" borderId="0" pivotButton="0" quotePrefix="0" xfId="0"/>
    <xf numFmtId="0" fontId="5" fillId="55" borderId="0" pivotButton="0" quotePrefix="0" xfId="0"/>
    <xf numFmtId="0" fontId="0" fillId="56" borderId="0" pivotButton="0" quotePrefix="0" xfId="0"/>
    <xf numFmtId="0" fontId="6" fillId="56" borderId="0" pivotButton="0" quotePrefix="0" xfId="0"/>
    <xf numFmtId="0" fontId="0" fillId="57" borderId="0" pivotButton="0" quotePrefix="0" xfId="0"/>
    <xf numFmtId="0" fontId="7" fillId="57" borderId="0" pivotButton="0" quotePrefix="0" xfId="0"/>
    <xf numFmtId="0" fontId="0" fillId="58" borderId="0" pivotButton="0" quotePrefix="0" xfId="0"/>
    <xf numFmtId="0" fontId="2" fillId="58" borderId="0" pivotButton="0" quotePrefix="0" xfId="0"/>
    <xf numFmtId="0" fontId="4" fillId="54" borderId="0" applyAlignment="1" pivotButton="0" quotePrefix="0" xfId="0">
      <alignment vertical="center" wrapText="1"/>
    </xf>
    <xf numFmtId="0" fontId="5" fillId="55" borderId="0" applyAlignment="1" pivotButton="0" quotePrefix="0" xfId="0">
      <alignment wrapText="1"/>
    </xf>
    <xf numFmtId="0" fontId="6" fillId="56" borderId="0" applyAlignment="1" pivotButton="0" quotePrefix="0" xfId="0">
      <alignment wrapText="1"/>
    </xf>
    <xf numFmtId="0" fontId="7" fillId="57" borderId="0" applyAlignment="1" pivotButton="0" quotePrefix="0" xfId="0">
      <alignment wrapText="1"/>
    </xf>
    <xf numFmtId="0" fontId="2" fillId="58" borderId="0" applyAlignment="1" pivotButton="0" quotePrefix="0" xfId="0">
      <alignment wrapText="1"/>
    </xf>
    <xf numFmtId="0" fontId="3" fillId="59" borderId="0" applyAlignment="1" pivotButton="0" quotePrefix="0" xfId="0">
      <alignment vertical="top" wrapText="1"/>
    </xf>
    <xf numFmtId="0" fontId="8" fillId="59" borderId="0" applyAlignment="1" pivotButton="0" quotePrefix="0" xfId="0">
      <alignment vertical="top" wrapText="1"/>
    </xf>
    <xf numFmtId="0" fontId="8" fillId="59" borderId="0" applyAlignment="1" pivotButton="0" quotePrefix="0" xfId="0">
      <alignment horizontal="center" vertical="top" wrapText="1"/>
    </xf>
    <xf numFmtId="0" fontId="3" fillId="60" borderId="0" applyAlignment="1" pivotButton="0" quotePrefix="0" xfId="0">
      <alignment vertical="top" wrapText="1"/>
    </xf>
    <xf numFmtId="0" fontId="8" fillId="60" borderId="0" applyAlignment="1" pivotButton="0" quotePrefix="0" xfId="0">
      <alignment vertical="top" wrapText="1"/>
    </xf>
    <xf numFmtId="0" fontId="8" fillId="60" borderId="0" applyAlignment="1" pivotButton="0" quotePrefix="0" xfId="0">
      <alignment horizontal="center" vertical="top" wrapText="1"/>
    </xf>
    <xf numFmtId="0" fontId="3" fillId="61" borderId="0" applyAlignment="1" pivotButton="0" quotePrefix="0" xfId="0">
      <alignment vertical="top" wrapText="1"/>
    </xf>
    <xf numFmtId="0" fontId="8" fillId="61" borderId="0" applyAlignment="1" pivotButton="0" quotePrefix="0" xfId="0">
      <alignment vertical="top" wrapText="1"/>
    </xf>
    <xf numFmtId="0" fontId="8" fillId="61" borderId="0" applyAlignment="1" pivotButton="0" quotePrefix="0" xfId="0">
      <alignment horizontal="center" vertical="top" wrapText="1"/>
    </xf>
    <xf numFmtId="0" fontId="3" fillId="62" borderId="0" applyAlignment="1" pivotButton="0" quotePrefix="0" xfId="0">
      <alignment vertical="top" wrapText="1"/>
    </xf>
    <xf numFmtId="0" fontId="8" fillId="62" borderId="0" applyAlignment="1" pivotButton="0" quotePrefix="0" xfId="0">
      <alignment vertical="top" wrapText="1"/>
    </xf>
    <xf numFmtId="0" fontId="8" fillId="62" borderId="0" applyAlignment="1" pivotButton="0" quotePrefix="0" xfId="0">
      <alignment horizontal="center" vertical="top" wrapText="1"/>
    </xf>
    <xf numFmtId="0" fontId="0" fillId="63" borderId="0" pivotButton="0" quotePrefix="0" xfId="0"/>
    <xf numFmtId="0" fontId="2" fillId="63" borderId="0" pivotButton="0" quotePrefix="0" xfId="0"/>
    <xf numFmtId="0" fontId="2" fillId="63" borderId="0" applyAlignment="1" pivotButton="0" quotePrefix="0" xfId="0">
      <alignment wrapText="1"/>
    </xf>
    <xf numFmtId="0" fontId="2" fillId="63" borderId="0" applyAlignment="1" pivotButton="0" quotePrefix="0" xfId="0">
      <alignment horizontal="center" wrapText="1"/>
    </xf>
    <xf numFmtId="0" fontId="2" fillId="63" borderId="0" applyAlignment="1" pivotButton="0" quotePrefix="0" xfId="0">
      <alignment horizontal="center" vertical="center" wrapText="1"/>
    </xf>
    <xf numFmtId="0" fontId="0" fillId="64" borderId="0" pivotButton="0" quotePrefix="0" xfId="0"/>
    <xf numFmtId="0" fontId="4" fillId="64" borderId="0" pivotButton="0" quotePrefix="0" xfId="0"/>
    <xf numFmtId="0" fontId="4" fillId="64" borderId="0" applyAlignment="1" pivotButton="0" quotePrefix="0" xfId="0">
      <alignment vertical="center"/>
    </xf>
    <xf numFmtId="0" fontId="0" fillId="65" borderId="0" pivotButton="0" quotePrefix="0" xfId="0"/>
    <xf numFmtId="0" fontId="5" fillId="65" borderId="0" pivotButton="0" quotePrefix="0" xfId="0"/>
    <xf numFmtId="0" fontId="0" fillId="66" borderId="0" pivotButton="0" quotePrefix="0" xfId="0"/>
    <xf numFmtId="0" fontId="6" fillId="66" borderId="0" pivotButton="0" quotePrefix="0" xfId="0"/>
    <xf numFmtId="0" fontId="0" fillId="67" borderId="0" pivotButton="0" quotePrefix="0" xfId="0"/>
    <xf numFmtId="0" fontId="7" fillId="67" borderId="0" pivotButton="0" quotePrefix="0" xfId="0"/>
    <xf numFmtId="0" fontId="0" fillId="68" borderId="0" pivotButton="0" quotePrefix="0" xfId="0"/>
    <xf numFmtId="0" fontId="2" fillId="68" borderId="0" pivotButton="0" quotePrefix="0" xfId="0"/>
    <xf numFmtId="0" fontId="4" fillId="64" borderId="0" applyAlignment="1" pivotButton="0" quotePrefix="0" xfId="0">
      <alignment vertical="center" wrapText="1"/>
    </xf>
    <xf numFmtId="0" fontId="5" fillId="65" borderId="0" applyAlignment="1" pivotButton="0" quotePrefix="0" xfId="0">
      <alignment wrapText="1"/>
    </xf>
    <xf numFmtId="0" fontId="6" fillId="66" borderId="0" applyAlignment="1" pivotButton="0" quotePrefix="0" xfId="0">
      <alignment wrapText="1"/>
    </xf>
    <xf numFmtId="0" fontId="7" fillId="67" borderId="0" applyAlignment="1" pivotButton="0" quotePrefix="0" xfId="0">
      <alignment wrapText="1"/>
    </xf>
    <xf numFmtId="0" fontId="2" fillId="68" borderId="0" applyAlignment="1" pivotButton="0" quotePrefix="0" xfId="0">
      <alignment wrapText="1"/>
    </xf>
    <xf numFmtId="0" fontId="3" fillId="69" borderId="0" applyAlignment="1" pivotButton="0" quotePrefix="0" xfId="0">
      <alignment vertical="top" wrapText="1"/>
    </xf>
    <xf numFmtId="0" fontId="8" fillId="69" borderId="0" applyAlignment="1" pivotButton="0" quotePrefix="0" xfId="0">
      <alignment vertical="top" wrapText="1"/>
    </xf>
    <xf numFmtId="0" fontId="8" fillId="69" borderId="0" applyAlignment="1" pivotButton="0" quotePrefix="0" xfId="0">
      <alignment horizontal="center" vertical="top" wrapText="1"/>
    </xf>
    <xf numFmtId="0" fontId="3" fillId="70" borderId="0" applyAlignment="1" pivotButton="0" quotePrefix="0" xfId="0">
      <alignment vertical="top" wrapText="1"/>
    </xf>
    <xf numFmtId="0" fontId="8" fillId="70" borderId="0" applyAlignment="1" pivotButton="0" quotePrefix="0" xfId="0">
      <alignment vertical="top" wrapText="1"/>
    </xf>
    <xf numFmtId="0" fontId="8" fillId="70" borderId="0" applyAlignment="1" pivotButton="0" quotePrefix="0" xfId="0">
      <alignment horizontal="center" vertical="top" wrapText="1"/>
    </xf>
    <xf numFmtId="0" fontId="3" fillId="71" borderId="0" applyAlignment="1" pivotButton="0" quotePrefix="0" xfId="0">
      <alignment vertical="top" wrapText="1"/>
    </xf>
    <xf numFmtId="0" fontId="8" fillId="71" borderId="0" applyAlignment="1" pivotButton="0" quotePrefix="0" xfId="0">
      <alignment vertical="top" wrapText="1"/>
    </xf>
    <xf numFmtId="0" fontId="8" fillId="71" borderId="0" applyAlignment="1" pivotButton="0" quotePrefix="0" xfId="0">
      <alignment horizontal="center" vertical="top" wrapText="1"/>
    </xf>
    <xf numFmtId="0" fontId="3" fillId="72" borderId="0" applyAlignment="1" pivotButton="0" quotePrefix="0" xfId="0">
      <alignment vertical="top" wrapText="1"/>
    </xf>
    <xf numFmtId="0" fontId="8" fillId="72" borderId="0" applyAlignment="1" pivotButton="0" quotePrefix="0" xfId="0">
      <alignment vertical="top" wrapText="1"/>
    </xf>
    <xf numFmtId="0" fontId="8" fillId="72" borderId="0" applyAlignment="1" pivotButton="0" quotePrefix="0" xfId="0">
      <alignment horizontal="center" vertical="top" wrapText="1"/>
    </xf>
    <xf numFmtId="0" fontId="0" fillId="73" borderId="0" pivotButton="0" quotePrefix="0" xfId="0"/>
    <xf numFmtId="0" fontId="2" fillId="73" borderId="0" pivotButton="0" quotePrefix="0" xfId="0"/>
    <xf numFmtId="0" fontId="2" fillId="73" borderId="0" applyAlignment="1" pivotButton="0" quotePrefix="0" xfId="0">
      <alignment wrapText="1"/>
    </xf>
    <xf numFmtId="0" fontId="2" fillId="73" borderId="0" applyAlignment="1" pivotButton="0" quotePrefix="0" xfId="0">
      <alignment horizontal="center" wrapText="1"/>
    </xf>
    <xf numFmtId="0" fontId="2" fillId="73" borderId="0" applyAlignment="1" pivotButton="0" quotePrefix="0" xfId="0">
      <alignment horizontal="center" vertical="center" wrapText="1"/>
    </xf>
    <xf numFmtId="0" fontId="0" fillId="74" borderId="0" pivotButton="0" quotePrefix="0" xfId="0"/>
    <xf numFmtId="0" fontId="4" fillId="74" borderId="0" pivotButton="0" quotePrefix="0" xfId="0"/>
    <xf numFmtId="0" fontId="4" fillId="74" borderId="0" applyAlignment="1" pivotButton="0" quotePrefix="0" xfId="0">
      <alignment vertical="center"/>
    </xf>
    <xf numFmtId="0" fontId="0" fillId="75" borderId="0" pivotButton="0" quotePrefix="0" xfId="0"/>
    <xf numFmtId="0" fontId="5" fillId="75" borderId="0" pivotButton="0" quotePrefix="0" xfId="0"/>
    <xf numFmtId="0" fontId="0" fillId="76" borderId="0" pivotButton="0" quotePrefix="0" xfId="0"/>
    <xf numFmtId="0" fontId="6" fillId="76" borderId="0" pivotButton="0" quotePrefix="0" xfId="0"/>
    <xf numFmtId="0" fontId="0" fillId="77" borderId="0" pivotButton="0" quotePrefix="0" xfId="0"/>
    <xf numFmtId="0" fontId="7" fillId="77" borderId="0" pivotButton="0" quotePrefix="0" xfId="0"/>
    <xf numFmtId="0" fontId="0" fillId="78" borderId="0" pivotButton="0" quotePrefix="0" xfId="0"/>
    <xf numFmtId="0" fontId="2" fillId="78" borderId="0" pivotButton="0" quotePrefix="0" xfId="0"/>
    <xf numFmtId="0" fontId="4" fillId="74" borderId="0" applyAlignment="1" pivotButton="0" quotePrefix="0" xfId="0">
      <alignment vertical="center" wrapText="1"/>
    </xf>
    <xf numFmtId="0" fontId="5" fillId="75" borderId="0" applyAlignment="1" pivotButton="0" quotePrefix="0" xfId="0">
      <alignment wrapText="1"/>
    </xf>
    <xf numFmtId="0" fontId="6" fillId="76" borderId="0" applyAlignment="1" pivotButton="0" quotePrefix="0" xfId="0">
      <alignment wrapText="1"/>
    </xf>
    <xf numFmtId="0" fontId="7" fillId="77" borderId="0" applyAlignment="1" pivotButton="0" quotePrefix="0" xfId="0">
      <alignment wrapText="1"/>
    </xf>
    <xf numFmtId="0" fontId="2" fillId="78" borderId="0" applyAlignment="1" pivotButton="0" quotePrefix="0" xfId="0">
      <alignment wrapText="1"/>
    </xf>
    <xf numFmtId="0" fontId="3" fillId="79" borderId="0" applyAlignment="1" pivotButton="0" quotePrefix="0" xfId="0">
      <alignment vertical="top" wrapText="1"/>
    </xf>
    <xf numFmtId="0" fontId="8" fillId="79" borderId="0" applyAlignment="1" pivotButton="0" quotePrefix="0" xfId="0">
      <alignment vertical="top" wrapText="1"/>
    </xf>
    <xf numFmtId="0" fontId="8" fillId="79" borderId="0" applyAlignment="1" pivotButton="0" quotePrefix="0" xfId="0">
      <alignment horizontal="center" vertical="top" wrapText="1"/>
    </xf>
    <xf numFmtId="0" fontId="3" fillId="80" borderId="0" applyAlignment="1" pivotButton="0" quotePrefix="0" xfId="0">
      <alignment vertical="top" wrapText="1"/>
    </xf>
    <xf numFmtId="0" fontId="8" fillId="80" borderId="0" applyAlignment="1" pivotButton="0" quotePrefix="0" xfId="0">
      <alignment vertical="top" wrapText="1"/>
    </xf>
    <xf numFmtId="0" fontId="8" fillId="80" borderId="0" applyAlignment="1" pivotButton="0" quotePrefix="0" xfId="0">
      <alignment horizontal="center" vertical="top" wrapText="1"/>
    </xf>
    <xf numFmtId="0" fontId="3" fillId="81" borderId="0" applyAlignment="1" pivotButton="0" quotePrefix="0" xfId="0">
      <alignment vertical="top" wrapText="1"/>
    </xf>
    <xf numFmtId="0" fontId="8" fillId="81" borderId="0" applyAlignment="1" pivotButton="0" quotePrefix="0" xfId="0">
      <alignment vertical="top" wrapText="1"/>
    </xf>
    <xf numFmtId="0" fontId="8" fillId="81" borderId="0" applyAlignment="1" pivotButton="0" quotePrefix="0" xfId="0">
      <alignment horizontal="center" vertical="top" wrapText="1"/>
    </xf>
    <xf numFmtId="0" fontId="3" fillId="82" borderId="0" applyAlignment="1" pivotButton="0" quotePrefix="0" xfId="0">
      <alignment vertical="top" wrapText="1"/>
    </xf>
    <xf numFmtId="0" fontId="8" fillId="82" borderId="0" applyAlignment="1" pivotButton="0" quotePrefix="0" xfId="0">
      <alignment vertical="top" wrapText="1"/>
    </xf>
    <xf numFmtId="0" fontId="8" fillId="82" borderId="0" applyAlignment="1" pivotButton="0" quotePrefix="0" xfId="0">
      <alignment horizontal="center" vertical="top" wrapText="1"/>
    </xf>
    <xf numFmtId="0" fontId="0" fillId="83" borderId="0" pivotButton="0" quotePrefix="0" xfId="0"/>
    <xf numFmtId="0" fontId="2" fillId="83" borderId="0" pivotButton="0" quotePrefix="0" xfId="0"/>
    <xf numFmtId="0" fontId="2" fillId="83" borderId="0" applyAlignment="1" pivotButton="0" quotePrefix="0" xfId="0">
      <alignment wrapText="1"/>
    </xf>
    <xf numFmtId="0" fontId="0" fillId="84" borderId="0" pivotButton="0" quotePrefix="0" xfId="0"/>
    <xf numFmtId="0" fontId="2" fillId="84" borderId="0" pivotButton="0" quotePrefix="0" xfId="0"/>
    <xf numFmtId="0" fontId="2" fillId="84" borderId="0" applyAlignment="1" pivotButton="0" quotePrefix="0" xfId="0">
      <alignment wrapText="1"/>
    </xf>
    <xf numFmtId="0" fontId="2" fillId="84" borderId="0" applyAlignment="1" pivotButton="0" quotePrefix="0" xfId="0">
      <alignment horizontal="center" wrapText="1"/>
    </xf>
    <xf numFmtId="0" fontId="2" fillId="84" borderId="0" applyAlignment="1" pivotButton="0" quotePrefix="0" xfId="0">
      <alignment horizontal="center" vertical="center" wrapText="1"/>
    </xf>
    <xf numFmtId="0" fontId="2" fillId="85" borderId="0" applyAlignment="1" pivotButton="0" quotePrefix="0" xfId="0">
      <alignment wrapText="1"/>
    </xf>
    <xf numFmtId="0" fontId="0" fillId="85" borderId="0" pivotButton="0" quotePrefix="0" xfId="0"/>
    <xf numFmtId="0" fontId="2" fillId="85" borderId="0" pivotButton="0" quotePrefix="0" xfId="0"/>
    <xf numFmtId="0" fontId="2" fillId="86" borderId="0" applyAlignment="1" pivotButton="0" quotePrefix="0" xfId="0">
      <alignment horizontal="center" vertical="center" wrapText="1"/>
    </xf>
    <xf numFmtId="0" fontId="0" fillId="86" borderId="0" pivotButton="0" quotePrefix="0" xfId="0"/>
    <xf numFmtId="0" fontId="2" fillId="86" borderId="0" pivotButton="0" quotePrefix="0" xfId="0"/>
    <xf numFmtId="0" fontId="2" fillId="86" borderId="0" applyAlignment="1" pivotButton="0" quotePrefix="0" xfId="0">
      <alignment wrapText="1"/>
    </xf>
    <xf numFmtId="0" fontId="2" fillId="86" borderId="0" applyAlignment="1" pivotButton="0" quotePrefix="0" xfId="0">
      <alignment horizontal="center" wrapText="1"/>
    </xf>
    <xf numFmtId="0" fontId="0" fillId="87" borderId="0" pivotButton="0" quotePrefix="0" xfId="0"/>
    <xf numFmtId="0" fontId="2" fillId="87" borderId="0" pivotButton="0" quotePrefix="0" xfId="0"/>
    <xf numFmtId="0" fontId="2" fillId="87" borderId="0" applyAlignment="1" pivotButton="0" quotePrefix="0" xfId="0">
      <alignment wrapText="1"/>
    </xf>
    <xf numFmtId="0" fontId="0" fillId="88" borderId="0" pivotButton="0" quotePrefix="0" xfId="0"/>
    <xf numFmtId="0" fontId="2" fillId="88" borderId="0" pivotButton="0" quotePrefix="0" xfId="0"/>
    <xf numFmtId="0" fontId="2" fillId="88" borderId="0" applyAlignment="1" pivotButton="0" quotePrefix="0" xfId="0">
      <alignment wrapText="1"/>
    </xf>
    <xf numFmtId="0" fontId="2" fillId="88" borderId="0" applyAlignment="1" pivotButton="0" quotePrefix="0" xfId="0">
      <alignment horizontal="center" wrapText="1"/>
    </xf>
    <xf numFmtId="0" fontId="0" fillId="89" borderId="0" pivotButton="0" quotePrefix="0" xfId="0"/>
    <xf numFmtId="0" fontId="2" fillId="89" borderId="0" pivotButton="0" quotePrefix="0" xfId="0"/>
    <xf numFmtId="0" fontId="2" fillId="89" borderId="0" applyAlignment="1" pivotButton="0" quotePrefix="0" xfId="0">
      <alignment wrapText="1"/>
    </xf>
    <xf numFmtId="0" fontId="0" fillId="90" borderId="0" pivotButton="0" quotePrefix="0" xfId="0"/>
    <xf numFmtId="0" fontId="2" fillId="90" borderId="0" pivotButton="0" quotePrefix="0" xfId="0"/>
    <xf numFmtId="0" fontId="2" fillId="90" borderId="0" applyAlignment="1" pivotButton="0" quotePrefix="0" xfId="0">
      <alignment wrapText="1"/>
    </xf>
    <xf numFmtId="0" fontId="2" fillId="90" borderId="0" applyAlignment="1" pivotButton="0" quotePrefix="0" xfId="0">
      <alignment horizontal="center" wrapText="1"/>
    </xf>
    <xf numFmtId="0" fontId="0" fillId="91" borderId="0" pivotButton="0" quotePrefix="0" xfId="0"/>
    <xf numFmtId="0" fontId="2" fillId="91" borderId="0" pivotButton="0" quotePrefix="0" xfId="0"/>
    <xf numFmtId="0" fontId="2" fillId="91" borderId="0" applyAlignment="1" pivotButton="0" quotePrefix="0" xfId="0">
      <alignment wrapText="1"/>
    </xf>
    <xf numFmtId="0" fontId="0" fillId="92" borderId="0" applyAlignment="1" pivotButton="0" quotePrefix="0" xfId="0">
      <alignment vertical="top" wrapText="1"/>
    </xf>
    <xf numFmtId="0" fontId="2" fillId="92" borderId="0" applyAlignment="1" pivotButton="0" quotePrefix="0" xfId="0">
      <alignment vertical="top" wrapText="1"/>
    </xf>
    <xf numFmtId="0" fontId="2" fillId="92" borderId="0" applyAlignment="1" pivotButton="0" quotePrefix="0" xfId="0">
      <alignment horizontal="center" vertical="top" wrapText="1"/>
    </xf>
    <xf numFmtId="0" fontId="2" fillId="91" borderId="2" applyAlignment="1" pivotButton="0" quotePrefix="0" xfId="0">
      <alignment wrapText="1"/>
    </xf>
    <xf numFmtId="0" fontId="2" fillId="92" borderId="3" applyAlignment="1" pivotButton="0" quotePrefix="0" xfId="0">
      <alignment horizontal="center" vertical="top" wrapText="1"/>
    </xf>
    <xf numFmtId="0" fontId="0" fillId="0" borderId="3" applyAlignment="1" pivotButton="0" quotePrefix="0" xfId="0">
      <alignment vertical="top" wrapText="1"/>
    </xf>
    <xf numFmtId="0" fontId="0" fillId="0" borderId="3" pivotButton="0" quotePrefix="0" xfId="0"/>
    <xf numFmtId="0" fontId="2" fillId="91" borderId="3" applyAlignment="1" pivotButton="0" quotePrefix="0" xfId="0">
      <alignment wrapText="1"/>
    </xf>
    <xf numFmtId="0" fontId="0" fillId="0" borderId="4" pivotButton="0" quotePrefix="0" xfId="0"/>
    <xf numFmtId="0" fontId="0" fillId="93" borderId="0" pivotButton="0" quotePrefix="0" xfId="0"/>
    <xf numFmtId="0" fontId="2" fillId="93" borderId="0" pivotButton="0" quotePrefix="0" xfId="0"/>
    <xf numFmtId="0" fontId="2" fillId="93" borderId="0" applyAlignment="1" pivotButton="0" quotePrefix="0" xfId="0">
      <alignment wrapText="1"/>
    </xf>
    <xf numFmtId="0" fontId="0" fillId="94" borderId="0" applyAlignment="1" pivotButton="0" quotePrefix="0" xfId="0">
      <alignment vertical="top" wrapText="1"/>
    </xf>
    <xf numFmtId="0" fontId="2" fillId="94" borderId="0" applyAlignment="1" pivotButton="0" quotePrefix="0" xfId="0">
      <alignment vertical="top" wrapText="1"/>
    </xf>
    <xf numFmtId="0" fontId="2" fillId="94" borderId="0" applyAlignment="1" pivotButton="0" quotePrefix="0" xfId="0">
      <alignment horizontal="center" vertical="top" wrapText="1"/>
    </xf>
    <xf numFmtId="0" fontId="2" fillId="93" borderId="2" applyAlignment="1" pivotButton="0" quotePrefix="0" xfId="0">
      <alignment wrapText="1"/>
    </xf>
    <xf numFmtId="0" fontId="2" fillId="94" borderId="3" applyAlignment="1" pivotButton="0" quotePrefix="0" xfId="0">
      <alignment horizontal="center" vertical="top" wrapText="1"/>
    </xf>
    <xf numFmtId="0" fontId="2" fillId="93" borderId="3" applyAlignment="1" pivotButton="0" quotePrefix="0" xfId="0">
      <alignment wrapText="1"/>
    </xf>
    <xf numFmtId="0" fontId="0" fillId="95" borderId="0" pivotButton="0" quotePrefix="0" xfId="0"/>
    <xf numFmtId="0" fontId="2" fillId="95" borderId="0" pivotButton="0" quotePrefix="0" xfId="0"/>
    <xf numFmtId="0" fontId="2" fillId="95" borderId="0" applyAlignment="1" pivotButton="0" quotePrefix="0" xfId="0">
      <alignment horizontal="left"/>
    </xf>
    <xf numFmtId="0" fontId="2" fillId="95" borderId="0" applyAlignment="1" pivotButton="0" quotePrefix="0" xfId="0">
      <alignment horizontal="left" vertical="center"/>
    </xf>
    <xf numFmtId="0" fontId="0" fillId="96" borderId="0" pivotButton="0" quotePrefix="0" xfId="0"/>
    <xf numFmtId="0" fontId="9" fillId="96" borderId="0" pivotButton="0" quotePrefix="0" xfId="0"/>
    <xf numFmtId="0" fontId="9" fillId="96" borderId="0" applyAlignment="1" pivotButton="0" quotePrefix="0" xfId="0">
      <alignment wrapText="1"/>
    </xf>
    <xf numFmtId="0" fontId="0" fillId="97" borderId="0" pivotButton="0" quotePrefix="0" xfId="0"/>
    <xf numFmtId="0" fontId="2" fillId="97" borderId="0" pivotButton="0" quotePrefix="0" xfId="0"/>
    <xf numFmtId="0" fontId="2" fillId="97" borderId="0" applyAlignment="1" pivotButton="0" quotePrefix="0" xfId="0">
      <alignment horizontal="center"/>
    </xf>
    <xf numFmtId="0" fontId="2" fillId="97" borderId="0" applyAlignment="1" pivotButton="0" quotePrefix="0" xfId="0">
      <alignment horizontal="center" vertical="center"/>
    </xf>
    <xf numFmtId="0" fontId="10" fillId="0" borderId="0" pivotButton="0" quotePrefix="0" xfId="0"/>
    <xf numFmtId="1" fontId="0" fillId="0" borderId="0" pivotButton="0" quotePrefix="0" xfId="0"/>
    <xf numFmtId="1" fontId="0" fillId="0" borderId="0" applyAlignment="1" pivotButton="0" quotePrefix="0" xfId="0">
      <alignment horizontal="right"/>
    </xf>
    <xf numFmtId="0" fontId="10" fillId="0" borderId="5" pivotButton="0" quotePrefix="0" xfId="0"/>
    <xf numFmtId="1" fontId="0" fillId="0" borderId="5" applyAlignment="1" pivotButton="0" quotePrefix="0" xfId="0">
      <alignment horizontal="right"/>
    </xf>
    <xf numFmtId="0" fontId="10" fillId="0" borderId="6" pivotButton="0" quotePrefix="0" xfId="0"/>
    <xf numFmtId="1" fontId="0" fillId="0" borderId="6" applyAlignment="1" pivotButton="0" quotePrefix="0" xfId="0">
      <alignment horizontal="right"/>
    </xf>
    <xf numFmtId="0" fontId="10" fillId="0" borderId="7" pivotButton="0" quotePrefix="0" xfId="0"/>
    <xf numFmtId="1" fontId="0" fillId="0" borderId="7" applyAlignment="1" pivotButton="0" quotePrefix="0" xfId="0">
      <alignment horizontal="right"/>
    </xf>
    <xf numFmtId="1" fontId="3" fillId="0" borderId="0" applyAlignment="1" pivotButton="0" quotePrefix="0" xfId="0">
      <alignment vertical="top" wrapText="1"/>
    </xf>
    <xf numFmtId="0" fontId="0" fillId="98" borderId="0" pivotButton="0" quotePrefix="0" xfId="0"/>
    <xf numFmtId="0" fontId="2" fillId="98" borderId="0" pivotButton="0" quotePrefix="0" xfId="0"/>
    <xf numFmtId="0" fontId="2" fillId="98" borderId="0" applyAlignment="1" pivotButton="0" quotePrefix="0" xfId="0">
      <alignment vertical="center"/>
    </xf>
    <xf numFmtId="0" fontId="0" fillId="99" borderId="0" pivotButton="0" quotePrefix="0" xfId="0"/>
    <xf numFmtId="0" fontId="11" fillId="99" borderId="0" pivotButton="0" quotePrefix="0" xfId="0"/>
    <xf numFmtId="0" fontId="11" fillId="99" borderId="0" applyAlignment="1" pivotButton="0" quotePrefix="0" xfId="0">
      <alignment wrapText="1"/>
    </xf>
    <xf numFmtId="0" fontId="11" fillId="99" borderId="8" applyAlignment="1" pivotButton="0" quotePrefix="0" xfId="0">
      <alignment wrapText="1"/>
    </xf>
    <xf numFmtId="0" fontId="3" fillId="0" borderId="0" applyAlignment="1" pivotButton="0" quotePrefix="0" xfId="0">
      <alignment vertical="center"/>
    </xf>
    <xf numFmtId="0" fontId="3" fillId="0" borderId="9" applyAlignment="1" pivotButton="0" quotePrefix="0" xfId="0">
      <alignment vertical="center"/>
    </xf>
    <xf numFmtId="0" fontId="2" fillId="98" borderId="0" applyAlignment="1" pivotButton="0" quotePrefix="0" xfId="0">
      <alignment vertical="center" wrapText="1"/>
    </xf>
    <xf numFmtId="0" fontId="3" fillId="0" borderId="9" applyAlignment="1" pivotButton="0" quotePrefix="0" xfId="0">
      <alignment vertical="center" wrapText="1"/>
    </xf>
    <xf numFmtId="0" fontId="2" fillId="100" borderId="0" applyAlignment="1" pivotButton="0" quotePrefix="0" xfId="0">
      <alignment vertical="center" wrapText="1"/>
    </xf>
    <xf numFmtId="0" fontId="0" fillId="100" borderId="0" applyAlignment="1" pivotButton="0" quotePrefix="0" xfId="0">
      <alignment wrapText="1"/>
    </xf>
    <xf numFmtId="0" fontId="0" fillId="100" borderId="0" pivotButton="0" quotePrefix="0" xfId="0"/>
    <xf numFmtId="0" fontId="2" fillId="100" borderId="0" applyAlignment="1" pivotButton="0" quotePrefix="0" xfId="0">
      <alignment wrapText="1"/>
    </xf>
    <xf numFmtId="0" fontId="2" fillId="100" borderId="0" pivotButton="0" quotePrefix="0" xfId="0"/>
    <xf numFmtId="0" fontId="11" fillId="101" borderId="8" applyAlignment="1" pivotButton="0" quotePrefix="0" xfId="0">
      <alignment wrapText="1"/>
    </xf>
    <xf numFmtId="0" fontId="0" fillId="101" borderId="0" applyAlignment="1" pivotButton="0" quotePrefix="0" xfId="0">
      <alignment wrapText="1"/>
    </xf>
    <xf numFmtId="0" fontId="0" fillId="101" borderId="0" pivotButton="0" quotePrefix="0" xfId="0"/>
    <xf numFmtId="0" fontId="2" fillId="101" borderId="0" applyAlignment="1" pivotButton="0" quotePrefix="0" xfId="0">
      <alignment wrapText="1"/>
    </xf>
    <xf numFmtId="0" fontId="2" fillId="101" borderId="0" pivotButton="0" quotePrefix="0" xfId="0"/>
    <xf numFmtId="0" fontId="11" fillId="101" borderId="9" applyAlignment="1" pivotButton="0" quotePrefix="0" xfId="0">
      <alignment wrapText="1"/>
    </xf>
    <xf numFmtId="0" fontId="2" fillId="101" borderId="9" applyAlignment="1" pivotButton="0" quotePrefix="0" xfId="0">
      <alignment wrapText="1"/>
    </xf>
    <xf numFmtId="0" fontId="2" fillId="101" borderId="9" pivotButton="0" quotePrefix="0" xfId="0"/>
    <xf numFmtId="0" fontId="10" fillId="0" borderId="0" applyAlignment="1" pivotButton="0" quotePrefix="0" xfId="0">
      <alignment wrapText="1"/>
    </xf>
    <xf numFmtId="0" fontId="10" fillId="0" borderId="9" applyAlignment="1" pivotButton="0" quotePrefix="0" xfId="0">
      <alignment wrapText="1"/>
    </xf>
    <xf numFmtId="0" fontId="10" fillId="0" borderId="9" pivotButton="0" quotePrefix="0" xfId="0"/>
    <xf numFmtId="0" fontId="0" fillId="102" borderId="0" pivotButton="0" quotePrefix="0" xfId="0"/>
    <xf numFmtId="0" fontId="2" fillId="102" borderId="0" pivotButton="0" quotePrefix="0" xfId="0"/>
    <xf numFmtId="0" fontId="2" fillId="102" borderId="10" pivotButton="0" quotePrefix="0" xfId="0"/>
    <xf numFmtId="0" fontId="2" fillId="102" borderId="11" pivotButton="0" quotePrefix="0" xfId="0"/>
    <xf numFmtId="0" fontId="2" fillId="102" borderId="12" pivotButton="0" quotePrefix="0" xfId="0"/>
    <xf numFmtId="0" fontId="2" fillId="102" borderId="10" applyAlignment="1" pivotButton="0" quotePrefix="0" xfId="0">
      <alignment wrapText="1"/>
    </xf>
    <xf numFmtId="0" fontId="2" fillId="102" borderId="11" applyAlignment="1" pivotButton="0" quotePrefix="0" xfId="0">
      <alignment wrapText="1"/>
    </xf>
    <xf numFmtId="0" fontId="2" fillId="102" borderId="12" applyAlignment="1" pivotButton="0" quotePrefix="0" xfId="0">
      <alignment wrapText="1"/>
    </xf>
    <xf numFmtId="0" fontId="2" fillId="102" borderId="10" applyAlignment="1" pivotButton="0" quotePrefix="0" xfId="0">
      <alignment horizontal="center" wrapText="1"/>
    </xf>
    <xf numFmtId="0" fontId="2" fillId="102" borderId="11" applyAlignment="1" pivotButton="0" quotePrefix="0" xfId="0">
      <alignment horizontal="center" wrapText="1"/>
    </xf>
    <xf numFmtId="0" fontId="2" fillId="102" borderId="12" applyAlignment="1" pivotButton="0" quotePrefix="0" xfId="0">
      <alignment horizontal="center" wrapText="1"/>
    </xf>
    <xf numFmtId="0" fontId="2" fillId="102" borderId="10" applyAlignment="1" pivotButton="0" quotePrefix="0" xfId="0">
      <alignment horizontal="center" vertical="center" wrapText="1"/>
    </xf>
    <xf numFmtId="0" fontId="2" fillId="102" borderId="11" applyAlignment="1" pivotButton="0" quotePrefix="0" xfId="0">
      <alignment horizontal="center" vertical="center" wrapText="1"/>
    </xf>
    <xf numFmtId="0" fontId="2" fillId="102" borderId="12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9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2" fillId="102" borderId="21" pivotButton="0" quotePrefix="0" xfId="0"/>
    <xf numFmtId="0" fontId="2" fillId="102" borderId="21" applyAlignment="1" pivotButton="0" quotePrefix="0" xfId="0">
      <alignment wrapText="1"/>
    </xf>
    <xf numFmtId="0" fontId="2" fillId="102" borderId="21" applyAlignment="1" pivotButton="0" quotePrefix="0" xfId="0">
      <alignment horizontal="center" wrapText="1"/>
    </xf>
    <xf numFmtId="0" fontId="2" fillId="102" borderId="21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3" pivotButton="0" quotePrefix="0" xfId="0"/>
    <xf numFmtId="0" fontId="0" fillId="0" borderId="24" pivotButton="0" quotePrefix="0" xfId="0"/>
    <xf numFmtId="0" fontId="0" fillId="0" borderId="22" applyAlignment="1" pivotButton="0" quotePrefix="0" xfId="0">
      <alignment wrapText="1"/>
    </xf>
    <xf numFmtId="0" fontId="0" fillId="0" borderId="23" applyAlignment="1" pivotButton="0" quotePrefix="0" xfId="0">
      <alignment wrapText="1"/>
    </xf>
    <xf numFmtId="0" fontId="0" fillId="0" borderId="24" applyAlignment="1" pivotButton="0" quotePrefix="0" xfId="0">
      <alignment wrapText="1"/>
    </xf>
    <xf numFmtId="0" fontId="0" fillId="0" borderId="13" applyAlignment="1" pivotButton="0" quotePrefix="0" xfId="0">
      <alignment wrapText="1"/>
    </xf>
    <xf numFmtId="0" fontId="0" fillId="0" borderId="14" applyAlignment="1" pivotButton="0" quotePrefix="0" xfId="0">
      <alignment wrapText="1"/>
    </xf>
    <xf numFmtId="0" fontId="0" fillId="0" borderId="15" applyAlignment="1" pivotButton="0" quotePrefix="0" xfId="0">
      <alignment wrapText="1"/>
    </xf>
    <xf numFmtId="0" fontId="0" fillId="0" borderId="16" applyAlignment="1" pivotButton="0" quotePrefix="0" xfId="0">
      <alignment wrapText="1"/>
    </xf>
    <xf numFmtId="0" fontId="0" fillId="0" borderId="9" applyAlignment="1" pivotButton="0" quotePrefix="0" xfId="0">
      <alignment wrapText="1"/>
    </xf>
    <xf numFmtId="0" fontId="0" fillId="0" borderId="17" applyAlignment="1" pivotButton="0" quotePrefix="0" xfId="0">
      <alignment wrapText="1"/>
    </xf>
    <xf numFmtId="0" fontId="0" fillId="0" borderId="18" applyAlignment="1" pivotButton="0" quotePrefix="0" xfId="0">
      <alignment wrapText="1"/>
    </xf>
    <xf numFmtId="0" fontId="0" fillId="0" borderId="19" applyAlignment="1" pivotButton="0" quotePrefix="0" xfId="0">
      <alignment wrapText="1"/>
    </xf>
    <xf numFmtId="0" fontId="0" fillId="0" borderId="20" applyAlignment="1" pivotButton="0" quotePrefix="0" xfId="0">
      <alignment wrapText="1"/>
    </xf>
    <xf numFmtId="0" fontId="0" fillId="103" borderId="15" pivotButton="0" quotePrefix="0" xfId="0"/>
    <xf numFmtId="0" fontId="0" fillId="103" borderId="17" pivotButton="0" quotePrefix="0" xfId="0"/>
    <xf numFmtId="0" fontId="0" fillId="103" borderId="20" pivotButton="0" quotePrefix="0" xfId="0"/>
    <xf numFmtId="0" fontId="12" fillId="103" borderId="15" pivotButton="0" quotePrefix="0" xfId="0"/>
    <xf numFmtId="0" fontId="12" fillId="103" borderId="17" pivotButton="0" quotePrefix="0" xfId="0"/>
    <xf numFmtId="0" fontId="12" fillId="103" borderId="20" pivotButton="0" quotePrefix="0" xfId="0"/>
    <xf numFmtId="0" fontId="2" fillId="104" borderId="10" applyAlignment="1" pivotButton="0" quotePrefix="0" xfId="0">
      <alignment horizontal="center" vertical="center" wrapText="1"/>
    </xf>
    <xf numFmtId="0" fontId="2" fillId="104" borderId="11" applyAlignment="1" pivotButton="0" quotePrefix="0" xfId="0">
      <alignment horizontal="center" vertical="center" wrapText="1"/>
    </xf>
    <xf numFmtId="0" fontId="2" fillId="104" borderId="12" applyAlignment="1" pivotButton="0" quotePrefix="0" xfId="0">
      <alignment horizontal="center" vertical="center" wrapText="1"/>
    </xf>
    <xf numFmtId="0" fontId="2" fillId="104" borderId="21" applyAlignment="1" pivotButton="0" quotePrefix="0" xfId="0">
      <alignment horizontal="center" vertical="center" wrapText="1"/>
    </xf>
    <xf numFmtId="0" fontId="12" fillId="103" borderId="14" pivotButton="0" quotePrefix="0" xfId="0"/>
    <xf numFmtId="0" fontId="12" fillId="103" borderId="9" pivotButton="0" quotePrefix="0" xfId="0"/>
    <xf numFmtId="0" fontId="12" fillId="105" borderId="14" pivotButton="0" quotePrefix="0" xfId="0"/>
    <xf numFmtId="0" fontId="12" fillId="105" borderId="9" pivotButton="0" quotePrefix="0" xfId="0"/>
    <xf numFmtId="0" fontId="0" fillId="0" borderId="0" pivotButton="0" quotePrefix="0" xfId="0"/>
    <xf numFmtId="0" fontId="0" fillId="106" borderId="0" pivotButton="0" quotePrefix="0" xfId="0"/>
    <xf numFmtId="0" fontId="2" fillId="106" borderId="0" pivotButton="0" quotePrefix="0" xfId="0"/>
    <xf numFmtId="0" fontId="2" fillId="106" borderId="17" pivotButton="0" quotePrefix="0" xfId="0"/>
    <xf numFmtId="0" fontId="2" fillId="106" borderId="3" pivotButton="0" quotePrefix="0" xfId="0"/>
    <xf numFmtId="0" fontId="2" fillId="106" borderId="16" pivotButton="0" quotePrefix="0" xfId="0"/>
    <xf numFmtId="0" fontId="2" fillId="106" borderId="17" applyAlignment="1" pivotButton="0" quotePrefix="0" xfId="0">
      <alignment wrapText="1"/>
    </xf>
    <xf numFmtId="0" fontId="2" fillId="106" borderId="3" applyAlignment="1" pivotButton="0" quotePrefix="0" xfId="0">
      <alignment wrapText="1"/>
    </xf>
    <xf numFmtId="0" fontId="2" fillId="106" borderId="16" applyAlignment="1" pivotButton="0" quotePrefix="0" xfId="0">
      <alignment wrapText="1"/>
    </xf>
    <xf numFmtId="0" fontId="2" fillId="106" borderId="17" applyAlignment="1" pivotButton="0" quotePrefix="0" xfId="0">
      <alignment horizontal="center" wrapText="1"/>
    </xf>
    <xf numFmtId="0" fontId="2" fillId="106" borderId="3" applyAlignment="1" pivotButton="0" quotePrefix="0" xfId="0">
      <alignment horizontal="center" wrapText="1"/>
    </xf>
    <xf numFmtId="0" fontId="2" fillId="106" borderId="16" applyAlignment="1" pivotButton="0" quotePrefix="0" xfId="0">
      <alignment horizontal="center" wrapText="1"/>
    </xf>
    <xf numFmtId="0" fontId="2" fillId="106" borderId="17" applyAlignment="1" pivotButton="0" quotePrefix="0" xfId="0">
      <alignment horizontal="center" vertical="center" wrapText="1"/>
    </xf>
    <xf numFmtId="0" fontId="2" fillId="106" borderId="3" applyAlignment="1" pivotButton="0" quotePrefix="0" xfId="0">
      <alignment horizontal="center" vertical="center" wrapText="1"/>
    </xf>
    <xf numFmtId="0" fontId="2" fillId="106" borderId="16" applyAlignment="1" pivotButton="0" quotePrefix="0" xfId="0">
      <alignment horizontal="center" vertical="center" wrapText="1"/>
    </xf>
    <xf numFmtId="0" fontId="0" fillId="0" borderId="0" pivotButton="0" quotePrefix="0" xfId="0"/>
    <xf numFmtId="0" fontId="0" fillId="0" borderId="2" pivotButton="0" quotePrefix="0" xfId="0"/>
    <xf numFmtId="0" fontId="0" fillId="0" borderId="4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0" fillId="0" borderId="2" applyAlignment="1" pivotButton="0" quotePrefix="0" xfId="0">
      <alignment wrapText="1"/>
    </xf>
    <xf numFmtId="0" fontId="2" fillId="106" borderId="17" applyAlignment="1" pivotButton="0" quotePrefix="0" xfId="0">
      <alignment horizontal="center" vertical="top" wrapText="1"/>
    </xf>
    <xf numFmtId="0" fontId="2" fillId="106" borderId="3" applyAlignment="1" pivotButton="0" quotePrefix="0" xfId="0">
      <alignment horizontal="center" vertical="top" wrapText="1"/>
    </xf>
    <xf numFmtId="0" fontId="2" fillId="106" borderId="16" applyAlignment="1" pivotButton="0" quotePrefix="0" xfId="0">
      <alignment horizontal="center" vertical="top" wrapText="1"/>
    </xf>
    <xf numFmtId="0" fontId="0" fillId="0" borderId="2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0" fillId="0" borderId="18" applyAlignment="1" pivotButton="0" quotePrefix="0" xfId="0">
      <alignment vertical="top" wrapText="1"/>
    </xf>
    <xf numFmtId="0" fontId="0" fillId="0" borderId="24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22" applyAlignment="1" pivotButton="0" quotePrefix="0" xfId="0">
      <alignment vertical="top" wrapText="1"/>
    </xf>
    <xf numFmtId="0" fontId="0" fillId="0" borderId="15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0" fontId="0" fillId="0" borderId="13" applyAlignment="1" pivotButton="0" quotePrefix="0" xfId="0">
      <alignment vertical="top" wrapText="1"/>
    </xf>
    <xf numFmtId="1" fontId="3" fillId="0" borderId="0" applyAlignment="1" pivotButton="0" quotePrefix="0" xfId="0">
      <alignment vertical="top" wrapText="1"/>
    </xf>
    <xf numFmtId="1" fontId="0" fillId="0" borderId="0" pivotButton="0" quotePrefix="0" xfId="0"/>
    <xf numFmtId="1" fontId="0" fillId="0" borderId="5" applyAlignment="1" pivotButton="0" quotePrefix="0" xfId="0">
      <alignment horizontal="right"/>
    </xf>
    <xf numFmtId="1" fontId="0" fillId="0" borderId="6" applyAlignment="1" pivotButton="0" quotePrefix="0" xfId="0">
      <alignment horizontal="right"/>
    </xf>
    <xf numFmtId="1" fontId="0" fillId="0" borderId="7" applyAlignment="1" pivotButton="0" quotePrefix="0" xfId="0">
      <alignment horizontal="right"/>
    </xf>
    <xf numFmtId="0" fontId="13" fillId="107" borderId="25" applyAlignment="1" pivotButton="0" quotePrefix="0" xfId="0">
      <alignment horizontal="center" vertical="center" wrapText="1"/>
    </xf>
    <xf numFmtId="0" fontId="0" fillId="108" borderId="25" applyAlignment="1" pivotButton="0" quotePrefix="0" xfId="0">
      <alignment vertical="top" wrapText="1"/>
    </xf>
    <xf numFmtId="0" fontId="0" fillId="0" borderId="25" applyAlignment="1" pivotButton="0" quotePrefix="0" xfId="0">
      <alignment vertical="top" wrapText="1"/>
    </xf>
    <xf numFmtId="0" fontId="13" fillId="109" borderId="26" applyAlignment="1" pivotButton="0" quotePrefix="0" xfId="0">
      <alignment horizontal="center" vertical="center"/>
    </xf>
    <xf numFmtId="0" fontId="0" fillId="110" borderId="0" applyAlignment="1" pivotButton="0" quotePrefix="0" xfId="0">
      <alignment vertical="top" wrapText="1"/>
    </xf>
    <xf numFmtId="0" fontId="2" fillId="106" borderId="0" applyAlignment="1" pivotButton="0" quotePrefix="0" xfId="0">
      <alignment horizontal="center" vertical="center" wrapText="1"/>
    </xf>
  </cellXfs>
  <cellStyles count="1">
    <cellStyle name="Normal" xfId="0"/>
  </cellStyles>
  <dxfs count="14"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styles" Target="styles.xml" Id="rId42"/><Relationship Type="http://schemas.openxmlformats.org/officeDocument/2006/relationships/theme" Target="theme/theme1.xml" Id="rId43"/></Relationships>
</file>

<file path=xl/tables/table1.xml><?xml version="1.0" encoding="utf-8"?>
<table xmlns="http://schemas.openxmlformats.org/spreadsheetml/2006/main" id="1" name="T_PETS" displayName="T_PETS" ref="A1:T370" headerRowCount="1" totalsRowCount="0" totalsRowShown="0">
  <tableColumns count="20">
    <tableColumn id="1" name="pet_id"/>
    <tableColumn id="2" name="name"/>
    <tableColumn id="3" name="element"/>
    <tableColumn id="4" name="tier"/>
    <tableColumn id="5" name="role"/>
    <tableColumn id="6" name="body_size"/>
    <tableColumn id="7" name="source_object_id"/>
    <tableColumn id="8" name="shop_store_ids"/>
    <tableColumn id="9" name="shop_count"/>
    <tableColumn id="10" name="hp"/>
    <tableColumn id="11" name="atk"/>
    <tableColumn id="12" name="shield"/>
    <tableColumn id="13" name="action"/>
    <tableColumn id="14" name="attack_grid_count"/>
    <tableColumn id="15" name="mechanism_id"/>
    <tableColumn id="16" name="shape_id"/>
    <tableColumn id="17" name="primary_enchant"/>
    <tableColumn id="18" name="note"/>
    <tableColumn id="19" name="enemy_move_range"/>
    <tableColumn id="20" name="enemy_attack_coun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_SHOP_STORES" displayName="T_SHOP_STORES" ref="A1:M31" headerRowCount="1" totalsRowCount="0" totalsRowShown="0">
  <tableColumns count="13">
    <tableColumn id="1" name="shop_store_id"/>
    <tableColumn id="2" name="name"/>
    <tableColumn id="3" name="store_type"/>
    <tableColumn id="4" name="tags"/>
    <tableColumn id="5" name="default_slots"/>
    <tableColumn id="6" name="unlock_day"/>
    <tableColumn id="7" name="stall_count"/>
    <tableColumn id="8" name="day1_stalls"/>
    <tableColumn id="9" name="day2_stalls"/>
    <tableColumn id="10" name="day3_stalls"/>
    <tableColumn id="11" name="price_rule"/>
    <tableColumn id="12" name="status"/>
    <tableColumn id="13" name="not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_SHOP_ITEMS" displayName="T_SHOP_ITEMS" ref="A1:F370" headerRowCount="1" totalsRowCount="0" totalsRowShown="0">
  <tableColumns count="6">
    <tableColumn id="1" name="pet_id"/>
    <tableColumn id="2" name="unlock_day"/>
    <tableColumn id="3" name="tier_pool"/>
    <tableColumn id="4" name="shop_weight"/>
    <tableColumn id="5" name="reward_weight"/>
    <tableColumn id="6" name="not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_BAZAAR_OBJECTS" displayName="T_BAZAAR_OBJECTS" ref="A1:S370" headerRowCount="1" totalsRowCount="0" totalsRowShown="0">
  <tableColumns count="19">
    <tableColumn id="1" name="object_id"/>
    <tableColumn id="2" name="object_no"/>
    <tableColumn id="3" name="source_type"/>
    <tableColumn id="4" name="source_status"/>
    <tableColumn id="5" name="source_slug"/>
    <tableColumn id="6" name="source_name"/>
    <tableColumn id="7" name="source_tier"/>
    <tableColumn id="8" name="source_size"/>
    <tableColumn id="9" name="source_tags"/>
    <tableColumn id="10" name="source_relation_count"/>
    <tableColumn id="11" name="source_stall_ids"/>
    <tableColumn id="12" name="local_shop_count"/>
    <tableColumn id="13" name="local_shop_ids"/>
    <tableColumn id="14" name="primary_enchant"/>
    <tableColumn id="15" name="pet_id"/>
    <tableColumn id="16" name="pet_name"/>
    <tableColumn id="17" name="source_url"/>
    <tableColumn id="18" name="source_effect"/>
    <tableColumn id="19" name="design_not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_SHOP_MAPPING" displayName="T_SHOP_MAPPING" ref="A1:P57" headerRowCount="1" totalsRowCount="0" totalsRowShown="0">
  <tableColumns count="16">
    <tableColumn id="1" name="source_node_type"/>
    <tableColumn id="2" name="source_slug"/>
    <tableColumn id="3" name="source_name"/>
    <tableColumn id="4" name="source_rule"/>
    <tableColumn id="5" name="source_object_count"/>
    <tableColumn id="6" name="stall_id"/>
    <tableColumn id="7" name="unlock_day"/>
    <tableColumn id="8" name="close_day"/>
    <tableColumn id="9" name="day1_status"/>
    <tableColumn id="10" name="day2_status"/>
    <tableColumn id="11" name="day3_status"/>
    <tableColumn id="12" name="offer_slots"/>
    <tableColumn id="13" name="free_rerolls"/>
    <tableColumn id="14" name="local_shop_id"/>
    <tableColumn id="15" name="local_shop_name"/>
    <tableColumn id="16" name="mapping_rul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_ENCHANTMENTS" displayName="T_ENCHANTMENTS" ref="A1:H14" headerRowCount="1" totalsRowCount="0" totalsRowShown="0">
  <tableColumns count="8">
    <tableColumn id="1" name="enchant_id"/>
    <tableColumn id="2" name="name_zh"/>
    <tableColumn id="3" name="class"/>
    <tableColumn id="4" name="bronze_effect"/>
    <tableColumn id="5" name="silver_effect"/>
    <tableColumn id="6" name="gold_effect"/>
    <tableColumn id="7" name="diamond_effect"/>
    <tableColumn id="8" name="recommended_f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_PET_ENCHANTMENTS" displayName="T_PET_ENCHANTMENTS" ref="A1:G370" headerRowCount="1" totalsRowCount="0" totalsRowShown="0">
  <tableColumns count="7">
    <tableColumn id="1" name="pet_id"/>
    <tableColumn id="2" name="pet_name"/>
    <tableColumn id="3" name="source_object_id"/>
    <tableColumn id="4" name="primary_enchant"/>
    <tableColumn id="5" name="eligible_enchant_count"/>
    <tableColumn id="6" name="eligible_enchants"/>
    <tableColumn id="7" name="classification_reas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PetStatRulesTable" displayName="PetStatRulesTable" ref="A4:G88" headerRowCount="1" totalsRowCount="0" totalsRowShown="0">
  <tableColumns count="7">
    <tableColumn id="1" name="rule_key"/>
    <tableColumn id="2" name="设计维度"/>
    <tableColumn id="3" name="hp"/>
    <tableColumn id="4" name="atk"/>
    <tableColumn id="5" name="def"/>
    <tableColumn id="6" name="shield"/>
    <tableColumn id="7" name="ac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0"/>
  <sheetViews>
    <sheetView showGridLines="0" workbookViewId="0">
      <selection activeCell="A1" sqref="A1"/>
    </sheetView>
  </sheetViews>
  <sheetFormatPr baseColWidth="8" defaultRowHeight="15"/>
  <cols>
    <col width="24" customWidth="1" style="439" min="1" max="1"/>
    <col width="36" customWidth="1" style="439" min="2" max="2"/>
    <col width="24" customWidth="1" style="439" min="3" max="3"/>
    <col width="20" customWidth="1" style="439" min="4" max="4"/>
    <col width="24" customWidth="1" style="439" min="5" max="5"/>
    <col width="24" customWidth="1" style="439" min="6" max="6"/>
    <col width="24" customWidth="1" style="439" min="7" max="7"/>
    <col width="42" customWidth="1" style="439" min="8" max="8"/>
  </cols>
  <sheetData>
    <row r="1" ht="42" customHeight="1" s="439">
      <c r="A1" s="252" t="inlineStr">
        <is>
          <t>西游宠物 369｜Vanessa 对象映射总表</t>
        </is>
      </c>
    </row>
    <row r="2" ht="28" customHeight="1" s="439">
      <c r="A2" s="253" t="inlineStr">
        <is>
          <t>369 = 138 普通物品宠 + 93 商人包宠 + 138 技能宠；前 30 个西游地点按来源摊位独立抽取，不再人工补足 8 店。</t>
        </is>
      </c>
    </row>
    <row r="3">
      <c r="A3" s="442" t="n"/>
      <c r="B3" s="442" t="n"/>
      <c r="C3" s="442" t="n"/>
      <c r="D3" s="442" t="n"/>
      <c r="E3" s="442" t="n"/>
      <c r="F3" s="442" t="n"/>
      <c r="G3" s="442" t="n"/>
      <c r="H3" s="442" t="n"/>
    </row>
    <row r="4">
      <c r="A4" s="238" t="inlineStr">
        <is>
          <t>指标</t>
        </is>
      </c>
      <c r="B4" s="238" t="inlineStr">
        <is>
          <t>结果</t>
        </is>
      </c>
      <c r="C4" s="442" t="n"/>
      <c r="D4" s="238" t="inlineStr">
        <is>
          <t>设计口径</t>
        </is>
      </c>
    </row>
    <row r="5">
      <c r="A5" s="254" t="inlineStr">
        <is>
          <t>宠物总数</t>
        </is>
      </c>
      <c r="B5" s="442" t="n">
        <v>369</v>
      </c>
      <c r="C5" s="442" t="n"/>
      <c r="D5" s="255" t="inlineStr">
        <is>
          <t>分类</t>
        </is>
      </c>
      <c r="E5" s="255" t="inlineStr">
        <is>
          <t>表内落点</t>
        </is>
      </c>
      <c r="F5" s="255" t="inlineStr">
        <is>
          <t>规则</t>
        </is>
      </c>
      <c r="G5" s="255" t="inlineStr">
        <is>
          <t>运行边界</t>
        </is>
      </c>
      <c r="H5" s="255" t="inlineStr">
        <is>
          <t>备注</t>
        </is>
      </c>
    </row>
    <row r="6">
      <c r="A6" s="254" t="inlineStr">
        <is>
          <t>普通物品宠</t>
        </is>
      </c>
      <c r="B6" s="442" t="n">
        <v>138</v>
      </c>
      <c r="C6" s="442" t="n"/>
      <c r="D6" s="442" t="inlineStr">
        <is>
          <t>对象</t>
        </is>
      </c>
      <c r="E6" s="442" t="inlineStr">
        <is>
          <t>BAZAAR_OBJECTS</t>
        </is>
      </c>
      <c r="F6" s="442" t="inlineStr">
        <is>
          <t>物品和技能均一对一成为宠物</t>
        </is>
      </c>
      <c r="G6" s="442" t="inlineStr">
        <is>
          <t>369 个 pet_id</t>
        </is>
      </c>
      <c r="H6" s="442" t="inlineStr">
        <is>
          <t>技能不再是表外技能</t>
        </is>
      </c>
    </row>
    <row r="7">
      <c r="A7" s="254" t="inlineStr">
        <is>
          <t>商人包宠</t>
        </is>
      </c>
      <c r="B7" s="442" t="n">
        <v>93</v>
      </c>
      <c r="C7" s="442" t="n"/>
      <c r="D7" s="442" t="inlineStr">
        <is>
          <t>商人包</t>
        </is>
      </c>
      <c r="E7" s="442" t="inlineStr">
        <is>
          <t>BAZAAR_OBJECTS</t>
        </is>
      </c>
      <c r="F7" s="442" t="inlineStr">
        <is>
          <t>93 张卡按 card_id / 品质 / 占格独立成宠</t>
        </is>
      </c>
      <c r="G7" s="442" t="inlineStr">
        <is>
          <t>32 个商人组</t>
        </is>
      </c>
      <c r="H7" s="442" t="inlineStr">
        <is>
          <t>不再使用 donor 画像</t>
        </is>
      </c>
    </row>
    <row r="8">
      <c r="A8" s="254" t="inlineStr">
        <is>
          <t>技能宠</t>
        </is>
      </c>
      <c r="B8" s="442" t="n">
        <v>138</v>
      </c>
      <c r="C8" s="442" t="n"/>
      <c r="D8" s="442" t="inlineStr">
        <is>
          <t>品质</t>
        </is>
      </c>
      <c r="E8" s="442" t="inlineStr">
        <is>
          <t>PETS.tier</t>
        </is>
      </c>
      <c r="F8" s="442" t="inlineStr">
        <is>
          <t>青铜/白银/黄金/钻石同档映射</t>
        </is>
      </c>
      <c r="G8" s="442" t="inlineStr">
        <is>
          <t>成长仍走品质表</t>
        </is>
      </c>
      <c r="H8" s="442" t="inlineStr">
        <is>
          <t>来源起始品质</t>
        </is>
      </c>
    </row>
    <row r="9">
      <c r="A9" s="254" t="inlineStr">
        <is>
          <t>正式西游地点</t>
        </is>
      </c>
      <c r="B9" s="442" t="n">
        <v>30</v>
      </c>
      <c r="C9" s="442" t="n"/>
      <c r="D9" s="442" t="inlineStr">
        <is>
          <t>占格</t>
        </is>
      </c>
      <c r="E9" s="442" t="inlineStr">
        <is>
          <t>PETS.body_size</t>
        </is>
      </c>
      <c r="F9" s="442" t="inlineStr">
        <is>
          <t>Small/Medium/Large → 一/两/三格</t>
        </is>
      </c>
      <c r="G9" s="442" t="inlineStr">
        <is>
          <t>战斗体型</t>
        </is>
      </c>
      <c r="H9" s="442" t="inlineStr">
        <is>
          <t>技能按来源 Medium=两格</t>
        </is>
      </c>
    </row>
    <row r="10">
      <c r="A10" s="254" t="inlineStr">
        <is>
          <t>来源独立摊位</t>
        </is>
      </c>
      <c r="B10" s="442" t="n">
        <v>56</v>
      </c>
      <c r="C10" s="442" t="n"/>
      <c r="D10" s="442" t="inlineStr">
        <is>
          <t>攻击格</t>
        </is>
      </c>
      <c r="E10" s="442" t="inlineStr">
        <is>
          <t>attack_grid_count + shape_id</t>
        </is>
      </c>
      <c r="F10" s="442" t="inlineStr">
        <is>
          <t>语义推导 1/2/3 格，再落到 19 形状</t>
        </is>
      </c>
      <c r="G10" s="442" t="inlineStr">
        <is>
          <t>正式攻击形状</t>
        </is>
      </c>
      <c r="H10" s="442" t="inlineStr">
        <is>
          <t>所有形状仍结算 3 次</t>
        </is>
      </c>
    </row>
    <row r="11">
      <c r="A11" s="254" t="inlineStr">
        <is>
          <t>第1天开放摊位</t>
        </is>
      </c>
      <c r="B11" s="442" t="n">
        <v>9</v>
      </c>
      <c r="C11" s="442" t="n"/>
      <c r="D11" s="442" t="inlineStr">
        <is>
          <t>商店</t>
        </is>
      </c>
      <c r="E11" s="442" t="inlineStr">
        <is>
          <t>SHOP_MAPPING + shop_store_ids</t>
        </is>
      </c>
      <c r="F11" s="442" t="inlineStr">
        <is>
          <t>只保留来源关系并压缩到30地点</t>
        </is>
      </c>
      <c r="G11" s="442" t="inlineStr">
        <is>
          <t>摊位独立抽取</t>
        </is>
      </c>
      <c r="H11" s="442" t="inlineStr">
        <is>
          <t>删除每宠至少8店</t>
        </is>
      </c>
    </row>
    <row r="12">
      <c r="A12" s="254" t="inlineStr">
        <is>
          <t>第2天开放摊位</t>
        </is>
      </c>
      <c r="B12" s="442" t="n">
        <v>10</v>
      </c>
      <c r="C12" s="442" t="n"/>
      <c r="D12" s="442" t="inlineStr">
        <is>
          <t>前三天</t>
        </is>
      </c>
      <c r="E12" s="442" t="inlineStr">
        <is>
          <t>SHOP_MAPPING</t>
        </is>
      </c>
      <c r="F12" s="442" t="inlineStr">
        <is>
          <t>Day1=9摊；Day2/3=10摊</t>
        </is>
      </c>
      <c r="G12" s="442" t="inlineStr">
        <is>
          <t>普通3格/1刷；Curio 10格/1刷</t>
        </is>
      </c>
      <c r="H12" s="442" t="inlineStr">
        <is>
          <t>Kina Day1后离场，Mittel/Quixel Day2进入</t>
        </is>
      </c>
    </row>
    <row r="13">
      <c r="A13" s="254" t="inlineStr">
        <is>
          <t>第3天开放摊位</t>
        </is>
      </c>
      <c r="B13" s="442" t="n">
        <v>10</v>
      </c>
      <c r="C13" s="442" t="n"/>
      <c r="D13" s="442" t="inlineStr">
        <is>
          <t>附魔</t>
        </is>
      </c>
      <c r="E13" s="442" t="inlineStr">
        <is>
          <t>ENCHANTMENTS</t>
        </is>
      </c>
      <c r="F13" s="442" t="inlineStr">
        <is>
          <t>13 类、四品质效果</t>
        </is>
      </c>
      <c r="G13" s="442" t="inlineStr">
        <is>
          <t>当前为策划合同</t>
        </is>
      </c>
      <c r="H13" s="442" t="inlineStr">
        <is>
          <t>主附魔用于宠物分类</t>
        </is>
      </c>
    </row>
    <row r="14">
      <c r="A14" s="254" t="inlineStr">
        <is>
          <t>每宠最少来源地点</t>
        </is>
      </c>
      <c r="B14" s="442" t="n">
        <v>1</v>
      </c>
      <c r="C14" s="442" t="n"/>
      <c r="D14" s="442" t="inlineStr">
        <is>
          <t>宠物附魔</t>
        </is>
      </c>
      <c r="E14" s="442" t="inlineStr">
        <is>
          <t>PET_ENCHANTMENTS</t>
        </is>
      </c>
      <c r="F14" s="442" t="inlineStr">
        <is>
          <t>每宠选1个主附魔，13类均可成长</t>
        </is>
      </c>
      <c r="G14" s="442" t="inlineStr">
        <is>
          <t>后续 runtime 接线</t>
        </is>
      </c>
      <c r="H14" s="442" t="inlineStr">
        <is>
          <t>本轮先完成表格设计</t>
        </is>
      </c>
    </row>
    <row r="15">
      <c r="A15" s="254" t="inlineStr">
        <is>
          <t>每宠最多来源地点</t>
        </is>
      </c>
      <c r="B15" s="442" t="n">
        <v>10</v>
      </c>
      <c r="C15" s="442" t="n"/>
      <c r="D15" s="442" t="n"/>
      <c r="E15" s="442" t="n"/>
      <c r="F15" s="442" t="n"/>
      <c r="G15" s="442" t="n"/>
      <c r="H15" s="442" t="n"/>
    </row>
    <row r="16">
      <c r="A16" s="254" t="inlineStr">
        <is>
          <t>附魔类型</t>
        </is>
      </c>
      <c r="B16" s="442" t="n">
        <v>13</v>
      </c>
      <c r="C16" s="442" t="n"/>
      <c r="D16" s="442" t="n"/>
      <c r="E16" s="442" t="n"/>
      <c r="F16" s="442" t="n"/>
      <c r="G16" s="442" t="n"/>
      <c r="H16" s="442" t="n"/>
    </row>
    <row r="17">
      <c r="A17" s="254" t="inlineStr">
        <is>
          <t>攻击格分类</t>
        </is>
      </c>
      <c r="B17" s="442" t="inlineStr">
        <is>
          <t>1格 / 2格 / 3格</t>
        </is>
      </c>
      <c r="C17" s="442" t="n"/>
      <c r="D17" s="442" t="n"/>
      <c r="E17" s="442" t="n"/>
      <c r="F17" s="442" t="n"/>
      <c r="G17" s="442" t="n"/>
      <c r="H17" s="442" t="n"/>
    </row>
    <row r="18">
      <c r="A18" s="442" t="n"/>
      <c r="B18" s="442" t="n"/>
      <c r="C18" s="442" t="n"/>
      <c r="D18" s="442" t="n"/>
      <c r="E18" s="442" t="n"/>
      <c r="F18" s="442" t="n"/>
      <c r="G18" s="442" t="n"/>
      <c r="H18" s="442" t="n"/>
    </row>
    <row r="19">
      <c r="A19" s="256" t="inlineStr">
        <is>
          <t>导出链</t>
        </is>
      </c>
    </row>
    <row r="20">
      <c r="A20" s="255" t="inlineStr">
        <is>
          <t>步骤</t>
        </is>
      </c>
      <c r="B20" s="255" t="inlineStr">
        <is>
          <t>命令 / 产物</t>
        </is>
      </c>
      <c r="C20" s="255" t="str"/>
      <c r="D20" s="255" t="str"/>
      <c r="E20" s="255" t="str"/>
      <c r="F20" s="255" t="str"/>
      <c r="G20" s="255" t="str"/>
      <c r="H20" s="255" t="str"/>
    </row>
    <row r="21">
      <c r="A21" s="442" t="inlineStr">
        <is>
          <t>1</t>
        </is>
      </c>
      <c r="B21" s="442" t="inlineStr">
        <is>
          <t>本文件为人类策划真相源</t>
        </is>
      </c>
      <c r="C21" s="442" t="str"/>
      <c r="D21" s="442" t="str"/>
      <c r="E21" s="442" t="str"/>
      <c r="F21" s="442" t="str"/>
      <c r="G21" s="442" t="str"/>
      <c r="H21" s="442" t="str"/>
    </row>
    <row r="22">
      <c r="A22" s="442" t="inlineStr">
        <is>
          <t>2</t>
        </is>
      </c>
      <c r="B22" s="442" t="inlineStr">
        <is>
          <t>npm run data:export → data/csv/*.csv</t>
        </is>
      </c>
      <c r="C22" s="442" t="str"/>
      <c r="D22" s="442" t="str"/>
      <c r="E22" s="442" t="str"/>
      <c r="F22" s="442" t="str"/>
      <c r="G22" s="442" t="str"/>
      <c r="H22" s="442" t="str"/>
    </row>
    <row r="23">
      <c r="A23" s="442" t="inlineStr">
        <is>
          <t>3</t>
        </is>
      </c>
      <c r="B23" s="442" t="inlineStr">
        <is>
          <t>python3 tools/export_ysbzs_singleplayer_data.py → Godot JSON</t>
        </is>
      </c>
      <c r="C23" s="442" t="str"/>
      <c r="D23" s="442" t="str"/>
      <c r="E23" s="442" t="str"/>
      <c r="F23" s="442" t="str"/>
      <c r="G23" s="442" t="str"/>
      <c r="H23" s="442" t="str"/>
    </row>
    <row r="24">
      <c r="A24" s="442" t="n"/>
      <c r="B24" s="442" t="n"/>
      <c r="C24" s="442" t="n"/>
      <c r="D24" s="442" t="n"/>
      <c r="E24" s="442" t="n"/>
      <c r="F24" s="442" t="n"/>
      <c r="G24" s="442" t="n"/>
      <c r="H24" s="442" t="n"/>
    </row>
    <row r="25">
      <c r="A25" s="442" t="n"/>
      <c r="B25" s="442" t="n"/>
      <c r="C25" s="442" t="n"/>
      <c r="D25" s="442" t="n"/>
      <c r="E25" s="442" t="n"/>
      <c r="F25" s="442" t="n"/>
      <c r="G25" s="442" t="n"/>
      <c r="H25" s="442" t="n"/>
    </row>
    <row r="26">
      <c r="A26" s="442" t="n"/>
      <c r="B26" s="442" t="n"/>
      <c r="C26" s="442" t="n"/>
      <c r="D26" s="442" t="n"/>
      <c r="E26" s="442" t="n"/>
      <c r="F26" s="442" t="n"/>
      <c r="G26" s="442" t="n"/>
      <c r="H26" s="442" t="n"/>
    </row>
    <row r="27">
      <c r="A27" s="442" t="n"/>
      <c r="B27" s="442" t="n"/>
      <c r="C27" s="442" t="n"/>
      <c r="D27" s="442" t="n"/>
      <c r="E27" s="442" t="n"/>
      <c r="F27" s="442" t="n"/>
      <c r="G27" s="442" t="n"/>
      <c r="H27" s="442" t="n"/>
    </row>
    <row r="28">
      <c r="A28" s="442" t="n"/>
      <c r="B28" s="442" t="n"/>
      <c r="C28" s="442" t="n"/>
      <c r="D28" s="442" t="n"/>
      <c r="E28" s="442" t="n"/>
      <c r="F28" s="442" t="n"/>
      <c r="G28" s="442" t="n"/>
      <c r="H28" s="442" t="n"/>
    </row>
    <row r="29">
      <c r="A29" s="442" t="n"/>
      <c r="B29" s="442" t="n"/>
      <c r="C29" s="442" t="n"/>
      <c r="D29" s="442" t="n"/>
      <c r="E29" s="442" t="n"/>
      <c r="F29" s="442" t="n"/>
      <c r="G29" s="442" t="n"/>
      <c r="H29" s="442" t="n"/>
    </row>
    <row r="30">
      <c r="A30" s="442" t="n"/>
      <c r="B30" s="442" t="n"/>
      <c r="C30" s="442" t="n"/>
      <c r="D30" s="442" t="n"/>
      <c r="E30" s="442" t="n"/>
      <c r="F30" s="442" t="n"/>
      <c r="G30" s="442" t="n"/>
      <c r="H30" s="442" t="n"/>
    </row>
    <row r="31">
      <c r="A31" s="442" t="n"/>
      <c r="B31" s="442" t="n"/>
      <c r="C31" s="442" t="n"/>
      <c r="D31" s="442" t="n"/>
      <c r="E31" s="442" t="n"/>
      <c r="F31" s="442" t="n"/>
      <c r="G31" s="442" t="n"/>
      <c r="H31" s="442" t="n"/>
    </row>
    <row r="32">
      <c r="A32" s="442" t="n"/>
      <c r="B32" s="442" t="n"/>
      <c r="C32" s="442" t="n"/>
      <c r="D32" s="442" t="n"/>
      <c r="E32" s="442" t="n"/>
      <c r="F32" s="442" t="n"/>
      <c r="G32" s="442" t="n"/>
      <c r="H32" s="442" t="n"/>
    </row>
    <row r="33">
      <c r="A33" s="442" t="n"/>
      <c r="B33" s="442" t="n"/>
      <c r="C33" s="442" t="n"/>
      <c r="D33" s="442" t="n"/>
      <c r="E33" s="442" t="n"/>
      <c r="F33" s="442" t="n"/>
      <c r="G33" s="442" t="n"/>
      <c r="H33" s="442" t="n"/>
    </row>
    <row r="34">
      <c r="A34" s="442" t="n"/>
      <c r="B34" s="442" t="n"/>
      <c r="C34" s="442" t="n"/>
      <c r="D34" s="442" t="n"/>
      <c r="E34" s="442" t="n"/>
      <c r="F34" s="442" t="n"/>
      <c r="G34" s="442" t="n"/>
      <c r="H34" s="442" t="n"/>
    </row>
    <row r="35">
      <c r="A35" s="442" t="n"/>
      <c r="B35" s="442" t="n"/>
      <c r="C35" s="442" t="n"/>
      <c r="D35" s="442" t="n"/>
      <c r="E35" s="442" t="n"/>
      <c r="F35" s="442" t="n"/>
      <c r="G35" s="442" t="n"/>
      <c r="H35" s="442" t="n"/>
    </row>
    <row r="36">
      <c r="A36" s="442" t="n"/>
      <c r="B36" s="442" t="n"/>
      <c r="C36" s="442" t="n"/>
      <c r="D36" s="442" t="n"/>
      <c r="E36" s="442" t="n"/>
      <c r="F36" s="442" t="n"/>
      <c r="G36" s="442" t="n"/>
      <c r="H36" s="442" t="n"/>
    </row>
    <row r="37">
      <c r="A37" s="442" t="n"/>
      <c r="B37" s="442" t="n"/>
      <c r="C37" s="442" t="n"/>
      <c r="D37" s="442" t="n"/>
      <c r="E37" s="442" t="n"/>
      <c r="F37" s="442" t="n"/>
      <c r="G37" s="442" t="n"/>
      <c r="H37" s="442" t="n"/>
    </row>
    <row r="38">
      <c r="A38" s="442" t="n"/>
      <c r="B38" s="442" t="n"/>
      <c r="C38" s="442" t="n"/>
      <c r="D38" s="442" t="n"/>
      <c r="E38" s="442" t="n"/>
      <c r="F38" s="442" t="n"/>
      <c r="G38" s="442" t="n"/>
      <c r="H38" s="442" t="n"/>
    </row>
    <row r="39">
      <c r="A39" s="442" t="n"/>
      <c r="B39" s="442" t="n"/>
      <c r="C39" s="442" t="n"/>
      <c r="D39" s="442" t="n"/>
      <c r="E39" s="442" t="n"/>
      <c r="F39" s="442" t="n"/>
      <c r="G39" s="442" t="n"/>
      <c r="H39" s="442" t="n"/>
    </row>
    <row r="40">
      <c r="A40" s="442" t="n"/>
      <c r="B40" s="442" t="n"/>
      <c r="C40" s="442" t="n"/>
      <c r="D40" s="442" t="n"/>
      <c r="E40" s="442" t="n"/>
      <c r="F40" s="442" t="n"/>
      <c r="G40" s="442" t="n"/>
      <c r="H40" s="442" t="n"/>
    </row>
  </sheetData>
  <mergeCells count="4">
    <mergeCell ref="D4:H4"/>
    <mergeCell ref="A19:H19"/>
    <mergeCell ref="A2:H2"/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370"/>
  <sheetViews>
    <sheetView showGridLines="0" workbookViewId="0">
      <selection activeCell="A1" sqref="A1"/>
    </sheetView>
  </sheetViews>
  <sheetFormatPr baseColWidth="8" defaultRowHeight="15"/>
  <cols>
    <col width="12" customWidth="1" style="439" min="1" max="1"/>
    <col width="12" customWidth="1" style="439" min="2" max="2"/>
    <col width="12" customWidth="1" style="439" min="3" max="3"/>
    <col width="10" customWidth="1" style="439" min="4" max="4"/>
    <col width="10" customWidth="1" style="439" min="5" max="5"/>
    <col width="10" customWidth="1" style="439" min="6" max="6"/>
    <col width="16" customWidth="1" style="439" min="7" max="7"/>
    <col width="54" customWidth="1" style="439" min="8" max="8"/>
    <col width="10" customWidth="1" style="439" min="9" max="9"/>
    <col width="8" customWidth="1" style="439" min="10" max="10"/>
    <col width="8" customWidth="1" style="439" min="11" max="11"/>
    <col width="8" customWidth="1" style="439" min="12" max="12"/>
    <col width="8" customWidth="1" style="439" min="13" max="13"/>
    <col width="13" customWidth="1" style="439" min="14" max="14"/>
    <col width="26" customWidth="1" style="439" min="15" max="15"/>
    <col width="14" customWidth="1" style="439" min="16" max="16"/>
    <col width="16" customWidth="1" style="439" min="17" max="17"/>
    <col width="52" customWidth="1" style="439" min="18" max="18"/>
    <col width="18" customWidth="1" style="439" min="19" max="19"/>
    <col width="18" customWidth="1" style="439" min="20" max="20"/>
    <col width="52" customWidth="1" style="439" min="21" max="21"/>
    <col width="28" customWidth="1" style="439" min="22" max="22"/>
    <col width="14" customWidth="1" style="439" min="24" max="24"/>
    <col width="14" customWidth="1" style="439" min="25" max="25"/>
    <col width="28" customWidth="1" style="439" min="26" max="26"/>
    <col width="28" customWidth="1" style="439" min="27" max="27"/>
  </cols>
  <sheetData>
    <row r="1" ht="32" customHeight="1" s="439">
      <c r="A1" s="240" t="inlineStr">
        <is>
          <t>pet_id</t>
        </is>
      </c>
      <c r="B1" s="240" t="inlineStr">
        <is>
          <t>name</t>
        </is>
      </c>
      <c r="C1" s="240" t="inlineStr">
        <is>
          <t>element</t>
        </is>
      </c>
      <c r="D1" s="240" t="inlineStr">
        <is>
          <t>tier</t>
        </is>
      </c>
      <c r="E1" s="240" t="inlineStr">
        <is>
          <t>role</t>
        </is>
      </c>
      <c r="F1" s="240" t="inlineStr">
        <is>
          <t>body_size</t>
        </is>
      </c>
      <c r="G1" s="240" t="inlineStr">
        <is>
          <t>source_object_id</t>
        </is>
      </c>
      <c r="H1" s="240" t="inlineStr">
        <is>
          <t>shop_store_ids</t>
        </is>
      </c>
      <c r="I1" s="240" t="inlineStr">
        <is>
          <t>shop_count</t>
        </is>
      </c>
      <c r="J1" s="240" t="inlineStr">
        <is>
          <t>hp</t>
        </is>
      </c>
      <c r="K1" s="240" t="inlineStr">
        <is>
          <t>atk</t>
        </is>
      </c>
      <c r="L1" s="240" t="inlineStr">
        <is>
          <t>shield</t>
        </is>
      </c>
      <c r="M1" s="240" t="inlineStr">
        <is>
          <t>action</t>
        </is>
      </c>
      <c r="N1" s="240" t="inlineStr">
        <is>
          <t>attack_grid_count</t>
        </is>
      </c>
      <c r="O1" s="240" t="inlineStr">
        <is>
          <t>mechanism_id</t>
        </is>
      </c>
      <c r="P1" s="240" t="inlineStr">
        <is>
          <t>shape_id</t>
        </is>
      </c>
      <c r="Q1" s="240" t="inlineStr">
        <is>
          <t>primary_enchant</t>
        </is>
      </c>
      <c r="R1" s="240" t="inlineStr">
        <is>
          <t>note</t>
        </is>
      </c>
      <c r="S1" s="240" t="inlineStr">
        <is>
          <t>enemy_move_range</t>
        </is>
      </c>
      <c r="T1" s="240" t="inlineStr">
        <is>
          <t>enemy_attack_count</t>
        </is>
      </c>
      <c r="U1" s="442" t="inlineStr">
        <is>
          <t>skill_ids</t>
        </is>
      </c>
      <c r="V1" s="442" t="inlineStr">
        <is>
          <t>trait_ids</t>
        </is>
      </c>
      <c r="W1" t="inlineStr">
        <is>
          <t>def</t>
        </is>
      </c>
      <c r="X1" s="416" t="inlineStr">
        <is>
          <t>owner_hero_id</t>
        </is>
      </c>
      <c r="Y1" s="417" t="inlineStr">
        <is>
          <t>catalog_status</t>
        </is>
      </c>
      <c r="Z1" s="417" t="inlineStr">
        <is>
          <t>build_tags</t>
        </is>
      </c>
      <c r="AA1" s="418" t="inlineStr">
        <is>
          <t>tag_references</t>
        </is>
      </c>
    </row>
    <row r="2">
      <c r="A2" s="38" t="inlineStr">
        <is>
          <t>pal_001</t>
        </is>
      </c>
      <c r="B2" s="38" t="inlineStr">
        <is>
          <t>棉角羊</t>
        </is>
      </c>
      <c r="C2" s="38" t="inlineStr">
        <is>
          <t>水、龙</t>
        </is>
      </c>
      <c r="D2" s="259" t="inlineStr">
        <is>
          <t>青铜</t>
        </is>
      </c>
      <c r="E2" s="38" t="inlineStr">
        <is>
          <t>治疗</t>
        </is>
      </c>
      <c r="F2" s="38" t="inlineStr">
        <is>
          <t>一格</t>
        </is>
      </c>
      <c r="G2" s="38" t="inlineStr">
        <is>
          <t>bz_van_001</t>
        </is>
      </c>
      <c r="H2" s="38" t="inlineStr">
        <is>
          <t>night_base, elem_火, elem_雷, elem_冰, elem_地, role_召唤, role_坦克, role_控制, role_输出, role_机动</t>
        </is>
      </c>
      <c r="I2" s="38" t="n">
        <v>10</v>
      </c>
      <c r="J2" s="456" t="n">
        <v>20</v>
      </c>
      <c r="K2" s="456" t="n">
        <v>8</v>
      </c>
      <c r="L2" s="456" t="n">
        <v>0</v>
      </c>
      <c r="M2" s="456">
        <f>XLOOKUP($D2&amp;"|"&amp;$E2&amp;"|"&amp;$F2,'PET_STAT_RULES'!$A$5:$A$88,'PET_STAT_RULES'!$G$5:$G$88)</f>
        <v/>
      </c>
      <c r="N2" s="38" t="n">
        <v>1</v>
      </c>
      <c r="O2" s="38" t="inlineStr">
        <is>
          <t>mech_shield_regen</t>
        </is>
      </c>
      <c r="P2" s="38" t="inlineStr">
        <is>
          <t>02 形状02</t>
        </is>
      </c>
      <c r="Q2" s="38" t="inlineStr">
        <is>
          <t>Restorative</t>
        </is>
      </c>
      <c r="R2" s="38" t="inlineStr">
        <is>
          <t>item confirmed；来源=Ambergris；攻击1格；仅保留来源商人/训练师关系。</t>
        </is>
      </c>
      <c r="S2" s="38" t="n">
        <v>3</v>
      </c>
      <c r="T2" s="38" t="n">
        <v>1</v>
      </c>
      <c r="U2" s="442" t="inlineStr">
        <is>
          <t>skill_vanguard,skill_flank,skill_pierce,skill_revolve,skill_chase,skill_break,skill_suppress,skill_finale</t>
        </is>
      </c>
      <c r="V2" s="442" t="inlineStr">
        <is>
          <t>trait_element_affinity</t>
        </is>
      </c>
      <c r="W2" s="457" t="n">
        <v>0</v>
      </c>
      <c r="X2" s="382" t="inlineStr">
        <is>
          <t>hero_001</t>
        </is>
      </c>
      <c r="Y2" s="383" t="inlineStr">
        <is>
          <t>playable</t>
        </is>
      </c>
      <c r="Z2" s="383" t="inlineStr">
        <is>
          <t>aquatic, relic, value, heal</t>
        </is>
      </c>
      <c r="AA2" s="383" t="inlineStr">
        <is>
          <t>economy</t>
        </is>
      </c>
    </row>
    <row r="3">
      <c r="A3" s="38" t="inlineStr">
        <is>
          <t>pal_002</t>
        </is>
      </c>
      <c r="B3" s="38" t="inlineStr">
        <is>
          <t>灰尾狸</t>
        </is>
      </c>
      <c r="C3" s="38" t="inlineStr">
        <is>
          <t>水、地</t>
        </is>
      </c>
      <c r="D3" s="262" t="inlineStr">
        <is>
          <t>黄金</t>
        </is>
      </c>
      <c r="E3" s="38" t="inlineStr">
        <is>
          <t>治疗</t>
        </is>
      </c>
      <c r="F3" s="38" t="inlineStr">
        <is>
          <t>两格</t>
        </is>
      </c>
      <c r="G3" s="38" t="inlineStr">
        <is>
          <t>bz_van_002</t>
        </is>
      </c>
      <c r="H3" s="38" t="inlineStr">
        <is>
          <t>night_base, elem_水, elem_雷, elem_无, role_坦克, role_控制, role_输出, special_merchant, elite_high, role_远点压制</t>
        </is>
      </c>
      <c r="I3" s="38" t="n">
        <v>10</v>
      </c>
      <c r="J3" s="456" t="n">
        <v>22</v>
      </c>
      <c r="K3" s="456" t="n">
        <v>5</v>
      </c>
      <c r="L3" s="456" t="n">
        <v>0</v>
      </c>
      <c r="M3" s="456">
        <f>XLOOKUP($D3&amp;"|"&amp;$E3&amp;"|"&amp;$F3,'PET_STAT_RULES'!$A$5:$A$88,'PET_STAT_RULES'!$G$5:$G$88)</f>
        <v/>
      </c>
      <c r="N3" s="38" t="n">
        <v>2</v>
      </c>
      <c r="O3" s="38" t="inlineStr">
        <is>
          <t>mech_shield_regen</t>
        </is>
      </c>
      <c r="P3" s="38" t="inlineStr">
        <is>
          <t>09 形状09</t>
        </is>
      </c>
      <c r="Q3" s="38" t="inlineStr">
        <is>
          <t>Turbo</t>
        </is>
      </c>
      <c r="R3" s="38" t="inlineStr">
        <is>
          <t>item confirmed；来源=Anchor；攻击2格；仅保留来源商人/训练师关系。</t>
        </is>
      </c>
      <c r="S3" s="38" t="n">
        <v>3</v>
      </c>
      <c r="T3" s="38" t="n">
        <v>2</v>
      </c>
      <c r="U3" s="442" t="inlineStr">
        <is>
          <t>skill_vanguard,skill_flank,skill_pierce,skill_revolve,skill_chase,skill_break,skill_suppress,skill_finale</t>
        </is>
      </c>
      <c r="V3" s="442" t="inlineStr">
        <is>
          <t>trait_element_affinity</t>
        </is>
      </c>
      <c r="W3" s="457" t="n">
        <v>0</v>
      </c>
      <c r="X3" s="385" t="inlineStr">
        <is>
          <t>hero_001</t>
        </is>
      </c>
      <c r="Y3" s="386" t="inlineStr">
        <is>
          <t>playable</t>
        </is>
      </c>
      <c r="Z3" s="386" t="inlineStr">
        <is>
          <t>aquatic, weapon, tool, damage, haste</t>
        </is>
      </c>
      <c r="AA3" s="386" t="str"/>
    </row>
    <row r="4">
      <c r="A4" s="38" t="inlineStr">
        <is>
          <t>pal_003</t>
        </is>
      </c>
      <c r="B4" s="38" t="inlineStr">
        <is>
          <t>芦花鸡</t>
        </is>
      </c>
      <c r="C4" s="38" t="inlineStr">
        <is>
          <t>雷</t>
        </is>
      </c>
      <c r="D4" s="265" t="inlineStr">
        <is>
          <t>白银</t>
        </is>
      </c>
      <c r="E4" s="38" t="inlineStr">
        <is>
          <t>机动</t>
        </is>
      </c>
      <c r="F4" s="38" t="inlineStr">
        <is>
          <t>两格</t>
        </is>
      </c>
      <c r="G4" s="38" t="inlineStr">
        <is>
          <t>bz_van_003</t>
        </is>
      </c>
      <c r="H4" s="38" t="inlineStr">
        <is>
          <t>night_base, elem_水, elem_雷, elem_无, role_召唤, role_坦克, role_控制, role_机动, special_merchant, elite_high</t>
        </is>
      </c>
      <c r="I4" s="38" t="n">
        <v>10</v>
      </c>
      <c r="J4" s="456" t="n">
        <v>22</v>
      </c>
      <c r="K4" s="456" t="n">
        <v>5</v>
      </c>
      <c r="L4" s="456" t="n">
        <v>0</v>
      </c>
      <c r="M4" s="456">
        <f>XLOOKUP($D4&amp;"|"&amp;$E4&amp;"|"&amp;$F4,'PET_STAT_RULES'!$A$5:$A$88,'PET_STAT_RULES'!$G$5:$G$88)</f>
        <v/>
      </c>
      <c r="N4" s="38" t="n">
        <v>2</v>
      </c>
      <c r="O4" s="38" t="inlineStr">
        <is>
          <t>none</t>
        </is>
      </c>
      <c r="P4" s="38" t="inlineStr">
        <is>
          <t>12 形状12</t>
        </is>
      </c>
      <c r="Q4" s="38" t="inlineStr">
        <is>
          <t>Turbo</t>
        </is>
      </c>
      <c r="R4" s="38" t="inlineStr">
        <is>
          <t>item confirmed；来源=Arbalest；攻击2格；仅保留来源商人/训练师关系。</t>
        </is>
      </c>
      <c r="S4" s="38" t="n">
        <v>5</v>
      </c>
      <c r="T4" s="38" t="n">
        <v>2</v>
      </c>
      <c r="U4" s="442" t="inlineStr">
        <is>
          <t>skill_vanguard,skill_flank,skill_pierce,skill_revolve,skill_chase,skill_break,skill_suppress,skill_finale</t>
        </is>
      </c>
      <c r="V4" s="442" t="inlineStr">
        <is>
          <t>trait_relentless</t>
        </is>
      </c>
      <c r="W4" s="457" t="n">
        <v>0</v>
      </c>
      <c r="X4" s="385" t="inlineStr">
        <is>
          <t>hero_001</t>
        </is>
      </c>
      <c r="Y4" s="386" t="inlineStr">
        <is>
          <t>playable</t>
        </is>
      </c>
      <c r="Z4" s="386" t="inlineStr">
        <is>
          <t>weapon, damage, ammo</t>
        </is>
      </c>
      <c r="AA4" s="386" t="inlineStr">
        <is>
          <t>haste</t>
        </is>
      </c>
    </row>
    <row r="5">
      <c r="A5" s="38" t="inlineStr">
        <is>
          <t>pal_004</t>
        </is>
      </c>
      <c r="B5" s="38" t="inlineStr">
        <is>
          <t>青藤鼠</t>
        </is>
      </c>
      <c r="C5" s="38" t="inlineStr">
        <is>
          <t>雷</t>
        </is>
      </c>
      <c r="D5" s="265" t="inlineStr">
        <is>
          <t>白银</t>
        </is>
      </c>
      <c r="E5" s="38" t="inlineStr">
        <is>
          <t>机动</t>
        </is>
      </c>
      <c r="F5" s="38" t="inlineStr">
        <is>
          <t>两格</t>
        </is>
      </c>
      <c r="G5" s="38" t="inlineStr">
        <is>
          <t>bz_van_004</t>
        </is>
      </c>
      <c r="H5" s="38" t="inlineStr">
        <is>
          <t>elem_水, elem_雷, elem_冰, elem_无, role_召唤, role_坦克, role_控制, special_merchant, elite_high, role_远点压制</t>
        </is>
      </c>
      <c r="I5" s="38" t="n">
        <v>10</v>
      </c>
      <c r="J5" s="456" t="n">
        <v>18</v>
      </c>
      <c r="K5" s="456" t="n">
        <v>4</v>
      </c>
      <c r="L5" s="456" t="n">
        <v>0</v>
      </c>
      <c r="M5" s="456">
        <f>XLOOKUP($D5&amp;"|"&amp;$E5&amp;"|"&amp;$F5,'PET_STAT_RULES'!$A$5:$A$88,'PET_STAT_RULES'!$G$5:$G$88)</f>
        <v/>
      </c>
      <c r="N5" s="38" t="n">
        <v>3</v>
      </c>
      <c r="O5" s="38" t="inlineStr">
        <is>
          <t>none</t>
        </is>
      </c>
      <c r="P5" s="38" t="inlineStr">
        <is>
          <t>16 形状16</t>
        </is>
      </c>
      <c r="Q5" s="38" t="inlineStr">
        <is>
          <t>Turbo</t>
        </is>
      </c>
      <c r="R5" s="38" t="inlineStr">
        <is>
          <t>item confirmed；来源=Astrolabe；攻击3格；仅保留来源商人/训练师关系。</t>
        </is>
      </c>
      <c r="S5" s="38" t="n">
        <v>5</v>
      </c>
      <c r="T5" s="38" t="n">
        <v>2</v>
      </c>
      <c r="U5" s="442" t="inlineStr">
        <is>
          <t>skill_vanguard,skill_flank,skill_pierce,skill_revolve,skill_chase,skill_break,skill_suppress,skill_finale</t>
        </is>
      </c>
      <c r="V5" s="442" t="inlineStr">
        <is>
          <t>trait_relentless</t>
        </is>
      </c>
      <c r="W5" s="457" t="n">
        <v>0</v>
      </c>
      <c r="X5" s="385" t="inlineStr">
        <is>
          <t>hero_001</t>
        </is>
      </c>
      <c r="Y5" s="386" t="inlineStr">
        <is>
          <t>playable</t>
        </is>
      </c>
      <c r="Z5" s="386" t="inlineStr">
        <is>
          <t>tool, haste</t>
        </is>
      </c>
      <c r="AA5" s="386" t="str"/>
    </row>
    <row r="6">
      <c r="A6" s="38" t="inlineStr">
        <is>
          <t>pal_005</t>
        </is>
      </c>
      <c r="B6" s="38" t="inlineStr">
        <is>
          <t>赤尾狐</t>
        </is>
      </c>
      <c r="C6" s="38" t="inlineStr">
        <is>
          <t>火</t>
        </is>
      </c>
      <c r="D6" s="262" t="inlineStr">
        <is>
          <t>黄金</t>
        </is>
      </c>
      <c r="E6" s="38" t="inlineStr">
        <is>
          <t>输出</t>
        </is>
      </c>
      <c r="F6" s="38" t="inlineStr">
        <is>
          <t>三格</t>
        </is>
      </c>
      <c r="G6" s="38" t="inlineStr">
        <is>
          <t>bz_van_005</t>
        </is>
      </c>
      <c r="H6" s="38" t="inlineStr">
        <is>
          <t>night_base, elem_火, role_输出, tier_pT3</t>
        </is>
      </c>
      <c r="I6" s="38" t="n">
        <v>10</v>
      </c>
      <c r="J6" s="456" t="n">
        <v>18</v>
      </c>
      <c r="K6" s="456" t="n">
        <v>4</v>
      </c>
      <c r="L6" s="456" t="n">
        <v>0</v>
      </c>
      <c r="M6" s="456">
        <f>XLOOKUP($D6&amp;"|"&amp;$E6&amp;"|"&amp;$F6,'PET_STAT_RULES'!$A$5:$A$88,'PET_STAT_RULES'!$G$5:$G$88)</f>
        <v/>
      </c>
      <c r="N6" s="38" t="n">
        <v>3</v>
      </c>
      <c r="O6" s="38" t="inlineStr">
        <is>
          <t>mech_fire_ignite_bonus</t>
        </is>
      </c>
      <c r="P6" s="38" t="inlineStr">
        <is>
          <t>13 形状13</t>
        </is>
      </c>
      <c r="Q6" s="38" t="inlineStr">
        <is>
          <t>Deadly</t>
        </is>
      </c>
      <c r="R6" s="38" t="inlineStr">
        <is>
          <t>第一套·核心；玩家效果：火种地形结算时，每层额外造成1点伤害。火种不附着单位，回合末统一结算。来源=Ballista。</t>
        </is>
      </c>
      <c r="S6" s="38" t="n">
        <v>2</v>
      </c>
      <c r="T6" s="38" t="n">
        <v>2</v>
      </c>
      <c r="U6" s="442" t="inlineStr">
        <is>
          <t>skill_vanguard,skill_flank,skill_pierce,skill_revolve,skill_chase,skill_break,skill_suppress,skill_finale</t>
        </is>
      </c>
      <c r="V6" s="442" t="inlineStr">
        <is>
          <t>trait_relentless</t>
        </is>
      </c>
      <c r="W6" s="457" t="n">
        <v>0</v>
      </c>
      <c r="X6" s="385" t="inlineStr">
        <is>
          <t>hero_001</t>
        </is>
      </c>
      <c r="Y6" s="386" t="inlineStr">
        <is>
          <t>playable</t>
        </is>
      </c>
      <c r="Z6" s="386" t="inlineStr">
        <is>
          <t>weapon, damage, ammo</t>
        </is>
      </c>
      <c r="AA6" s="386" t="str"/>
    </row>
    <row r="7">
      <c r="A7" s="38" t="inlineStr">
        <is>
          <t>pal_006</t>
        </is>
      </c>
      <c r="B7" s="38" t="inlineStr">
        <is>
          <t>碧水鸭</t>
        </is>
      </c>
      <c r="C7" s="38" t="inlineStr">
        <is>
          <t>地</t>
        </is>
      </c>
      <c r="D7" s="259" t="inlineStr">
        <is>
          <t>青铜</t>
        </is>
      </c>
      <c r="E7" s="38" t="inlineStr">
        <is>
          <t>坦克</t>
        </is>
      </c>
      <c r="F7" s="38" t="inlineStr">
        <is>
          <t>两格</t>
        </is>
      </c>
      <c r="G7" s="38" t="inlineStr">
        <is>
          <t>bz_van_006</t>
        </is>
      </c>
      <c r="H7" s="38" t="inlineStr">
        <is>
          <t>elem_水, elem_雷, elem_冰, elem_龙, elem_无, role_召唤, role_坦克, role_控制, role_治疗, tier_pT3</t>
        </is>
      </c>
      <c r="I7" s="38" t="n">
        <v>10</v>
      </c>
      <c r="J7" s="456" t="n">
        <v>22</v>
      </c>
      <c r="K7" s="456" t="n">
        <v>5</v>
      </c>
      <c r="L7" s="456" t="n">
        <v>0</v>
      </c>
      <c r="M7" s="456">
        <f>XLOOKUP($D7&amp;"|"&amp;$E7&amp;"|"&amp;$F7,'PET_STAT_RULES'!$A$5:$A$88,'PET_STAT_RULES'!$G$5:$G$88)</f>
        <v/>
      </c>
      <c r="N7" s="38" t="n">
        <v>2</v>
      </c>
      <c r="O7" s="38" t="inlineStr">
        <is>
          <t>mech_armor_flat</t>
        </is>
      </c>
      <c r="P7" s="38" t="inlineStr">
        <is>
          <t>06 形状06</t>
        </is>
      </c>
      <c r="Q7" s="38" t="inlineStr">
        <is>
          <t>Shielded</t>
        </is>
      </c>
      <c r="R7" s="38" t="inlineStr">
        <is>
          <t>item confirmed；来源=Barrel；攻击2格；仅保留来源商人/训练师关系。</t>
        </is>
      </c>
      <c r="S7" s="38" t="n">
        <v>3</v>
      </c>
      <c r="T7" s="38" t="n">
        <v>1</v>
      </c>
      <c r="U7" s="442" t="inlineStr">
        <is>
          <t>skill_vanguard,skill_flank,skill_pierce,skill_revolve,skill_chase,skill_break,skill_suppress,skill_finale</t>
        </is>
      </c>
      <c r="V7" s="442" t="inlineStr">
        <is>
          <t>trait_combo_mastery</t>
        </is>
      </c>
      <c r="W7" s="457" t="n">
        <v>0</v>
      </c>
      <c r="X7" s="385" t="inlineStr">
        <is>
          <t>hero_001</t>
        </is>
      </c>
      <c r="Y7" s="386" t="inlineStr">
        <is>
          <t>playable</t>
        </is>
      </c>
      <c r="Z7" s="386" t="inlineStr">
        <is>
          <t>shield</t>
        </is>
      </c>
      <c r="AA7" s="386" t="str"/>
    </row>
    <row r="8">
      <c r="A8" s="38" t="inlineStr">
        <is>
          <t>pal_007</t>
        </is>
      </c>
      <c r="B8" s="38" t="inlineStr">
        <is>
          <t>雷须猫</t>
        </is>
      </c>
      <c r="C8" s="38" t="inlineStr">
        <is>
          <t>雷、火</t>
        </is>
      </c>
      <c r="D8" s="259" t="inlineStr">
        <is>
          <t>青铜</t>
        </is>
      </c>
      <c r="E8" s="38" t="inlineStr">
        <is>
          <t>控制</t>
        </is>
      </c>
      <c r="F8" s="38" t="inlineStr">
        <is>
          <t>一格</t>
        </is>
      </c>
      <c r="G8" s="38" t="inlineStr">
        <is>
          <t>bz_van_007</t>
        </is>
      </c>
      <c r="H8" s="38" t="inlineStr">
        <is>
          <t>night_base, elem_火, elem_雷, role_控制, tier_pT1</t>
        </is>
      </c>
      <c r="I8" s="38" t="n">
        <v>10</v>
      </c>
      <c r="J8" s="456" t="n">
        <v>20</v>
      </c>
      <c r="K8" s="456" t="n">
        <v>8</v>
      </c>
      <c r="L8" s="456" t="n">
        <v>0</v>
      </c>
      <c r="M8" s="456">
        <f>XLOOKUP($D8&amp;"|"&amp;$E8&amp;"|"&amp;$F8,'PET_STAT_RULES'!$A$5:$A$88,'PET_STAT_RULES'!$G$5:$G$88)</f>
        <v/>
      </c>
      <c r="N8" s="38" t="n">
        <v>1</v>
      </c>
      <c r="O8" s="38" t="inlineStr">
        <is>
          <t>mech_element_spread_adjacent</t>
        </is>
      </c>
      <c r="P8" s="38" t="inlineStr">
        <is>
          <t>04 形状04</t>
        </is>
      </c>
      <c r="Q8" s="38" t="inlineStr">
        <is>
          <t>Deadly</t>
        </is>
      </c>
      <c r="R8" s="38" t="inlineStr">
        <is>
          <t>第一套·扩散辅助；玩家效果：每当自身铺设火种地形，其上下左右相邻格各获得1层火种。来源=Bayonet。</t>
        </is>
      </c>
      <c r="S8" s="38" t="n">
        <v>3</v>
      </c>
      <c r="T8" s="38" t="n">
        <v>1</v>
      </c>
      <c r="U8" s="442" t="inlineStr">
        <is>
          <t>skill_vanguard,skill_flank,skill_pierce,skill_revolve,skill_chase,skill_break,skill_suppress,skill_finale</t>
        </is>
      </c>
      <c r="V8" s="442" t="inlineStr">
        <is>
          <t>trait_relentless</t>
        </is>
      </c>
      <c r="W8" s="457" t="n">
        <v>0</v>
      </c>
      <c r="X8" s="385" t="inlineStr">
        <is>
          <t>hero_001</t>
        </is>
      </c>
      <c r="Y8" s="386" t="inlineStr">
        <is>
          <t>playable</t>
        </is>
      </c>
      <c r="Z8" s="386" t="inlineStr">
        <is>
          <t>weapon, damage</t>
        </is>
      </c>
      <c r="AA8" s="386" t="str"/>
    </row>
    <row r="9">
      <c r="A9" s="38" t="inlineStr">
        <is>
          <t>pal_008</t>
        </is>
      </c>
      <c r="B9" s="38" t="inlineStr">
        <is>
          <t>藤甲猿</t>
        </is>
      </c>
      <c r="C9" s="38" t="inlineStr">
        <is>
          <t>水</t>
        </is>
      </c>
      <c r="D9" s="259" t="inlineStr">
        <is>
          <t>青铜</t>
        </is>
      </c>
      <c r="E9" s="38" t="inlineStr">
        <is>
          <t>机动</t>
        </is>
      </c>
      <c r="F9" s="38" t="inlineStr">
        <is>
          <t>两格</t>
        </is>
      </c>
      <c r="G9" s="38" t="inlineStr">
        <is>
          <t>bz_van_008</t>
        </is>
      </c>
      <c r="H9" s="38" t="inlineStr">
        <is>
          <t>elem_水, elem_雷, elem_冰, elem_无, role_召唤, role_坦克, role_控制, role_输出, special_merchant, elite_high</t>
        </is>
      </c>
      <c r="I9" s="38" t="n">
        <v>10</v>
      </c>
      <c r="J9" s="456" t="n">
        <v>18</v>
      </c>
      <c r="K9" s="456" t="n">
        <v>4</v>
      </c>
      <c r="L9" s="456" t="n">
        <v>0</v>
      </c>
      <c r="M9" s="456">
        <f>XLOOKUP($D9&amp;"|"&amp;$E9&amp;"|"&amp;$F9,'PET_STAT_RULES'!$A$5:$A$88,'PET_STAT_RULES'!$G$5:$G$88)</f>
        <v/>
      </c>
      <c r="N9" s="38" t="n">
        <v>3</v>
      </c>
      <c r="O9" s="38" t="inlineStr">
        <is>
          <t>none</t>
        </is>
      </c>
      <c r="P9" s="38" t="inlineStr">
        <is>
          <t>18 形状18</t>
        </is>
      </c>
      <c r="Q9" s="38" t="inlineStr">
        <is>
          <t>Turbo</t>
        </is>
      </c>
      <c r="R9" s="38" t="inlineStr">
        <is>
          <t>item confirmed；来源=Beach Ball；攻击3格；仅保留来源商人/训练师关系。</t>
        </is>
      </c>
      <c r="S9" s="38" t="n">
        <v>5</v>
      </c>
      <c r="T9" s="38" t="n">
        <v>1</v>
      </c>
      <c r="U9" s="442" t="inlineStr">
        <is>
          <t>skill_vanguard,skill_flank,skill_pierce,skill_revolve,skill_chase,skill_break,skill_suppress,skill_finale</t>
        </is>
      </c>
      <c r="V9" s="442" t="inlineStr">
        <is>
          <t>trait_relentless</t>
        </is>
      </c>
      <c r="W9" s="457" t="n">
        <v>0</v>
      </c>
      <c r="X9" s="385" t="inlineStr">
        <is>
          <t>hero_001</t>
        </is>
      </c>
      <c r="Y9" s="386" t="inlineStr">
        <is>
          <t>playable</t>
        </is>
      </c>
      <c r="Z9" s="386" t="inlineStr">
        <is>
          <t>aquatic, toy, haste</t>
        </is>
      </c>
      <c r="AA9" s="386" t="str"/>
    </row>
    <row r="10">
      <c r="A10" s="38" t="inlineStr">
        <is>
          <t>pal_009</t>
        </is>
      </c>
      <c r="B10" s="38" t="inlineStr">
        <is>
          <t>火角鹿</t>
        </is>
      </c>
      <c r="C10" s="38" t="inlineStr">
        <is>
          <t>火</t>
        </is>
      </c>
      <c r="D10" s="259" t="inlineStr">
        <is>
          <t>青铜</t>
        </is>
      </c>
      <c r="E10" s="38" t="inlineStr">
        <is>
          <t>召唤</t>
        </is>
      </c>
      <c r="F10" s="38" t="inlineStr">
        <is>
          <t>一格</t>
        </is>
      </c>
      <c r="G10" s="38" t="inlineStr">
        <is>
          <t>bz_van_009</t>
        </is>
      </c>
      <c r="H10" s="38" t="inlineStr">
        <is>
          <t>night_base, elem_火, role_召唤, tier_pT1</t>
        </is>
      </c>
      <c r="I10" s="38" t="n">
        <v>10</v>
      </c>
      <c r="J10" s="456" t="n">
        <v>20</v>
      </c>
      <c r="K10" s="456" t="n">
        <v>8</v>
      </c>
      <c r="L10" s="456" t="n">
        <v>0</v>
      </c>
      <c r="M10" s="456">
        <f>XLOOKUP($D10&amp;"|"&amp;$E10&amp;"|"&amp;$F10,'PET_STAT_RULES'!$A$5:$A$88,'PET_STAT_RULES'!$G$5:$G$88)</f>
        <v/>
      </c>
      <c r="N10" s="38" t="n">
        <v>1</v>
      </c>
      <c r="O10" s="38" t="inlineStr">
        <is>
          <t>mech_element_apply_bonus</t>
        </is>
      </c>
      <c r="P10" s="38" t="inlineStr">
        <is>
          <t>01 形状01</t>
        </is>
      </c>
      <c r="Q10" s="38" t="inlineStr">
        <is>
          <t>Deadly</t>
        </is>
      </c>
      <c r="R10" s="38" t="inlineStr">
        <is>
          <t>第一套·火种供应；玩家效果：每当自身铺设火种地形，该格额外获得1层火种。来源=Bilge Worm。</t>
        </is>
      </c>
      <c r="S10" s="38" t="n">
        <v>3</v>
      </c>
      <c r="T10" s="38" t="n">
        <v>1</v>
      </c>
      <c r="U10" s="442" t="inlineStr">
        <is>
          <t>skill_vanguard,skill_flank,skill_pierce,skill_revolve,skill_chase,skill_break,skill_suppress,skill_finale</t>
        </is>
      </c>
      <c r="V10" s="442" t="inlineStr">
        <is>
          <t>trait_relentless</t>
        </is>
      </c>
      <c r="W10" s="457" t="n">
        <v>0</v>
      </c>
      <c r="X10" s="385" t="inlineStr">
        <is>
          <t>hero_001</t>
        </is>
      </c>
      <c r="Y10" s="386" t="inlineStr">
        <is>
          <t>playable</t>
        </is>
      </c>
      <c r="Z10" s="386" t="inlineStr">
        <is>
          <t>weapon, aquatic, damage</t>
        </is>
      </c>
      <c r="AA10" s="386" t="str"/>
    </row>
    <row r="11">
      <c r="A11" s="38" t="inlineStr">
        <is>
          <t>pal_010</t>
        </is>
      </c>
      <c r="B11" s="38" t="inlineStr">
        <is>
          <t>霜羽鹭</t>
        </is>
      </c>
      <c r="C11" s="38" t="inlineStr">
        <is>
          <t>水、龙</t>
        </is>
      </c>
      <c r="D11" s="265" t="inlineStr">
        <is>
          <t>白银</t>
        </is>
      </c>
      <c r="E11" s="38" t="inlineStr">
        <is>
          <t>机动</t>
        </is>
      </c>
      <c r="F11" s="38" t="inlineStr">
        <is>
          <t>两格</t>
        </is>
      </c>
      <c r="G11" s="38" t="inlineStr">
        <is>
          <t>bz_van_010</t>
        </is>
      </c>
      <c r="H11" s="38" t="inlineStr">
        <is>
          <t>night_base, elem_火, elem_水, elem_草, elem_雷, elem_无, role_坦克, role_控制, role_输出, role_抗压承伤</t>
        </is>
      </c>
      <c r="I11" s="38" t="n">
        <v>10</v>
      </c>
      <c r="J11" s="456" t="n">
        <v>22</v>
      </c>
      <c r="K11" s="456" t="n">
        <v>5</v>
      </c>
      <c r="L11" s="456" t="n">
        <v>0</v>
      </c>
      <c r="M11" s="456">
        <f>XLOOKUP($D11&amp;"|"&amp;$E11&amp;"|"&amp;$F11,'PET_STAT_RULES'!$A$5:$A$88,'PET_STAT_RULES'!$G$5:$G$88)</f>
        <v/>
      </c>
      <c r="N11" s="38" t="n">
        <v>2</v>
      </c>
      <c r="O11" s="38" t="inlineStr">
        <is>
          <t>none</t>
        </is>
      </c>
      <c r="P11" s="38" t="inlineStr">
        <is>
          <t>05 形状05</t>
        </is>
      </c>
      <c r="Q11" s="38" t="inlineStr">
        <is>
          <t>Deadly</t>
        </is>
      </c>
      <c r="R11" s="38" t="inlineStr">
        <is>
          <t>item confirmed；来源=Bladed Hoverboard；攻击2格；仅保留来源商人/训练师关系。</t>
        </is>
      </c>
      <c r="S11" s="38" t="n">
        <v>5</v>
      </c>
      <c r="T11" s="38" t="n">
        <v>2</v>
      </c>
      <c r="U11" s="442" t="inlineStr">
        <is>
          <t>skill_vanguard,skill_flank,skill_pierce,skill_revolve,skill_chase,skill_break,skill_suppress,skill_finale</t>
        </is>
      </c>
      <c r="V11" s="442" t="inlineStr">
        <is>
          <t>trait_relentless</t>
        </is>
      </c>
      <c r="W11" s="457" t="n">
        <v>0</v>
      </c>
      <c r="X11" s="385" t="inlineStr">
        <is>
          <t>hero_001</t>
        </is>
      </c>
      <c r="Y11" s="386" t="inlineStr">
        <is>
          <t>playable</t>
        </is>
      </c>
      <c r="Z11" s="386" t="inlineStr">
        <is>
          <t>weapon, tech, aquatic, vehicle, damage, flying</t>
        </is>
      </c>
      <c r="AA11" s="386" t="str"/>
    </row>
    <row r="12">
      <c r="A12" s="38" t="inlineStr">
        <is>
          <t>pal_011</t>
        </is>
      </c>
      <c r="B12" s="38" t="inlineStr">
        <is>
          <t>冰背獭</t>
        </is>
      </c>
      <c r="C12" s="38" t="inlineStr">
        <is>
          <t>草、龙</t>
        </is>
      </c>
      <c r="D12" s="262" t="inlineStr">
        <is>
          <t>黄金</t>
        </is>
      </c>
      <c r="E12" s="38" t="inlineStr">
        <is>
          <t>控制</t>
        </is>
      </c>
      <c r="F12" s="38" t="inlineStr">
        <is>
          <t>一格</t>
        </is>
      </c>
      <c r="G12" s="38" t="inlineStr">
        <is>
          <t>bz_van_011</t>
        </is>
      </c>
      <c r="H12" s="38" t="inlineStr">
        <is>
          <t>night_base, elem_火, elem_雷, elem_冰, elem_地, role_召唤, role_坦克, role_控制, role_治疗, role_火系压制</t>
        </is>
      </c>
      <c r="I12" s="38" t="n">
        <v>10</v>
      </c>
      <c r="J12" s="456" t="n">
        <v>22</v>
      </c>
      <c r="K12" s="456" t="n">
        <v>5</v>
      </c>
      <c r="L12" s="456" t="n">
        <v>0</v>
      </c>
      <c r="M12" s="456">
        <f>XLOOKUP($D12&amp;"|"&amp;$E12&amp;"|"&amp;$F12,'PET_STAT_RULES'!$A$5:$A$88,'PET_STAT_RULES'!$G$5:$G$88)</f>
        <v/>
      </c>
      <c r="N12" s="38" t="n">
        <v>2</v>
      </c>
      <c r="O12" s="38" t="inlineStr">
        <is>
          <t>mech_counter_damage</t>
        </is>
      </c>
      <c r="P12" s="38" t="inlineStr">
        <is>
          <t>06 形状06</t>
        </is>
      </c>
      <c r="Q12" s="38" t="inlineStr">
        <is>
          <t>Toxic</t>
        </is>
      </c>
      <c r="R12" s="38" t="inlineStr">
        <is>
          <t>item confirmed；来源=Blowgun；攻击2格；仅保留来源商人/训练师关系。</t>
        </is>
      </c>
      <c r="S12" s="38" t="n">
        <v>4</v>
      </c>
      <c r="T12" s="38" t="n">
        <v>2</v>
      </c>
      <c r="U12" s="442" t="inlineStr">
        <is>
          <t>skill_vanguard,skill_flank,skill_pierce,skill_revolve,skill_chase,skill_break,skill_suppress,skill_finale</t>
        </is>
      </c>
      <c r="V12" s="442" t="inlineStr">
        <is>
          <t>trait_element_affinity</t>
        </is>
      </c>
      <c r="W12" s="457" t="n">
        <v>0</v>
      </c>
      <c r="X12" s="385" t="inlineStr">
        <is>
          <t>hero_001</t>
        </is>
      </c>
      <c r="Y12" s="386" t="inlineStr">
        <is>
          <t>playable</t>
        </is>
      </c>
      <c r="Z12" s="386" t="inlineStr">
        <is>
          <t>weapon, relic, damage, poison</t>
        </is>
      </c>
      <c r="AA12" s="386" t="str"/>
    </row>
    <row r="13">
      <c r="A13" s="38" t="inlineStr">
        <is>
          <t>pal_012</t>
        </is>
      </c>
      <c r="B13" s="38" t="inlineStr">
        <is>
          <t>电棘鼠</t>
        </is>
      </c>
      <c r="C13" s="38" t="inlineStr">
        <is>
          <t>火、雷</t>
        </is>
      </c>
      <c r="D13" s="262" t="inlineStr">
        <is>
          <t>黄金</t>
        </is>
      </c>
      <c r="E13" s="38" t="inlineStr">
        <is>
          <t>输出</t>
        </is>
      </c>
      <c r="F13" s="38" t="inlineStr">
        <is>
          <t>两格</t>
        </is>
      </c>
      <c r="G13" s="38" t="inlineStr">
        <is>
          <t>bz_van_012</t>
        </is>
      </c>
      <c r="H13" s="38" t="inlineStr">
        <is>
          <t>night_base, elem_火, elem_雷, role_输出, tier_pT3</t>
        </is>
      </c>
      <c r="I13" s="38" t="n">
        <v>10</v>
      </c>
      <c r="J13" s="456" t="n">
        <v>18</v>
      </c>
      <c r="K13" s="456" t="n">
        <v>4</v>
      </c>
      <c r="L13" s="456" t="n">
        <v>0</v>
      </c>
      <c r="M13" s="456">
        <f>XLOOKUP($D13&amp;"|"&amp;$E13&amp;"|"&amp;$F13,'PET_STAT_RULES'!$A$5:$A$88,'PET_STAT_RULES'!$G$5:$G$88)</f>
        <v/>
      </c>
      <c r="N13" s="38" t="n">
        <v>3</v>
      </c>
      <c r="O13" s="38" t="inlineStr">
        <is>
          <t>mech_element_pair_bonus</t>
        </is>
      </c>
      <c r="P13" s="38" t="inlineStr">
        <is>
          <t>17 形状17</t>
        </is>
      </c>
      <c r="Q13" s="38" t="inlineStr">
        <is>
          <t>Fiery</t>
        </is>
      </c>
      <c r="R13" s="38" t="inlineStr">
        <is>
          <t>第一套·双元素副核；玩家效果：同格同时有火种和雷地形时，火种统一结算按配对层数每层额外造成2点伤害。来源=Blunderbuss。</t>
        </is>
      </c>
      <c r="S13" s="38" t="n">
        <v>3</v>
      </c>
      <c r="T13" s="38" t="n">
        <v>2</v>
      </c>
      <c r="U13" s="442" t="inlineStr">
        <is>
          <t>skill_vanguard,skill_flank,skill_pierce,skill_revolve,skill_chase,skill_break,skill_suppress,skill_finale</t>
        </is>
      </c>
      <c r="V13" s="442" t="inlineStr">
        <is>
          <t>trait_relentless</t>
        </is>
      </c>
      <c r="W13" s="457" t="n">
        <v>0</v>
      </c>
      <c r="X13" s="385" t="inlineStr">
        <is>
          <t>hero_001</t>
        </is>
      </c>
      <c r="Y13" s="386" t="inlineStr">
        <is>
          <t>playable</t>
        </is>
      </c>
      <c r="Z13" s="386" t="inlineStr">
        <is>
          <t>weapon, damage, ammo</t>
        </is>
      </c>
      <c r="AA13" s="386" t="inlineStr">
        <is>
          <t>burn</t>
        </is>
      </c>
    </row>
    <row r="14">
      <c r="A14" s="38" t="inlineStr">
        <is>
          <t>pal_013</t>
        </is>
      </c>
      <c r="B14" s="38" t="inlineStr">
        <is>
          <t>苔甲龟</t>
        </is>
      </c>
      <c r="C14" s="38" t="inlineStr">
        <is>
          <t>雷</t>
        </is>
      </c>
      <c r="D14" s="259" t="inlineStr">
        <is>
          <t>青铜</t>
        </is>
      </c>
      <c r="E14" s="38" t="inlineStr">
        <is>
          <t>控制</t>
        </is>
      </c>
      <c r="F14" s="38" t="inlineStr">
        <is>
          <t>一格</t>
        </is>
      </c>
      <c r="G14" s="38" t="inlineStr">
        <is>
          <t>bz_van_013</t>
        </is>
      </c>
      <c r="H14" s="38" t="inlineStr">
        <is>
          <t>night_base, elem_火, elem_雷, elem_地, role_召唤, role_坦克, role_控制, role_机动, special_merchant, role_召唤铺场</t>
        </is>
      </c>
      <c r="I14" s="38" t="n">
        <v>10</v>
      </c>
      <c r="J14" s="456" t="n">
        <v>22</v>
      </c>
      <c r="K14" s="456" t="n">
        <v>5</v>
      </c>
      <c r="L14" s="456" t="n">
        <v>0</v>
      </c>
      <c r="M14" s="456">
        <f>XLOOKUP($D14&amp;"|"&amp;$E14&amp;"|"&amp;$F14,'PET_STAT_RULES'!$A$5:$A$88,'PET_STAT_RULES'!$G$5:$G$88)</f>
        <v/>
      </c>
      <c r="N14" s="38" t="n">
        <v>2</v>
      </c>
      <c r="O14" s="38" t="inlineStr">
        <is>
          <t>mech_counter_damage</t>
        </is>
      </c>
      <c r="P14" s="38" t="inlineStr">
        <is>
          <t>07 形状07</t>
        </is>
      </c>
      <c r="Q14" s="38" t="inlineStr">
        <is>
          <t>Icy</t>
        </is>
      </c>
      <c r="R14" s="38" t="inlineStr">
        <is>
          <t>item confirmed；来源=Bolas；攻击2格；仅保留来源商人/训练师关系。</t>
        </is>
      </c>
      <c r="S14" s="38" t="n">
        <v>4</v>
      </c>
      <c r="T14" s="38" t="n">
        <v>1</v>
      </c>
      <c r="U14" s="442" t="inlineStr">
        <is>
          <t>skill_vanguard,skill_flank,skill_pierce,skill_revolve,skill_chase,skill_break,skill_suppress,skill_finale</t>
        </is>
      </c>
      <c r="V14" s="442" t="inlineStr">
        <is>
          <t>trait_element_affinity</t>
        </is>
      </c>
      <c r="W14" s="457" t="n">
        <v>0</v>
      </c>
      <c r="X14" s="385" t="inlineStr">
        <is>
          <t>hero_001</t>
        </is>
      </c>
      <c r="Y14" s="386" t="inlineStr">
        <is>
          <t>playable</t>
        </is>
      </c>
      <c r="Z14" s="386" t="inlineStr">
        <is>
          <t>weapon, damage, ammo, slow</t>
        </is>
      </c>
      <c r="AA14" s="386" t="str"/>
    </row>
    <row r="15">
      <c r="A15" s="38" t="inlineStr">
        <is>
          <t>pal_014</t>
        </is>
      </c>
      <c r="B15" s="38" t="inlineStr">
        <is>
          <t>金钱狸</t>
        </is>
      </c>
      <c r="C15" s="38" t="inlineStr">
        <is>
          <t>火</t>
        </is>
      </c>
      <c r="D15" s="265" t="inlineStr">
        <is>
          <t>白银</t>
        </is>
      </c>
      <c r="E15" s="38" t="inlineStr">
        <is>
          <t>经济</t>
        </is>
      </c>
      <c r="F15" s="38" t="inlineStr">
        <is>
          <t>两格</t>
        </is>
      </c>
      <c r="G15" s="38" t="inlineStr">
        <is>
          <t>bz_van_014</t>
        </is>
      </c>
      <c r="H15" s="38" t="inlineStr">
        <is>
          <t>night_base, elem_火, role_经济, tier_pT2</t>
        </is>
      </c>
      <c r="I15" s="38" t="n">
        <v>10</v>
      </c>
      <c r="J15" s="456" t="n">
        <v>22</v>
      </c>
      <c r="K15" s="456" t="n">
        <v>5</v>
      </c>
      <c r="L15" s="456" t="n">
        <v>0</v>
      </c>
      <c r="M15" s="456">
        <f>XLOOKUP($D15&amp;"|"&amp;$E15&amp;"|"&amp;$F15,'PET_STAT_RULES'!$A$5:$A$88,'PET_STAT_RULES'!$G$5:$G$88)</f>
        <v/>
      </c>
      <c r="N15" s="38" t="n">
        <v>2</v>
      </c>
      <c r="O15" s="38" t="inlineStr">
        <is>
          <t>mech_win_gold_bonus</t>
        </is>
      </c>
      <c r="P15" s="38" t="inlineStr">
        <is>
          <t>09 形状09</t>
        </is>
      </c>
      <c r="Q15" s="38" t="inlineStr">
        <is>
          <t>Fiery</t>
        </is>
      </c>
      <c r="R15" s="38" t="inlineStr">
        <is>
          <t>第一套·经济辅助；玩家效果：战斗胜利且自身存活时，额外获得1金币。来源=Bonfire。</t>
        </is>
      </c>
      <c r="S15" s="38" t="n">
        <v>5</v>
      </c>
      <c r="T15" s="38" t="n">
        <v>2</v>
      </c>
      <c r="U15" s="442" t="inlineStr">
        <is>
          <t>skill_vanguard,skill_flank,skill_pierce,skill_revolve,skill_chase,skill_break,skill_suppress,skill_finale</t>
        </is>
      </c>
      <c r="V15" s="442" t="inlineStr">
        <is>
          <t>trait_relentless</t>
        </is>
      </c>
      <c r="W15" s="457" t="n">
        <v>0</v>
      </c>
      <c r="X15" s="385" t="inlineStr">
        <is>
          <t>hero_001</t>
        </is>
      </c>
      <c r="Y15" s="386" t="inlineStr">
        <is>
          <t>playable</t>
        </is>
      </c>
      <c r="Z15" s="386" t="inlineStr">
        <is>
          <t>burn, haste</t>
        </is>
      </c>
      <c r="AA15" s="386" t="str"/>
    </row>
    <row r="16">
      <c r="A16" s="38" t="inlineStr">
        <is>
          <t>pal_015</t>
        </is>
      </c>
      <c r="B16" s="38" t="inlineStr">
        <is>
          <t>黑甲猪</t>
        </is>
      </c>
      <c r="C16" s="38" t="inlineStr">
        <is>
          <t>水</t>
        </is>
      </c>
      <c r="D16" s="265" t="inlineStr">
        <is>
          <t>白银</t>
        </is>
      </c>
      <c r="E16" s="38" t="inlineStr">
        <is>
          <t>输出</t>
        </is>
      </c>
      <c r="F16" s="38" t="inlineStr">
        <is>
          <t>一格</t>
        </is>
      </c>
      <c r="G16" s="38" t="inlineStr">
        <is>
          <t>bz_van_015</t>
        </is>
      </c>
      <c r="H16" s="38" t="inlineStr">
        <is>
          <t>night_base, elem_火, elem_雷, elem_地, elem_暗, role_召唤, role_坦克, role_控制, role_治疗, role_经济</t>
        </is>
      </c>
      <c r="I16" s="38" t="n">
        <v>10</v>
      </c>
      <c r="J16" s="456" t="n">
        <v>22</v>
      </c>
      <c r="K16" s="456" t="n">
        <v>5</v>
      </c>
      <c r="L16" s="456" t="n">
        <v>0</v>
      </c>
      <c r="M16" s="456">
        <f>XLOOKUP($D16&amp;"|"&amp;$E16&amp;"|"&amp;$F16,'PET_STAT_RULES'!$A$5:$A$88,'PET_STAT_RULES'!$G$5:$G$88)</f>
        <v/>
      </c>
      <c r="N16" s="38" t="n">
        <v>2</v>
      </c>
      <c r="O16" s="38" t="inlineStr">
        <is>
          <t>mech_grow_atk_each_round</t>
        </is>
      </c>
      <c r="P16" s="38" t="inlineStr">
        <is>
          <t>06 形状06</t>
        </is>
      </c>
      <c r="Q16" s="38" t="inlineStr">
        <is>
          <t>Deadly</t>
        </is>
      </c>
      <c r="R16" s="38" t="inlineStr">
        <is>
          <t>item confirmed；来源=Butterfly Swords；攻击2格；仅保留来源商人/训练师关系。</t>
        </is>
      </c>
      <c r="S16" s="38" t="n">
        <v>3</v>
      </c>
      <c r="T16" s="38" t="n">
        <v>2</v>
      </c>
      <c r="U16" s="442" t="inlineStr">
        <is>
          <t>skill_vanguard,skill_flank,skill_pierce,skill_revolve,skill_chase,skill_break,skill_suppress,skill_finale</t>
        </is>
      </c>
      <c r="V16" s="442" t="inlineStr">
        <is>
          <t>trait_relentless</t>
        </is>
      </c>
      <c r="W16" s="457" t="n">
        <v>0</v>
      </c>
      <c r="X16" s="385" t="inlineStr">
        <is>
          <t>hero_001</t>
        </is>
      </c>
      <c r="Y16" s="386" t="inlineStr">
        <is>
          <t>playable</t>
        </is>
      </c>
      <c r="Z16" s="386" t="inlineStr">
        <is>
          <t>weapon, damage</t>
        </is>
      </c>
      <c r="AA16" s="386" t="str"/>
    </row>
    <row r="17">
      <c r="A17" s="38" t="inlineStr">
        <is>
          <t>pal_016</t>
        </is>
      </c>
      <c r="B17" s="38" t="inlineStr">
        <is>
          <t>涧水象</t>
        </is>
      </c>
      <c r="C17" s="38" t="inlineStr">
        <is>
          <t>雷、龙</t>
        </is>
      </c>
      <c r="D17" s="259" t="inlineStr">
        <is>
          <t>青铜</t>
        </is>
      </c>
      <c r="E17" s="38" t="inlineStr">
        <is>
          <t>召唤</t>
        </is>
      </c>
      <c r="F17" s="38" t="inlineStr">
        <is>
          <t>一格</t>
        </is>
      </c>
      <c r="G17" s="38" t="inlineStr">
        <is>
          <t>bz_van_016</t>
        </is>
      </c>
      <c r="H17" s="38" t="inlineStr">
        <is>
          <t>night_base, elem_火, elem_雷, elem_地, role_召唤, role_坦克, role_控制, role_治疗, tier_pT1, role_机动压制</t>
        </is>
      </c>
      <c r="I17" s="38" t="n">
        <v>10</v>
      </c>
      <c r="J17" s="456" t="n">
        <v>22</v>
      </c>
      <c r="K17" s="456" t="n">
        <v>5</v>
      </c>
      <c r="L17" s="456" t="n">
        <v>0</v>
      </c>
      <c r="M17" s="456">
        <f>XLOOKUP($D17&amp;"|"&amp;$E17&amp;"|"&amp;$F17,'PET_STAT_RULES'!$A$5:$A$88,'PET_STAT_RULES'!$G$5:$G$88)</f>
        <v/>
      </c>
      <c r="N17" s="38" t="n">
        <v>2</v>
      </c>
      <c r="O17" s="38" t="inlineStr">
        <is>
          <t>mech_grow_shield_each_round</t>
        </is>
      </c>
      <c r="P17" s="38" t="inlineStr">
        <is>
          <t>09 形状09</t>
        </is>
      </c>
      <c r="Q17" s="38" t="inlineStr">
        <is>
          <t>Deadly</t>
        </is>
      </c>
      <c r="R17" s="38" t="inlineStr">
        <is>
          <t>item confirmed；来源=Calico；攻击2格；仅保留来源商人/训练师关系。</t>
        </is>
      </c>
      <c r="S17" s="38" t="n">
        <v>3</v>
      </c>
      <c r="T17" s="38" t="n">
        <v>1</v>
      </c>
      <c r="U17" s="442" t="inlineStr">
        <is>
          <t>skill_vanguard,skill_flank,skill_pierce,skill_revolve,skill_chase,skill_break,skill_suppress,skill_finale</t>
        </is>
      </c>
      <c r="V17" s="442" t="inlineStr">
        <is>
          <t>trait_combo_resonance</t>
        </is>
      </c>
      <c r="W17" s="457" t="n">
        <v>0</v>
      </c>
      <c r="X17" s="385" t="inlineStr">
        <is>
          <t>hero_001</t>
        </is>
      </c>
      <c r="Y17" s="386" t="inlineStr">
        <is>
          <t>playable</t>
        </is>
      </c>
      <c r="Z17" s="386" t="inlineStr">
        <is>
          <t>friend, weapon, damage</t>
        </is>
      </c>
      <c r="AA17" s="386" t="inlineStr">
        <is>
          <t>crit</t>
        </is>
      </c>
    </row>
    <row r="18">
      <c r="A18" s="38" t="inlineStr">
        <is>
          <t>pal_017</t>
        </is>
      </c>
      <c r="B18" s="38" t="inlineStr">
        <is>
          <t>黑角犀</t>
        </is>
      </c>
      <c r="C18" s="38" t="inlineStr">
        <is>
          <t>火、雷</t>
        </is>
      </c>
      <c r="D18" s="259" t="inlineStr">
        <is>
          <t>青铜</t>
        </is>
      </c>
      <c r="E18" s="38" t="inlineStr">
        <is>
          <t>坦克</t>
        </is>
      </c>
      <c r="F18" s="38" t="inlineStr">
        <is>
          <t>两格</t>
        </is>
      </c>
      <c r="G18" s="38" t="inlineStr">
        <is>
          <t>bz_van_017</t>
        </is>
      </c>
      <c r="H18" s="38" t="inlineStr">
        <is>
          <t>night_base, elem_火, elem_雷, role_坦克, tier_pT1</t>
        </is>
      </c>
      <c r="I18" s="38" t="n">
        <v>10</v>
      </c>
      <c r="J18" s="456" t="n">
        <v>20</v>
      </c>
      <c r="K18" s="456" t="n">
        <v>8</v>
      </c>
      <c r="L18" s="456" t="n">
        <v>0</v>
      </c>
      <c r="M18" s="456">
        <f>XLOOKUP($D18&amp;"|"&amp;$E18&amp;"|"&amp;$F18,'PET_STAT_RULES'!$A$5:$A$88,'PET_STAT_RULES'!$G$5:$G$88)</f>
        <v/>
      </c>
      <c r="N18" s="38" t="n">
        <v>1</v>
      </c>
      <c r="O18" s="38" t="inlineStr">
        <is>
          <t>mech_wind_push_on_hit</t>
        </is>
      </c>
      <c r="P18" s="38" t="inlineStr">
        <is>
          <t>01 形状01</t>
        </is>
      </c>
      <c r="Q18" s="38" t="inlineStr">
        <is>
          <t>Fiery</t>
        </is>
      </c>
      <c r="R18" s="38" t="inlineStr">
        <is>
          <t>第一套·站位辅助；玩家效果：火攻击命中后将存活目标沿攻击方向推动1格；推动不会提前结算火种。来源=Cannon。</t>
        </is>
      </c>
      <c r="S18" s="38" t="n">
        <v>3</v>
      </c>
      <c r="T18" s="38" t="n">
        <v>1</v>
      </c>
      <c r="U18" s="442" t="inlineStr">
        <is>
          <t>skill_vanguard,skill_flank,skill_pierce,skill_revolve,skill_chase,skill_break,skill_suppress,skill_finale</t>
        </is>
      </c>
      <c r="V18" s="442" t="inlineStr">
        <is>
          <t>trait_relentless</t>
        </is>
      </c>
      <c r="W18" s="457" t="n">
        <v>0</v>
      </c>
      <c r="X18" s="385" t="inlineStr">
        <is>
          <t>hero_001</t>
        </is>
      </c>
      <c r="Y18" s="386" t="inlineStr">
        <is>
          <t>playable</t>
        </is>
      </c>
      <c r="Z18" s="386" t="inlineStr">
        <is>
          <t>weapon, damage, ammo, burn</t>
        </is>
      </c>
      <c r="AA18" s="386" t="str"/>
    </row>
    <row r="19">
      <c r="A19" s="38" t="inlineStr">
        <is>
          <t>pal_018</t>
        </is>
      </c>
      <c r="B19" s="38" t="inlineStr">
        <is>
          <t>竹囊鼠</t>
        </is>
      </c>
      <c r="C19" s="38" t="inlineStr">
        <is>
          <t>雷</t>
        </is>
      </c>
      <c r="D19" s="262" t="inlineStr">
        <is>
          <t>黄金</t>
        </is>
      </c>
      <c r="E19" s="38" t="inlineStr">
        <is>
          <t>机动</t>
        </is>
      </c>
      <c r="F19" s="38" t="inlineStr">
        <is>
          <t>三格</t>
        </is>
      </c>
      <c r="G19" s="38" t="inlineStr">
        <is>
          <t>bz_van_018</t>
        </is>
      </c>
      <c r="H19" s="38" t="inlineStr">
        <is>
          <t>night_base, elem_水, elem_雷, elem_地, elem_暗, role_坦克, role_控制, role_治疗, elite_high, role_风系铺场</t>
        </is>
      </c>
      <c r="I19" s="38" t="n">
        <v>10</v>
      </c>
      <c r="J19" s="456" t="n">
        <v>22</v>
      </c>
      <c r="K19" s="456" t="n">
        <v>5</v>
      </c>
      <c r="L19" s="456" t="n">
        <v>0</v>
      </c>
      <c r="M19" s="456">
        <f>XLOOKUP($D19&amp;"|"&amp;$E19&amp;"|"&amp;$F19,'PET_STAT_RULES'!$A$5:$A$88,'PET_STAT_RULES'!$G$5:$G$88)</f>
        <v/>
      </c>
      <c r="N19" s="38" t="n">
        <v>2</v>
      </c>
      <c r="O19" s="38" t="inlineStr">
        <is>
          <t>none</t>
        </is>
      </c>
      <c r="P19" s="38" t="inlineStr">
        <is>
          <t>09 形状09</t>
        </is>
      </c>
      <c r="Q19" s="38" t="inlineStr">
        <is>
          <t>Turbo</t>
        </is>
      </c>
      <c r="R19" s="38" t="inlineStr">
        <is>
          <t>item confirmed；来源=Cannonade；攻击2格；仅保留来源商人/训练师关系。</t>
        </is>
      </c>
      <c r="S19" s="38" t="n">
        <v>5</v>
      </c>
      <c r="T19" s="38" t="n">
        <v>2</v>
      </c>
      <c r="U19" s="442" t="inlineStr">
        <is>
          <t>skill_vanguard,skill_flank,skill_pierce,skill_revolve,skill_chase,skill_break,skill_suppress,skill_finale</t>
        </is>
      </c>
      <c r="V19" s="442" t="inlineStr">
        <is>
          <t>trait_relentless</t>
        </is>
      </c>
      <c r="W19" s="457" t="n">
        <v>0</v>
      </c>
      <c r="X19" s="385" t="inlineStr">
        <is>
          <t>hero_001</t>
        </is>
      </c>
      <c r="Y19" s="386" t="inlineStr">
        <is>
          <t>playable</t>
        </is>
      </c>
      <c r="Z19" s="386" t="inlineStr">
        <is>
          <t>weapon, damage</t>
        </is>
      </c>
      <c r="AA19" s="386" t="str"/>
    </row>
    <row r="20">
      <c r="A20" s="38" t="inlineStr">
        <is>
          <t>pal_019</t>
        </is>
      </c>
      <c r="B20" s="38" t="inlineStr">
        <is>
          <t>夜穴鼹</t>
        </is>
      </c>
      <c r="C20" s="38" t="inlineStr">
        <is>
          <t>暗、火</t>
        </is>
      </c>
      <c r="D20" s="265" t="inlineStr">
        <is>
          <t>白银</t>
        </is>
      </c>
      <c r="E20" s="38" t="inlineStr">
        <is>
          <t>输出</t>
        </is>
      </c>
      <c r="F20" s="38" t="inlineStr">
        <is>
          <t>一格</t>
        </is>
      </c>
      <c r="G20" s="38" t="inlineStr">
        <is>
          <t>bz_van_019</t>
        </is>
      </c>
      <c r="H20" s="38" t="inlineStr">
        <is>
          <t>night_base, elem_火, elem_暗, role_输出, tier_pT2</t>
        </is>
      </c>
      <c r="I20" s="38" t="n">
        <v>10</v>
      </c>
      <c r="J20" s="456" t="n">
        <v>18</v>
      </c>
      <c r="K20" s="456" t="n">
        <v>4</v>
      </c>
      <c r="L20" s="456" t="n">
        <v>0</v>
      </c>
      <c r="M20" s="456">
        <f>XLOOKUP($D20&amp;"|"&amp;$E20&amp;"|"&amp;$F20,'PET_STAT_RULES'!$A$5:$A$88,'PET_STAT_RULES'!$G$5:$G$88)</f>
        <v/>
      </c>
      <c r="N20" s="38" t="n">
        <v>3</v>
      </c>
      <c r="O20" s="38" t="inlineStr">
        <is>
          <t>mech_element_layer_threshold_bonus</t>
        </is>
      </c>
      <c r="P20" s="38" t="inlineStr">
        <is>
          <t>13 形状13</t>
        </is>
      </c>
      <c r="Q20" s="38" t="inlineStr">
        <is>
          <t>Deadly</t>
        </is>
      </c>
      <c r="R20" s="38" t="inlineStr">
        <is>
          <t>第一套·延迟副核；玩家效果：火种地形达到3层时，统一结算额外造成5点伤害。来源=Cannonball。</t>
        </is>
      </c>
      <c r="S20" s="38" t="n">
        <v>3</v>
      </c>
      <c r="T20" s="38" t="n">
        <v>2</v>
      </c>
      <c r="U20" s="442" t="inlineStr">
        <is>
          <t>skill_vanguard,skill_flank,skill_pierce,skill_revolve,skill_chase,skill_break,skill_suppress,skill_finale</t>
        </is>
      </c>
      <c r="V20" s="442" t="inlineStr">
        <is>
          <t>trait_relentless</t>
        </is>
      </c>
      <c r="W20" s="457" t="n">
        <v>0</v>
      </c>
      <c r="X20" s="385" t="inlineStr">
        <is>
          <t>hero_001</t>
        </is>
      </c>
      <c r="Y20" s="386" t="inlineStr">
        <is>
          <t>playable</t>
        </is>
      </c>
      <c r="Z20" s="386" t="str"/>
      <c r="AA20" s="386" t="inlineStr">
        <is>
          <t>ammo</t>
        </is>
      </c>
    </row>
    <row r="21">
      <c r="A21" s="38" t="inlineStr">
        <is>
          <t>pal_020</t>
        </is>
      </c>
      <c r="B21" s="38" t="inlineStr">
        <is>
          <t>沙鬃猪</t>
        </is>
      </c>
      <c r="C21" s="38" t="inlineStr">
        <is>
          <t>水、雷</t>
        </is>
      </c>
      <c r="D21" s="265" t="inlineStr">
        <is>
          <t>白银</t>
        </is>
      </c>
      <c r="E21" s="38" t="inlineStr">
        <is>
          <t>机动</t>
        </is>
      </c>
      <c r="F21" s="38" t="inlineStr">
        <is>
          <t>三格</t>
        </is>
      </c>
      <c r="G21" s="38" t="inlineStr">
        <is>
          <t>bz_van_020</t>
        </is>
      </c>
      <c r="H21" s="38" t="inlineStr">
        <is>
          <t>elem_水, elem_雷, elem_冰, elem_地, role_坦克, role_控制, role_输出, role_机动, special_merchant, elite_high</t>
        </is>
      </c>
      <c r="I21" s="38" t="n">
        <v>10</v>
      </c>
      <c r="J21" s="456" t="n">
        <v>22</v>
      </c>
      <c r="K21" s="456" t="n">
        <v>5</v>
      </c>
      <c r="L21" s="456" t="n">
        <v>0</v>
      </c>
      <c r="M21" s="456">
        <f>XLOOKUP($D21&amp;"|"&amp;$E21&amp;"|"&amp;$F21,'PET_STAT_RULES'!$A$5:$A$88,'PET_STAT_RULES'!$G$5:$G$88)</f>
        <v/>
      </c>
      <c r="N21" s="38" t="n">
        <v>2</v>
      </c>
      <c r="O21" s="38" t="inlineStr">
        <is>
          <t>none</t>
        </is>
      </c>
      <c r="P21" s="38" t="inlineStr">
        <is>
          <t>08 形状08</t>
        </is>
      </c>
      <c r="Q21" s="38" t="inlineStr">
        <is>
          <t>Turbo</t>
        </is>
      </c>
      <c r="R21" s="38" t="inlineStr">
        <is>
          <t>item confirmed；来源=Captain's Quarters；攻击2格；仅保留来源商人/训练师关系。</t>
        </is>
      </c>
      <c r="S21" s="38" t="n">
        <v>5</v>
      </c>
      <c r="T21" s="38" t="n">
        <v>2</v>
      </c>
      <c r="U21" s="442" t="inlineStr">
        <is>
          <t>skill_vanguard,skill_flank,skill_pierce,skill_revolve,skill_chase,skill_break,skill_suppress,skill_finale</t>
        </is>
      </c>
      <c r="V21" s="442" t="inlineStr">
        <is>
          <t>trait_relentless</t>
        </is>
      </c>
      <c r="W21" s="457" t="n">
        <v>0</v>
      </c>
      <c r="X21" s="385" t="inlineStr">
        <is>
          <t>hero_001</t>
        </is>
      </c>
      <c r="Y21" s="386" t="inlineStr">
        <is>
          <t>playable</t>
        </is>
      </c>
      <c r="Z21" s="386" t="inlineStr">
        <is>
          <t>aquatic, property, haste</t>
        </is>
      </c>
      <c r="AA21" s="386" t="inlineStr">
        <is>
          <t>damage, ammo</t>
        </is>
      </c>
    </row>
    <row r="22">
      <c r="A22" s="38" t="inlineStr">
        <is>
          <t>pal_021</t>
        </is>
      </c>
      <c r="B22" s="38" t="inlineStr">
        <is>
          <t>暮羽鸦</t>
        </is>
      </c>
      <c r="C22" s="38" t="inlineStr">
        <is>
          <t>水、龙</t>
        </is>
      </c>
      <c r="D22" s="265" t="inlineStr">
        <is>
          <t>白银</t>
        </is>
      </c>
      <c r="E22" s="38" t="inlineStr">
        <is>
          <t>机动</t>
        </is>
      </c>
      <c r="F22" s="38" t="inlineStr">
        <is>
          <t>两格</t>
        </is>
      </c>
      <c r="G22" s="38" t="inlineStr">
        <is>
          <t>bz_van_021</t>
        </is>
      </c>
      <c r="H22" s="38" t="inlineStr">
        <is>
          <t>elem_水, elem_雷, elem_冰, elem_无, role_坦克, role_控制, role_输出, special_merchant, elite_high, role_远点压制</t>
        </is>
      </c>
      <c r="I22" s="38" t="n">
        <v>10</v>
      </c>
      <c r="J22" s="456">
        <f>XLOOKUP($D22&amp;"|"&amp;$E22&amp;"|"&amp;$F22,'PET_STAT_RULES'!$A$5:$A$88,'PET_STAT_RULES'!$C$5:$C$88)</f>
        <v/>
      </c>
      <c r="K22" s="456">
        <f>XLOOKUP($D22&amp;"|"&amp;$E22&amp;"|"&amp;$F22,'PET_STAT_RULES'!$A$5:$A$88,'PET_STAT_RULES'!$D$5:$D$88)</f>
        <v/>
      </c>
      <c r="L22" s="456">
        <f>XLOOKUP($D22&amp;"|"&amp;$E22&amp;"|"&amp;$F22,'PET_STAT_RULES'!$A$5:$A$88,'PET_STAT_RULES'!$F$5:$F$88)</f>
        <v/>
      </c>
      <c r="M22" s="456">
        <f>XLOOKUP($D22&amp;"|"&amp;$E22&amp;"|"&amp;$F22,'PET_STAT_RULES'!$A$5:$A$88,'PET_STAT_RULES'!$G$5:$G$88)</f>
        <v/>
      </c>
      <c r="N22" s="38" t="n">
        <v>2</v>
      </c>
      <c r="O22" s="38" t="inlineStr">
        <is>
          <t>none</t>
        </is>
      </c>
      <c r="P22" s="38" t="inlineStr">
        <is>
          <t>06 形状06</t>
        </is>
      </c>
      <c r="Q22" s="38" t="inlineStr">
        <is>
          <t>Turbo</t>
        </is>
      </c>
      <c r="R22" s="38" t="inlineStr">
        <is>
          <t>item confirmed；来源=Captain's Wheel；攻击2格；仅保留来源商人/训练师关系。</t>
        </is>
      </c>
      <c r="S22" s="38" t="n">
        <v>5</v>
      </c>
      <c r="T22" s="38" t="n">
        <v>2</v>
      </c>
      <c r="U22" s="442" t="inlineStr">
        <is>
          <t>skill_vanguard,skill_flank,skill_pierce,skill_revolve,skill_chase,skill_break,skill_suppress,skill_finale</t>
        </is>
      </c>
      <c r="V22" s="442" t="inlineStr">
        <is>
          <t>trait_relentless</t>
        </is>
      </c>
      <c r="W22" s="457">
        <f>XLOOKUP($D22&amp;"|"&amp;$E22&amp;"|"&amp;$F22,'PET_STAT_RULES'!$A$5:$A$88,'PET_STAT_RULES'!$E$5:$E$88)</f>
        <v/>
      </c>
      <c r="X22" s="385" t="inlineStr">
        <is>
          <t>hero_001</t>
        </is>
      </c>
      <c r="Y22" s="386" t="inlineStr">
        <is>
          <t>playable</t>
        </is>
      </c>
      <c r="Z22" s="386" t="inlineStr">
        <is>
          <t>aquatic, tool, haste</t>
        </is>
      </c>
      <c r="AA22" s="386" t="str"/>
    </row>
    <row r="23">
      <c r="A23" s="38" t="inlineStr">
        <is>
          <t>pal_022</t>
        </is>
      </c>
      <c r="B23" s="38" t="inlineStr">
        <is>
          <t>岩爪鼹</t>
        </is>
      </c>
      <c r="C23" s="38" t="inlineStr">
        <is>
          <t>龙</t>
        </is>
      </c>
      <c r="D23" s="265" t="inlineStr">
        <is>
          <t>白银</t>
        </is>
      </c>
      <c r="E23" s="38" t="inlineStr">
        <is>
          <t>机动</t>
        </is>
      </c>
      <c r="F23" s="38" t="inlineStr">
        <is>
          <t>两格</t>
        </is>
      </c>
      <c r="G23" s="38" t="inlineStr">
        <is>
          <t>bz_van_022</t>
        </is>
      </c>
      <c r="H23" s="38" t="inlineStr">
        <is>
          <t>elem_水, elem_雷, elem_冰, elem_暗, elem_无, role_召唤, role_坦克, role_控制, role_治疗, role_经济</t>
        </is>
      </c>
      <c r="I23" s="38" t="n">
        <v>10</v>
      </c>
      <c r="J23" s="456">
        <f>XLOOKUP($D23&amp;"|"&amp;$E23&amp;"|"&amp;$F23,'PET_STAT_RULES'!$A$5:$A$88,'PET_STAT_RULES'!$C$5:$C$88)</f>
        <v/>
      </c>
      <c r="K23" s="456">
        <f>XLOOKUP($D23&amp;"|"&amp;$E23&amp;"|"&amp;$F23,'PET_STAT_RULES'!$A$5:$A$88,'PET_STAT_RULES'!$D$5:$D$88)</f>
        <v/>
      </c>
      <c r="L23" s="456">
        <f>XLOOKUP($D23&amp;"|"&amp;$E23&amp;"|"&amp;$F23,'PET_STAT_RULES'!$A$5:$A$88,'PET_STAT_RULES'!$F$5:$F$88)</f>
        <v/>
      </c>
      <c r="M23" s="456">
        <f>XLOOKUP($D23&amp;"|"&amp;$E23&amp;"|"&amp;$F23,'PET_STAT_RULES'!$A$5:$A$88,'PET_STAT_RULES'!$G$5:$G$88)</f>
        <v/>
      </c>
      <c r="N23" s="38" t="n">
        <v>2</v>
      </c>
      <c r="O23" s="38" t="inlineStr">
        <is>
          <t>none</t>
        </is>
      </c>
      <c r="P23" s="38" t="inlineStr">
        <is>
          <t>07 形状07</t>
        </is>
      </c>
      <c r="Q23" s="38" t="inlineStr">
        <is>
          <t>Turbo</t>
        </is>
      </c>
      <c r="R23" s="38" t="inlineStr">
        <is>
          <t>item confirmed；来源=Card Table；攻击2格；仅保留来源商人/训练师关系。</t>
        </is>
      </c>
      <c r="S23" s="38" t="n">
        <v>5</v>
      </c>
      <c r="T23" s="38" t="n">
        <v>2</v>
      </c>
      <c r="U23" s="442" t="inlineStr">
        <is>
          <t>skill_vanguard,skill_flank,skill_pierce,skill_revolve,skill_chase,skill_break,skill_suppress,skill_finale</t>
        </is>
      </c>
      <c r="V23" s="442" t="inlineStr">
        <is>
          <t>trait_relentless</t>
        </is>
      </c>
      <c r="W23" s="457">
        <f>XLOOKUP($D23&amp;"|"&amp;$E23&amp;"|"&amp;$F23,'PET_STAT_RULES'!$A$5:$A$88,'PET_STAT_RULES'!$E$5:$E$88)</f>
        <v/>
      </c>
      <c r="X23" s="385" t="inlineStr">
        <is>
          <t>hero_001</t>
        </is>
      </c>
      <c r="Y23" s="386" t="inlineStr">
        <is>
          <t>playable</t>
        </is>
      </c>
      <c r="Z23" s="386" t="str"/>
      <c r="AA23" s="386" t="str"/>
    </row>
    <row r="24">
      <c r="A24" s="38" t="inlineStr">
        <is>
          <t>pal_023</t>
        </is>
      </c>
      <c r="B24" s="38" t="inlineStr">
        <is>
          <t>墨潭鲵</t>
        </is>
      </c>
      <c r="C24" s="38" t="inlineStr">
        <is>
          <t>草、水</t>
        </is>
      </c>
      <c r="D24" s="259" t="inlineStr">
        <is>
          <t>青铜</t>
        </is>
      </c>
      <c r="E24" s="38" t="inlineStr">
        <is>
          <t>控制</t>
        </is>
      </c>
      <c r="F24" s="38" t="inlineStr">
        <is>
          <t>一格</t>
        </is>
      </c>
      <c r="G24" s="38" t="inlineStr">
        <is>
          <t>bz_van_023</t>
        </is>
      </c>
      <c r="H24" s="38" t="inlineStr">
        <is>
          <t>elem_火, elem_雷, elem_冰, role_坦克, role_控制, role_输出, special_merchant, elite_high, role_机动压制, role_火系压制</t>
        </is>
      </c>
      <c r="I24" s="38" t="n">
        <v>10</v>
      </c>
      <c r="J24" s="456">
        <f>XLOOKUP($D24&amp;"|"&amp;$E24&amp;"|"&amp;$F24,'PET_STAT_RULES'!$A$5:$A$88,'PET_STAT_RULES'!$C$5:$C$88)</f>
        <v/>
      </c>
      <c r="K24" s="456">
        <f>XLOOKUP($D24&amp;"|"&amp;$E24&amp;"|"&amp;$F24,'PET_STAT_RULES'!$A$5:$A$88,'PET_STAT_RULES'!$D$5:$D$88)</f>
        <v/>
      </c>
      <c r="L24" s="456">
        <f>XLOOKUP($D24&amp;"|"&amp;$E24&amp;"|"&amp;$F24,'PET_STAT_RULES'!$A$5:$A$88,'PET_STAT_RULES'!$F$5:$F$88)</f>
        <v/>
      </c>
      <c r="M24" s="456">
        <f>XLOOKUP($D24&amp;"|"&amp;$E24&amp;"|"&amp;$F24,'PET_STAT_RULES'!$A$5:$A$88,'PET_STAT_RULES'!$G$5:$G$88)</f>
        <v/>
      </c>
      <c r="N24" s="38" t="n">
        <v>2</v>
      </c>
      <c r="O24" s="38" t="inlineStr">
        <is>
          <t>mech_counter_damage</t>
        </is>
      </c>
      <c r="P24" s="38" t="inlineStr">
        <is>
          <t>10 形状10</t>
        </is>
      </c>
      <c r="Q24" s="38" t="inlineStr">
        <is>
          <t>Toxic</t>
        </is>
      </c>
      <c r="R24" s="38" t="inlineStr">
        <is>
          <t>item confirmed；来源=Catfish；攻击2格；仅保留来源商人/训练师关系。</t>
        </is>
      </c>
      <c r="S24" s="38" t="n">
        <v>4</v>
      </c>
      <c r="T24" s="38" t="n">
        <v>1</v>
      </c>
      <c r="U24" s="442" t="inlineStr">
        <is>
          <t>skill_vanguard,skill_flank,skill_pierce,skill_revolve,skill_chase,skill_break,skill_suppress,skill_finale</t>
        </is>
      </c>
      <c r="V24" s="442" t="inlineStr">
        <is>
          <t>trait_element_affinity</t>
        </is>
      </c>
      <c r="W24" s="457">
        <f>XLOOKUP($D24&amp;"|"&amp;$E24&amp;"|"&amp;$F24,'PET_STAT_RULES'!$A$5:$A$88,'PET_STAT_RULES'!$E$5:$E$88)</f>
        <v/>
      </c>
      <c r="X24" s="385" t="inlineStr">
        <is>
          <t>hero_001</t>
        </is>
      </c>
      <c r="Y24" s="386" t="inlineStr">
        <is>
          <t>playable</t>
        </is>
      </c>
      <c r="Z24" s="386" t="inlineStr">
        <is>
          <t>aquatic, friend, poison</t>
        </is>
      </c>
      <c r="AA24" s="386" t="inlineStr">
        <is>
          <t>haste</t>
        </is>
      </c>
    </row>
    <row r="25">
      <c r="A25" s="38" t="inlineStr">
        <is>
          <t>pal_024</t>
        </is>
      </c>
      <c r="B25" s="38" t="inlineStr">
        <is>
          <t>幽纹猫</t>
        </is>
      </c>
      <c r="C25" s="38" t="inlineStr">
        <is>
          <t>火</t>
        </is>
      </c>
      <c r="D25" s="265" t="inlineStr">
        <is>
          <t>白银</t>
        </is>
      </c>
      <c r="E25" s="38" t="inlineStr">
        <is>
          <t>控制</t>
        </is>
      </c>
      <c r="F25" s="38" t="inlineStr">
        <is>
          <t>两格</t>
        </is>
      </c>
      <c r="G25" s="38" t="inlineStr">
        <is>
          <t>bz_van_024</t>
        </is>
      </c>
      <c r="H25" s="38" t="inlineStr">
        <is>
          <t>night_base, elem_水, elem_雷, role_坦克, role_控制, special_merchant, elite_high, tier_pT2, role_召唤铺场, role_抗压承伤</t>
        </is>
      </c>
      <c r="I25" s="38" t="n">
        <v>10</v>
      </c>
      <c r="J25" s="456">
        <f>XLOOKUP($D25&amp;"|"&amp;$E25&amp;"|"&amp;$F25,'PET_STAT_RULES'!$A$5:$A$88,'PET_STAT_RULES'!$C$5:$C$88)</f>
        <v/>
      </c>
      <c r="K25" s="456">
        <f>XLOOKUP($D25&amp;"|"&amp;$E25&amp;"|"&amp;$F25,'PET_STAT_RULES'!$A$5:$A$88,'PET_STAT_RULES'!$D$5:$D$88)</f>
        <v/>
      </c>
      <c r="L25" s="456">
        <f>XLOOKUP($D25&amp;"|"&amp;$E25&amp;"|"&amp;$F25,'PET_STAT_RULES'!$A$5:$A$88,'PET_STAT_RULES'!$F$5:$F$88)</f>
        <v/>
      </c>
      <c r="M25" s="456">
        <f>XLOOKUP($D25&amp;"|"&amp;$E25&amp;"|"&amp;$F25,'PET_STAT_RULES'!$A$5:$A$88,'PET_STAT_RULES'!$G$5:$G$88)</f>
        <v/>
      </c>
      <c r="N25" s="38" t="n">
        <v>2</v>
      </c>
      <c r="O25" s="38" t="inlineStr">
        <is>
          <t>mech_fire_ignite_bonus</t>
        </is>
      </c>
      <c r="P25" s="38" t="inlineStr">
        <is>
          <t>08 形状08</t>
        </is>
      </c>
      <c r="Q25" s="38" t="inlineStr">
        <is>
          <t>Fiery</t>
        </is>
      </c>
      <c r="R25" s="38" t="inlineStr">
        <is>
          <t>item confirmed；来源=Cauterizing Blade；攻击2格；仅保留来源商人/训练师关系。</t>
        </is>
      </c>
      <c r="S25" s="38" t="n">
        <v>4</v>
      </c>
      <c r="T25" s="38" t="n">
        <v>2</v>
      </c>
      <c r="U25" s="442" t="inlineStr">
        <is>
          <t>skill_vanguard,skill_flank,skill_pierce,skill_revolve,skill_chase,skill_break,skill_suppress,skill_finale</t>
        </is>
      </c>
      <c r="V25" s="442" t="inlineStr">
        <is>
          <t>trait_element_affinity</t>
        </is>
      </c>
      <c r="W25" s="457">
        <f>XLOOKUP($D25&amp;"|"&amp;$E25&amp;"|"&amp;$F25,'PET_STAT_RULES'!$A$5:$A$88,'PET_STAT_RULES'!$E$5:$E$88)</f>
        <v/>
      </c>
      <c r="X25" s="385" t="inlineStr">
        <is>
          <t>hero_001</t>
        </is>
      </c>
      <c r="Y25" s="386" t="inlineStr">
        <is>
          <t>playable</t>
        </is>
      </c>
      <c r="Z25" s="386" t="inlineStr">
        <is>
          <t>weapon, tech, damage, burn</t>
        </is>
      </c>
      <c r="AA25" s="386" t="str"/>
    </row>
    <row r="26">
      <c r="A26" s="38" t="inlineStr">
        <is>
          <t>pal_025</t>
        </is>
      </c>
      <c r="B26" s="38" t="inlineStr">
        <is>
          <t>泉须鲶</t>
        </is>
      </c>
      <c r="C26" s="38" t="inlineStr">
        <is>
          <t>草、水</t>
        </is>
      </c>
      <c r="D26" s="259" t="inlineStr">
        <is>
          <t>青铜</t>
        </is>
      </c>
      <c r="E26" s="38" t="inlineStr">
        <is>
          <t>经济</t>
        </is>
      </c>
      <c r="F26" s="38" t="inlineStr">
        <is>
          <t>一格</t>
        </is>
      </c>
      <c r="G26" s="38" t="inlineStr">
        <is>
          <t>bz_van_025</t>
        </is>
      </c>
      <c r="H26" s="38" t="inlineStr">
        <is>
          <t>elem_火, elem_雷, elem_冰, elem_地, role_召唤, role_坦克, role_控制, role_输出, tier_pT1, tier_pT3</t>
        </is>
      </c>
      <c r="I26" s="38" t="n">
        <v>10</v>
      </c>
      <c r="J26" s="456">
        <f>XLOOKUP($D26&amp;"|"&amp;$E26&amp;"|"&amp;$F26,'PET_STAT_RULES'!$A$5:$A$88,'PET_STAT_RULES'!$C$5:$C$88)</f>
        <v/>
      </c>
      <c r="K26" s="456">
        <f>XLOOKUP($D26&amp;"|"&amp;$E26&amp;"|"&amp;$F26,'PET_STAT_RULES'!$A$5:$A$88,'PET_STAT_RULES'!$D$5:$D$88)</f>
        <v/>
      </c>
      <c r="L26" s="456">
        <f>XLOOKUP($D26&amp;"|"&amp;$E26&amp;"|"&amp;$F26,'PET_STAT_RULES'!$A$5:$A$88,'PET_STAT_RULES'!$F$5:$F$88)</f>
        <v/>
      </c>
      <c r="M26" s="456">
        <f>XLOOKUP($D26&amp;"|"&amp;$E26&amp;"|"&amp;$F26,'PET_STAT_RULES'!$A$5:$A$88,'PET_STAT_RULES'!$G$5:$G$88)</f>
        <v/>
      </c>
      <c r="N26" s="38" t="n">
        <v>1</v>
      </c>
      <c r="O26" s="38" t="inlineStr">
        <is>
          <t>none</t>
        </is>
      </c>
      <c r="P26" s="38" t="inlineStr">
        <is>
          <t>01 形状01</t>
        </is>
      </c>
      <c r="Q26" s="38" t="inlineStr">
        <is>
          <t>Golden</t>
        </is>
      </c>
      <c r="R26" s="38" t="inlineStr">
        <is>
          <t>item confirmed；来源=Chum；攻击1格；仅保留来源商人/训练师关系。</t>
        </is>
      </c>
      <c r="S26" s="38" t="n">
        <v>3</v>
      </c>
      <c r="T26" s="38" t="n">
        <v>1</v>
      </c>
      <c r="U26" s="442" t="inlineStr">
        <is>
          <t>skill_vanguard,skill_flank,skill_pierce,skill_revolve,skill_chase,skill_break,skill_suppress,skill_finale</t>
        </is>
      </c>
      <c r="V26" s="442" t="inlineStr">
        <is>
          <t>trait_combo_resonance</t>
        </is>
      </c>
      <c r="W26" s="457">
        <f>XLOOKUP($D26&amp;"|"&amp;$E26&amp;"|"&amp;$F26,'PET_STAT_RULES'!$A$5:$A$88,'PET_STAT_RULES'!$E$5:$E$88)</f>
        <v/>
      </c>
      <c r="X26" s="385" t="inlineStr">
        <is>
          <t>hero_001</t>
        </is>
      </c>
      <c r="Y26" s="386" t="inlineStr">
        <is>
          <t>playable</t>
        </is>
      </c>
      <c r="Z26" s="386" t="inlineStr">
        <is>
          <t>aquatic, food, crit</t>
        </is>
      </c>
      <c r="AA26" s="386" t="str"/>
    </row>
    <row r="27">
      <c r="A27" s="38" t="inlineStr">
        <is>
          <t>pal_026</t>
        </is>
      </c>
      <c r="B27" s="38" t="inlineStr">
        <is>
          <t>疾风狼</t>
        </is>
      </c>
      <c r="C27" s="38" t="inlineStr">
        <is>
          <t>水</t>
        </is>
      </c>
      <c r="D27" s="265" t="inlineStr">
        <is>
          <t>白银</t>
        </is>
      </c>
      <c r="E27" s="38" t="inlineStr">
        <is>
          <t>控制</t>
        </is>
      </c>
      <c r="F27" s="38" t="inlineStr">
        <is>
          <t>一格</t>
        </is>
      </c>
      <c r="G27" s="38" t="inlineStr">
        <is>
          <t>bz_van_026</t>
        </is>
      </c>
      <c r="H27" s="38" t="inlineStr">
        <is>
          <t>elem_火, elem_雷, elem_冰, elem_地, role_召唤, role_坦克, role_控制, role_输出, special_merchant, role_召唤铺场</t>
        </is>
      </c>
      <c r="I27" s="38" t="n">
        <v>10</v>
      </c>
      <c r="J27" s="456">
        <f>XLOOKUP($D27&amp;"|"&amp;$E27&amp;"|"&amp;$F27,'PET_STAT_RULES'!$A$5:$A$88,'PET_STAT_RULES'!$C$5:$C$88)</f>
        <v/>
      </c>
      <c r="K27" s="456">
        <f>XLOOKUP($D27&amp;"|"&amp;$E27&amp;"|"&amp;$F27,'PET_STAT_RULES'!$A$5:$A$88,'PET_STAT_RULES'!$D$5:$D$88)</f>
        <v/>
      </c>
      <c r="L27" s="456">
        <f>XLOOKUP($D27&amp;"|"&amp;$E27&amp;"|"&amp;$F27,'PET_STAT_RULES'!$A$5:$A$88,'PET_STAT_RULES'!$F$5:$F$88)</f>
        <v/>
      </c>
      <c r="M27" s="456">
        <f>XLOOKUP($D27&amp;"|"&amp;$E27&amp;"|"&amp;$F27,'PET_STAT_RULES'!$A$5:$A$88,'PET_STAT_RULES'!$G$5:$G$88)</f>
        <v/>
      </c>
      <c r="N27" s="38" t="n">
        <v>2</v>
      </c>
      <c r="O27" s="38" t="inlineStr">
        <is>
          <t>mech_counter_damage</t>
        </is>
      </c>
      <c r="P27" s="38" t="inlineStr">
        <is>
          <t>11 形状11</t>
        </is>
      </c>
      <c r="Q27" s="38" t="inlineStr">
        <is>
          <t>Icy</t>
        </is>
      </c>
      <c r="R27" s="38" t="inlineStr">
        <is>
          <t>item confirmed；来源=Clamera；攻击2格；仅保留来源商人/训练师关系。</t>
        </is>
      </c>
      <c r="S27" s="38" t="n">
        <v>4</v>
      </c>
      <c r="T27" s="38" t="n">
        <v>2</v>
      </c>
      <c r="U27" s="442" t="inlineStr">
        <is>
          <t>skill_vanguard,skill_flank,skill_pierce,skill_revolve,skill_chase,skill_break,skill_suppress,skill_finale</t>
        </is>
      </c>
      <c r="V27" s="442" t="inlineStr">
        <is>
          <t>trait_element_affinity</t>
        </is>
      </c>
      <c r="W27" s="457">
        <f>XLOOKUP($D27&amp;"|"&amp;$E27&amp;"|"&amp;$F27,'PET_STAT_RULES'!$A$5:$A$88,'PET_STAT_RULES'!$E$5:$E$88)</f>
        <v/>
      </c>
      <c r="X27" s="385" t="inlineStr">
        <is>
          <t>hero_001</t>
        </is>
      </c>
      <c r="Y27" s="386" t="inlineStr">
        <is>
          <t>playable</t>
        </is>
      </c>
      <c r="Z27" s="386" t="inlineStr">
        <is>
          <t>aquatic, slow</t>
        </is>
      </c>
      <c r="AA27" s="386" t="str"/>
    </row>
    <row r="28">
      <c r="A28" s="38" t="inlineStr">
        <is>
          <t>pal_027</t>
        </is>
      </c>
      <c r="B28" s="38" t="inlineStr">
        <is>
          <t>惊羽雀</t>
        </is>
      </c>
      <c r="C28" s="38" t="inlineStr">
        <is>
          <t>地</t>
        </is>
      </c>
      <c r="D28" s="259" t="inlineStr">
        <is>
          <t>青铜</t>
        </is>
      </c>
      <c r="E28" s="38" t="inlineStr">
        <is>
          <t>机动</t>
        </is>
      </c>
      <c r="F28" s="38" t="inlineStr">
        <is>
          <t>一格</t>
        </is>
      </c>
      <c r="G28" s="38" t="inlineStr">
        <is>
          <t>bz_van_027</t>
        </is>
      </c>
      <c r="H28" s="38" t="inlineStr">
        <is>
          <t>night_base, elem_火, elem_雷, elem_地, role_召唤, role_坦克, role_控制, role_治疗, special_merchant, elite_high</t>
        </is>
      </c>
      <c r="I28" s="38" t="n">
        <v>10</v>
      </c>
      <c r="J28" s="456">
        <f>XLOOKUP($D28&amp;"|"&amp;$E28&amp;"|"&amp;$F28,'PET_STAT_RULES'!$A$5:$A$88,'PET_STAT_RULES'!$C$5:$C$88)</f>
        <v/>
      </c>
      <c r="K28" s="456">
        <f>XLOOKUP($D28&amp;"|"&amp;$E28&amp;"|"&amp;$F28,'PET_STAT_RULES'!$A$5:$A$88,'PET_STAT_RULES'!$D$5:$D$88)</f>
        <v/>
      </c>
      <c r="L28" s="456">
        <f>XLOOKUP($D28&amp;"|"&amp;$E28&amp;"|"&amp;$F28,'PET_STAT_RULES'!$A$5:$A$88,'PET_STAT_RULES'!$F$5:$F$88)</f>
        <v/>
      </c>
      <c r="M28" s="456">
        <f>XLOOKUP($D28&amp;"|"&amp;$E28&amp;"|"&amp;$F28,'PET_STAT_RULES'!$A$5:$A$88,'PET_STAT_RULES'!$G$5:$G$88)</f>
        <v/>
      </c>
      <c r="N28" s="38" t="n">
        <v>1</v>
      </c>
      <c r="O28" s="38" t="inlineStr">
        <is>
          <t>none</t>
        </is>
      </c>
      <c r="P28" s="38" t="inlineStr">
        <is>
          <t>01 形状01</t>
        </is>
      </c>
      <c r="Q28" s="38" t="inlineStr">
        <is>
          <t>Turbo</t>
        </is>
      </c>
      <c r="R28" s="38" t="inlineStr">
        <is>
          <t>item confirmed；来源=Concealed Dagger；攻击1格；仅保留来源商人/训练师关系。</t>
        </is>
      </c>
      <c r="S28" s="38" t="n">
        <v>5</v>
      </c>
      <c r="T28" s="38" t="n">
        <v>1</v>
      </c>
      <c r="U28" s="442" t="inlineStr">
        <is>
          <t>skill_vanguard,skill_flank,skill_pierce,skill_revolve,skill_chase,skill_break,skill_suppress,skill_finale</t>
        </is>
      </c>
      <c r="V28" s="442" t="inlineStr">
        <is>
          <t>trait_relentless</t>
        </is>
      </c>
      <c r="W28" s="457">
        <f>XLOOKUP($D28&amp;"|"&amp;$E28&amp;"|"&amp;$F28,'PET_STAT_RULES'!$A$5:$A$88,'PET_STAT_RULES'!$E$5:$E$88)</f>
        <v/>
      </c>
      <c r="X28" s="385" t="inlineStr">
        <is>
          <t>hero_001</t>
        </is>
      </c>
      <c r="Y28" s="386" t="inlineStr">
        <is>
          <t>playable</t>
        </is>
      </c>
      <c r="Z28" s="386" t="inlineStr">
        <is>
          <t>weapon, damage, gold, haste</t>
        </is>
      </c>
      <c r="AA28" s="386" t="str"/>
    </row>
    <row r="29">
      <c r="A29" s="38" t="inlineStr">
        <is>
          <t>pal_028</t>
        </is>
      </c>
      <c r="B29" s="38" t="inlineStr">
        <is>
          <t>药草兔</t>
        </is>
      </c>
      <c r="C29" s="38" t="inlineStr">
        <is>
          <t>水、龙</t>
        </is>
      </c>
      <c r="D29" s="259" t="inlineStr">
        <is>
          <t>青铜</t>
        </is>
      </c>
      <c r="E29" s="38" t="inlineStr">
        <is>
          <t>治疗</t>
        </is>
      </c>
      <c r="F29" s="38" t="inlineStr">
        <is>
          <t>一格</t>
        </is>
      </c>
      <c r="G29" s="38" t="inlineStr">
        <is>
          <t>bz_van_028</t>
        </is>
      </c>
      <c r="H29" s="38" t="inlineStr">
        <is>
          <t>night_base, elem_火, elem_雷, elem_冰, elem_地, role_召唤, role_坦克, role_控制, role_治疗, role_输出</t>
        </is>
      </c>
      <c r="I29" s="38" t="n">
        <v>10</v>
      </c>
      <c r="J29" s="456">
        <f>XLOOKUP($D29&amp;"|"&amp;$E29&amp;"|"&amp;$F29,'PET_STAT_RULES'!$A$5:$A$88,'PET_STAT_RULES'!$C$5:$C$88)</f>
        <v/>
      </c>
      <c r="K29" s="456">
        <f>XLOOKUP($D29&amp;"|"&amp;$E29&amp;"|"&amp;$F29,'PET_STAT_RULES'!$A$5:$A$88,'PET_STAT_RULES'!$D$5:$D$88)</f>
        <v/>
      </c>
      <c r="L29" s="456">
        <f>XLOOKUP($D29&amp;"|"&amp;$E29&amp;"|"&amp;$F29,'PET_STAT_RULES'!$A$5:$A$88,'PET_STAT_RULES'!$F$5:$F$88)</f>
        <v/>
      </c>
      <c r="M29" s="456">
        <f>XLOOKUP($D29&amp;"|"&amp;$E29&amp;"|"&amp;$F29,'PET_STAT_RULES'!$A$5:$A$88,'PET_STAT_RULES'!$G$5:$G$88)</f>
        <v/>
      </c>
      <c r="N29" s="38" t="n">
        <v>1</v>
      </c>
      <c r="O29" s="38" t="inlineStr">
        <is>
          <t>mech_shield_regen</t>
        </is>
      </c>
      <c r="P29" s="38" t="inlineStr">
        <is>
          <t>03 形状03</t>
        </is>
      </c>
      <c r="Q29" s="38" t="inlineStr">
        <is>
          <t>Restorative</t>
        </is>
      </c>
      <c r="R29" s="38" t="inlineStr">
        <is>
          <t>item confirmed；来源=Coral；攻击1格；仅保留来源商人/训练师关系。</t>
        </is>
      </c>
      <c r="S29" s="38" t="n">
        <v>3</v>
      </c>
      <c r="T29" s="38" t="n">
        <v>1</v>
      </c>
      <c r="U29" s="442" t="inlineStr">
        <is>
          <t>skill_vanguard,skill_flank,skill_pierce,skill_revolve,skill_chase,skill_break,skill_suppress,skill_finale</t>
        </is>
      </c>
      <c r="V29" s="442" t="inlineStr">
        <is>
          <t>trait_element_affinity</t>
        </is>
      </c>
      <c r="W29" s="457">
        <f>XLOOKUP($D29&amp;"|"&amp;$E29&amp;"|"&amp;$F29,'PET_STAT_RULES'!$A$5:$A$88,'PET_STAT_RULES'!$E$5:$E$88)</f>
        <v/>
      </c>
      <c r="X29" s="385" t="inlineStr">
        <is>
          <t>hero_001</t>
        </is>
      </c>
      <c r="Y29" s="386" t="inlineStr">
        <is>
          <t>playable</t>
        </is>
      </c>
      <c r="Z29" s="386" t="inlineStr">
        <is>
          <t>aquatic, relic, heal</t>
        </is>
      </c>
      <c r="AA29" s="386" t="str"/>
    </row>
    <row r="30">
      <c r="A30" s="38" t="inlineStr">
        <is>
          <t>pal_029</t>
        </is>
      </c>
      <c r="B30" s="38" t="inlineStr">
        <is>
          <t>黄背牛</t>
        </is>
      </c>
      <c r="C30" s="38" t="inlineStr">
        <is>
          <t>水、地</t>
        </is>
      </c>
      <c r="D30" s="259" t="inlineStr">
        <is>
          <t>青铜</t>
        </is>
      </c>
      <c r="E30" s="38" t="inlineStr">
        <is>
          <t>坦克</t>
        </is>
      </c>
      <c r="F30" s="38" t="inlineStr">
        <is>
          <t>两格</t>
        </is>
      </c>
      <c r="G30" s="38" t="inlineStr">
        <is>
          <t>bz_van_029</t>
        </is>
      </c>
      <c r="H30" s="38" t="inlineStr">
        <is>
          <t>elem_水, elem_雷, elem_冰, elem_龙, elem_无, role_坦克, role_控制, role_输出, tier_pT3, role_重甲抗压</t>
        </is>
      </c>
      <c r="I30" s="38" t="n">
        <v>10</v>
      </c>
      <c r="J30" s="456">
        <f>XLOOKUP($D30&amp;"|"&amp;$E30&amp;"|"&amp;$F30,'PET_STAT_RULES'!$A$5:$A$88,'PET_STAT_RULES'!$C$5:$C$88)</f>
        <v/>
      </c>
      <c r="K30" s="456">
        <f>XLOOKUP($D30&amp;"|"&amp;$E30&amp;"|"&amp;$F30,'PET_STAT_RULES'!$A$5:$A$88,'PET_STAT_RULES'!$D$5:$D$88)</f>
        <v/>
      </c>
      <c r="L30" s="456">
        <f>XLOOKUP($D30&amp;"|"&amp;$E30&amp;"|"&amp;$F30,'PET_STAT_RULES'!$A$5:$A$88,'PET_STAT_RULES'!$F$5:$F$88)</f>
        <v/>
      </c>
      <c r="M30" s="456">
        <f>XLOOKUP($D30&amp;"|"&amp;$E30&amp;"|"&amp;$F30,'PET_STAT_RULES'!$A$5:$A$88,'PET_STAT_RULES'!$G$5:$G$88)</f>
        <v/>
      </c>
      <c r="N30" s="38" t="n">
        <v>1</v>
      </c>
      <c r="O30" s="38" t="inlineStr">
        <is>
          <t>mech_armor_flat</t>
        </is>
      </c>
      <c r="P30" s="38" t="inlineStr">
        <is>
          <t>01 形状01</t>
        </is>
      </c>
      <c r="Q30" s="38" t="inlineStr">
        <is>
          <t>Shielded</t>
        </is>
      </c>
      <c r="R30" s="38" t="inlineStr">
        <is>
          <t>item confirmed；来源=Coral Armor；攻击1格；仅保留来源商人/训练师关系。</t>
        </is>
      </c>
      <c r="S30" s="38" t="n">
        <v>3</v>
      </c>
      <c r="T30" s="38" t="n">
        <v>1</v>
      </c>
      <c r="U30" s="442" t="inlineStr">
        <is>
          <t>skill_vanguard,skill_flank,skill_pierce,skill_revolve,skill_chase,skill_break,skill_suppress,skill_finale</t>
        </is>
      </c>
      <c r="V30" s="442" t="inlineStr">
        <is>
          <t>trait_combo_mastery</t>
        </is>
      </c>
      <c r="W30" s="457">
        <f>XLOOKUP($D30&amp;"|"&amp;$E30&amp;"|"&amp;$F30,'PET_STAT_RULES'!$A$5:$A$88,'PET_STAT_RULES'!$E$5:$E$88)</f>
        <v/>
      </c>
      <c r="X30" s="385" t="inlineStr">
        <is>
          <t>hero_001</t>
        </is>
      </c>
      <c r="Y30" s="386" t="inlineStr">
        <is>
          <t>playable</t>
        </is>
      </c>
      <c r="Z30" s="386" t="inlineStr">
        <is>
          <t>aquatic, apparel, relic, shield</t>
        </is>
      </c>
      <c r="AA30" s="386" t="str"/>
    </row>
    <row r="31">
      <c r="A31" s="38" t="inlineStr">
        <is>
          <t>pal_030</t>
        </is>
      </c>
      <c r="B31" s="38" t="inlineStr">
        <is>
          <t>花刺蛛</t>
        </is>
      </c>
      <c r="C31" s="38" t="inlineStr">
        <is>
          <t>水、地</t>
        </is>
      </c>
      <c r="D31" s="259" t="inlineStr">
        <is>
          <t>青铜</t>
        </is>
      </c>
      <c r="E31" s="38" t="inlineStr">
        <is>
          <t>坦克</t>
        </is>
      </c>
      <c r="F31" s="38" t="inlineStr">
        <is>
          <t>三格</t>
        </is>
      </c>
      <c r="G31" s="38" t="inlineStr">
        <is>
          <t>bz_van_030</t>
        </is>
      </c>
      <c r="H31" s="38" t="inlineStr">
        <is>
          <t>elem_水, elem_雷, elem_冰, elem_地, elem_暗, role_坦克, role_控制, role_输出, tier_pT3, role_风系铺场</t>
        </is>
      </c>
      <c r="I31" s="38" t="n">
        <v>10</v>
      </c>
      <c r="J31" s="456">
        <f>XLOOKUP($D31&amp;"|"&amp;$E31&amp;"|"&amp;$F31,'PET_STAT_RULES'!$A$5:$A$88,'PET_STAT_RULES'!$C$5:$C$88)</f>
        <v/>
      </c>
      <c r="K31" s="456">
        <f>XLOOKUP($D31&amp;"|"&amp;$E31&amp;"|"&amp;$F31,'PET_STAT_RULES'!$A$5:$A$88,'PET_STAT_RULES'!$D$5:$D$88)</f>
        <v/>
      </c>
      <c r="L31" s="456">
        <f>XLOOKUP($D31&amp;"|"&amp;$E31&amp;"|"&amp;$F31,'PET_STAT_RULES'!$A$5:$A$88,'PET_STAT_RULES'!$F$5:$F$88)</f>
        <v/>
      </c>
      <c r="M31" s="456">
        <f>XLOOKUP($D31&amp;"|"&amp;$E31&amp;"|"&amp;$F31,'PET_STAT_RULES'!$A$5:$A$88,'PET_STAT_RULES'!$G$5:$G$88)</f>
        <v/>
      </c>
      <c r="N31" s="38" t="n">
        <v>1</v>
      </c>
      <c r="O31" s="38" t="inlineStr">
        <is>
          <t>mech_armor_flat</t>
        </is>
      </c>
      <c r="P31" s="38" t="inlineStr">
        <is>
          <t>03 形状03</t>
        </is>
      </c>
      <c r="Q31" s="38" t="inlineStr">
        <is>
          <t>Shielded</t>
        </is>
      </c>
      <c r="R31" s="38" t="inlineStr">
        <is>
          <t>item confirmed；来源=Cove；攻击1格；仅保留来源商人/训练师关系。</t>
        </is>
      </c>
      <c r="S31" s="38" t="n">
        <v>2</v>
      </c>
      <c r="T31" s="38" t="n">
        <v>1</v>
      </c>
      <c r="U31" s="442" t="inlineStr">
        <is>
          <t>skill_vanguard,skill_flank,skill_pierce,skill_revolve,skill_chase,skill_break,skill_suppress,skill_finale</t>
        </is>
      </c>
      <c r="V31" s="442" t="inlineStr">
        <is>
          <t>trait_combo_mastery</t>
        </is>
      </c>
      <c r="W31" s="457">
        <f>XLOOKUP($D31&amp;"|"&amp;$E31&amp;"|"&amp;$F31,'PET_STAT_RULES'!$A$5:$A$88,'PET_STAT_RULES'!$E$5:$E$88)</f>
        <v/>
      </c>
      <c r="X31" s="385" t="inlineStr">
        <is>
          <t>hero_001</t>
        </is>
      </c>
      <c r="Y31" s="386" t="inlineStr">
        <is>
          <t>playable</t>
        </is>
      </c>
      <c r="Z31" s="386" t="inlineStr">
        <is>
          <t>aquatic, property, shield, value</t>
        </is>
      </c>
      <c r="AA31" s="386" t="inlineStr">
        <is>
          <t>economy</t>
        </is>
      </c>
    </row>
    <row r="32">
      <c r="A32" s="38" t="inlineStr">
        <is>
          <t>pal_031</t>
        </is>
      </c>
      <c r="B32" s="38" t="inlineStr">
        <is>
          <t>青背鲵</t>
        </is>
      </c>
      <c r="C32" s="38" t="inlineStr">
        <is>
          <t>水、雷</t>
        </is>
      </c>
      <c r="D32" s="265" t="inlineStr">
        <is>
          <t>白银</t>
        </is>
      </c>
      <c r="E32" s="38" t="inlineStr">
        <is>
          <t>治疗</t>
        </is>
      </c>
      <c r="F32" s="38" t="inlineStr">
        <is>
          <t>三格</t>
        </is>
      </c>
      <c r="G32" s="38" t="inlineStr">
        <is>
          <t>bz_van_031</t>
        </is>
      </c>
      <c r="H32" s="38" t="inlineStr">
        <is>
          <t>elite_high</t>
        </is>
      </c>
      <c r="I32" s="38" t="n">
        <v>1</v>
      </c>
      <c r="J32" s="456">
        <f>XLOOKUP($D32&amp;"|"&amp;$E32&amp;"|"&amp;$F32,'PET_STAT_RULES'!$A$5:$A$88,'PET_STAT_RULES'!$C$5:$C$88)</f>
        <v/>
      </c>
      <c r="K32" s="456">
        <f>XLOOKUP($D32&amp;"|"&amp;$E32&amp;"|"&amp;$F32,'PET_STAT_RULES'!$A$5:$A$88,'PET_STAT_RULES'!$D$5:$D$88)</f>
        <v/>
      </c>
      <c r="L32" s="456">
        <f>XLOOKUP($D32&amp;"|"&amp;$E32&amp;"|"&amp;$F32,'PET_STAT_RULES'!$A$5:$A$88,'PET_STAT_RULES'!$F$5:$F$88)</f>
        <v/>
      </c>
      <c r="M32" s="456">
        <f>XLOOKUP($D32&amp;"|"&amp;$E32&amp;"|"&amp;$F32,'PET_STAT_RULES'!$A$5:$A$88,'PET_STAT_RULES'!$G$5:$G$88)</f>
        <v/>
      </c>
      <c r="N32" s="38" t="n">
        <v>2</v>
      </c>
      <c r="O32" s="38" t="inlineStr">
        <is>
          <t>mech_shield_regen</t>
        </is>
      </c>
      <c r="P32" s="38" t="inlineStr">
        <is>
          <t>12 形状12</t>
        </is>
      </c>
      <c r="Q32" s="38" t="inlineStr">
        <is>
          <t>Icy</t>
        </is>
      </c>
      <c r="R32" s="38" t="inlineStr">
        <is>
          <t>item confirmed；来源=Crow's Nest；攻击2格；仅保留来源商人/训练师关系。</t>
        </is>
      </c>
      <c r="S32" s="38" t="n">
        <v>2</v>
      </c>
      <c r="T32" s="38" t="n">
        <v>2</v>
      </c>
      <c r="U32" s="442" t="inlineStr">
        <is>
          <t>skill_vanguard,skill_flank,skill_pierce,skill_revolve,skill_chase,skill_break,skill_suppress,skill_finale</t>
        </is>
      </c>
      <c r="V32" s="442" t="inlineStr">
        <is>
          <t>trait_element_affinity</t>
        </is>
      </c>
      <c r="W32" s="457">
        <f>XLOOKUP($D32&amp;"|"&amp;$E32&amp;"|"&amp;$F32,'PET_STAT_RULES'!$A$5:$A$88,'PET_STAT_RULES'!$E$5:$E$88)</f>
        <v/>
      </c>
      <c r="X32" s="385" t="inlineStr">
        <is>
          <t>hero_001</t>
        </is>
      </c>
      <c r="Y32" s="386" t="inlineStr">
        <is>
          <t>playable</t>
        </is>
      </c>
      <c r="Z32" s="386" t="inlineStr">
        <is>
          <t>property, aquatic, crit</t>
        </is>
      </c>
      <c r="AA32" s="386" t="str"/>
    </row>
    <row r="33">
      <c r="A33" s="38" t="inlineStr">
        <is>
          <t>pal_032</t>
        </is>
      </c>
      <c r="B33" s="38" t="inlineStr">
        <is>
          <t>石甲鲮</t>
        </is>
      </c>
      <c r="C33" s="38" t="inlineStr">
        <is>
          <t>雷</t>
        </is>
      </c>
      <c r="D33" s="265" t="inlineStr">
        <is>
          <t>白银</t>
        </is>
      </c>
      <c r="E33" s="38" t="inlineStr">
        <is>
          <t>机动</t>
        </is>
      </c>
      <c r="F33" s="38" t="inlineStr">
        <is>
          <t>一格</t>
        </is>
      </c>
      <c r="G33" s="38" t="inlineStr">
        <is>
          <t>bz_van_032</t>
        </is>
      </c>
      <c r="H33" s="38" t="inlineStr">
        <is>
          <t>elem_火, elem_雷, elem_冰, elem_地, role_召唤, role_坦克, role_控制, role_治疗, tier_pT1, role_抗压承伤</t>
        </is>
      </c>
      <c r="I33" s="38" t="n">
        <v>10</v>
      </c>
      <c r="J33" s="456">
        <f>XLOOKUP($D33&amp;"|"&amp;$E33&amp;"|"&amp;$F33,'PET_STAT_RULES'!$A$5:$A$88,'PET_STAT_RULES'!$C$5:$C$88)</f>
        <v/>
      </c>
      <c r="K33" s="456">
        <f>XLOOKUP($D33&amp;"|"&amp;$E33&amp;"|"&amp;$F33,'PET_STAT_RULES'!$A$5:$A$88,'PET_STAT_RULES'!$D$5:$D$88)</f>
        <v/>
      </c>
      <c r="L33" s="456">
        <f>XLOOKUP($D33&amp;"|"&amp;$E33&amp;"|"&amp;$F33,'PET_STAT_RULES'!$A$5:$A$88,'PET_STAT_RULES'!$F$5:$F$88)</f>
        <v/>
      </c>
      <c r="M33" s="456">
        <f>XLOOKUP($D33&amp;"|"&amp;$E33&amp;"|"&amp;$F33,'PET_STAT_RULES'!$A$5:$A$88,'PET_STAT_RULES'!$G$5:$G$88)</f>
        <v/>
      </c>
      <c r="N33" s="38" t="n">
        <v>2</v>
      </c>
      <c r="O33" s="38" t="inlineStr">
        <is>
          <t>none</t>
        </is>
      </c>
      <c r="P33" s="38" t="inlineStr">
        <is>
          <t>12 形状12</t>
        </is>
      </c>
      <c r="Q33" s="38" t="inlineStr">
        <is>
          <t>Turbo</t>
        </is>
      </c>
      <c r="R33" s="38" t="inlineStr">
        <is>
          <t>item confirmed；来源=Custom Scope；攻击2格；仅保留来源商人/训练师关系。</t>
        </is>
      </c>
      <c r="S33" s="38" t="n">
        <v>5</v>
      </c>
      <c r="T33" s="38" t="n">
        <v>2</v>
      </c>
      <c r="U33" s="442" t="inlineStr">
        <is>
          <t>skill_vanguard,skill_flank,skill_pierce,skill_revolve,skill_chase,skill_break,skill_suppress,skill_finale</t>
        </is>
      </c>
      <c r="V33" s="442" t="inlineStr">
        <is>
          <t>trait_relentless</t>
        </is>
      </c>
      <c r="W33" s="457">
        <f>XLOOKUP($D33&amp;"|"&amp;$E33&amp;"|"&amp;$F33,'PET_STAT_RULES'!$A$5:$A$88,'PET_STAT_RULES'!$E$5:$E$88)</f>
        <v/>
      </c>
      <c r="X33" s="385" t="inlineStr">
        <is>
          <t>hero_001</t>
        </is>
      </c>
      <c r="Y33" s="386" t="inlineStr">
        <is>
          <t>playable</t>
        </is>
      </c>
      <c r="Z33" s="386" t="inlineStr">
        <is>
          <t>tech, crit, charge</t>
        </is>
      </c>
      <c r="AA33" s="386" t="str"/>
    </row>
    <row r="34">
      <c r="A34" s="38" t="inlineStr">
        <is>
          <t>pal_033</t>
        </is>
      </c>
      <c r="B34" s="38" t="inlineStr">
        <is>
          <t>芭蕉熊</t>
        </is>
      </c>
      <c r="C34" s="38" t="inlineStr">
        <is>
          <t>雷</t>
        </is>
      </c>
      <c r="D34" s="259" t="inlineStr">
        <is>
          <t>青铜</t>
        </is>
      </c>
      <c r="E34" s="38" t="inlineStr">
        <is>
          <t>控制</t>
        </is>
      </c>
      <c r="F34" s="38" t="inlineStr">
        <is>
          <t>两格</t>
        </is>
      </c>
      <c r="G34" s="38" t="inlineStr">
        <is>
          <t>bz_van_033</t>
        </is>
      </c>
      <c r="H34" s="38" t="inlineStr">
        <is>
          <t>night_base, elem_水, elem_雷, elem_无, role_召唤, role_坦克, role_控制, role_治疗, tier_pT1, role_召唤铺场</t>
        </is>
      </c>
      <c r="I34" s="38" t="n">
        <v>10</v>
      </c>
      <c r="J34" s="456">
        <f>XLOOKUP($D34&amp;"|"&amp;$E34&amp;"|"&amp;$F34,'PET_STAT_RULES'!$A$5:$A$88,'PET_STAT_RULES'!$C$5:$C$88)</f>
        <v/>
      </c>
      <c r="K34" s="456">
        <f>XLOOKUP($D34&amp;"|"&amp;$E34&amp;"|"&amp;$F34,'PET_STAT_RULES'!$A$5:$A$88,'PET_STAT_RULES'!$D$5:$D$88)</f>
        <v/>
      </c>
      <c r="L34" s="456">
        <f>XLOOKUP($D34&amp;"|"&amp;$E34&amp;"|"&amp;$F34,'PET_STAT_RULES'!$A$5:$A$88,'PET_STAT_RULES'!$F$5:$F$88)</f>
        <v/>
      </c>
      <c r="M34" s="456">
        <f>XLOOKUP($D34&amp;"|"&amp;$E34&amp;"|"&amp;$F34,'PET_STAT_RULES'!$A$5:$A$88,'PET_STAT_RULES'!$G$5:$G$88)</f>
        <v/>
      </c>
      <c r="N34" s="38" t="n">
        <v>2</v>
      </c>
      <c r="O34" s="38" t="inlineStr">
        <is>
          <t>mech_counter_damage</t>
        </is>
      </c>
      <c r="P34" s="38" t="inlineStr">
        <is>
          <t>07 形状07</t>
        </is>
      </c>
      <c r="Q34" s="38" t="inlineStr">
        <is>
          <t>Icy</t>
        </is>
      </c>
      <c r="R34" s="38" t="inlineStr">
        <is>
          <t>item confirmed；来源=Cutlass；攻击2格；仅保留来源商人/训练师关系。</t>
        </is>
      </c>
      <c r="S34" s="38" t="n">
        <v>4</v>
      </c>
      <c r="T34" s="38" t="n">
        <v>1</v>
      </c>
      <c r="U34" s="442" t="inlineStr">
        <is>
          <t>skill_vanguard,skill_flank,skill_pierce,skill_revolve,skill_chase,skill_break,skill_suppress,skill_finale</t>
        </is>
      </c>
      <c r="V34" s="442" t="inlineStr">
        <is>
          <t>trait_element_affinity</t>
        </is>
      </c>
      <c r="W34" s="457">
        <f>XLOOKUP($D34&amp;"|"&amp;$E34&amp;"|"&amp;$F34,'PET_STAT_RULES'!$A$5:$A$88,'PET_STAT_RULES'!$E$5:$E$88)</f>
        <v/>
      </c>
      <c r="X34" s="385" t="inlineStr">
        <is>
          <t>hero_001</t>
        </is>
      </c>
      <c r="Y34" s="386" t="inlineStr">
        <is>
          <t>playable</t>
        </is>
      </c>
      <c r="Z34" s="386" t="inlineStr">
        <is>
          <t>weapon, damage</t>
        </is>
      </c>
      <c r="AA34" s="386" t="inlineStr">
        <is>
          <t>crit</t>
        </is>
      </c>
    </row>
    <row r="35">
      <c r="A35" s="38" t="inlineStr">
        <is>
          <t>pal_034</t>
        </is>
      </c>
      <c r="B35" s="38" t="inlineStr">
        <is>
          <t>蜜纹獾</t>
        </is>
      </c>
      <c r="C35" s="38" t="inlineStr">
        <is>
          <t>雷</t>
        </is>
      </c>
      <c r="D35" s="265" t="inlineStr">
        <is>
          <t>白银</t>
        </is>
      </c>
      <c r="E35" s="38" t="inlineStr">
        <is>
          <t>输出</t>
        </is>
      </c>
      <c r="F35" s="38" t="inlineStr">
        <is>
          <t>两格</t>
        </is>
      </c>
      <c r="G35" s="38" t="inlineStr">
        <is>
          <t>bz_van_034</t>
        </is>
      </c>
      <c r="H35" s="38" t="inlineStr">
        <is>
          <t>night_base, elem_水, elem_雷, elem_无, role_召唤, role_坦克, role_控制, role_治疗, tier_pT1, role_抗压承伤</t>
        </is>
      </c>
      <c r="I35" s="38" t="n">
        <v>10</v>
      </c>
      <c r="J35" s="456">
        <f>XLOOKUP($D35&amp;"|"&amp;$E35&amp;"|"&amp;$F35,'PET_STAT_RULES'!$A$5:$A$88,'PET_STAT_RULES'!$C$5:$C$88)</f>
        <v/>
      </c>
      <c r="K35" s="456">
        <f>XLOOKUP($D35&amp;"|"&amp;$E35&amp;"|"&amp;$F35,'PET_STAT_RULES'!$A$5:$A$88,'PET_STAT_RULES'!$D$5:$D$88)</f>
        <v/>
      </c>
      <c r="L35" s="456">
        <f>XLOOKUP($D35&amp;"|"&amp;$E35&amp;"|"&amp;$F35,'PET_STAT_RULES'!$A$5:$A$88,'PET_STAT_RULES'!$F$5:$F$88)</f>
        <v/>
      </c>
      <c r="M35" s="456">
        <f>XLOOKUP($D35&amp;"|"&amp;$E35&amp;"|"&amp;$F35,'PET_STAT_RULES'!$A$5:$A$88,'PET_STAT_RULES'!$G$5:$G$88)</f>
        <v/>
      </c>
      <c r="N35" s="38" t="n">
        <v>2</v>
      </c>
      <c r="O35" s="38" t="inlineStr">
        <is>
          <t>mech_grow_atk_each_round</t>
        </is>
      </c>
      <c r="P35" s="38" t="inlineStr">
        <is>
          <t>05 形状05</t>
        </is>
      </c>
      <c r="Q35" s="38" t="inlineStr">
        <is>
          <t>Deadly</t>
        </is>
      </c>
      <c r="R35" s="38" t="inlineStr">
        <is>
          <t>item confirmed；来源=Cyber-Sai；攻击2格；仅保留来源商人/训练师关系。</t>
        </is>
      </c>
      <c r="S35" s="38" t="n">
        <v>3</v>
      </c>
      <c r="T35" s="38" t="n">
        <v>2</v>
      </c>
      <c r="U35" s="442" t="inlineStr">
        <is>
          <t>skill_vanguard,skill_flank,skill_pierce,skill_revolve,skill_chase,skill_break,skill_suppress,skill_finale</t>
        </is>
      </c>
      <c r="V35" s="442" t="inlineStr">
        <is>
          <t>trait_relentless</t>
        </is>
      </c>
      <c r="W35" s="457">
        <f>XLOOKUP($D35&amp;"|"&amp;$E35&amp;"|"&amp;$F35,'PET_STAT_RULES'!$A$5:$A$88,'PET_STAT_RULES'!$E$5:$E$88)</f>
        <v/>
      </c>
      <c r="X35" s="385" t="inlineStr">
        <is>
          <t>hero_001</t>
        </is>
      </c>
      <c r="Y35" s="386" t="inlineStr">
        <is>
          <t>playable</t>
        </is>
      </c>
      <c r="Z35" s="386" t="inlineStr">
        <is>
          <t>weapon, tech, damage</t>
        </is>
      </c>
      <c r="AA35" s="386" t="inlineStr">
        <is>
          <t>crit</t>
        </is>
      </c>
    </row>
    <row r="36">
      <c r="A36" s="38" t="inlineStr">
        <is>
          <t>pal_035</t>
        </is>
      </c>
      <c r="B36" s="38" t="inlineStr">
        <is>
          <t>藤巢蜂</t>
        </is>
      </c>
      <c r="C36" s="38" t="inlineStr">
        <is>
          <t>水、雷</t>
        </is>
      </c>
      <c r="D36" s="262" t="inlineStr">
        <is>
          <t>黄金</t>
        </is>
      </c>
      <c r="E36" s="38" t="inlineStr">
        <is>
          <t>控制</t>
        </is>
      </c>
      <c r="F36" s="38" t="inlineStr">
        <is>
          <t>三格</t>
        </is>
      </c>
      <c r="G36" s="38" t="inlineStr">
        <is>
          <t>bz_van_035</t>
        </is>
      </c>
      <c r="H36" s="38" t="inlineStr">
        <is>
          <t>elem_水, elem_雷, elem_冰, elem_地, elem_暗, role_坦克, role_控制, role_治疗, role_输出, role_风系铺场</t>
        </is>
      </c>
      <c r="I36" s="38" t="n">
        <v>10</v>
      </c>
      <c r="J36" s="456">
        <f>XLOOKUP($D36&amp;"|"&amp;$E36&amp;"|"&amp;$F36,'PET_STAT_RULES'!$A$5:$A$88,'PET_STAT_RULES'!$C$5:$C$88)</f>
        <v/>
      </c>
      <c r="K36" s="456">
        <f>XLOOKUP($D36&amp;"|"&amp;$E36&amp;"|"&amp;$F36,'PET_STAT_RULES'!$A$5:$A$88,'PET_STAT_RULES'!$D$5:$D$88)</f>
        <v/>
      </c>
      <c r="L36" s="456">
        <f>XLOOKUP($D36&amp;"|"&amp;$E36&amp;"|"&amp;$F36,'PET_STAT_RULES'!$A$5:$A$88,'PET_STAT_RULES'!$F$5:$F$88)</f>
        <v/>
      </c>
      <c r="M36" s="456">
        <f>XLOOKUP($D36&amp;"|"&amp;$E36&amp;"|"&amp;$F36,'PET_STAT_RULES'!$A$5:$A$88,'PET_STAT_RULES'!$G$5:$G$88)</f>
        <v/>
      </c>
      <c r="N36" s="38" t="n">
        <v>3</v>
      </c>
      <c r="O36" s="38" t="inlineStr">
        <is>
          <t>mech_death_explosion</t>
        </is>
      </c>
      <c r="P36" s="38" t="inlineStr">
        <is>
          <t>18 形状18</t>
        </is>
      </c>
      <c r="Q36" s="38" t="inlineStr">
        <is>
          <t>Turbo</t>
        </is>
      </c>
      <c r="R36" s="38" t="inlineStr">
        <is>
          <t>item confirmed；来源=Dam；攻击3格；仅保留来源商人/训练师关系。</t>
        </is>
      </c>
      <c r="S36" s="38" t="n">
        <v>4</v>
      </c>
      <c r="T36" s="38" t="n">
        <v>2</v>
      </c>
      <c r="U36" s="442" t="inlineStr">
        <is>
          <t>skill_vanguard,skill_flank,skill_pierce,skill_revolve,skill_chase,skill_break,skill_suppress,skill_finale</t>
        </is>
      </c>
      <c r="V36" s="442" t="inlineStr">
        <is>
          <t>trait_element_affinity</t>
        </is>
      </c>
      <c r="W36" s="457">
        <f>XLOOKUP($D36&amp;"|"&amp;$E36&amp;"|"&amp;$F36,'PET_STAT_RULES'!$A$5:$A$88,'PET_STAT_RULES'!$E$5:$E$88)</f>
        <v/>
      </c>
      <c r="X36" s="385" t="inlineStr">
        <is>
          <t>hero_001</t>
        </is>
      </c>
      <c r="Y36" s="386" t="inlineStr">
        <is>
          <t>playable</t>
        </is>
      </c>
      <c r="Z36" s="386" t="inlineStr">
        <is>
          <t>aquatic, property</t>
        </is>
      </c>
      <c r="AA36" s="386" t="str"/>
    </row>
    <row r="37">
      <c r="A37" s="38" t="inlineStr">
        <is>
          <t>pal_036</t>
        </is>
      </c>
      <c r="B37" s="38" t="inlineStr">
        <is>
          <t>云纹巨驼</t>
        </is>
      </c>
      <c r="C37" s="38" t="inlineStr">
        <is>
          <t>火、水</t>
        </is>
      </c>
      <c r="D37" s="265" t="inlineStr">
        <is>
          <t>白银</t>
        </is>
      </c>
      <c r="E37" s="38" t="inlineStr">
        <is>
          <t>控制</t>
        </is>
      </c>
      <c r="F37" s="38" t="inlineStr">
        <is>
          <t>两格</t>
        </is>
      </c>
      <c r="G37" s="38" t="inlineStr">
        <is>
          <t>bz_van_036</t>
        </is>
      </c>
      <c r="H37" s="38" t="inlineStr">
        <is>
          <t>elem_水, elem_雷, elem_冰, role_坦克, role_控制, role_输出, special_merchant, tier_pT2, role_召唤铺场, role_机动压制</t>
        </is>
      </c>
      <c r="I37" s="38" t="n">
        <v>10</v>
      </c>
      <c r="J37" s="456">
        <f>XLOOKUP($D37&amp;"|"&amp;$E37&amp;"|"&amp;$F37,'PET_STAT_RULES'!$A$5:$A$88,'PET_STAT_RULES'!$C$5:$C$88)</f>
        <v/>
      </c>
      <c r="K37" s="456">
        <f>XLOOKUP($D37&amp;"|"&amp;$E37&amp;"|"&amp;$F37,'PET_STAT_RULES'!$A$5:$A$88,'PET_STAT_RULES'!$D$5:$D$88)</f>
        <v/>
      </c>
      <c r="L37" s="456">
        <f>XLOOKUP($D37&amp;"|"&amp;$E37&amp;"|"&amp;$F37,'PET_STAT_RULES'!$A$5:$A$88,'PET_STAT_RULES'!$F$5:$F$88)</f>
        <v/>
      </c>
      <c r="M37" s="456">
        <f>XLOOKUP($D37&amp;"|"&amp;$E37&amp;"|"&amp;$F37,'PET_STAT_RULES'!$A$5:$A$88,'PET_STAT_RULES'!$G$5:$G$88)</f>
        <v/>
      </c>
      <c r="N37" s="38" t="n">
        <v>2</v>
      </c>
      <c r="O37" s="38" t="inlineStr">
        <is>
          <t>mech_fire_ignite_bonus</t>
        </is>
      </c>
      <c r="P37" s="38" t="inlineStr">
        <is>
          <t>11 形状11</t>
        </is>
      </c>
      <c r="Q37" s="38" t="inlineStr">
        <is>
          <t>Fiery</t>
        </is>
      </c>
      <c r="R37" s="38" t="inlineStr">
        <is>
          <t>item confirmed；来源=Darkwater Anglerfish；攻击2格；仅保留来源商人/训练师关系。</t>
        </is>
      </c>
      <c r="S37" s="38" t="n">
        <v>4</v>
      </c>
      <c r="T37" s="38" t="n">
        <v>2</v>
      </c>
      <c r="U37" s="442" t="inlineStr">
        <is>
          <t>skill_vanguard,skill_flank,skill_pierce,skill_revolve,skill_chase,skill_break,skill_suppress,skill_finale</t>
        </is>
      </c>
      <c r="V37" s="442" t="inlineStr">
        <is>
          <t>trait_element_affinity</t>
        </is>
      </c>
      <c r="W37" s="457">
        <f>XLOOKUP($D37&amp;"|"&amp;$E37&amp;"|"&amp;$F37,'PET_STAT_RULES'!$A$5:$A$88,'PET_STAT_RULES'!$E$5:$E$88)</f>
        <v/>
      </c>
      <c r="X37" s="385" t="inlineStr">
        <is>
          <t>hero_001</t>
        </is>
      </c>
      <c r="Y37" s="386" t="inlineStr">
        <is>
          <t>playable</t>
        </is>
      </c>
      <c r="Z37" s="386" t="inlineStr">
        <is>
          <t>friend, aquatic, burn</t>
        </is>
      </c>
      <c r="AA37" s="386" t="inlineStr">
        <is>
          <t>slow</t>
        </is>
      </c>
    </row>
    <row r="38">
      <c r="A38" s="38" t="inlineStr">
        <is>
          <t>pal_037</t>
        </is>
      </c>
      <c r="B38" s="38" t="inlineStr">
        <is>
          <t>月角白鹿</t>
        </is>
      </c>
      <c r="C38" s="38" t="inlineStr">
        <is>
          <t>草</t>
        </is>
      </c>
      <c r="D38" s="265" t="inlineStr">
        <is>
          <t>白银</t>
        </is>
      </c>
      <c r="E38" s="38" t="inlineStr">
        <is>
          <t>控制</t>
        </is>
      </c>
      <c r="F38" s="38" t="inlineStr">
        <is>
          <t>一格</t>
        </is>
      </c>
      <c r="G38" s="38" t="inlineStr">
        <is>
          <t>bz_van_037</t>
        </is>
      </c>
      <c r="H38" s="38" t="inlineStr">
        <is>
          <t>night_base, elem_火, elem_雷, elem_地, role_坦克, role_控制, special_merchant, role_召唤铺场, role_抗压承伤, role_火系压制</t>
        </is>
      </c>
      <c r="I38" s="38" t="n">
        <v>10</v>
      </c>
      <c r="J38" s="456">
        <f>XLOOKUP($D38&amp;"|"&amp;$E38&amp;"|"&amp;$F38,'PET_STAT_RULES'!$A$5:$A$88,'PET_STAT_RULES'!$C$5:$C$88)</f>
        <v/>
      </c>
      <c r="K38" s="456">
        <f>XLOOKUP($D38&amp;"|"&amp;$E38&amp;"|"&amp;$F38,'PET_STAT_RULES'!$A$5:$A$88,'PET_STAT_RULES'!$D$5:$D$88)</f>
        <v/>
      </c>
      <c r="L38" s="456">
        <f>XLOOKUP($D38&amp;"|"&amp;$E38&amp;"|"&amp;$F38,'PET_STAT_RULES'!$A$5:$A$88,'PET_STAT_RULES'!$F$5:$F$88)</f>
        <v/>
      </c>
      <c r="M38" s="456">
        <f>XLOOKUP($D38&amp;"|"&amp;$E38&amp;"|"&amp;$F38,'PET_STAT_RULES'!$A$5:$A$88,'PET_STAT_RULES'!$G$5:$G$88)</f>
        <v/>
      </c>
      <c r="N38" s="38" t="n">
        <v>2</v>
      </c>
      <c r="O38" s="38" t="inlineStr">
        <is>
          <t>mech_counter_damage</t>
        </is>
      </c>
      <c r="P38" s="38" t="inlineStr">
        <is>
          <t>12 形状12</t>
        </is>
      </c>
      <c r="Q38" s="38" t="inlineStr">
        <is>
          <t>Icy</t>
        </is>
      </c>
      <c r="R38" s="38" t="inlineStr">
        <is>
          <t>item confirmed；来源=Dart Launcher；攻击2格；仅保留来源商人/训练师关系。</t>
        </is>
      </c>
      <c r="S38" s="38" t="n">
        <v>4</v>
      </c>
      <c r="T38" s="38" t="n">
        <v>2</v>
      </c>
      <c r="U38" s="442" t="inlineStr">
        <is>
          <t>skill_vanguard,skill_flank,skill_pierce,skill_revolve,skill_chase,skill_break,skill_suppress,skill_finale</t>
        </is>
      </c>
      <c r="V38" s="442" t="inlineStr">
        <is>
          <t>trait_element_affinity</t>
        </is>
      </c>
      <c r="W38" s="457">
        <f>XLOOKUP($D38&amp;"|"&amp;$E38&amp;"|"&amp;$F38,'PET_STAT_RULES'!$A$5:$A$88,'PET_STAT_RULES'!$E$5:$E$88)</f>
        <v/>
      </c>
      <c r="X38" s="385" t="inlineStr">
        <is>
          <t>hero_001</t>
        </is>
      </c>
      <c r="Y38" s="386" t="inlineStr">
        <is>
          <t>playable</t>
        </is>
      </c>
      <c r="Z38" s="386" t="inlineStr">
        <is>
          <t>weapon, tech, damage, slow, poison</t>
        </is>
      </c>
      <c r="AA38" s="386" t="str"/>
    </row>
    <row r="39">
      <c r="A39" s="38" t="inlineStr">
        <is>
          <t>pal_038</t>
        </is>
      </c>
      <c r="B39" s="38" t="inlineStr">
        <is>
          <t>疾风苍鹰</t>
        </is>
      </c>
      <c r="C39" s="38" t="inlineStr">
        <is>
          <t>雷</t>
        </is>
      </c>
      <c r="D39" s="265" t="inlineStr">
        <is>
          <t>白银</t>
        </is>
      </c>
      <c r="E39" s="38" t="inlineStr">
        <is>
          <t>机动</t>
        </is>
      </c>
      <c r="F39" s="38" t="inlineStr">
        <is>
          <t>两格</t>
        </is>
      </c>
      <c r="G39" s="38" t="inlineStr">
        <is>
          <t>bz_van_038</t>
        </is>
      </c>
      <c r="H39" s="38" t="inlineStr">
        <is>
          <t>elem_水, elem_雷, elem_冰, elem_无, role_召唤, role_坦克, role_控制, role_治疗, role_经济, role_重甲抗压</t>
        </is>
      </c>
      <c r="I39" s="38" t="n">
        <v>10</v>
      </c>
      <c r="J39" s="456">
        <f>XLOOKUP($D39&amp;"|"&amp;$E39&amp;"|"&amp;$F39,'PET_STAT_RULES'!$A$5:$A$88,'PET_STAT_RULES'!$C$5:$C$88)</f>
        <v/>
      </c>
      <c r="K39" s="456">
        <f>XLOOKUP($D39&amp;"|"&amp;$E39&amp;"|"&amp;$F39,'PET_STAT_RULES'!$A$5:$A$88,'PET_STAT_RULES'!$D$5:$D$88)</f>
        <v/>
      </c>
      <c r="L39" s="456">
        <f>XLOOKUP($D39&amp;"|"&amp;$E39&amp;"|"&amp;$F39,'PET_STAT_RULES'!$A$5:$A$88,'PET_STAT_RULES'!$F$5:$F$88)</f>
        <v/>
      </c>
      <c r="M39" s="456">
        <f>XLOOKUP($D39&amp;"|"&amp;$E39&amp;"|"&amp;$F39,'PET_STAT_RULES'!$A$5:$A$88,'PET_STAT_RULES'!$G$5:$G$88)</f>
        <v/>
      </c>
      <c r="N39" s="38" t="n">
        <v>3</v>
      </c>
      <c r="O39" s="38" t="inlineStr">
        <is>
          <t>none</t>
        </is>
      </c>
      <c r="P39" s="38" t="inlineStr">
        <is>
          <t>15 形状15</t>
        </is>
      </c>
      <c r="Q39" s="38" t="inlineStr">
        <is>
          <t>Turbo</t>
        </is>
      </c>
      <c r="R39" s="38" t="inlineStr">
        <is>
          <t>item confirmed；来源=Disguise；攻击3格；仅保留来源商人/训练师关系。</t>
        </is>
      </c>
      <c r="S39" s="38" t="n">
        <v>5</v>
      </c>
      <c r="T39" s="38" t="n">
        <v>2</v>
      </c>
      <c r="U39" s="442" t="inlineStr">
        <is>
          <t>skill_vanguard,skill_flank,skill_pierce,skill_revolve,skill_chase,skill_break,skill_suppress,skill_finale</t>
        </is>
      </c>
      <c r="V39" s="442" t="inlineStr">
        <is>
          <t>trait_relentless</t>
        </is>
      </c>
      <c r="W39" s="457">
        <f>XLOOKUP($D39&amp;"|"&amp;$E39&amp;"|"&amp;$F39,'PET_STAT_RULES'!$A$5:$A$88,'PET_STAT_RULES'!$E$5:$E$88)</f>
        <v/>
      </c>
      <c r="X39" s="385" t="inlineStr">
        <is>
          <t>hero_001</t>
        </is>
      </c>
      <c r="Y39" s="386" t="inlineStr">
        <is>
          <t>playable</t>
        </is>
      </c>
      <c r="Z39" s="386" t="inlineStr">
        <is>
          <t>apparel, charge</t>
        </is>
      </c>
      <c r="AA39" s="386" t="str"/>
    </row>
    <row r="40">
      <c r="A40" s="38" t="inlineStr">
        <is>
          <t>pal_039</t>
        </is>
      </c>
      <c r="B40" s="38" t="inlineStr">
        <is>
          <t>银背巨兔</t>
        </is>
      </c>
      <c r="C40" s="38" t="inlineStr">
        <is>
          <t>水、雷</t>
        </is>
      </c>
      <c r="D40" s="265" t="inlineStr">
        <is>
          <t>白银</t>
        </is>
      </c>
      <c r="E40" s="38" t="inlineStr">
        <is>
          <t>机动</t>
        </is>
      </c>
      <c r="F40" s="38" t="inlineStr">
        <is>
          <t>一格</t>
        </is>
      </c>
      <c r="G40" s="38" t="inlineStr">
        <is>
          <t>bz_van_039</t>
        </is>
      </c>
      <c r="H40" s="38" t="inlineStr">
        <is>
          <t>elem_火, elem_雷, elem_冰, role_坦克, role_控制, role_输出, role_机动, special_merchant, elite_high, role_重甲抗压</t>
        </is>
      </c>
      <c r="I40" s="38" t="n">
        <v>10</v>
      </c>
      <c r="J40" s="456">
        <f>XLOOKUP($D40&amp;"|"&amp;$E40&amp;"|"&amp;$F40,'PET_STAT_RULES'!$A$5:$A$88,'PET_STAT_RULES'!$C$5:$C$88)</f>
        <v/>
      </c>
      <c r="K40" s="456">
        <f>XLOOKUP($D40&amp;"|"&amp;$E40&amp;"|"&amp;$F40,'PET_STAT_RULES'!$A$5:$A$88,'PET_STAT_RULES'!$D$5:$D$88)</f>
        <v/>
      </c>
      <c r="L40" s="456">
        <f>XLOOKUP($D40&amp;"|"&amp;$E40&amp;"|"&amp;$F40,'PET_STAT_RULES'!$A$5:$A$88,'PET_STAT_RULES'!$F$5:$F$88)</f>
        <v/>
      </c>
      <c r="M40" s="456">
        <f>XLOOKUP($D40&amp;"|"&amp;$E40&amp;"|"&amp;$F40,'PET_STAT_RULES'!$A$5:$A$88,'PET_STAT_RULES'!$G$5:$G$88)</f>
        <v/>
      </c>
      <c r="N40" s="38" t="n">
        <v>2</v>
      </c>
      <c r="O40" s="38" t="inlineStr">
        <is>
          <t>none</t>
        </is>
      </c>
      <c r="P40" s="38" t="inlineStr">
        <is>
          <t>12 形状12</t>
        </is>
      </c>
      <c r="Q40" s="38" t="inlineStr">
        <is>
          <t>Turbo</t>
        </is>
      </c>
      <c r="R40" s="38" t="inlineStr">
        <is>
          <t>item confirmed；来源=Dive Weights；攻击2格；仅保留来源商人/训练师关系。</t>
        </is>
      </c>
      <c r="S40" s="38" t="n">
        <v>5</v>
      </c>
      <c r="T40" s="38" t="n">
        <v>2</v>
      </c>
      <c r="U40" s="442" t="inlineStr">
        <is>
          <t>skill_vanguard,skill_flank,skill_pierce,skill_revolve,skill_chase,skill_break,skill_suppress,skill_finale</t>
        </is>
      </c>
      <c r="V40" s="442" t="inlineStr">
        <is>
          <t>trait_relentless</t>
        </is>
      </c>
      <c r="W40" s="457">
        <f>XLOOKUP($D40&amp;"|"&amp;$E40&amp;"|"&amp;$F40,'PET_STAT_RULES'!$A$5:$A$88,'PET_STAT_RULES'!$E$5:$E$88)</f>
        <v/>
      </c>
      <c r="X40" s="385" t="inlineStr">
        <is>
          <t>hero_001</t>
        </is>
      </c>
      <c r="Y40" s="386" t="inlineStr">
        <is>
          <t>playable</t>
        </is>
      </c>
      <c r="Z40" s="386" t="inlineStr">
        <is>
          <t>aquatic, tool, apparel, haste, ammo</t>
        </is>
      </c>
      <c r="AA40" s="386" t="str"/>
    </row>
    <row r="41">
      <c r="A41" s="38" t="inlineStr">
        <is>
          <t>pal_040</t>
        </is>
      </c>
      <c r="B41" s="38" t="inlineStr">
        <is>
          <t>炎角黑羊</t>
        </is>
      </c>
      <c r="C41" s="38" t="inlineStr">
        <is>
          <t>水、雷</t>
        </is>
      </c>
      <c r="D41" s="262" t="inlineStr">
        <is>
          <t>黄金</t>
        </is>
      </c>
      <c r="E41" s="38" t="inlineStr">
        <is>
          <t>坦克</t>
        </is>
      </c>
      <c r="F41" s="38" t="inlineStr">
        <is>
          <t>两格</t>
        </is>
      </c>
      <c r="G41" s="38" t="inlineStr">
        <is>
          <t>bz_van_040</t>
        </is>
      </c>
      <c r="H41" s="38" t="inlineStr">
        <is>
          <t>elem_水, elem_雷, elem_冰, elem_无, role_坦克, role_控制, role_输出, tier_pT3, role_重甲抗压, role_远点压制</t>
        </is>
      </c>
      <c r="I41" s="38" t="n">
        <v>10</v>
      </c>
      <c r="J41" s="456">
        <f>XLOOKUP($D41&amp;"|"&amp;$E41&amp;"|"&amp;$F41,'PET_STAT_RULES'!$A$5:$A$88,'PET_STAT_RULES'!$C$5:$C$88)</f>
        <v/>
      </c>
      <c r="K41" s="456">
        <f>XLOOKUP($D41&amp;"|"&amp;$E41&amp;"|"&amp;$F41,'PET_STAT_RULES'!$A$5:$A$88,'PET_STAT_RULES'!$D$5:$D$88)</f>
        <v/>
      </c>
      <c r="L41" s="456">
        <f>XLOOKUP($D41&amp;"|"&amp;$E41&amp;"|"&amp;$F41,'PET_STAT_RULES'!$A$5:$A$88,'PET_STAT_RULES'!$F$5:$F$88)</f>
        <v/>
      </c>
      <c r="M41" s="456">
        <f>XLOOKUP($D41&amp;"|"&amp;$E41&amp;"|"&amp;$F41,'PET_STAT_RULES'!$A$5:$A$88,'PET_STAT_RULES'!$G$5:$G$88)</f>
        <v/>
      </c>
      <c r="N41" s="38" t="n">
        <v>2</v>
      </c>
      <c r="O41" s="38" t="inlineStr">
        <is>
          <t>mech_shield_regen</t>
        </is>
      </c>
      <c r="P41" s="38" t="inlineStr">
        <is>
          <t>07 形状07</t>
        </is>
      </c>
      <c r="Q41" s="38" t="inlineStr">
        <is>
          <t>Turbo</t>
        </is>
      </c>
      <c r="R41" s="38" t="inlineStr">
        <is>
          <t>item confirmed；来源=Diving Helmet；攻击2格；仅保留来源商人/训练师关系。</t>
        </is>
      </c>
      <c r="S41" s="38" t="n">
        <v>3</v>
      </c>
      <c r="T41" s="38" t="n">
        <v>2</v>
      </c>
      <c r="U41" s="442" t="inlineStr">
        <is>
          <t>skill_vanguard,skill_flank,skill_pierce,skill_revolve,skill_chase,skill_break,skill_suppress,skill_finale</t>
        </is>
      </c>
      <c r="V41" s="442" t="inlineStr">
        <is>
          <t>trait_combo_mastery</t>
        </is>
      </c>
      <c r="W41" s="457">
        <f>XLOOKUP($D41&amp;"|"&amp;$E41&amp;"|"&amp;$F41,'PET_STAT_RULES'!$A$5:$A$88,'PET_STAT_RULES'!$E$5:$E$88)</f>
        <v/>
      </c>
      <c r="X41" s="385" t="inlineStr">
        <is>
          <t>hero_001</t>
        </is>
      </c>
      <c r="Y41" s="386" t="inlineStr">
        <is>
          <t>playable</t>
        </is>
      </c>
      <c r="Z41" s="386" t="inlineStr">
        <is>
          <t>aquatic, tool, apparel, shield, charge</t>
        </is>
      </c>
      <c r="AA41" s="386" t="str"/>
    </row>
    <row r="42">
      <c r="A42" s="38" t="inlineStr">
        <is>
          <t>pal_041</t>
        </is>
      </c>
      <c r="B42" s="38" t="inlineStr">
        <is>
          <t>回春彩蝶</t>
        </is>
      </c>
      <c r="C42" s="38" t="inlineStr">
        <is>
          <t>水</t>
        </is>
      </c>
      <c r="D42" s="265" t="inlineStr">
        <is>
          <t>白银</t>
        </is>
      </c>
      <c r="E42" s="38" t="inlineStr">
        <is>
          <t>控制</t>
        </is>
      </c>
      <c r="F42" s="38" t="inlineStr">
        <is>
          <t>两格</t>
        </is>
      </c>
      <c r="G42" s="38" t="inlineStr">
        <is>
          <t>bz_van_041</t>
        </is>
      </c>
      <c r="H42" s="38" t="inlineStr">
        <is>
          <t>elem_水, elem_雷, elem_冰, elem_无, role_坦克, role_控制, role_输出, special_merchant, role_召唤铺场, role_远点压制</t>
        </is>
      </c>
      <c r="I42" s="38" t="n">
        <v>10</v>
      </c>
      <c r="J42" s="456">
        <f>XLOOKUP($D42&amp;"|"&amp;$E42&amp;"|"&amp;$F42,'PET_STAT_RULES'!$A$5:$A$88,'PET_STAT_RULES'!$C$5:$C$88)</f>
        <v/>
      </c>
      <c r="K42" s="456">
        <f>XLOOKUP($D42&amp;"|"&amp;$E42&amp;"|"&amp;$F42,'PET_STAT_RULES'!$A$5:$A$88,'PET_STAT_RULES'!$D$5:$D$88)</f>
        <v/>
      </c>
      <c r="L42" s="456">
        <f>XLOOKUP($D42&amp;"|"&amp;$E42&amp;"|"&amp;$F42,'PET_STAT_RULES'!$A$5:$A$88,'PET_STAT_RULES'!$F$5:$F$88)</f>
        <v/>
      </c>
      <c r="M42" s="456">
        <f>XLOOKUP($D42&amp;"|"&amp;$E42&amp;"|"&amp;$F42,'PET_STAT_RULES'!$A$5:$A$88,'PET_STAT_RULES'!$G$5:$G$88)</f>
        <v/>
      </c>
      <c r="N42" s="38" t="n">
        <v>3</v>
      </c>
      <c r="O42" s="38" t="inlineStr">
        <is>
          <t>mech_counter_damage</t>
        </is>
      </c>
      <c r="P42" s="38" t="inlineStr">
        <is>
          <t>16 形状16</t>
        </is>
      </c>
      <c r="Q42" s="38" t="inlineStr">
        <is>
          <t>Icy</t>
        </is>
      </c>
      <c r="R42" s="38" t="inlineStr">
        <is>
          <t>item confirmed；来源=Dock Lines；攻击3格；仅保留来源商人/训练师关系。</t>
        </is>
      </c>
      <c r="S42" s="38" t="n">
        <v>4</v>
      </c>
      <c r="T42" s="38" t="n">
        <v>2</v>
      </c>
      <c r="U42" s="442" t="inlineStr">
        <is>
          <t>skill_vanguard,skill_flank,skill_pierce,skill_revolve,skill_chase,skill_break,skill_suppress,skill_finale</t>
        </is>
      </c>
      <c r="V42" s="442" t="inlineStr">
        <is>
          <t>trait_element_affinity</t>
        </is>
      </c>
      <c r="W42" s="457">
        <f>XLOOKUP($D42&amp;"|"&amp;$E42&amp;"|"&amp;$F42,'PET_STAT_RULES'!$A$5:$A$88,'PET_STAT_RULES'!$E$5:$E$88)</f>
        <v/>
      </c>
      <c r="X42" s="385" t="inlineStr">
        <is>
          <t>hero_001</t>
        </is>
      </c>
      <c r="Y42" s="386" t="inlineStr">
        <is>
          <t>playable</t>
        </is>
      </c>
      <c r="Z42" s="386" t="inlineStr">
        <is>
          <t>tool, aquatic, slow</t>
        </is>
      </c>
      <c r="AA42" s="386" t="str"/>
    </row>
    <row r="43">
      <c r="A43" s="38" t="inlineStr">
        <is>
          <t>pal_042</t>
        </is>
      </c>
      <c r="B43" s="38" t="inlineStr">
        <is>
          <t>赤焰蛮牛</t>
        </is>
      </c>
      <c r="C43" s="38" t="inlineStr">
        <is>
          <t>雷</t>
        </is>
      </c>
      <c r="D43" s="259" t="inlineStr">
        <is>
          <t>青铜</t>
        </is>
      </c>
      <c r="E43" s="38" t="inlineStr">
        <is>
          <t>输出</t>
        </is>
      </c>
      <c r="F43" s="38" t="inlineStr">
        <is>
          <t>两格</t>
        </is>
      </c>
      <c r="G43" s="38" t="inlineStr">
        <is>
          <t>bz_van_042</t>
        </is>
      </c>
      <c r="H43" s="38" t="inlineStr">
        <is>
          <t>night_base, elem_水, elem_雷, elem_无, role_召唤, role_坦克, role_控制, role_治疗, role_经济, role_机动</t>
        </is>
      </c>
      <c r="I43" s="38" t="n">
        <v>10</v>
      </c>
      <c r="J43" s="456">
        <f>XLOOKUP($D43&amp;"|"&amp;$E43&amp;"|"&amp;$F43,'PET_STAT_RULES'!$A$5:$A$88,'PET_STAT_RULES'!$C$5:$C$88)</f>
        <v/>
      </c>
      <c r="K43" s="456">
        <f>XLOOKUP($D43&amp;"|"&amp;$E43&amp;"|"&amp;$F43,'PET_STAT_RULES'!$A$5:$A$88,'PET_STAT_RULES'!$D$5:$D$88)</f>
        <v/>
      </c>
      <c r="L43" s="456">
        <f>XLOOKUP($D43&amp;"|"&amp;$E43&amp;"|"&amp;$F43,'PET_STAT_RULES'!$A$5:$A$88,'PET_STAT_RULES'!$F$5:$F$88)</f>
        <v/>
      </c>
      <c r="M43" s="456">
        <f>XLOOKUP($D43&amp;"|"&amp;$E43&amp;"|"&amp;$F43,'PET_STAT_RULES'!$A$5:$A$88,'PET_STAT_RULES'!$G$5:$G$88)</f>
        <v/>
      </c>
      <c r="N43" s="38" t="n">
        <v>1</v>
      </c>
      <c r="O43" s="38" t="inlineStr">
        <is>
          <t>mech_grow_atk_each_round</t>
        </is>
      </c>
      <c r="P43" s="38" t="inlineStr">
        <is>
          <t>04 形状04</t>
        </is>
      </c>
      <c r="Q43" s="38" t="inlineStr">
        <is>
          <t>Deadly</t>
        </is>
      </c>
      <c r="R43" s="38" t="inlineStr">
        <is>
          <t>item confirmed；来源=Double Barrel；攻击1格；仅保留来源商人/训练师关系。</t>
        </is>
      </c>
      <c r="S43" s="38" t="n">
        <v>3</v>
      </c>
      <c r="T43" s="38" t="n">
        <v>1</v>
      </c>
      <c r="U43" s="442" t="inlineStr">
        <is>
          <t>skill_vanguard,skill_flank,skill_pierce,skill_revolve,skill_chase,skill_break,skill_suppress,skill_finale</t>
        </is>
      </c>
      <c r="V43" s="442" t="inlineStr">
        <is>
          <t>trait_relentless</t>
        </is>
      </c>
      <c r="W43" s="457">
        <f>XLOOKUP($D43&amp;"|"&amp;$E43&amp;"|"&amp;$F43,'PET_STAT_RULES'!$A$5:$A$88,'PET_STAT_RULES'!$E$5:$E$88)</f>
        <v/>
      </c>
      <c r="X43" s="385" t="inlineStr">
        <is>
          <t>hero_001</t>
        </is>
      </c>
      <c r="Y43" s="386" t="inlineStr">
        <is>
          <t>playable</t>
        </is>
      </c>
      <c r="Z43" s="386" t="inlineStr">
        <is>
          <t>weapon, damage, ammo</t>
        </is>
      </c>
      <c r="AA43" s="386" t="str"/>
    </row>
    <row r="44">
      <c r="A44" s="38" t="inlineStr">
        <is>
          <t>pal_043</t>
        </is>
      </c>
      <c r="B44" s="38" t="inlineStr">
        <is>
          <t>泥甲巨鲶</t>
        </is>
      </c>
      <c r="C44" s="38" t="inlineStr">
        <is>
          <t>水、雷</t>
        </is>
      </c>
      <c r="D44" s="262" t="inlineStr">
        <is>
          <t>黄金</t>
        </is>
      </c>
      <c r="E44" s="38" t="inlineStr">
        <is>
          <t>控制</t>
        </is>
      </c>
      <c r="F44" s="38" t="inlineStr">
        <is>
          <t>三格</t>
        </is>
      </c>
      <c r="G44" s="38" t="inlineStr">
        <is>
          <t>bz_van_043</t>
        </is>
      </c>
      <c r="H44" s="38" t="inlineStr">
        <is>
          <t>night_base, elem_水, elem_雷, elem_地, role_坦克, role_控制, role_输出, special_merchant, role_召唤铺场, role_机动压制</t>
        </is>
      </c>
      <c r="I44" s="38" t="n">
        <v>10</v>
      </c>
      <c r="J44" s="456">
        <f>XLOOKUP($D44&amp;"|"&amp;$E44&amp;"|"&amp;$F44,'PET_STAT_RULES'!$A$5:$A$88,'PET_STAT_RULES'!$C$5:$C$88)</f>
        <v/>
      </c>
      <c r="K44" s="456">
        <f>XLOOKUP($D44&amp;"|"&amp;$E44&amp;"|"&amp;$F44,'PET_STAT_RULES'!$A$5:$A$88,'PET_STAT_RULES'!$D$5:$D$88)</f>
        <v/>
      </c>
      <c r="L44" s="456">
        <f>XLOOKUP($D44&amp;"|"&amp;$E44&amp;"|"&amp;$F44,'PET_STAT_RULES'!$A$5:$A$88,'PET_STAT_RULES'!$F$5:$F$88)</f>
        <v/>
      </c>
      <c r="M44" s="456">
        <f>XLOOKUP($D44&amp;"|"&amp;$E44&amp;"|"&amp;$F44,'PET_STAT_RULES'!$A$5:$A$88,'PET_STAT_RULES'!$G$5:$G$88)</f>
        <v/>
      </c>
      <c r="N44" s="38" t="n">
        <v>2</v>
      </c>
      <c r="O44" s="38" t="inlineStr">
        <is>
          <t>mech_counter_damage</t>
        </is>
      </c>
      <c r="P44" s="38" t="inlineStr">
        <is>
          <t>07 形状07</t>
        </is>
      </c>
      <c r="Q44" s="38" t="inlineStr">
        <is>
          <t>Icy</t>
        </is>
      </c>
      <c r="R44" s="38" t="inlineStr">
        <is>
          <t>item confirmed；来源=Electric Eels；攻击2格；仅保留来源商人/训练师关系。</t>
        </is>
      </c>
      <c r="S44" s="38" t="n">
        <v>4</v>
      </c>
      <c r="T44" s="38" t="n">
        <v>2</v>
      </c>
      <c r="U44" s="442" t="inlineStr">
        <is>
          <t>skill_vanguard,skill_flank,skill_pierce,skill_revolve,skill_chase,skill_break,skill_suppress,skill_finale</t>
        </is>
      </c>
      <c r="V44" s="442" t="inlineStr">
        <is>
          <t>trait_element_affinity</t>
        </is>
      </c>
      <c r="W44" s="457">
        <f>XLOOKUP($D44&amp;"|"&amp;$E44&amp;"|"&amp;$F44,'PET_STAT_RULES'!$A$5:$A$88,'PET_STAT_RULES'!$E$5:$E$88)</f>
        <v/>
      </c>
      <c r="X44" s="385" t="inlineStr">
        <is>
          <t>hero_001</t>
        </is>
      </c>
      <c r="Y44" s="386" t="inlineStr">
        <is>
          <t>playable</t>
        </is>
      </c>
      <c r="Z44" s="386" t="inlineStr">
        <is>
          <t>aquatic, weapon, friend, damage, slow</t>
        </is>
      </c>
      <c r="AA44" s="386" t="str"/>
    </row>
    <row r="45">
      <c r="A45" s="38" t="inlineStr">
        <is>
          <t>pal_044</t>
        </is>
      </c>
      <c r="B45" s="38" t="inlineStr">
        <is>
          <t>夜羽巨鸦</t>
        </is>
      </c>
      <c r="C45" s="38" t="inlineStr">
        <is>
          <t>火、冰</t>
        </is>
      </c>
      <c r="D45" s="265" t="inlineStr">
        <is>
          <t>白银</t>
        </is>
      </c>
      <c r="E45" s="38" t="inlineStr">
        <is>
          <t>控制</t>
        </is>
      </c>
      <c r="F45" s="38" t="inlineStr">
        <is>
          <t>两格</t>
        </is>
      </c>
      <c r="G45" s="38" t="inlineStr">
        <is>
          <t>bz_van_044</t>
        </is>
      </c>
      <c r="H45" s="38" t="inlineStr">
        <is>
          <t>elem_水, elem_雷, elem_冰, role_坦克, role_输出, role_机动, tier_pT2, role_抗压承伤, role_风系牵制, role_火系压制</t>
        </is>
      </c>
      <c r="I45" s="38" t="n">
        <v>10</v>
      </c>
      <c r="J45" s="456">
        <f>XLOOKUP($D45&amp;"|"&amp;$E45&amp;"|"&amp;$F45,'PET_STAT_RULES'!$A$5:$A$88,'PET_STAT_RULES'!$C$5:$C$88)</f>
        <v/>
      </c>
      <c r="K45" s="456">
        <f>XLOOKUP($D45&amp;"|"&amp;$E45&amp;"|"&amp;$F45,'PET_STAT_RULES'!$A$5:$A$88,'PET_STAT_RULES'!$D$5:$D$88)</f>
        <v/>
      </c>
      <c r="L45" s="456">
        <f>XLOOKUP($D45&amp;"|"&amp;$E45&amp;"|"&amp;$F45,'PET_STAT_RULES'!$A$5:$A$88,'PET_STAT_RULES'!$F$5:$F$88)</f>
        <v/>
      </c>
      <c r="M45" s="456">
        <f>XLOOKUP($D45&amp;"|"&amp;$E45&amp;"|"&amp;$F45,'PET_STAT_RULES'!$A$5:$A$88,'PET_STAT_RULES'!$G$5:$G$88)</f>
        <v/>
      </c>
      <c r="N45" s="38" t="n">
        <v>2</v>
      </c>
      <c r="O45" s="38" t="inlineStr">
        <is>
          <t>mech_fire_ignite_bonus</t>
        </is>
      </c>
      <c r="P45" s="38" t="inlineStr">
        <is>
          <t>06 形状06</t>
        </is>
      </c>
      <c r="Q45" s="38" t="inlineStr">
        <is>
          <t>Fiery</t>
        </is>
      </c>
      <c r="R45" s="38" t="inlineStr">
        <is>
          <t>item confirmed；来源=Elemental Depth Charge；攻击2格；仅保留来源商人/训练师关系。</t>
        </is>
      </c>
      <c r="S45" s="38" t="n">
        <v>4</v>
      </c>
      <c r="T45" s="38" t="n">
        <v>2</v>
      </c>
      <c r="U45" s="442" t="inlineStr">
        <is>
          <t>skill_vanguard,skill_flank,skill_pierce,skill_revolve,skill_chase,skill_break,skill_suppress,skill_finale</t>
        </is>
      </c>
      <c r="V45" s="442" t="inlineStr">
        <is>
          <t>trait_element_affinity</t>
        </is>
      </c>
      <c r="W45" s="457">
        <f>XLOOKUP($D45&amp;"|"&amp;$E45&amp;"|"&amp;$F45,'PET_STAT_RULES'!$A$5:$A$88,'PET_STAT_RULES'!$E$5:$E$88)</f>
        <v/>
      </c>
      <c r="X45" s="385" t="inlineStr">
        <is>
          <t>hero_001</t>
        </is>
      </c>
      <c r="Y45" s="386" t="inlineStr">
        <is>
          <t>playable</t>
        </is>
      </c>
      <c r="Z45" s="386" t="inlineStr">
        <is>
          <t>aquatic, tech, trap, burn, poison, freeze, ammo</t>
        </is>
      </c>
      <c r="AA45" s="386" t="str"/>
    </row>
    <row r="46">
      <c r="A46" s="38" t="inlineStr">
        <is>
          <t>pal_045</t>
        </is>
      </c>
      <c r="B46" s="38" t="inlineStr">
        <is>
          <t>墨鳞巨蜥</t>
        </is>
      </c>
      <c r="C46" s="38" t="inlineStr">
        <is>
          <t>水、龙</t>
        </is>
      </c>
      <c r="D46" s="265" t="inlineStr">
        <is>
          <t>白银</t>
        </is>
      </c>
      <c r="E46" s="38" t="inlineStr">
        <is>
          <t>机动</t>
        </is>
      </c>
      <c r="F46" s="38" t="inlineStr">
        <is>
          <t>两格</t>
        </is>
      </c>
      <c r="G46" s="38" t="inlineStr">
        <is>
          <t>bz_van_045</t>
        </is>
      </c>
      <c r="H46" s="38" t="inlineStr">
        <is>
          <t>elem_水, elem_雷, elem_冰, elem_无, role_召唤, role_坦克, role_控制, role_治疗, role_输出, special_merchant</t>
        </is>
      </c>
      <c r="I46" s="38" t="n">
        <v>10</v>
      </c>
      <c r="J46" s="456">
        <f>XLOOKUP($D46&amp;"|"&amp;$E46&amp;"|"&amp;$F46,'PET_STAT_RULES'!$A$5:$A$88,'PET_STAT_RULES'!$C$5:$C$88)</f>
        <v/>
      </c>
      <c r="K46" s="456">
        <f>XLOOKUP($D46&amp;"|"&amp;$E46&amp;"|"&amp;$F46,'PET_STAT_RULES'!$A$5:$A$88,'PET_STAT_RULES'!$D$5:$D$88)</f>
        <v/>
      </c>
      <c r="L46" s="456">
        <f>XLOOKUP($D46&amp;"|"&amp;$E46&amp;"|"&amp;$F46,'PET_STAT_RULES'!$A$5:$A$88,'PET_STAT_RULES'!$F$5:$F$88)</f>
        <v/>
      </c>
      <c r="M46" s="456">
        <f>XLOOKUP($D46&amp;"|"&amp;$E46&amp;"|"&amp;$F46,'PET_STAT_RULES'!$A$5:$A$88,'PET_STAT_RULES'!$G$5:$G$88)</f>
        <v/>
      </c>
      <c r="N46" s="38" t="n">
        <v>2</v>
      </c>
      <c r="O46" s="38" t="inlineStr">
        <is>
          <t>none</t>
        </is>
      </c>
      <c r="P46" s="38" t="inlineStr">
        <is>
          <t>12 形状12</t>
        </is>
      </c>
      <c r="Q46" s="38" t="inlineStr">
        <is>
          <t>Turbo</t>
        </is>
      </c>
      <c r="R46" s="38" t="inlineStr">
        <is>
          <t>item confirmed；来源=Figurehead；攻击2格；仅保留来源商人/训练师关系。</t>
        </is>
      </c>
      <c r="S46" s="38" t="n">
        <v>5</v>
      </c>
      <c r="T46" s="38" t="n">
        <v>2</v>
      </c>
      <c r="U46" s="442" t="inlineStr">
        <is>
          <t>skill_vanguard,skill_flank,skill_pierce,skill_revolve,skill_chase,skill_break,skill_suppress,skill_finale</t>
        </is>
      </c>
      <c r="V46" s="442" t="inlineStr">
        <is>
          <t>trait_relentless</t>
        </is>
      </c>
      <c r="W46" s="457">
        <f>XLOOKUP($D46&amp;"|"&amp;$E46&amp;"|"&amp;$F46,'PET_STAT_RULES'!$A$5:$A$88,'PET_STAT_RULES'!$E$5:$E$88)</f>
        <v/>
      </c>
      <c r="X46" s="385" t="inlineStr">
        <is>
          <t>hero_001</t>
        </is>
      </c>
      <c r="Y46" s="386" t="inlineStr">
        <is>
          <t>playable</t>
        </is>
      </c>
      <c r="Z46" s="386" t="inlineStr">
        <is>
          <t>aquatic, relic, cooldown</t>
        </is>
      </c>
      <c r="AA46" s="386" t="inlineStr">
        <is>
          <t>damage</t>
        </is>
      </c>
    </row>
    <row r="47">
      <c r="A47" s="38" t="inlineStr">
        <is>
          <t>pal_046</t>
        </is>
      </c>
      <c r="B47" s="38" t="inlineStr">
        <is>
          <t>月镰螳螂</t>
        </is>
      </c>
      <c r="C47" s="38" t="inlineStr">
        <is>
          <t>水</t>
        </is>
      </c>
      <c r="D47" s="259" t="inlineStr">
        <is>
          <t>青铜</t>
        </is>
      </c>
      <c r="E47" s="38" t="inlineStr">
        <is>
          <t>控制</t>
        </is>
      </c>
      <c r="F47" s="38" t="inlineStr">
        <is>
          <t>两格</t>
        </is>
      </c>
      <c r="G47" s="38" t="inlineStr">
        <is>
          <t>bz_van_046</t>
        </is>
      </c>
      <c r="H47" s="38" t="inlineStr">
        <is>
          <t>elem_水, elem_雷, elem_冰, elem_无, role_坦克, role_控制, role_输出, special_merchant, role_召唤铺场, role_远点压制</t>
        </is>
      </c>
      <c r="I47" s="38" t="n">
        <v>10</v>
      </c>
      <c r="J47" s="456">
        <f>XLOOKUP($D47&amp;"|"&amp;$E47&amp;"|"&amp;$F47,'PET_STAT_RULES'!$A$5:$A$88,'PET_STAT_RULES'!$C$5:$C$88)</f>
        <v/>
      </c>
      <c r="K47" s="456">
        <f>XLOOKUP($D47&amp;"|"&amp;$E47&amp;"|"&amp;$F47,'PET_STAT_RULES'!$A$5:$A$88,'PET_STAT_RULES'!$D$5:$D$88)</f>
        <v/>
      </c>
      <c r="L47" s="456">
        <f>XLOOKUP($D47&amp;"|"&amp;$E47&amp;"|"&amp;$F47,'PET_STAT_RULES'!$A$5:$A$88,'PET_STAT_RULES'!$F$5:$F$88)</f>
        <v/>
      </c>
      <c r="M47" s="456">
        <f>XLOOKUP($D47&amp;"|"&amp;$E47&amp;"|"&amp;$F47,'PET_STAT_RULES'!$A$5:$A$88,'PET_STAT_RULES'!$G$5:$G$88)</f>
        <v/>
      </c>
      <c r="N47" s="38" t="n">
        <v>3</v>
      </c>
      <c r="O47" s="38" t="inlineStr">
        <is>
          <t>mech_counter_damage</t>
        </is>
      </c>
      <c r="P47" s="38" t="inlineStr">
        <is>
          <t>16 形状16</t>
        </is>
      </c>
      <c r="Q47" s="38" t="inlineStr">
        <is>
          <t>Icy</t>
        </is>
      </c>
      <c r="R47" s="38" t="inlineStr">
        <is>
          <t>item confirmed；来源=Fishing Net；攻击3格；仅保留来源商人/训练师关系。</t>
        </is>
      </c>
      <c r="S47" s="38" t="n">
        <v>4</v>
      </c>
      <c r="T47" s="38" t="n">
        <v>1</v>
      </c>
      <c r="U47" s="442" t="inlineStr">
        <is>
          <t>skill_vanguard,skill_flank,skill_pierce,skill_revolve,skill_chase,skill_break,skill_suppress,skill_finale</t>
        </is>
      </c>
      <c r="V47" s="442" t="inlineStr">
        <is>
          <t>trait_element_affinity</t>
        </is>
      </c>
      <c r="W47" s="457">
        <f>XLOOKUP($D47&amp;"|"&amp;$E47&amp;"|"&amp;$F47,'PET_STAT_RULES'!$A$5:$A$88,'PET_STAT_RULES'!$E$5:$E$88)</f>
        <v/>
      </c>
      <c r="X47" s="385" t="inlineStr">
        <is>
          <t>hero_001</t>
        </is>
      </c>
      <c r="Y47" s="386" t="inlineStr">
        <is>
          <t>playable</t>
        </is>
      </c>
      <c r="Z47" s="386" t="inlineStr">
        <is>
          <t>aquatic, tool, slow</t>
        </is>
      </c>
      <c r="AA47" s="386" t="inlineStr">
        <is>
          <t>economy</t>
        </is>
      </c>
    </row>
    <row r="48">
      <c r="A48" s="38" t="inlineStr">
        <is>
          <t>pal_047</t>
        </is>
      </c>
      <c r="B48" s="38" t="inlineStr">
        <is>
          <t>裂空苍鹰</t>
        </is>
      </c>
      <c r="C48" s="38" t="inlineStr">
        <is>
          <t>水</t>
        </is>
      </c>
      <c r="D48" s="259" t="inlineStr">
        <is>
          <t>青铜</t>
        </is>
      </c>
      <c r="E48" s="38" t="inlineStr">
        <is>
          <t>机动</t>
        </is>
      </c>
      <c r="F48" s="38" t="inlineStr">
        <is>
          <t>两格</t>
        </is>
      </c>
      <c r="G48" s="38" t="inlineStr">
        <is>
          <t>bz_van_047</t>
        </is>
      </c>
      <c r="H48" s="38" t="inlineStr">
        <is>
          <t>elem_水, elem_雷, elem_冰, elem_无, role_坦克, role_控制, role_输出, special_merchant, elite_high, role_远点压制</t>
        </is>
      </c>
      <c r="I48" s="38" t="n">
        <v>10</v>
      </c>
      <c r="J48" s="456">
        <f>XLOOKUP($D48&amp;"|"&amp;$E48&amp;"|"&amp;$F48,'PET_STAT_RULES'!$A$5:$A$88,'PET_STAT_RULES'!$C$5:$C$88)</f>
        <v/>
      </c>
      <c r="K48" s="456">
        <f>XLOOKUP($D48&amp;"|"&amp;$E48&amp;"|"&amp;$F48,'PET_STAT_RULES'!$A$5:$A$88,'PET_STAT_RULES'!$D$5:$D$88)</f>
        <v/>
      </c>
      <c r="L48" s="456">
        <f>XLOOKUP($D48&amp;"|"&amp;$E48&amp;"|"&amp;$F48,'PET_STAT_RULES'!$A$5:$A$88,'PET_STAT_RULES'!$F$5:$F$88)</f>
        <v/>
      </c>
      <c r="M48" s="456">
        <f>XLOOKUP($D48&amp;"|"&amp;$E48&amp;"|"&amp;$F48,'PET_STAT_RULES'!$A$5:$A$88,'PET_STAT_RULES'!$G$5:$G$88)</f>
        <v/>
      </c>
      <c r="N48" s="38" t="n">
        <v>3</v>
      </c>
      <c r="O48" s="38" t="inlineStr">
        <is>
          <t>none</t>
        </is>
      </c>
      <c r="P48" s="38" t="inlineStr">
        <is>
          <t>16 形状16</t>
        </is>
      </c>
      <c r="Q48" s="38" t="inlineStr">
        <is>
          <t>Turbo</t>
        </is>
      </c>
      <c r="R48" s="38" t="inlineStr">
        <is>
          <t>item confirmed；来源=Fishing Rod；攻击3格；仅保留来源商人/训练师关系。</t>
        </is>
      </c>
      <c r="S48" s="38" t="n">
        <v>5</v>
      </c>
      <c r="T48" s="38" t="n">
        <v>1</v>
      </c>
      <c r="U48" s="442" t="inlineStr">
        <is>
          <t>skill_vanguard,skill_flank,skill_pierce,skill_revolve,skill_chase,skill_break,skill_suppress,skill_finale</t>
        </is>
      </c>
      <c r="V48" s="442" t="inlineStr">
        <is>
          <t>trait_relentless</t>
        </is>
      </c>
      <c r="W48" s="457">
        <f>XLOOKUP($D48&amp;"|"&amp;$E48&amp;"|"&amp;$F48,'PET_STAT_RULES'!$A$5:$A$88,'PET_STAT_RULES'!$E$5:$E$88)</f>
        <v/>
      </c>
      <c r="X48" s="385" t="inlineStr">
        <is>
          <t>hero_001</t>
        </is>
      </c>
      <c r="Y48" s="386" t="inlineStr">
        <is>
          <t>playable</t>
        </is>
      </c>
      <c r="Z48" s="386" t="inlineStr">
        <is>
          <t>aquatic, tool, haste</t>
        </is>
      </c>
      <c r="AA48" s="386" t="str"/>
    </row>
    <row r="49">
      <c r="A49" s="38" t="inlineStr">
        <is>
          <t>pal_048</t>
        </is>
      </c>
      <c r="B49" s="38" t="inlineStr">
        <is>
          <t>木刺豪猪</t>
        </is>
      </c>
      <c r="C49" s="38" t="inlineStr">
        <is>
          <t>水、雷</t>
        </is>
      </c>
      <c r="D49" s="265" t="inlineStr">
        <is>
          <t>白银</t>
        </is>
      </c>
      <c r="E49" s="38" t="inlineStr">
        <is>
          <t>召唤</t>
        </is>
      </c>
      <c r="F49" s="38" t="inlineStr">
        <is>
          <t>三格</t>
        </is>
      </c>
      <c r="G49" s="38" t="inlineStr">
        <is>
          <t>bz_van_048</t>
        </is>
      </c>
      <c r="H49" s="38" t="inlineStr">
        <is>
          <t>elite_high</t>
        </is>
      </c>
      <c r="I49" s="38" t="n">
        <v>1</v>
      </c>
      <c r="J49" s="456">
        <f>XLOOKUP($D49&amp;"|"&amp;$E49&amp;"|"&amp;$F49,'PET_STAT_RULES'!$A$5:$A$88,'PET_STAT_RULES'!$C$5:$C$88)</f>
        <v/>
      </c>
      <c r="K49" s="456">
        <f>XLOOKUP($D49&amp;"|"&amp;$E49&amp;"|"&amp;$F49,'PET_STAT_RULES'!$A$5:$A$88,'PET_STAT_RULES'!$D$5:$D$88)</f>
        <v/>
      </c>
      <c r="L49" s="456">
        <f>XLOOKUP($D49&amp;"|"&amp;$E49&amp;"|"&amp;$F49,'PET_STAT_RULES'!$A$5:$A$88,'PET_STAT_RULES'!$F$5:$F$88)</f>
        <v/>
      </c>
      <c r="M49" s="456">
        <f>XLOOKUP($D49&amp;"|"&amp;$E49&amp;"|"&amp;$F49,'PET_STAT_RULES'!$A$5:$A$88,'PET_STAT_RULES'!$G$5:$G$88)</f>
        <v/>
      </c>
      <c r="N49" s="38" t="n">
        <v>2</v>
      </c>
      <c r="O49" s="38" t="inlineStr">
        <is>
          <t>mech_grow_shield_each_round</t>
        </is>
      </c>
      <c r="P49" s="38" t="inlineStr">
        <is>
          <t>10 形状10</t>
        </is>
      </c>
      <c r="Q49" s="38" t="inlineStr">
        <is>
          <t>Deadly</t>
        </is>
      </c>
      <c r="R49" s="38" t="inlineStr">
        <is>
          <t>item confirmed；来源=Flagship；攻击2格；仅保留来源商人/训练师关系。</t>
        </is>
      </c>
      <c r="S49" s="38" t="n">
        <v>2</v>
      </c>
      <c r="T49" s="38" t="n">
        <v>2</v>
      </c>
      <c r="U49" s="442" t="inlineStr">
        <is>
          <t>skill_vanguard,skill_flank,skill_pierce,skill_revolve,skill_chase,skill_break,skill_suppress,skill_finale</t>
        </is>
      </c>
      <c r="V49" s="442" t="inlineStr">
        <is>
          <t>trait_combo_resonance</t>
        </is>
      </c>
      <c r="W49" s="457">
        <f>XLOOKUP($D49&amp;"|"&amp;$E49&amp;"|"&amp;$F49,'PET_STAT_RULES'!$A$5:$A$88,'PET_STAT_RULES'!$E$5:$E$88)</f>
        <v/>
      </c>
      <c r="X49" s="385" t="inlineStr">
        <is>
          <t>hero_001</t>
        </is>
      </c>
      <c r="Y49" s="386" t="inlineStr">
        <is>
          <t>playable</t>
        </is>
      </c>
      <c r="Z49" s="386" t="inlineStr">
        <is>
          <t>aquatic, vehicle, weapon, damage</t>
        </is>
      </c>
      <c r="AA49" s="386" t="inlineStr">
        <is>
          <t>ammo</t>
        </is>
      </c>
    </row>
    <row r="50">
      <c r="A50" s="38" t="inlineStr">
        <is>
          <t>pal_049</t>
        </is>
      </c>
      <c r="B50" s="38" t="inlineStr">
        <is>
          <t>铁臂黑猿</t>
        </is>
      </c>
      <c r="C50" s="38" t="inlineStr">
        <is>
          <t>水、龙</t>
        </is>
      </c>
      <c r="D50" s="259" t="inlineStr">
        <is>
          <t>青铜</t>
        </is>
      </c>
      <c r="E50" s="38" t="inlineStr">
        <is>
          <t>机动</t>
        </is>
      </c>
      <c r="F50" s="38" t="inlineStr">
        <is>
          <t>一格</t>
        </is>
      </c>
      <c r="G50" s="38" t="inlineStr">
        <is>
          <t>bz_van_049</t>
        </is>
      </c>
      <c r="H50" s="38" t="inlineStr">
        <is>
          <t>night_base, elem_火, elem_草, elem_雷, role_坦克, role_控制, role_输出, special_merchant, elite_high, role_机动压制</t>
        </is>
      </c>
      <c r="I50" s="38" t="n">
        <v>10</v>
      </c>
      <c r="J50" s="456">
        <f>XLOOKUP($D50&amp;"|"&amp;$E50&amp;"|"&amp;$F50,'PET_STAT_RULES'!$A$5:$A$88,'PET_STAT_RULES'!$C$5:$C$88)</f>
        <v/>
      </c>
      <c r="K50" s="456">
        <f>XLOOKUP($D50&amp;"|"&amp;$E50&amp;"|"&amp;$F50,'PET_STAT_RULES'!$A$5:$A$88,'PET_STAT_RULES'!$D$5:$D$88)</f>
        <v/>
      </c>
      <c r="L50" s="456">
        <f>XLOOKUP($D50&amp;"|"&amp;$E50&amp;"|"&amp;$F50,'PET_STAT_RULES'!$A$5:$A$88,'PET_STAT_RULES'!$F$5:$F$88)</f>
        <v/>
      </c>
      <c r="M50" s="456">
        <f>XLOOKUP($D50&amp;"|"&amp;$E50&amp;"|"&amp;$F50,'PET_STAT_RULES'!$A$5:$A$88,'PET_STAT_RULES'!$G$5:$G$88)</f>
        <v/>
      </c>
      <c r="N50" s="38" t="n">
        <v>2</v>
      </c>
      <c r="O50" s="38" t="inlineStr">
        <is>
          <t>none</t>
        </is>
      </c>
      <c r="P50" s="38" t="inlineStr">
        <is>
          <t>12 形状12</t>
        </is>
      </c>
      <c r="Q50" s="38" t="inlineStr">
        <is>
          <t>Turbo</t>
        </is>
      </c>
      <c r="R50" s="38" t="inlineStr">
        <is>
          <t>item confirmed；来源=Flying Fish；攻击2格；仅保留来源商人/训练师关系。</t>
        </is>
      </c>
      <c r="S50" s="38" t="n">
        <v>5</v>
      </c>
      <c r="T50" s="38" t="n">
        <v>1</v>
      </c>
      <c r="U50" s="442" t="inlineStr">
        <is>
          <t>skill_vanguard,skill_flank,skill_pierce,skill_revolve,skill_chase,skill_break,skill_suppress,skill_finale</t>
        </is>
      </c>
      <c r="V50" s="442" t="inlineStr">
        <is>
          <t>trait_relentless</t>
        </is>
      </c>
      <c r="W50" s="457">
        <f>XLOOKUP($D50&amp;"|"&amp;$E50&amp;"|"&amp;$F50,'PET_STAT_RULES'!$A$5:$A$88,'PET_STAT_RULES'!$E$5:$E$88)</f>
        <v/>
      </c>
      <c r="X50" s="385" t="inlineStr">
        <is>
          <t>hero_001</t>
        </is>
      </c>
      <c r="Y50" s="386" t="inlineStr">
        <is>
          <t>playable</t>
        </is>
      </c>
      <c r="Z50" s="386" t="inlineStr">
        <is>
          <t>aquatic, friend, weapon, haste, flying</t>
        </is>
      </c>
      <c r="AA50" s="386" t="str"/>
    </row>
    <row r="51">
      <c r="A51" s="38" t="inlineStr">
        <is>
          <t>pal_050</t>
        </is>
      </c>
      <c r="B51" s="38" t="inlineStr">
        <is>
          <t>金甲蜂群</t>
        </is>
      </c>
      <c r="C51" s="38" t="inlineStr">
        <is>
          <t>雷</t>
        </is>
      </c>
      <c r="D51" s="259" t="inlineStr">
        <is>
          <t>青铜</t>
        </is>
      </c>
      <c r="E51" s="38" t="inlineStr">
        <is>
          <t>输出</t>
        </is>
      </c>
      <c r="F51" s="38" t="inlineStr">
        <is>
          <t>一格</t>
        </is>
      </c>
      <c r="G51" s="38" t="inlineStr">
        <is>
          <t>bz_van_050</t>
        </is>
      </c>
      <c r="H51" s="38" t="inlineStr">
        <is>
          <t>night_base, elem_火, elem_雷, elem_地, role_召唤, role_坦克, role_控制, role_治疗, role_经济, role_机动</t>
        </is>
      </c>
      <c r="I51" s="38" t="n">
        <v>10</v>
      </c>
      <c r="J51" s="456">
        <f>XLOOKUP($D51&amp;"|"&amp;$E51&amp;"|"&amp;$F51,'PET_STAT_RULES'!$A$5:$A$88,'PET_STAT_RULES'!$C$5:$C$88)</f>
        <v/>
      </c>
      <c r="K51" s="456">
        <f>XLOOKUP($D51&amp;"|"&amp;$E51&amp;"|"&amp;$F51,'PET_STAT_RULES'!$A$5:$A$88,'PET_STAT_RULES'!$D$5:$D$88)</f>
        <v/>
      </c>
      <c r="L51" s="456">
        <f>XLOOKUP($D51&amp;"|"&amp;$E51&amp;"|"&amp;$F51,'PET_STAT_RULES'!$A$5:$A$88,'PET_STAT_RULES'!$F$5:$F$88)</f>
        <v/>
      </c>
      <c r="M51" s="456">
        <f>XLOOKUP($D51&amp;"|"&amp;$E51&amp;"|"&amp;$F51,'PET_STAT_RULES'!$A$5:$A$88,'PET_STAT_RULES'!$G$5:$G$88)</f>
        <v/>
      </c>
      <c r="N51" s="38" t="n">
        <v>1</v>
      </c>
      <c r="O51" s="38" t="inlineStr">
        <is>
          <t>mech_grow_atk_each_round</t>
        </is>
      </c>
      <c r="P51" s="38" t="inlineStr">
        <is>
          <t>01 形状01</t>
        </is>
      </c>
      <c r="Q51" s="38" t="inlineStr">
        <is>
          <t>Deadly</t>
        </is>
      </c>
      <c r="R51" s="38" t="inlineStr">
        <is>
          <t>item confirmed；来源=Grapeshot；攻击1格；仅保留来源商人/训练师关系。</t>
        </is>
      </c>
      <c r="S51" s="38" t="n">
        <v>3</v>
      </c>
      <c r="T51" s="38" t="n">
        <v>1</v>
      </c>
      <c r="U51" s="442" t="inlineStr">
        <is>
          <t>skill_vanguard,skill_flank,skill_pierce,skill_revolve,skill_chase,skill_break,skill_suppress,skill_finale</t>
        </is>
      </c>
      <c r="V51" s="442" t="inlineStr">
        <is>
          <t>trait_relentless</t>
        </is>
      </c>
      <c r="W51" s="457">
        <f>XLOOKUP($D51&amp;"|"&amp;$E51&amp;"|"&amp;$F51,'PET_STAT_RULES'!$A$5:$A$88,'PET_STAT_RULES'!$E$5:$E$88)</f>
        <v/>
      </c>
      <c r="X51" s="385" t="inlineStr">
        <is>
          <t>hero_001</t>
        </is>
      </c>
      <c r="Y51" s="386" t="inlineStr">
        <is>
          <t>playable</t>
        </is>
      </c>
      <c r="Z51" s="386" t="inlineStr">
        <is>
          <t>weapon, damage, ammo</t>
        </is>
      </c>
      <c r="AA51" s="386" t="str"/>
    </row>
    <row r="52">
      <c r="A52" s="38" t="inlineStr">
        <is>
          <t>pal_051</t>
        </is>
      </c>
      <c r="B52" s="38" t="inlineStr">
        <is>
          <t>百花巨蜂</t>
        </is>
      </c>
      <c r="C52" s="38" t="inlineStr">
        <is>
          <t>暗</t>
        </is>
      </c>
      <c r="D52" s="259" t="inlineStr">
        <is>
          <t>青铜</t>
        </is>
      </c>
      <c r="E52" s="38" t="inlineStr">
        <is>
          <t>控制</t>
        </is>
      </c>
      <c r="F52" s="38" t="inlineStr">
        <is>
          <t>一格</t>
        </is>
      </c>
      <c r="G52" s="38" t="inlineStr">
        <is>
          <t>bz_van_051</t>
        </is>
      </c>
      <c r="H52" s="38" t="inlineStr">
        <is>
          <t>night_base, elem_火, elem_雷, elem_地, role_召唤, role_坦克, role_控制, special_merchant, role_召唤铺场, role_远点压制</t>
        </is>
      </c>
      <c r="I52" s="38" t="n">
        <v>10</v>
      </c>
      <c r="J52" s="456">
        <f>XLOOKUP($D52&amp;"|"&amp;$E52&amp;"|"&amp;$F52,'PET_STAT_RULES'!$A$5:$A$88,'PET_STAT_RULES'!$C$5:$C$88)</f>
        <v/>
      </c>
      <c r="K52" s="456">
        <f>XLOOKUP($D52&amp;"|"&amp;$E52&amp;"|"&amp;$F52,'PET_STAT_RULES'!$A$5:$A$88,'PET_STAT_RULES'!$D$5:$D$88)</f>
        <v/>
      </c>
      <c r="L52" s="456">
        <f>XLOOKUP($D52&amp;"|"&amp;$E52&amp;"|"&amp;$F52,'PET_STAT_RULES'!$A$5:$A$88,'PET_STAT_RULES'!$F$5:$F$88)</f>
        <v/>
      </c>
      <c r="M52" s="456">
        <f>XLOOKUP($D52&amp;"|"&amp;$E52&amp;"|"&amp;$F52,'PET_STAT_RULES'!$A$5:$A$88,'PET_STAT_RULES'!$G$5:$G$88)</f>
        <v/>
      </c>
      <c r="N52" s="38" t="n">
        <v>3</v>
      </c>
      <c r="O52" s="38" t="inlineStr">
        <is>
          <t>mech_counter_damage</t>
        </is>
      </c>
      <c r="P52" s="38" t="inlineStr">
        <is>
          <t>19 形状19</t>
        </is>
      </c>
      <c r="Q52" s="38" t="inlineStr">
        <is>
          <t>Icy</t>
        </is>
      </c>
      <c r="R52" s="38" t="inlineStr">
        <is>
          <t>item confirmed；来源=Grappling Hook；攻击3格；仅保留来源商人/训练师关系。</t>
        </is>
      </c>
      <c r="S52" s="38" t="n">
        <v>4</v>
      </c>
      <c r="T52" s="38" t="n">
        <v>1</v>
      </c>
      <c r="U52" s="442" t="inlineStr">
        <is>
          <t>skill_vanguard,skill_flank,skill_pierce,skill_revolve,skill_chase,skill_break,skill_suppress,skill_finale</t>
        </is>
      </c>
      <c r="V52" s="442" t="inlineStr">
        <is>
          <t>trait_element_affinity</t>
        </is>
      </c>
      <c r="W52" s="457">
        <f>XLOOKUP($D52&amp;"|"&amp;$E52&amp;"|"&amp;$F52,'PET_STAT_RULES'!$A$5:$A$88,'PET_STAT_RULES'!$E$5:$E$88)</f>
        <v/>
      </c>
      <c r="X52" s="385" t="inlineStr">
        <is>
          <t>hero_001</t>
        </is>
      </c>
      <c r="Y52" s="386" t="inlineStr">
        <is>
          <t>playable</t>
        </is>
      </c>
      <c r="Z52" s="386" t="inlineStr">
        <is>
          <t>weapon, tool, damage, slow</t>
        </is>
      </c>
      <c r="AA52" s="386" t="str"/>
    </row>
    <row r="53">
      <c r="A53" s="38" t="inlineStr">
        <is>
          <t>pal_052</t>
        </is>
      </c>
      <c r="B53" s="38" t="inlineStr">
        <is>
          <t>笑面山猫</t>
        </is>
      </c>
      <c r="C53" s="38" t="inlineStr">
        <is>
          <t>雷</t>
        </is>
      </c>
      <c r="D53" s="259" t="inlineStr">
        <is>
          <t>青铜</t>
        </is>
      </c>
      <c r="E53" s="38" t="inlineStr">
        <is>
          <t>输出</t>
        </is>
      </c>
      <c r="F53" s="38" t="inlineStr">
        <is>
          <t>一格</t>
        </is>
      </c>
      <c r="G53" s="38" t="inlineStr">
        <is>
          <t>bz_van_052</t>
        </is>
      </c>
      <c r="H53" s="38" t="inlineStr">
        <is>
          <t>night_base, elem_火, elem_雷, elem_地, role_召唤, role_坦克, role_控制, role_治疗, role_经济, role_机动</t>
        </is>
      </c>
      <c r="I53" s="38" t="n">
        <v>10</v>
      </c>
      <c r="J53" s="456">
        <f>XLOOKUP($D53&amp;"|"&amp;$E53&amp;"|"&amp;$F53,'PET_STAT_RULES'!$A$5:$A$88,'PET_STAT_RULES'!$C$5:$C$88)</f>
        <v/>
      </c>
      <c r="K53" s="456">
        <f>XLOOKUP($D53&amp;"|"&amp;$E53&amp;"|"&amp;$F53,'PET_STAT_RULES'!$A$5:$A$88,'PET_STAT_RULES'!$D$5:$D$88)</f>
        <v/>
      </c>
      <c r="L53" s="456">
        <f>XLOOKUP($D53&amp;"|"&amp;$E53&amp;"|"&amp;$F53,'PET_STAT_RULES'!$A$5:$A$88,'PET_STAT_RULES'!$F$5:$F$88)</f>
        <v/>
      </c>
      <c r="M53" s="456">
        <f>XLOOKUP($D53&amp;"|"&amp;$E53&amp;"|"&amp;$F53,'PET_STAT_RULES'!$A$5:$A$88,'PET_STAT_RULES'!$G$5:$G$88)</f>
        <v/>
      </c>
      <c r="N53" s="38" t="n">
        <v>1</v>
      </c>
      <c r="O53" s="38" t="inlineStr">
        <is>
          <t>mech_grow_atk_each_round</t>
        </is>
      </c>
      <c r="P53" s="38" t="inlineStr">
        <is>
          <t>02 形状02</t>
        </is>
      </c>
      <c r="Q53" s="38" t="inlineStr">
        <is>
          <t>Deadly</t>
        </is>
      </c>
      <c r="R53" s="38" t="inlineStr">
        <is>
          <t>item confirmed；来源=Grenade；攻击1格；仅保留来源商人/训练师关系。</t>
        </is>
      </c>
      <c r="S53" s="38" t="n">
        <v>3</v>
      </c>
      <c r="T53" s="38" t="n">
        <v>1</v>
      </c>
      <c r="U53" s="442" t="inlineStr">
        <is>
          <t>skill_vanguard,skill_flank,skill_pierce,skill_revolve,skill_chase,skill_break,skill_suppress,skill_finale</t>
        </is>
      </c>
      <c r="V53" s="442" t="inlineStr">
        <is>
          <t>trait_relentless</t>
        </is>
      </c>
      <c r="W53" s="457">
        <f>XLOOKUP($D53&amp;"|"&amp;$E53&amp;"|"&amp;$F53,'PET_STAT_RULES'!$A$5:$A$88,'PET_STAT_RULES'!$E$5:$E$88)</f>
        <v/>
      </c>
      <c r="X53" s="385" t="inlineStr">
        <is>
          <t>hero_001</t>
        </is>
      </c>
      <c r="Y53" s="386" t="inlineStr">
        <is>
          <t>playable</t>
        </is>
      </c>
      <c r="Z53" s="386" t="inlineStr">
        <is>
          <t>weapon, damage, ammo</t>
        </is>
      </c>
      <c r="AA53" s="386" t="str"/>
    </row>
    <row r="54">
      <c r="A54" s="38" t="inlineStr">
        <is>
          <t>pal_053</t>
        </is>
      </c>
      <c r="B54" s="38" t="inlineStr">
        <is>
          <t>霜尾雪貂</t>
        </is>
      </c>
      <c r="C54" s="38" t="inlineStr">
        <is>
          <t>无</t>
        </is>
      </c>
      <c r="D54" s="259" t="inlineStr">
        <is>
          <t>青铜</t>
        </is>
      </c>
      <c r="E54" s="38" t="inlineStr">
        <is>
          <t>输出</t>
        </is>
      </c>
      <c r="F54" s="38" t="inlineStr">
        <is>
          <t>一格</t>
        </is>
      </c>
      <c r="G54" s="38" t="inlineStr">
        <is>
          <t>bz_van_053</t>
        </is>
      </c>
      <c r="H54" s="38" t="inlineStr">
        <is>
          <t>night_base, elem_火, elem_雷, elem_地, elem_暗, role_召唤, role_坦克, role_控制, role_治疗, role_经济</t>
        </is>
      </c>
      <c r="I54" s="38" t="n">
        <v>10</v>
      </c>
      <c r="J54" s="456">
        <f>XLOOKUP($D54&amp;"|"&amp;$E54&amp;"|"&amp;$F54,'PET_STAT_RULES'!$A$5:$A$88,'PET_STAT_RULES'!$C$5:$C$88)</f>
        <v/>
      </c>
      <c r="K54" s="456">
        <f>XLOOKUP($D54&amp;"|"&amp;$E54&amp;"|"&amp;$F54,'PET_STAT_RULES'!$A$5:$A$88,'PET_STAT_RULES'!$D$5:$D$88)</f>
        <v/>
      </c>
      <c r="L54" s="456">
        <f>XLOOKUP($D54&amp;"|"&amp;$E54&amp;"|"&amp;$F54,'PET_STAT_RULES'!$A$5:$A$88,'PET_STAT_RULES'!$F$5:$F$88)</f>
        <v/>
      </c>
      <c r="M54" s="456">
        <f>XLOOKUP($D54&amp;"|"&amp;$E54&amp;"|"&amp;$F54,'PET_STAT_RULES'!$A$5:$A$88,'PET_STAT_RULES'!$G$5:$G$88)</f>
        <v/>
      </c>
      <c r="N54" s="38" t="n">
        <v>1</v>
      </c>
      <c r="O54" s="38" t="inlineStr">
        <is>
          <t>mech_grow_atk_each_round</t>
        </is>
      </c>
      <c r="P54" s="38" t="inlineStr">
        <is>
          <t>01 形状01</t>
        </is>
      </c>
      <c r="Q54" s="38" t="inlineStr">
        <is>
          <t>Deadly</t>
        </is>
      </c>
      <c r="R54" s="38" t="inlineStr">
        <is>
          <t>item confirmed；来源=Handaxe；攻击1格；仅保留来源商人/训练师关系。</t>
        </is>
      </c>
      <c r="S54" s="38" t="n">
        <v>3</v>
      </c>
      <c r="T54" s="38" t="n">
        <v>1</v>
      </c>
      <c r="U54" s="442" t="inlineStr">
        <is>
          <t>skill_vanguard,skill_flank,skill_pierce,skill_revolve,skill_chase,skill_break,skill_suppress,skill_finale</t>
        </is>
      </c>
      <c r="V54" s="442" t="inlineStr">
        <is>
          <t>trait_relentless</t>
        </is>
      </c>
      <c r="W54" s="457">
        <f>XLOOKUP($D54&amp;"|"&amp;$E54&amp;"|"&amp;$F54,'PET_STAT_RULES'!$A$5:$A$88,'PET_STAT_RULES'!$E$5:$E$88)</f>
        <v/>
      </c>
      <c r="X54" s="385" t="inlineStr">
        <is>
          <t>hero_001</t>
        </is>
      </c>
      <c r="Y54" s="386" t="inlineStr">
        <is>
          <t>playable</t>
        </is>
      </c>
      <c r="Z54" s="386" t="inlineStr">
        <is>
          <t>weapon, damage</t>
        </is>
      </c>
      <c r="AA54" s="386" t="str"/>
    </row>
    <row r="55">
      <c r="A55" s="38" t="inlineStr">
        <is>
          <t>pal_054</t>
        </is>
      </c>
      <c r="B55" s="38" t="inlineStr">
        <is>
          <t>白眉雪猿</t>
        </is>
      </c>
      <c r="C55" s="38" t="inlineStr">
        <is>
          <t>水、雷</t>
        </is>
      </c>
      <c r="D55" s="265" t="inlineStr">
        <is>
          <t>白银</t>
        </is>
      </c>
      <c r="E55" s="38" t="inlineStr">
        <is>
          <t>控制</t>
        </is>
      </c>
      <c r="F55" s="38" t="inlineStr">
        <is>
          <t>两格</t>
        </is>
      </c>
      <c r="G55" s="38" t="inlineStr">
        <is>
          <t>bz_van_054</t>
        </is>
      </c>
      <c r="H55" s="38" t="inlineStr">
        <is>
          <t>elem_水, elem_雷, elem_冰, elem_无, role_召唤, role_坦克, role_控制, role_治疗, role_输出, role_机动</t>
        </is>
      </c>
      <c r="I55" s="38" t="n">
        <v>10</v>
      </c>
      <c r="J55" s="456">
        <f>XLOOKUP($D55&amp;"|"&amp;$E55&amp;"|"&amp;$F55,'PET_STAT_RULES'!$A$5:$A$88,'PET_STAT_RULES'!$C$5:$C$88)</f>
        <v/>
      </c>
      <c r="K55" s="456">
        <f>XLOOKUP($D55&amp;"|"&amp;$E55&amp;"|"&amp;$F55,'PET_STAT_RULES'!$A$5:$A$88,'PET_STAT_RULES'!$D$5:$D$88)</f>
        <v/>
      </c>
      <c r="L55" s="456">
        <f>XLOOKUP($D55&amp;"|"&amp;$E55&amp;"|"&amp;$F55,'PET_STAT_RULES'!$A$5:$A$88,'PET_STAT_RULES'!$F$5:$F$88)</f>
        <v/>
      </c>
      <c r="M55" s="456">
        <f>XLOOKUP($D55&amp;"|"&amp;$E55&amp;"|"&amp;$F55,'PET_STAT_RULES'!$A$5:$A$88,'PET_STAT_RULES'!$G$5:$G$88)</f>
        <v/>
      </c>
      <c r="N55" s="38" t="n">
        <v>3</v>
      </c>
      <c r="O55" s="38" t="inlineStr">
        <is>
          <t>mech_death_explosion</t>
        </is>
      </c>
      <c r="P55" s="38" t="inlineStr">
        <is>
          <t>17 形状17</t>
        </is>
      </c>
      <c r="Q55" s="38" t="inlineStr">
        <is>
          <t>Obsidian</t>
        </is>
      </c>
      <c r="R55" s="38" t="inlineStr">
        <is>
          <t>item confirmed；来源=Harpoon；攻击3格；仅保留来源商人/训练师关系。</t>
        </is>
      </c>
      <c r="S55" s="38" t="n">
        <v>4</v>
      </c>
      <c r="T55" s="38" t="n">
        <v>2</v>
      </c>
      <c r="U55" s="442" t="inlineStr">
        <is>
          <t>skill_vanguard,skill_flank,skill_pierce,skill_revolve,skill_chase,skill_break,skill_suppress,skill_finale</t>
        </is>
      </c>
      <c r="V55" s="442" t="inlineStr">
        <is>
          <t>trait_element_affinity</t>
        </is>
      </c>
      <c r="W55" s="457">
        <f>XLOOKUP($D55&amp;"|"&amp;$E55&amp;"|"&amp;$F55,'PET_STAT_RULES'!$A$5:$A$88,'PET_STAT_RULES'!$E$5:$E$88)</f>
        <v/>
      </c>
      <c r="X55" s="385" t="inlineStr">
        <is>
          <t>hero_001</t>
        </is>
      </c>
      <c r="Y55" s="386" t="inlineStr">
        <is>
          <t>playable</t>
        </is>
      </c>
      <c r="Z55" s="386" t="inlineStr">
        <is>
          <t>aquatic, ammo</t>
        </is>
      </c>
      <c r="AA55" s="386" t="str"/>
    </row>
    <row r="56">
      <c r="A56" s="38" t="inlineStr">
        <is>
          <t>pal_055</t>
        </is>
      </c>
      <c r="B56" s="38" t="inlineStr">
        <is>
          <t>寒风幼螭</t>
        </is>
      </c>
      <c r="C56" s="38" t="inlineStr">
        <is>
          <t>火</t>
        </is>
      </c>
      <c r="D56" s="265" t="inlineStr">
        <is>
          <t>白银</t>
        </is>
      </c>
      <c r="E56" s="38" t="inlineStr">
        <is>
          <t>机动</t>
        </is>
      </c>
      <c r="F56" s="38" t="inlineStr">
        <is>
          <t>一格</t>
        </is>
      </c>
      <c r="G56" s="38" t="inlineStr">
        <is>
          <t>bz_van_055</t>
        </is>
      </c>
      <c r="H56" s="38" t="inlineStr">
        <is>
          <t>elem_火, elem_雷, elem_冰, elem_地, role_召唤, role_坦克, role_控制, special_merchant, elite_high, role_重甲抗压</t>
        </is>
      </c>
      <c r="I56" s="38" t="n">
        <v>10</v>
      </c>
      <c r="J56" s="456">
        <f>XLOOKUP($D56&amp;"|"&amp;$E56&amp;"|"&amp;$F56,'PET_STAT_RULES'!$A$5:$A$88,'PET_STAT_RULES'!$C$5:$C$88)</f>
        <v/>
      </c>
      <c r="K56" s="456">
        <f>XLOOKUP($D56&amp;"|"&amp;$E56&amp;"|"&amp;$F56,'PET_STAT_RULES'!$A$5:$A$88,'PET_STAT_RULES'!$D$5:$D$88)</f>
        <v/>
      </c>
      <c r="L56" s="456">
        <f>XLOOKUP($D56&amp;"|"&amp;$E56&amp;"|"&amp;$F56,'PET_STAT_RULES'!$A$5:$A$88,'PET_STAT_RULES'!$F$5:$F$88)</f>
        <v/>
      </c>
      <c r="M56" s="456">
        <f>XLOOKUP($D56&amp;"|"&amp;$E56&amp;"|"&amp;$F56,'PET_STAT_RULES'!$A$5:$A$88,'PET_STAT_RULES'!$G$5:$G$88)</f>
        <v/>
      </c>
      <c r="N56" s="38" t="n">
        <v>3</v>
      </c>
      <c r="O56" s="38" t="inlineStr">
        <is>
          <t>none</t>
        </is>
      </c>
      <c r="P56" s="38" t="inlineStr">
        <is>
          <t>13 形状13</t>
        </is>
      </c>
      <c r="Q56" s="38" t="inlineStr">
        <is>
          <t>Turbo</t>
        </is>
      </c>
      <c r="R56" s="38" t="inlineStr">
        <is>
          <t>item confirmed；来源=Holsters；攻击3格；仅保留来源商人/训练师关系。</t>
        </is>
      </c>
      <c r="S56" s="38" t="n">
        <v>5</v>
      </c>
      <c r="T56" s="38" t="n">
        <v>2</v>
      </c>
      <c r="U56" s="442" t="inlineStr">
        <is>
          <t>skill_vanguard,skill_flank,skill_pierce,skill_revolve,skill_chase,skill_break,skill_suppress,skill_finale</t>
        </is>
      </c>
      <c r="V56" s="442" t="inlineStr">
        <is>
          <t>trait_relentless</t>
        </is>
      </c>
      <c r="W56" s="457">
        <f>XLOOKUP($D56&amp;"|"&amp;$E56&amp;"|"&amp;$F56,'PET_STAT_RULES'!$A$5:$A$88,'PET_STAT_RULES'!$E$5:$E$88)</f>
        <v/>
      </c>
      <c r="X56" s="385" t="inlineStr">
        <is>
          <t>hero_001</t>
        </is>
      </c>
      <c r="Y56" s="386" t="inlineStr">
        <is>
          <t>playable</t>
        </is>
      </c>
      <c r="Z56" s="386" t="inlineStr">
        <is>
          <t>apparel, haste</t>
        </is>
      </c>
      <c r="AA56" s="386" t="str"/>
    </row>
    <row r="57">
      <c r="A57" s="38" t="inlineStr">
        <is>
          <t>pal_056</t>
        </is>
      </c>
      <c r="B57" s="38" t="inlineStr">
        <is>
          <t>震角雷牛</t>
        </is>
      </c>
      <c r="C57" s="38" t="inlineStr">
        <is>
          <t>无</t>
        </is>
      </c>
      <c r="D57" s="259" t="inlineStr">
        <is>
          <t>青铜</t>
        </is>
      </c>
      <c r="E57" s="38" t="inlineStr">
        <is>
          <t>输出</t>
        </is>
      </c>
      <c r="F57" s="38" t="inlineStr">
        <is>
          <t>一格</t>
        </is>
      </c>
      <c r="G57" s="38" t="inlineStr">
        <is>
          <t>bz_van_056</t>
        </is>
      </c>
      <c r="H57" s="38" t="inlineStr">
        <is>
          <t>elem_火, elem_雷, elem_冰, elem_地, role_召唤, role_坦克, role_控制, role_治疗, role_经济, role_远点压制</t>
        </is>
      </c>
      <c r="I57" s="38" t="n">
        <v>10</v>
      </c>
      <c r="J57" s="456">
        <f>XLOOKUP($D57&amp;"|"&amp;$E57&amp;"|"&amp;$F57,'PET_STAT_RULES'!$A$5:$A$88,'PET_STAT_RULES'!$C$5:$C$88)</f>
        <v/>
      </c>
      <c r="K57" s="456">
        <f>XLOOKUP($D57&amp;"|"&amp;$E57&amp;"|"&amp;$F57,'PET_STAT_RULES'!$A$5:$A$88,'PET_STAT_RULES'!$D$5:$D$88)</f>
        <v/>
      </c>
      <c r="L57" s="456">
        <f>XLOOKUP($D57&amp;"|"&amp;$E57&amp;"|"&amp;$F57,'PET_STAT_RULES'!$A$5:$A$88,'PET_STAT_RULES'!$F$5:$F$88)</f>
        <v/>
      </c>
      <c r="M57" s="456">
        <f>XLOOKUP($D57&amp;"|"&amp;$E57&amp;"|"&amp;$F57,'PET_STAT_RULES'!$A$5:$A$88,'PET_STAT_RULES'!$G$5:$G$88)</f>
        <v/>
      </c>
      <c r="N57" s="38" t="n">
        <v>1</v>
      </c>
      <c r="O57" s="38" t="inlineStr">
        <is>
          <t>mech_grow_atk_each_round</t>
        </is>
      </c>
      <c r="P57" s="38" t="inlineStr">
        <is>
          <t>01 形状01</t>
        </is>
      </c>
      <c r="Q57" s="38" t="inlineStr">
        <is>
          <t>Deadly</t>
        </is>
      </c>
      <c r="R57" s="38" t="inlineStr">
        <is>
          <t>item confirmed；来源=Honing Steel；攻击1格；仅保留来源商人/训练师关系。</t>
        </is>
      </c>
      <c r="S57" s="38" t="n">
        <v>3</v>
      </c>
      <c r="T57" s="38" t="n">
        <v>1</v>
      </c>
      <c r="U57" s="442" t="inlineStr">
        <is>
          <t>skill_vanguard,skill_flank,skill_pierce,skill_revolve,skill_chase,skill_break,skill_suppress,skill_finale</t>
        </is>
      </c>
      <c r="V57" s="442" t="inlineStr">
        <is>
          <t>trait_relentless</t>
        </is>
      </c>
      <c r="W57" s="457">
        <f>XLOOKUP($D57&amp;"|"&amp;$E57&amp;"|"&amp;$F57,'PET_STAT_RULES'!$A$5:$A$88,'PET_STAT_RULES'!$E$5:$E$88)</f>
        <v/>
      </c>
      <c r="X57" s="385" t="inlineStr">
        <is>
          <t>hero_001</t>
        </is>
      </c>
      <c r="Y57" s="386" t="inlineStr">
        <is>
          <t>playable</t>
        </is>
      </c>
      <c r="Z57" s="386" t="inlineStr">
        <is>
          <t>tool</t>
        </is>
      </c>
      <c r="AA57" s="386" t="inlineStr">
        <is>
          <t>damage</t>
        </is>
      </c>
    </row>
    <row r="58">
      <c r="A58" s="38" t="inlineStr">
        <is>
          <t>pal_057</t>
        </is>
      </c>
      <c r="B58" s="38" t="inlineStr">
        <is>
          <t>吹雪银狐</t>
        </is>
      </c>
      <c r="C58" s="38" t="inlineStr">
        <is>
          <t>冰</t>
        </is>
      </c>
      <c r="D58" s="265" t="inlineStr">
        <is>
          <t>白银</t>
        </is>
      </c>
      <c r="E58" s="38" t="inlineStr">
        <is>
          <t>控制</t>
        </is>
      </c>
      <c r="F58" s="38" t="inlineStr">
        <is>
          <t>一格</t>
        </is>
      </c>
      <c r="G58" s="38" t="inlineStr">
        <is>
          <t>bz_van_057</t>
        </is>
      </c>
      <c r="H58" s="38" t="inlineStr">
        <is>
          <t>night_base, elem_火, elem_雷, elem_地, role_召唤, role_坦克, role_控制, role_治疗, role_远点压制, role_风系牵制</t>
        </is>
      </c>
      <c r="I58" s="38" t="n">
        <v>10</v>
      </c>
      <c r="J58" s="456">
        <f>XLOOKUP($D58&amp;"|"&amp;$E58&amp;"|"&amp;$F58,'PET_STAT_RULES'!$A$5:$A$88,'PET_STAT_RULES'!$C$5:$C$88)</f>
        <v/>
      </c>
      <c r="K58" s="456">
        <f>XLOOKUP($D58&amp;"|"&amp;$E58&amp;"|"&amp;$F58,'PET_STAT_RULES'!$A$5:$A$88,'PET_STAT_RULES'!$D$5:$D$88)</f>
        <v/>
      </c>
      <c r="L58" s="456">
        <f>XLOOKUP($D58&amp;"|"&amp;$E58&amp;"|"&amp;$F58,'PET_STAT_RULES'!$A$5:$A$88,'PET_STAT_RULES'!$F$5:$F$88)</f>
        <v/>
      </c>
      <c r="M58" s="456">
        <f>XLOOKUP($D58&amp;"|"&amp;$E58&amp;"|"&amp;$F58,'PET_STAT_RULES'!$A$5:$A$88,'PET_STAT_RULES'!$G$5:$G$88)</f>
        <v/>
      </c>
      <c r="N58" s="38" t="n">
        <v>2</v>
      </c>
      <c r="O58" s="38" t="inlineStr">
        <is>
          <t>mech_counter_damage</t>
        </is>
      </c>
      <c r="P58" s="38" t="inlineStr">
        <is>
          <t>07 形状07</t>
        </is>
      </c>
      <c r="Q58" s="38" t="inlineStr">
        <is>
          <t>Icy</t>
        </is>
      </c>
      <c r="R58" s="38" t="inlineStr">
        <is>
          <t>item confirmed；来源=Ice Pick；攻击2格；仅保留来源商人/训练师关系。</t>
        </is>
      </c>
      <c r="S58" s="38" t="n">
        <v>4</v>
      </c>
      <c r="T58" s="38" t="n">
        <v>2</v>
      </c>
      <c r="U58" s="442" t="inlineStr">
        <is>
          <t>skill_vanguard,skill_flank,skill_pierce,skill_revolve,skill_chase,skill_break,skill_suppress,skill_finale</t>
        </is>
      </c>
      <c r="V58" s="442" t="inlineStr">
        <is>
          <t>trait_element_affinity</t>
        </is>
      </c>
      <c r="W58" s="457">
        <f>XLOOKUP($D58&amp;"|"&amp;$E58&amp;"|"&amp;$F58,'PET_STAT_RULES'!$A$5:$A$88,'PET_STAT_RULES'!$E$5:$E$88)</f>
        <v/>
      </c>
      <c r="X58" s="385" t="inlineStr">
        <is>
          <t>hero_001</t>
        </is>
      </c>
      <c r="Y58" s="386" t="inlineStr">
        <is>
          <t>playable</t>
        </is>
      </c>
      <c r="Z58" s="386" t="inlineStr">
        <is>
          <t>weapon, tool, damage, freeze</t>
        </is>
      </c>
      <c r="AA58" s="386" t="str"/>
    </row>
    <row r="59">
      <c r="A59" s="38" t="inlineStr">
        <is>
          <t>pal_058</t>
        </is>
      </c>
      <c r="B59" s="38" t="inlineStr">
        <is>
          <t>丹角火麟</t>
        </is>
      </c>
      <c r="C59" s="38" t="inlineStr">
        <is>
          <t>冰、水</t>
        </is>
      </c>
      <c r="D59" s="268" t="inlineStr">
        <is>
          <t>钻石</t>
        </is>
      </c>
      <c r="E59" s="38" t="inlineStr">
        <is>
          <t>控制</t>
        </is>
      </c>
      <c r="F59" s="38" t="inlineStr">
        <is>
          <t>三格</t>
        </is>
      </c>
      <c r="G59" s="38" t="inlineStr">
        <is>
          <t>bz_van_058</t>
        </is>
      </c>
      <c r="H59" s="38" t="inlineStr">
        <is>
          <t>elem_水, elem_雷, elem_冰, elem_地, elem_暗, role_控制, role_治疗, role_输出, role_风系铺场, role_风系牵制</t>
        </is>
      </c>
      <c r="I59" s="38" t="n">
        <v>10</v>
      </c>
      <c r="J59" s="456">
        <f>XLOOKUP($D59&amp;"|"&amp;$E59&amp;"|"&amp;$F59,'PET_STAT_RULES'!$A$5:$A$88,'PET_STAT_RULES'!$C$5:$C$88)</f>
        <v/>
      </c>
      <c r="K59" s="456">
        <f>XLOOKUP($D59&amp;"|"&amp;$E59&amp;"|"&amp;$F59,'PET_STAT_RULES'!$A$5:$A$88,'PET_STAT_RULES'!$D$5:$D$88)</f>
        <v/>
      </c>
      <c r="L59" s="456">
        <f>XLOOKUP($D59&amp;"|"&amp;$E59&amp;"|"&amp;$F59,'PET_STAT_RULES'!$A$5:$A$88,'PET_STAT_RULES'!$F$5:$F$88)</f>
        <v/>
      </c>
      <c r="M59" s="456">
        <f>XLOOKUP($D59&amp;"|"&amp;$E59&amp;"|"&amp;$F59,'PET_STAT_RULES'!$A$5:$A$88,'PET_STAT_RULES'!$G$5:$G$88)</f>
        <v/>
      </c>
      <c r="N59" s="38" t="n">
        <v>2</v>
      </c>
      <c r="O59" s="38" t="inlineStr">
        <is>
          <t>mech_counter_damage</t>
        </is>
      </c>
      <c r="P59" s="38" t="inlineStr">
        <is>
          <t>07 形状07</t>
        </is>
      </c>
      <c r="Q59" s="38" t="inlineStr">
        <is>
          <t>Icy</t>
        </is>
      </c>
      <c r="R59" s="38" t="inlineStr">
        <is>
          <t>item confirmed；来源=Iceberg；攻击2格；仅保留来源商人/训练师关系。</t>
        </is>
      </c>
      <c r="S59" s="38" t="n">
        <v>4</v>
      </c>
      <c r="T59" s="38" t="n">
        <v>3</v>
      </c>
      <c r="U59" s="442" t="inlineStr">
        <is>
          <t>skill_vanguard,skill_flank,skill_pierce,skill_revolve,skill_chase,skill_break,skill_suppress,skill_finale</t>
        </is>
      </c>
      <c r="V59" s="442" t="inlineStr">
        <is>
          <t>trait_element_affinity</t>
        </is>
      </c>
      <c r="W59" s="457">
        <f>XLOOKUP($D59&amp;"|"&amp;$E59&amp;"|"&amp;$F59,'PET_STAT_RULES'!$A$5:$A$88,'PET_STAT_RULES'!$E$5:$E$88)</f>
        <v/>
      </c>
      <c r="X59" s="385" t="inlineStr">
        <is>
          <t>hero_001</t>
        </is>
      </c>
      <c r="Y59" s="386" t="inlineStr">
        <is>
          <t>playable</t>
        </is>
      </c>
      <c r="Z59" s="386" t="inlineStr">
        <is>
          <t>aquatic, property, freeze</t>
        </is>
      </c>
      <c r="AA59" s="386" t="str"/>
    </row>
    <row r="60">
      <c r="A60" s="38" t="inlineStr">
        <is>
          <t>pal_059</t>
        </is>
      </c>
      <c r="B60" s="38" t="inlineStr">
        <is>
          <t>冰角白鹿</t>
        </is>
      </c>
      <c r="C60" s="38" t="inlineStr">
        <is>
          <t>水、龙</t>
        </is>
      </c>
      <c r="D60" s="259" t="inlineStr">
        <is>
          <t>青铜</t>
        </is>
      </c>
      <c r="E60" s="38" t="inlineStr">
        <is>
          <t>控制</t>
        </is>
      </c>
      <c r="F60" s="38" t="inlineStr">
        <is>
          <t>一格</t>
        </is>
      </c>
      <c r="G60" s="38" t="inlineStr">
        <is>
          <t>bz_van_059</t>
        </is>
      </c>
      <c r="H60" s="38" t="inlineStr">
        <is>
          <t>elem_火, elem_雷, elem_冰, elem_地, role_坦克, role_控制, role_输出, special_merchant, role_召唤铺场, role_机动压制</t>
        </is>
      </c>
      <c r="I60" s="38" t="n">
        <v>10</v>
      </c>
      <c r="J60" s="456">
        <f>XLOOKUP($D60&amp;"|"&amp;$E60&amp;"|"&amp;$F60,'PET_STAT_RULES'!$A$5:$A$88,'PET_STAT_RULES'!$C$5:$C$88)</f>
        <v/>
      </c>
      <c r="K60" s="456">
        <f>XLOOKUP($D60&amp;"|"&amp;$E60&amp;"|"&amp;$F60,'PET_STAT_RULES'!$A$5:$A$88,'PET_STAT_RULES'!$D$5:$D$88)</f>
        <v/>
      </c>
      <c r="L60" s="456">
        <f>XLOOKUP($D60&amp;"|"&amp;$E60&amp;"|"&amp;$F60,'PET_STAT_RULES'!$A$5:$A$88,'PET_STAT_RULES'!$F$5:$F$88)</f>
        <v/>
      </c>
      <c r="M60" s="456">
        <f>XLOOKUP($D60&amp;"|"&amp;$E60&amp;"|"&amp;$F60,'PET_STAT_RULES'!$A$5:$A$88,'PET_STAT_RULES'!$G$5:$G$88)</f>
        <v/>
      </c>
      <c r="N60" s="38" t="n">
        <v>2</v>
      </c>
      <c r="O60" s="38" t="inlineStr">
        <is>
          <t>mech_counter_damage</t>
        </is>
      </c>
      <c r="P60" s="38" t="inlineStr">
        <is>
          <t>12 形状12</t>
        </is>
      </c>
      <c r="Q60" s="38" t="inlineStr">
        <is>
          <t>Icy</t>
        </is>
      </c>
      <c r="R60" s="38" t="inlineStr">
        <is>
          <t>item confirmed；来源=IllusoRay；攻击2格；仅保留来源商人/训练师关系。</t>
        </is>
      </c>
      <c r="S60" s="38" t="n">
        <v>4</v>
      </c>
      <c r="T60" s="38" t="n">
        <v>1</v>
      </c>
      <c r="U60" s="442" t="inlineStr">
        <is>
          <t>skill_vanguard,skill_flank,skill_pierce,skill_revolve,skill_chase,skill_break,skill_suppress,skill_finale</t>
        </is>
      </c>
      <c r="V60" s="442" t="inlineStr">
        <is>
          <t>trait_element_affinity</t>
        </is>
      </c>
      <c r="W60" s="457">
        <f>XLOOKUP($D60&amp;"|"&amp;$E60&amp;"|"&amp;$F60,'PET_STAT_RULES'!$A$5:$A$88,'PET_STAT_RULES'!$E$5:$E$88)</f>
        <v/>
      </c>
      <c r="X60" s="385" t="inlineStr">
        <is>
          <t>hero_001</t>
        </is>
      </c>
      <c r="Y60" s="386" t="inlineStr">
        <is>
          <t>playable</t>
        </is>
      </c>
      <c r="Z60" s="386" t="inlineStr">
        <is>
          <t>aquatic, friend, ray, slow</t>
        </is>
      </c>
      <c r="AA60" s="386" t="str"/>
    </row>
    <row r="61">
      <c r="A61" s="38" t="inlineStr">
        <is>
          <t>pal_060</t>
        </is>
      </c>
      <c r="B61" s="38" t="inlineStr">
        <is>
          <t>霹雳战獒</t>
        </is>
      </c>
      <c r="C61" s="38" t="inlineStr">
        <is>
          <t>火</t>
        </is>
      </c>
      <c r="D61" s="265" t="inlineStr">
        <is>
          <t>白银</t>
        </is>
      </c>
      <c r="E61" s="38" t="inlineStr">
        <is>
          <t>输出</t>
        </is>
      </c>
      <c r="F61" s="38" t="inlineStr">
        <is>
          <t>一格</t>
        </is>
      </c>
      <c r="G61" s="38" t="inlineStr">
        <is>
          <t>bz_van_060</t>
        </is>
      </c>
      <c r="H61" s="38" t="inlineStr">
        <is>
          <t>elem_火, elem_雷, elem_冰, elem_地, role_召唤, role_坦克, role_控制, role_治疗, role_经济, tier_pT2</t>
        </is>
      </c>
      <c r="I61" s="38" t="n">
        <v>10</v>
      </c>
      <c r="J61" s="456">
        <f>XLOOKUP($D61&amp;"|"&amp;$E61&amp;"|"&amp;$F61,'PET_STAT_RULES'!$A$5:$A$88,'PET_STAT_RULES'!$C$5:$C$88)</f>
        <v/>
      </c>
      <c r="K61" s="456">
        <f>XLOOKUP($D61&amp;"|"&amp;$E61&amp;"|"&amp;$F61,'PET_STAT_RULES'!$A$5:$A$88,'PET_STAT_RULES'!$D$5:$D$88)</f>
        <v/>
      </c>
      <c r="L61" s="456">
        <f>XLOOKUP($D61&amp;"|"&amp;$E61&amp;"|"&amp;$F61,'PET_STAT_RULES'!$A$5:$A$88,'PET_STAT_RULES'!$F$5:$F$88)</f>
        <v/>
      </c>
      <c r="M61" s="456">
        <f>XLOOKUP($D61&amp;"|"&amp;$E61&amp;"|"&amp;$F61,'PET_STAT_RULES'!$A$5:$A$88,'PET_STAT_RULES'!$G$5:$G$88)</f>
        <v/>
      </c>
      <c r="N61" s="38" t="n">
        <v>2</v>
      </c>
      <c r="O61" s="38" t="inlineStr">
        <is>
          <t>mech_fire_ignite_bonus</t>
        </is>
      </c>
      <c r="P61" s="38" t="inlineStr">
        <is>
          <t>08 形状08</t>
        </is>
      </c>
      <c r="Q61" s="38" t="inlineStr">
        <is>
          <t>Fiery</t>
        </is>
      </c>
      <c r="R61" s="38" t="inlineStr">
        <is>
          <t>item confirmed；来源=Incendiary Rounds；攻击2格；仅保留来源商人/训练师关系。</t>
        </is>
      </c>
      <c r="S61" s="38" t="n">
        <v>3</v>
      </c>
      <c r="T61" s="38" t="n">
        <v>2</v>
      </c>
      <c r="U61" s="442" t="inlineStr">
        <is>
          <t>skill_vanguard,skill_flank,skill_pierce,skill_revolve,skill_chase,skill_break,skill_suppress,skill_finale</t>
        </is>
      </c>
      <c r="V61" s="442" t="inlineStr">
        <is>
          <t>trait_relentless</t>
        </is>
      </c>
      <c r="W61" s="457">
        <f>XLOOKUP($D61&amp;"|"&amp;$E61&amp;"|"&amp;$F61,'PET_STAT_RULES'!$A$5:$A$88,'PET_STAT_RULES'!$E$5:$E$88)</f>
        <v/>
      </c>
      <c r="X61" s="385" t="inlineStr">
        <is>
          <t>hero_001</t>
        </is>
      </c>
      <c r="Y61" s="386" t="inlineStr">
        <is>
          <t>playable</t>
        </is>
      </c>
      <c r="Z61" s="386" t="inlineStr">
        <is>
          <t>burn</t>
        </is>
      </c>
      <c r="AA61" s="386" t="str"/>
    </row>
    <row r="62">
      <c r="A62" s="38" t="inlineStr">
        <is>
          <t>pal_061</t>
        </is>
      </c>
      <c r="B62" s="38" t="inlineStr">
        <is>
          <t>苍焰赤豺</t>
        </is>
      </c>
      <c r="C62" s="38" t="inlineStr">
        <is>
          <t>雷</t>
        </is>
      </c>
      <c r="D62" s="265" t="inlineStr">
        <is>
          <t>白银</t>
        </is>
      </c>
      <c r="E62" s="38" t="inlineStr">
        <is>
          <t>控制</t>
        </is>
      </c>
      <c r="F62" s="38" t="inlineStr">
        <is>
          <t>一格</t>
        </is>
      </c>
      <c r="G62" s="38" t="inlineStr">
        <is>
          <t>bz_van_061</t>
        </is>
      </c>
      <c r="H62" s="38" t="inlineStr">
        <is>
          <t>elem_火, elem_雷, elem_冰, role_坦克, role_控制, special_merchant, tier_pT1, role_召唤铺场, role_抗压承伤, role_重甲抗压</t>
        </is>
      </c>
      <c r="I62" s="38" t="n">
        <v>10</v>
      </c>
      <c r="J62" s="456">
        <f>XLOOKUP($D62&amp;"|"&amp;$E62&amp;"|"&amp;$F62,'PET_STAT_RULES'!$A$5:$A$88,'PET_STAT_RULES'!$C$5:$C$88)</f>
        <v/>
      </c>
      <c r="K62" s="456">
        <f>XLOOKUP($D62&amp;"|"&amp;$E62&amp;"|"&amp;$F62,'PET_STAT_RULES'!$A$5:$A$88,'PET_STAT_RULES'!$D$5:$D$88)</f>
        <v/>
      </c>
      <c r="L62" s="456">
        <f>XLOOKUP($D62&amp;"|"&amp;$E62&amp;"|"&amp;$F62,'PET_STAT_RULES'!$A$5:$A$88,'PET_STAT_RULES'!$F$5:$F$88)</f>
        <v/>
      </c>
      <c r="M62" s="456">
        <f>XLOOKUP($D62&amp;"|"&amp;$E62&amp;"|"&amp;$F62,'PET_STAT_RULES'!$A$5:$A$88,'PET_STAT_RULES'!$G$5:$G$88)</f>
        <v/>
      </c>
      <c r="N62" s="38" t="n">
        <v>2</v>
      </c>
      <c r="O62" s="38" t="inlineStr">
        <is>
          <t>mech_counter_damage</t>
        </is>
      </c>
      <c r="P62" s="38" t="inlineStr">
        <is>
          <t>05 形状05</t>
        </is>
      </c>
      <c r="Q62" s="38" t="inlineStr">
        <is>
          <t>Icy</t>
        </is>
      </c>
      <c r="R62" s="38" t="inlineStr">
        <is>
          <t>item confirmed；来源=Integrated HUD；攻击2格；仅保留来源商人/训练师关系。</t>
        </is>
      </c>
      <c r="S62" s="38" t="n">
        <v>4</v>
      </c>
      <c r="T62" s="38" t="n">
        <v>2</v>
      </c>
      <c r="U62" s="442" t="inlineStr">
        <is>
          <t>skill_vanguard,skill_flank,skill_pierce,skill_revolve,skill_chase,skill_break,skill_suppress,skill_finale</t>
        </is>
      </c>
      <c r="V62" s="442" t="inlineStr">
        <is>
          <t>trait_element_affinity</t>
        </is>
      </c>
      <c r="W62" s="457">
        <f>XLOOKUP($D62&amp;"|"&amp;$E62&amp;"|"&amp;$F62,'PET_STAT_RULES'!$A$5:$A$88,'PET_STAT_RULES'!$E$5:$E$88)</f>
        <v/>
      </c>
      <c r="X62" s="385" t="inlineStr">
        <is>
          <t>hero_001</t>
        </is>
      </c>
      <c r="Y62" s="386" t="inlineStr">
        <is>
          <t>playable</t>
        </is>
      </c>
      <c r="Z62" s="386" t="inlineStr">
        <is>
          <t>apparel, tech, crit, slow</t>
        </is>
      </c>
      <c r="AA62" s="386" t="str"/>
    </row>
    <row r="63">
      <c r="A63" s="38" t="inlineStr">
        <is>
          <t>pal_062</t>
        </is>
      </c>
      <c r="B63" s="38" t="inlineStr">
        <is>
          <t>雷纹巨猿</t>
        </is>
      </c>
      <c r="C63" s="38" t="inlineStr">
        <is>
          <t>雷</t>
        </is>
      </c>
      <c r="D63" s="265" t="inlineStr">
        <is>
          <t>白银</t>
        </is>
      </c>
      <c r="E63" s="38" t="inlineStr">
        <is>
          <t>机动</t>
        </is>
      </c>
      <c r="F63" s="38" t="inlineStr">
        <is>
          <t>两格</t>
        </is>
      </c>
      <c r="G63" s="38" t="inlineStr">
        <is>
          <t>bz_van_062</t>
        </is>
      </c>
      <c r="H63" s="38" t="inlineStr">
        <is>
          <t>night_base, elem_水, elem_雷, elem_无, role_召唤, role_坦克, role_控制, role_机动, special_merchant, elite_high</t>
        </is>
      </c>
      <c r="I63" s="38" t="n">
        <v>10</v>
      </c>
      <c r="J63" s="456">
        <f>XLOOKUP($D63&amp;"|"&amp;$E63&amp;"|"&amp;$F63,'PET_STAT_RULES'!$A$5:$A$88,'PET_STAT_RULES'!$C$5:$C$88)</f>
        <v/>
      </c>
      <c r="K63" s="456">
        <f>XLOOKUP($D63&amp;"|"&amp;$E63&amp;"|"&amp;$F63,'PET_STAT_RULES'!$A$5:$A$88,'PET_STAT_RULES'!$D$5:$D$88)</f>
        <v/>
      </c>
      <c r="L63" s="456">
        <f>XLOOKUP($D63&amp;"|"&amp;$E63&amp;"|"&amp;$F63,'PET_STAT_RULES'!$A$5:$A$88,'PET_STAT_RULES'!$F$5:$F$88)</f>
        <v/>
      </c>
      <c r="M63" s="456">
        <f>XLOOKUP($D63&amp;"|"&amp;$E63&amp;"|"&amp;$F63,'PET_STAT_RULES'!$A$5:$A$88,'PET_STAT_RULES'!$G$5:$G$88)</f>
        <v/>
      </c>
      <c r="N63" s="38" t="n">
        <v>2</v>
      </c>
      <c r="O63" s="38" t="inlineStr">
        <is>
          <t>none</t>
        </is>
      </c>
      <c r="P63" s="38" t="inlineStr">
        <is>
          <t>09 形状09</t>
        </is>
      </c>
      <c r="Q63" s="38" t="inlineStr">
        <is>
          <t>Turbo</t>
        </is>
      </c>
      <c r="R63" s="38" t="inlineStr">
        <is>
          <t>item confirmed；来源=Javelin；攻击2格；仅保留来源商人/训练师关系。</t>
        </is>
      </c>
      <c r="S63" s="38" t="n">
        <v>5</v>
      </c>
      <c r="T63" s="38" t="n">
        <v>2</v>
      </c>
      <c r="U63" s="442" t="inlineStr">
        <is>
          <t>skill_vanguard,skill_flank,skill_pierce,skill_revolve,skill_chase,skill_break,skill_suppress,skill_finale</t>
        </is>
      </c>
      <c r="V63" s="442" t="inlineStr">
        <is>
          <t>trait_relentless</t>
        </is>
      </c>
      <c r="W63" s="457">
        <f>XLOOKUP($D63&amp;"|"&amp;$E63&amp;"|"&amp;$F63,'PET_STAT_RULES'!$A$5:$A$88,'PET_STAT_RULES'!$E$5:$E$88)</f>
        <v/>
      </c>
      <c r="X63" s="385" t="inlineStr">
        <is>
          <t>hero_001</t>
        </is>
      </c>
      <c r="Y63" s="386" t="inlineStr">
        <is>
          <t>playable</t>
        </is>
      </c>
      <c r="Z63" s="386" t="inlineStr">
        <is>
          <t>weapon, damage, ammo, haste</t>
        </is>
      </c>
      <c r="AA63" s="386" t="str"/>
    </row>
    <row r="64">
      <c r="A64" s="38" t="inlineStr">
        <is>
          <t>pal_063</t>
        </is>
      </c>
      <c r="B64" s="38" t="inlineStr">
        <is>
          <t>蜃雾白鹿</t>
        </is>
      </c>
      <c r="C64" s="38" t="inlineStr">
        <is>
          <t>草、水</t>
        </is>
      </c>
      <c r="D64" s="259" t="inlineStr">
        <is>
          <t>青铜</t>
        </is>
      </c>
      <c r="E64" s="38" t="inlineStr">
        <is>
          <t>控制</t>
        </is>
      </c>
      <c r="F64" s="38" t="inlineStr">
        <is>
          <t>一格</t>
        </is>
      </c>
      <c r="G64" s="38" t="inlineStr">
        <is>
          <t>bz_van_063</t>
        </is>
      </c>
      <c r="H64" s="38" t="inlineStr">
        <is>
          <t>elem_火, elem_雷, elem_冰, role_坦克, role_控制, role_输出, special_merchant, elite_high, role_机动压制, role_火系压制</t>
        </is>
      </c>
      <c r="I64" s="38" t="n">
        <v>10</v>
      </c>
      <c r="J64" s="456">
        <f>XLOOKUP($D64&amp;"|"&amp;$E64&amp;"|"&amp;$F64,'PET_STAT_RULES'!$A$5:$A$88,'PET_STAT_RULES'!$C$5:$C$88)</f>
        <v/>
      </c>
      <c r="K64" s="456">
        <f>XLOOKUP($D64&amp;"|"&amp;$E64&amp;"|"&amp;$F64,'PET_STAT_RULES'!$A$5:$A$88,'PET_STAT_RULES'!$D$5:$D$88)</f>
        <v/>
      </c>
      <c r="L64" s="456">
        <f>XLOOKUP($D64&amp;"|"&amp;$E64&amp;"|"&amp;$F64,'PET_STAT_RULES'!$A$5:$A$88,'PET_STAT_RULES'!$F$5:$F$88)</f>
        <v/>
      </c>
      <c r="M64" s="456">
        <f>XLOOKUP($D64&amp;"|"&amp;$E64&amp;"|"&amp;$F64,'PET_STAT_RULES'!$A$5:$A$88,'PET_STAT_RULES'!$G$5:$G$88)</f>
        <v/>
      </c>
      <c r="N64" s="38" t="n">
        <v>2</v>
      </c>
      <c r="O64" s="38" t="inlineStr">
        <is>
          <t>mech_counter_damage</t>
        </is>
      </c>
      <c r="P64" s="38" t="inlineStr">
        <is>
          <t>06 形状06</t>
        </is>
      </c>
      <c r="Q64" s="38" t="inlineStr">
        <is>
          <t>Toxic</t>
        </is>
      </c>
      <c r="R64" s="38" t="inlineStr">
        <is>
          <t>item confirmed；来源=Jellyfish；攻击2格；仅保留来源商人/训练师关系。</t>
        </is>
      </c>
      <c r="S64" s="38" t="n">
        <v>4</v>
      </c>
      <c r="T64" s="38" t="n">
        <v>1</v>
      </c>
      <c r="U64" s="442" t="inlineStr">
        <is>
          <t>skill_vanguard,skill_flank,skill_pierce,skill_revolve,skill_chase,skill_break,skill_suppress,skill_finale</t>
        </is>
      </c>
      <c r="V64" s="442" t="inlineStr">
        <is>
          <t>trait_element_affinity</t>
        </is>
      </c>
      <c r="W64" s="457">
        <f>XLOOKUP($D64&amp;"|"&amp;$E64&amp;"|"&amp;$F64,'PET_STAT_RULES'!$A$5:$A$88,'PET_STAT_RULES'!$E$5:$E$88)</f>
        <v/>
      </c>
      <c r="X64" s="385" t="inlineStr">
        <is>
          <t>hero_001</t>
        </is>
      </c>
      <c r="Y64" s="386" t="inlineStr">
        <is>
          <t>playable</t>
        </is>
      </c>
      <c r="Z64" s="386" t="inlineStr">
        <is>
          <t>aquatic, friend, poison, haste</t>
        </is>
      </c>
      <c r="AA64" s="386" t="str"/>
    </row>
    <row r="65">
      <c r="A65" s="38" t="inlineStr">
        <is>
          <t>pal_064</t>
        </is>
      </c>
      <c r="B65" s="38" t="inlineStr">
        <is>
          <t>翠冠花螭</t>
        </is>
      </c>
      <c r="C65" s="38" t="inlineStr">
        <is>
          <t>雷、龙</t>
        </is>
      </c>
      <c r="D65" s="265" t="inlineStr">
        <is>
          <t>白银</t>
        </is>
      </c>
      <c r="E65" s="38" t="inlineStr">
        <is>
          <t>机动</t>
        </is>
      </c>
      <c r="F65" s="38" t="inlineStr">
        <is>
          <t>三格</t>
        </is>
      </c>
      <c r="G65" s="38" t="inlineStr">
        <is>
          <t>bz_van_064</t>
        </is>
      </c>
      <c r="H65" s="38" t="inlineStr">
        <is>
          <t>night_base, elem_火, elem_水, elem_草, elem_雷, elem_地, role_坦克, role_控制, role_治疗, role_风系铺场</t>
        </is>
      </c>
      <c r="I65" s="38" t="n">
        <v>10</v>
      </c>
      <c r="J65" s="456">
        <f>XLOOKUP($D65&amp;"|"&amp;$E65&amp;"|"&amp;$F65,'PET_STAT_RULES'!$A$5:$A$88,'PET_STAT_RULES'!$C$5:$C$88)</f>
        <v/>
      </c>
      <c r="K65" s="456">
        <f>XLOOKUP($D65&amp;"|"&amp;$E65&amp;"|"&amp;$F65,'PET_STAT_RULES'!$A$5:$A$88,'PET_STAT_RULES'!$D$5:$D$88)</f>
        <v/>
      </c>
      <c r="L65" s="456">
        <f>XLOOKUP($D65&amp;"|"&amp;$E65&amp;"|"&amp;$F65,'PET_STAT_RULES'!$A$5:$A$88,'PET_STAT_RULES'!$F$5:$F$88)</f>
        <v/>
      </c>
      <c r="M65" s="456">
        <f>XLOOKUP($D65&amp;"|"&amp;$E65&amp;"|"&amp;$F65,'PET_STAT_RULES'!$A$5:$A$88,'PET_STAT_RULES'!$G$5:$G$88)</f>
        <v/>
      </c>
      <c r="N65" s="38" t="n">
        <v>2</v>
      </c>
      <c r="O65" s="38" t="inlineStr">
        <is>
          <t>none</t>
        </is>
      </c>
      <c r="P65" s="38" t="inlineStr">
        <is>
          <t>06 形状06</t>
        </is>
      </c>
      <c r="Q65" s="38" t="inlineStr">
        <is>
          <t>Turbo</t>
        </is>
      </c>
      <c r="R65" s="38" t="inlineStr">
        <is>
          <t>item confirmed；来源=Jetbike；攻击2格；仅保留来源商人/训练师关系。</t>
        </is>
      </c>
      <c r="S65" s="38" t="n">
        <v>5</v>
      </c>
      <c r="T65" s="38" t="n">
        <v>2</v>
      </c>
      <c r="U65" s="442" t="inlineStr">
        <is>
          <t>skill_vanguard,skill_flank,skill_pierce,skill_revolve,skill_chase,skill_break,skill_suppress,skill_finale</t>
        </is>
      </c>
      <c r="V65" s="442" t="inlineStr">
        <is>
          <t>trait_relentless</t>
        </is>
      </c>
      <c r="W65" s="457">
        <f>XLOOKUP($D65&amp;"|"&amp;$E65&amp;"|"&amp;$F65,'PET_STAT_RULES'!$A$5:$A$88,'PET_STAT_RULES'!$E$5:$E$88)</f>
        <v/>
      </c>
      <c r="X65" s="385" t="inlineStr">
        <is>
          <t>hero_001</t>
        </is>
      </c>
      <c r="Y65" s="386" t="inlineStr">
        <is>
          <t>playable</t>
        </is>
      </c>
      <c r="Z65" s="386" t="inlineStr">
        <is>
          <t>weapon, vehicle, damage, flying</t>
        </is>
      </c>
      <c r="AA65" s="386" t="str"/>
    </row>
    <row r="66">
      <c r="A66" s="38" t="inlineStr">
        <is>
          <t>pal_065</t>
        </is>
      </c>
      <c r="B66" s="38" t="inlineStr">
        <is>
          <t>霆角龙犀</t>
        </is>
      </c>
      <c r="C66" s="38" t="inlineStr">
        <is>
          <t>暗</t>
        </is>
      </c>
      <c r="D66" s="265" t="inlineStr">
        <is>
          <t>白银</t>
        </is>
      </c>
      <c r="E66" s="38" t="inlineStr">
        <is>
          <t>控制</t>
        </is>
      </c>
      <c r="F66" s="38" t="inlineStr">
        <is>
          <t>一格</t>
        </is>
      </c>
      <c r="G66" s="38" t="inlineStr">
        <is>
          <t>bz_van_065</t>
        </is>
      </c>
      <c r="H66" s="38" t="inlineStr">
        <is>
          <t>night_base, elem_火, elem_雷, elem_地, role_召唤, role_坦克, role_控制, role_治疗, special_merchant, role_召唤铺场</t>
        </is>
      </c>
      <c r="I66" s="38" t="n">
        <v>10</v>
      </c>
      <c r="J66" s="456">
        <f>XLOOKUP($D66&amp;"|"&amp;$E66&amp;"|"&amp;$F66,'PET_STAT_RULES'!$A$5:$A$88,'PET_STAT_RULES'!$C$5:$C$88)</f>
        <v/>
      </c>
      <c r="K66" s="456">
        <f>XLOOKUP($D66&amp;"|"&amp;$E66&amp;"|"&amp;$F66,'PET_STAT_RULES'!$A$5:$A$88,'PET_STAT_RULES'!$D$5:$D$88)</f>
        <v/>
      </c>
      <c r="L66" s="456">
        <f>XLOOKUP($D66&amp;"|"&amp;$E66&amp;"|"&amp;$F66,'PET_STAT_RULES'!$A$5:$A$88,'PET_STAT_RULES'!$F$5:$F$88)</f>
        <v/>
      </c>
      <c r="M66" s="456">
        <f>XLOOKUP($D66&amp;"|"&amp;$E66&amp;"|"&amp;$F66,'PET_STAT_RULES'!$A$5:$A$88,'PET_STAT_RULES'!$G$5:$G$88)</f>
        <v/>
      </c>
      <c r="N66" s="38" t="n">
        <v>2</v>
      </c>
      <c r="O66" s="38" t="inlineStr">
        <is>
          <t>mech_counter_damage</t>
        </is>
      </c>
      <c r="P66" s="38" t="inlineStr">
        <is>
          <t>08 形状08</t>
        </is>
      </c>
      <c r="Q66" s="38" t="inlineStr">
        <is>
          <t>Icy</t>
        </is>
      </c>
      <c r="R66" s="38" t="inlineStr">
        <is>
          <t>item confirmed；来源=Jitte；攻击2格；仅保留来源商人/训练师关系。</t>
        </is>
      </c>
      <c r="S66" s="38" t="n">
        <v>4</v>
      </c>
      <c r="T66" s="38" t="n">
        <v>2</v>
      </c>
      <c r="U66" s="442" t="inlineStr">
        <is>
          <t>skill_vanguard,skill_flank,skill_pierce,skill_revolve,skill_chase,skill_break,skill_suppress,skill_finale</t>
        </is>
      </c>
      <c r="V66" s="442" t="inlineStr">
        <is>
          <t>trait_element_affinity</t>
        </is>
      </c>
      <c r="W66" s="457">
        <f>XLOOKUP($D66&amp;"|"&amp;$E66&amp;"|"&amp;$F66,'PET_STAT_RULES'!$A$5:$A$88,'PET_STAT_RULES'!$E$5:$E$88)</f>
        <v/>
      </c>
      <c r="X66" s="385" t="inlineStr">
        <is>
          <t>hero_001</t>
        </is>
      </c>
      <c r="Y66" s="386" t="inlineStr">
        <is>
          <t>playable</t>
        </is>
      </c>
      <c r="Z66" s="386" t="inlineStr">
        <is>
          <t>weapon, damage, slow</t>
        </is>
      </c>
      <c r="AA66" s="386" t="str"/>
    </row>
    <row r="67">
      <c r="A67" s="38" t="inlineStr">
        <is>
          <t>pal_066</t>
        </is>
      </c>
      <c r="B67" s="38" t="inlineStr">
        <is>
          <t>浪鳞水蛇</t>
        </is>
      </c>
      <c r="C67" s="38" t="inlineStr">
        <is>
          <t>地</t>
        </is>
      </c>
      <c r="D67" s="259" t="inlineStr">
        <is>
          <t>青铜</t>
        </is>
      </c>
      <c r="E67" s="38" t="inlineStr">
        <is>
          <t>输出</t>
        </is>
      </c>
      <c r="F67" s="38" t="inlineStr">
        <is>
          <t>两格</t>
        </is>
      </c>
      <c r="G67" s="38" t="inlineStr">
        <is>
          <t>bz_van_066</t>
        </is>
      </c>
      <c r="H67" s="38" t="inlineStr">
        <is>
          <t>night_base, elem_水, elem_雷, elem_暗, elem_无, role_召唤, role_坦克, role_控制, role_治疗, role_经济</t>
        </is>
      </c>
      <c r="I67" s="38" t="n">
        <v>10</v>
      </c>
      <c r="J67" s="456">
        <f>XLOOKUP($D67&amp;"|"&amp;$E67&amp;"|"&amp;$F67,'PET_STAT_RULES'!$A$5:$A$88,'PET_STAT_RULES'!$C$5:$C$88)</f>
        <v/>
      </c>
      <c r="K67" s="456">
        <f>XLOOKUP($D67&amp;"|"&amp;$E67&amp;"|"&amp;$F67,'PET_STAT_RULES'!$A$5:$A$88,'PET_STAT_RULES'!$D$5:$D$88)</f>
        <v/>
      </c>
      <c r="L67" s="456">
        <f>XLOOKUP($D67&amp;"|"&amp;$E67&amp;"|"&amp;$F67,'PET_STAT_RULES'!$A$5:$A$88,'PET_STAT_RULES'!$F$5:$F$88)</f>
        <v/>
      </c>
      <c r="M67" s="456">
        <f>XLOOKUP($D67&amp;"|"&amp;$E67&amp;"|"&amp;$F67,'PET_STAT_RULES'!$A$5:$A$88,'PET_STAT_RULES'!$G$5:$G$88)</f>
        <v/>
      </c>
      <c r="N67" s="38" t="n">
        <v>1</v>
      </c>
      <c r="O67" s="38" t="inlineStr">
        <is>
          <t>mech_grow_atk_each_round</t>
        </is>
      </c>
      <c r="P67" s="38" t="inlineStr">
        <is>
          <t>04 形状04</t>
        </is>
      </c>
      <c r="Q67" s="38" t="inlineStr">
        <is>
          <t>Deadly</t>
        </is>
      </c>
      <c r="R67" s="38" t="inlineStr">
        <is>
          <t>item confirmed；来源=Katana；攻击1格；仅保留来源商人/训练师关系。</t>
        </is>
      </c>
      <c r="S67" s="38" t="n">
        <v>3</v>
      </c>
      <c r="T67" s="38" t="n">
        <v>1</v>
      </c>
      <c r="U67" s="442" t="inlineStr">
        <is>
          <t>skill_vanguard,skill_flank,skill_pierce,skill_revolve,skill_chase,skill_break,skill_suppress,skill_finale</t>
        </is>
      </c>
      <c r="V67" s="442" t="inlineStr">
        <is>
          <t>trait_relentless</t>
        </is>
      </c>
      <c r="W67" s="457">
        <f>XLOOKUP($D67&amp;"|"&amp;$E67&amp;"|"&amp;$F67,'PET_STAT_RULES'!$A$5:$A$88,'PET_STAT_RULES'!$E$5:$E$88)</f>
        <v/>
      </c>
      <c r="X67" s="385" t="inlineStr">
        <is>
          <t>hero_001</t>
        </is>
      </c>
      <c r="Y67" s="386" t="inlineStr">
        <is>
          <t>playable</t>
        </is>
      </c>
      <c r="Z67" s="386" t="inlineStr">
        <is>
          <t>weapon, damage</t>
        </is>
      </c>
      <c r="AA67" s="386" t="str"/>
    </row>
    <row r="68">
      <c r="A68" s="38" t="inlineStr">
        <is>
          <t>pal_067</t>
        </is>
      </c>
      <c r="B68" s="38" t="inlineStr">
        <is>
          <t>沙鳞巨蟒</t>
        </is>
      </c>
      <c r="C68" s="38" t="inlineStr">
        <is>
          <t>雷、龙</t>
        </is>
      </c>
      <c r="D68" s="265" t="inlineStr">
        <is>
          <t>白银</t>
        </is>
      </c>
      <c r="E68" s="38" t="inlineStr">
        <is>
          <t>输出</t>
        </is>
      </c>
      <c r="F68" s="38" t="inlineStr">
        <is>
          <t>一格</t>
        </is>
      </c>
      <c r="G68" s="38" t="inlineStr">
        <is>
          <t>bz_van_067</t>
        </is>
      </c>
      <c r="H68" s="38" t="inlineStr">
        <is>
          <t>elem_火, elem_雷, elem_冰, elem_地, role_召唤, role_坦克, role_控制, role_治疗, tier_pT1, role_重甲抗压</t>
        </is>
      </c>
      <c r="I68" s="38" t="n">
        <v>10</v>
      </c>
      <c r="J68" s="456">
        <f>XLOOKUP($D68&amp;"|"&amp;$E68&amp;"|"&amp;$F68,'PET_STAT_RULES'!$A$5:$A$88,'PET_STAT_RULES'!$C$5:$C$88)</f>
        <v/>
      </c>
      <c r="K68" s="456">
        <f>XLOOKUP($D68&amp;"|"&amp;$E68&amp;"|"&amp;$F68,'PET_STAT_RULES'!$A$5:$A$88,'PET_STAT_RULES'!$D$5:$D$88)</f>
        <v/>
      </c>
      <c r="L68" s="456">
        <f>XLOOKUP($D68&amp;"|"&amp;$E68&amp;"|"&amp;$F68,'PET_STAT_RULES'!$A$5:$A$88,'PET_STAT_RULES'!$F$5:$F$88)</f>
        <v/>
      </c>
      <c r="M68" s="456">
        <f>XLOOKUP($D68&amp;"|"&amp;$E68&amp;"|"&amp;$F68,'PET_STAT_RULES'!$A$5:$A$88,'PET_STAT_RULES'!$G$5:$G$88)</f>
        <v/>
      </c>
      <c r="N68" s="38" t="n">
        <v>2</v>
      </c>
      <c r="O68" s="38" t="inlineStr">
        <is>
          <t>mech_grow_atk_each_round</t>
        </is>
      </c>
      <c r="P68" s="38" t="inlineStr">
        <is>
          <t>12 形状12</t>
        </is>
      </c>
      <c r="Q68" s="38" t="inlineStr">
        <is>
          <t>Deadly</t>
        </is>
      </c>
      <c r="R68" s="38" t="inlineStr">
        <is>
          <t>item confirmed；来源=Korxena Crest；攻击2格；仅保留来源商人/训练师关系。</t>
        </is>
      </c>
      <c r="S68" s="38" t="n">
        <v>3</v>
      </c>
      <c r="T68" s="38" t="n">
        <v>2</v>
      </c>
      <c r="U68" s="442" t="inlineStr">
        <is>
          <t>skill_vanguard,skill_flank,skill_pierce,skill_revolve,skill_chase,skill_break,skill_suppress,skill_finale</t>
        </is>
      </c>
      <c r="V68" s="442" t="inlineStr">
        <is>
          <t>trait_relentless</t>
        </is>
      </c>
      <c r="W68" s="457">
        <f>XLOOKUP($D68&amp;"|"&amp;$E68&amp;"|"&amp;$F68,'PET_STAT_RULES'!$A$5:$A$88,'PET_STAT_RULES'!$E$5:$E$88)</f>
        <v/>
      </c>
      <c r="X68" s="385" t="inlineStr">
        <is>
          <t>hero_001</t>
        </is>
      </c>
      <c r="Y68" s="386" t="inlineStr">
        <is>
          <t>playable</t>
        </is>
      </c>
      <c r="Z68" s="386" t="inlineStr">
        <is>
          <t>apparel, relic, crit</t>
        </is>
      </c>
      <c r="AA68" s="386" t="str"/>
    </row>
    <row r="69">
      <c r="A69" s="38" t="inlineStr">
        <is>
          <t>pal_068</t>
        </is>
      </c>
      <c r="B69" s="38" t="inlineStr">
        <is>
          <t>食梦黑貘</t>
        </is>
      </c>
      <c r="C69" s="38" t="inlineStr">
        <is>
          <t>雷</t>
        </is>
      </c>
      <c r="D69" s="265" t="inlineStr">
        <is>
          <t>白银</t>
        </is>
      </c>
      <c r="E69" s="38" t="inlineStr">
        <is>
          <t>控制</t>
        </is>
      </c>
      <c r="F69" s="38" t="inlineStr">
        <is>
          <t>一格</t>
        </is>
      </c>
      <c r="G69" s="38" t="inlineStr">
        <is>
          <t>bz_van_068</t>
        </is>
      </c>
      <c r="H69" s="38" t="inlineStr">
        <is>
          <t>night_base, elem_火, elem_雷, elem_地, role_坦克, role_控制, special_merchant, tier_pT1, role_召唤铺场, role_抗压承伤</t>
        </is>
      </c>
      <c r="I69" s="38" t="n">
        <v>10</v>
      </c>
      <c r="J69" s="456">
        <f>XLOOKUP($D69&amp;"|"&amp;$E69&amp;"|"&amp;$F69,'PET_STAT_RULES'!$A$5:$A$88,'PET_STAT_RULES'!$C$5:$C$88)</f>
        <v/>
      </c>
      <c r="K69" s="456">
        <f>XLOOKUP($D69&amp;"|"&amp;$E69&amp;"|"&amp;$F69,'PET_STAT_RULES'!$A$5:$A$88,'PET_STAT_RULES'!$D$5:$D$88)</f>
        <v/>
      </c>
      <c r="L69" s="456">
        <f>XLOOKUP($D69&amp;"|"&amp;$E69&amp;"|"&amp;$F69,'PET_STAT_RULES'!$A$5:$A$88,'PET_STAT_RULES'!$F$5:$F$88)</f>
        <v/>
      </c>
      <c r="M69" s="456">
        <f>XLOOKUP($D69&amp;"|"&amp;$E69&amp;"|"&amp;$F69,'PET_STAT_RULES'!$A$5:$A$88,'PET_STAT_RULES'!$G$5:$G$88)</f>
        <v/>
      </c>
      <c r="N69" s="38" t="n">
        <v>2</v>
      </c>
      <c r="O69" s="38" t="inlineStr">
        <is>
          <t>mech_counter_damage</t>
        </is>
      </c>
      <c r="P69" s="38" t="inlineStr">
        <is>
          <t>11 形状11</t>
        </is>
      </c>
      <c r="Q69" s="38" t="inlineStr">
        <is>
          <t>Icy</t>
        </is>
      </c>
      <c r="R69" s="38" t="inlineStr">
        <is>
          <t>item confirmed；来源=Kusarigama；攻击2格；仅保留来源商人/训练师关系。</t>
        </is>
      </c>
      <c r="S69" s="38" t="n">
        <v>4</v>
      </c>
      <c r="T69" s="38" t="n">
        <v>2</v>
      </c>
      <c r="U69" s="442" t="inlineStr">
        <is>
          <t>skill_vanguard,skill_flank,skill_pierce,skill_revolve,skill_chase,skill_break,skill_suppress,skill_finale</t>
        </is>
      </c>
      <c r="V69" s="442" t="inlineStr">
        <is>
          <t>trait_element_affinity</t>
        </is>
      </c>
      <c r="W69" s="457">
        <f>XLOOKUP($D69&amp;"|"&amp;$E69&amp;"|"&amp;$F69,'PET_STAT_RULES'!$A$5:$A$88,'PET_STAT_RULES'!$E$5:$E$88)</f>
        <v/>
      </c>
      <c r="X69" s="385" t="inlineStr">
        <is>
          <t>hero_001</t>
        </is>
      </c>
      <c r="Y69" s="386" t="inlineStr">
        <is>
          <t>playable</t>
        </is>
      </c>
      <c r="Z69" s="386" t="inlineStr">
        <is>
          <t>weapon, tech, damage</t>
        </is>
      </c>
      <c r="AA69" s="386" t="inlineStr">
        <is>
          <t>crit, slow</t>
        </is>
      </c>
    </row>
    <row r="70">
      <c r="A70" s="38" t="inlineStr">
        <is>
          <t>pal_069</t>
        </is>
      </c>
      <c r="B70" s="38" t="inlineStr">
        <is>
          <t>碎岩巨龟</t>
        </is>
      </c>
      <c r="C70" s="38" t="inlineStr">
        <is>
          <t>龙</t>
        </is>
      </c>
      <c r="D70" s="259" t="inlineStr">
        <is>
          <t>青铜</t>
        </is>
      </c>
      <c r="E70" s="38" t="inlineStr">
        <is>
          <t>输出</t>
        </is>
      </c>
      <c r="F70" s="38" t="inlineStr">
        <is>
          <t>两格</t>
        </is>
      </c>
      <c r="G70" s="38" t="inlineStr">
        <is>
          <t>bz_van_069</t>
        </is>
      </c>
      <c r="H70" s="38" t="inlineStr">
        <is>
          <t>night_base, elem_水, elem_雷, elem_冰, elem_无, role_召唤, role_坦克, role_控制, role_治疗, role_经济</t>
        </is>
      </c>
      <c r="I70" s="38" t="n">
        <v>10</v>
      </c>
      <c r="J70" s="456">
        <f>XLOOKUP($D70&amp;"|"&amp;$E70&amp;"|"&amp;$F70,'PET_STAT_RULES'!$A$5:$A$88,'PET_STAT_RULES'!$C$5:$C$88)</f>
        <v/>
      </c>
      <c r="K70" s="456">
        <f>XLOOKUP($D70&amp;"|"&amp;$E70&amp;"|"&amp;$F70,'PET_STAT_RULES'!$A$5:$A$88,'PET_STAT_RULES'!$D$5:$D$88)</f>
        <v/>
      </c>
      <c r="L70" s="456">
        <f>XLOOKUP($D70&amp;"|"&amp;$E70&amp;"|"&amp;$F70,'PET_STAT_RULES'!$A$5:$A$88,'PET_STAT_RULES'!$F$5:$F$88)</f>
        <v/>
      </c>
      <c r="M70" s="456">
        <f>XLOOKUP($D70&amp;"|"&amp;$E70&amp;"|"&amp;$F70,'PET_STAT_RULES'!$A$5:$A$88,'PET_STAT_RULES'!$G$5:$G$88)</f>
        <v/>
      </c>
      <c r="N70" s="38" t="n">
        <v>1</v>
      </c>
      <c r="O70" s="38" t="inlineStr">
        <is>
          <t>mech_grow_atk_each_round</t>
        </is>
      </c>
      <c r="P70" s="38" t="inlineStr">
        <is>
          <t>02 形状02</t>
        </is>
      </c>
      <c r="Q70" s="38" t="inlineStr">
        <is>
          <t>Deadly</t>
        </is>
      </c>
      <c r="R70" s="38" t="inlineStr">
        <is>
          <t>item confirmed；来源=Langxian；攻击1格；仅保留来源商人/训练师关系。</t>
        </is>
      </c>
      <c r="S70" s="38" t="n">
        <v>3</v>
      </c>
      <c r="T70" s="38" t="n">
        <v>1</v>
      </c>
      <c r="U70" s="442" t="inlineStr">
        <is>
          <t>skill_vanguard,skill_flank,skill_pierce,skill_revolve,skill_chase,skill_break,skill_suppress,skill_finale</t>
        </is>
      </c>
      <c r="V70" s="442" t="inlineStr">
        <is>
          <t>trait_relentless</t>
        </is>
      </c>
      <c r="W70" s="457">
        <f>XLOOKUP($D70&amp;"|"&amp;$E70&amp;"|"&amp;$F70,'PET_STAT_RULES'!$A$5:$A$88,'PET_STAT_RULES'!$E$5:$E$88)</f>
        <v/>
      </c>
      <c r="X70" s="385" t="inlineStr">
        <is>
          <t>hero_001</t>
        </is>
      </c>
      <c r="Y70" s="386" t="inlineStr">
        <is>
          <t>playable</t>
        </is>
      </c>
      <c r="Z70" s="386" t="inlineStr">
        <is>
          <t>weapon, relic, damage</t>
        </is>
      </c>
      <c r="AA70" s="386" t="str"/>
    </row>
    <row r="71">
      <c r="A71" s="38" t="inlineStr">
        <is>
          <t>pal_070</t>
        </is>
      </c>
      <c r="B71" s="38" t="inlineStr">
        <is>
          <t>猫翼夜蝠</t>
        </is>
      </c>
      <c r="C71" s="38" t="inlineStr">
        <is>
          <t>水、地</t>
        </is>
      </c>
      <c r="D71" s="259" t="inlineStr">
        <is>
          <t>青铜</t>
        </is>
      </c>
      <c r="E71" s="38" t="inlineStr">
        <is>
          <t>治疗</t>
        </is>
      </c>
      <c r="F71" s="38" t="inlineStr">
        <is>
          <t>两格</t>
        </is>
      </c>
      <c r="G71" s="38" t="inlineStr">
        <is>
          <t>bz_van_070</t>
        </is>
      </c>
      <c r="H71" s="38" t="inlineStr">
        <is>
          <t>night_base, elem_水, elem_雷, elem_冰, elem_龙, elem_无, role_坦克, role_控制, role_输出, tier_pT3</t>
        </is>
      </c>
      <c r="I71" s="38" t="n">
        <v>10</v>
      </c>
      <c r="J71" s="456">
        <f>XLOOKUP($D71&amp;"|"&amp;$E71&amp;"|"&amp;$F71,'PET_STAT_RULES'!$A$5:$A$88,'PET_STAT_RULES'!$C$5:$C$88)</f>
        <v/>
      </c>
      <c r="K71" s="456">
        <f>XLOOKUP($D71&amp;"|"&amp;$E71&amp;"|"&amp;$F71,'PET_STAT_RULES'!$A$5:$A$88,'PET_STAT_RULES'!$D$5:$D$88)</f>
        <v/>
      </c>
      <c r="L71" s="456">
        <f>XLOOKUP($D71&amp;"|"&amp;$E71&amp;"|"&amp;$F71,'PET_STAT_RULES'!$A$5:$A$88,'PET_STAT_RULES'!$F$5:$F$88)</f>
        <v/>
      </c>
      <c r="M71" s="456">
        <f>XLOOKUP($D71&amp;"|"&amp;$E71&amp;"|"&amp;$F71,'PET_STAT_RULES'!$A$5:$A$88,'PET_STAT_RULES'!$G$5:$G$88)</f>
        <v/>
      </c>
      <c r="N71" s="38" t="n">
        <v>1</v>
      </c>
      <c r="O71" s="38" t="inlineStr">
        <is>
          <t>mech_shield_regen</t>
        </is>
      </c>
      <c r="P71" s="38" t="inlineStr">
        <is>
          <t>01 形状01</t>
        </is>
      </c>
      <c r="Q71" s="38" t="inlineStr">
        <is>
          <t>Restorative</t>
        </is>
      </c>
      <c r="R71" s="38" t="inlineStr">
        <is>
          <t>item confirmed；来源=Life Preserver；攻击1格；仅保留来源商人/训练师关系。</t>
        </is>
      </c>
      <c r="S71" s="38" t="n">
        <v>3</v>
      </c>
      <c r="T71" s="38" t="n">
        <v>1</v>
      </c>
      <c r="U71" s="442" t="inlineStr">
        <is>
          <t>skill_vanguard,skill_flank,skill_pierce,skill_revolve,skill_chase,skill_break,skill_suppress,skill_finale</t>
        </is>
      </c>
      <c r="V71" s="442" t="inlineStr">
        <is>
          <t>trait_element_affinity</t>
        </is>
      </c>
      <c r="W71" s="457">
        <f>XLOOKUP($D71&amp;"|"&amp;$E71&amp;"|"&amp;$F71,'PET_STAT_RULES'!$A$5:$A$88,'PET_STAT_RULES'!$E$5:$E$88)</f>
        <v/>
      </c>
      <c r="X71" s="385" t="inlineStr">
        <is>
          <t>hero_001</t>
        </is>
      </c>
      <c r="Y71" s="386" t="inlineStr">
        <is>
          <t>playable</t>
        </is>
      </c>
      <c r="Z71" s="386" t="inlineStr">
        <is>
          <t>aquatic, shield, heal</t>
        </is>
      </c>
      <c r="AA71" s="386" t="str"/>
    </row>
    <row r="72">
      <c r="A72" s="38" t="inlineStr">
        <is>
          <t>pal_071</t>
        </is>
      </c>
      <c r="B72" s="38" t="inlineStr">
        <is>
          <t>甘露壁虎</t>
        </is>
      </c>
      <c r="C72" s="38" t="inlineStr">
        <is>
          <t>火</t>
        </is>
      </c>
      <c r="D72" s="259" t="inlineStr">
        <is>
          <t>青铜</t>
        </is>
      </c>
      <c r="E72" s="38" t="inlineStr">
        <is>
          <t>输出</t>
        </is>
      </c>
      <c r="F72" s="38" t="inlineStr">
        <is>
          <t>一格</t>
        </is>
      </c>
      <c r="G72" s="38" t="inlineStr">
        <is>
          <t>bz_van_071</t>
        </is>
      </c>
      <c r="H72" s="38" t="inlineStr">
        <is>
          <t>elem_火, elem_雷, elem_冰, elem_地, role_召唤, role_坦克, role_控制, role_治疗, tier_pT2, role_远点压制</t>
        </is>
      </c>
      <c r="I72" s="38" t="n">
        <v>10</v>
      </c>
      <c r="J72" s="456">
        <f>XLOOKUP($D72&amp;"|"&amp;$E72&amp;"|"&amp;$F72,'PET_STAT_RULES'!$A$5:$A$88,'PET_STAT_RULES'!$C$5:$C$88)</f>
        <v/>
      </c>
      <c r="K72" s="456">
        <f>XLOOKUP($D72&amp;"|"&amp;$E72&amp;"|"&amp;$F72,'PET_STAT_RULES'!$A$5:$A$88,'PET_STAT_RULES'!$D$5:$D$88)</f>
        <v/>
      </c>
      <c r="L72" s="456">
        <f>XLOOKUP($D72&amp;"|"&amp;$E72&amp;"|"&amp;$F72,'PET_STAT_RULES'!$A$5:$A$88,'PET_STAT_RULES'!$F$5:$F$88)</f>
        <v/>
      </c>
      <c r="M72" s="456">
        <f>XLOOKUP($D72&amp;"|"&amp;$E72&amp;"|"&amp;$F72,'PET_STAT_RULES'!$A$5:$A$88,'PET_STAT_RULES'!$G$5:$G$88)</f>
        <v/>
      </c>
      <c r="N72" s="38" t="n">
        <v>1</v>
      </c>
      <c r="O72" s="38" t="inlineStr">
        <is>
          <t>mech_fire_ignite_bonus</t>
        </is>
      </c>
      <c r="P72" s="38" t="inlineStr">
        <is>
          <t>01 形状01</t>
        </is>
      </c>
      <c r="Q72" s="38" t="inlineStr">
        <is>
          <t>Fiery</t>
        </is>
      </c>
      <c r="R72" s="38" t="inlineStr">
        <is>
          <t>item confirmed；来源=Lighter；攻击1格；仅保留来源商人/训练师关系。</t>
        </is>
      </c>
      <c r="S72" s="38" t="n">
        <v>3</v>
      </c>
      <c r="T72" s="38" t="n">
        <v>1</v>
      </c>
      <c r="U72" s="442" t="inlineStr">
        <is>
          <t>skill_vanguard,skill_flank,skill_pierce,skill_revolve,skill_chase,skill_break,skill_suppress,skill_finale</t>
        </is>
      </c>
      <c r="V72" s="442" t="inlineStr">
        <is>
          <t>trait_relentless</t>
        </is>
      </c>
      <c r="W72" s="457">
        <f>XLOOKUP($D72&amp;"|"&amp;$E72&amp;"|"&amp;$F72,'PET_STAT_RULES'!$A$5:$A$88,'PET_STAT_RULES'!$E$5:$E$88)</f>
        <v/>
      </c>
      <c r="X72" s="385" t="inlineStr">
        <is>
          <t>hero_001</t>
        </is>
      </c>
      <c r="Y72" s="386" t="inlineStr">
        <is>
          <t>playable</t>
        </is>
      </c>
      <c r="Z72" s="386" t="inlineStr">
        <is>
          <t>tool, burn</t>
        </is>
      </c>
      <c r="AA72" s="386" t="str"/>
    </row>
    <row r="73">
      <c r="A73" s="38" t="inlineStr">
        <is>
          <t>pal_072</t>
        </is>
      </c>
      <c r="B73" s="38" t="inlineStr">
        <is>
          <t>赤巢火蚁</t>
        </is>
      </c>
      <c r="C73" s="38" t="inlineStr">
        <is>
          <t>火、水</t>
        </is>
      </c>
      <c r="D73" s="262" t="inlineStr">
        <is>
          <t>黄金</t>
        </is>
      </c>
      <c r="E73" s="38" t="inlineStr">
        <is>
          <t>控制</t>
        </is>
      </c>
      <c r="F73" s="38" t="inlineStr">
        <is>
          <t>三格</t>
        </is>
      </c>
      <c r="G73" s="38" t="inlineStr">
        <is>
          <t>bz_van_072</t>
        </is>
      </c>
      <c r="H73" s="38" t="inlineStr">
        <is>
          <t>elem_水, elem_雷, elem_冰, elem_地, role_坦克, role_控制, role_输出, special_merchant, tier_pT2, role_召唤铺场</t>
        </is>
      </c>
      <c r="I73" s="38" t="n">
        <v>10</v>
      </c>
      <c r="J73" s="456">
        <f>XLOOKUP($D73&amp;"|"&amp;$E73&amp;"|"&amp;$F73,'PET_STAT_RULES'!$A$5:$A$88,'PET_STAT_RULES'!$C$5:$C$88)</f>
        <v/>
      </c>
      <c r="K73" s="456">
        <f>XLOOKUP($D73&amp;"|"&amp;$E73&amp;"|"&amp;$F73,'PET_STAT_RULES'!$A$5:$A$88,'PET_STAT_RULES'!$D$5:$D$88)</f>
        <v/>
      </c>
      <c r="L73" s="456">
        <f>XLOOKUP($D73&amp;"|"&amp;$E73&amp;"|"&amp;$F73,'PET_STAT_RULES'!$A$5:$A$88,'PET_STAT_RULES'!$F$5:$F$88)</f>
        <v/>
      </c>
      <c r="M73" s="456">
        <f>XLOOKUP($D73&amp;"|"&amp;$E73&amp;"|"&amp;$F73,'PET_STAT_RULES'!$A$5:$A$88,'PET_STAT_RULES'!$G$5:$G$88)</f>
        <v/>
      </c>
      <c r="N73" s="38" t="n">
        <v>2</v>
      </c>
      <c r="O73" s="38" t="inlineStr">
        <is>
          <t>mech_fire_ignite_bonus</t>
        </is>
      </c>
      <c r="P73" s="38" t="inlineStr">
        <is>
          <t>06 形状06</t>
        </is>
      </c>
      <c r="Q73" s="38" t="inlineStr">
        <is>
          <t>Fiery</t>
        </is>
      </c>
      <c r="R73" s="38" t="inlineStr">
        <is>
          <t>item confirmed；来源=Lighthouse；攻击2格；仅保留来源商人/训练师关系。</t>
        </is>
      </c>
      <c r="S73" s="38" t="n">
        <v>4</v>
      </c>
      <c r="T73" s="38" t="n">
        <v>2</v>
      </c>
      <c r="U73" s="442" t="inlineStr">
        <is>
          <t>skill_vanguard,skill_flank,skill_pierce,skill_revolve,skill_chase,skill_break,skill_suppress,skill_finale</t>
        </is>
      </c>
      <c r="V73" s="442" t="inlineStr">
        <is>
          <t>trait_element_affinity</t>
        </is>
      </c>
      <c r="W73" s="457">
        <f>XLOOKUP($D73&amp;"|"&amp;$E73&amp;"|"&amp;$F73,'PET_STAT_RULES'!$A$5:$A$88,'PET_STAT_RULES'!$E$5:$E$88)</f>
        <v/>
      </c>
      <c r="X73" s="385" t="inlineStr">
        <is>
          <t>hero_001</t>
        </is>
      </c>
      <c r="Y73" s="386" t="inlineStr">
        <is>
          <t>playable</t>
        </is>
      </c>
      <c r="Z73" s="386" t="inlineStr">
        <is>
          <t>property, aquatic, burn, slow</t>
        </is>
      </c>
      <c r="AA73" s="386" t="str"/>
    </row>
    <row r="74">
      <c r="A74" s="38" t="inlineStr">
        <is>
          <t>pal_073</t>
        </is>
      </c>
      <c r="B74" s="38" t="inlineStr">
        <is>
          <t>烽翼火龙</t>
        </is>
      </c>
      <c r="C74" s="38" t="inlineStr">
        <is>
          <t>龙</t>
        </is>
      </c>
      <c r="D74" s="265" t="inlineStr">
        <is>
          <t>白银</t>
        </is>
      </c>
      <c r="E74" s="38" t="inlineStr">
        <is>
          <t>经济</t>
        </is>
      </c>
      <c r="F74" s="38" t="inlineStr">
        <is>
          <t>两格</t>
        </is>
      </c>
      <c r="G74" s="38" t="inlineStr">
        <is>
          <t>bz_van_073</t>
        </is>
      </c>
      <c r="H74" s="38" t="inlineStr">
        <is>
          <t>elem_水, elem_雷, elem_冰, elem_无, role_召唤, role_坦克, role_控制, role_治疗, role_经济, role_机动</t>
        </is>
      </c>
      <c r="I74" s="38" t="n">
        <v>10</v>
      </c>
      <c r="J74" s="456">
        <f>XLOOKUP($D74&amp;"|"&amp;$E74&amp;"|"&amp;$F74,'PET_STAT_RULES'!$A$5:$A$88,'PET_STAT_RULES'!$C$5:$C$88)</f>
        <v/>
      </c>
      <c r="K74" s="456">
        <f>XLOOKUP($D74&amp;"|"&amp;$E74&amp;"|"&amp;$F74,'PET_STAT_RULES'!$A$5:$A$88,'PET_STAT_RULES'!$D$5:$D$88)</f>
        <v/>
      </c>
      <c r="L74" s="456">
        <f>XLOOKUP($D74&amp;"|"&amp;$E74&amp;"|"&amp;$F74,'PET_STAT_RULES'!$A$5:$A$88,'PET_STAT_RULES'!$F$5:$F$88)</f>
        <v/>
      </c>
      <c r="M74" s="456">
        <f>XLOOKUP($D74&amp;"|"&amp;$E74&amp;"|"&amp;$F74,'PET_STAT_RULES'!$A$5:$A$88,'PET_STAT_RULES'!$G$5:$G$88)</f>
        <v/>
      </c>
      <c r="N74" s="38" t="n">
        <v>2</v>
      </c>
      <c r="O74" s="38" t="inlineStr">
        <is>
          <t>none</t>
        </is>
      </c>
      <c r="P74" s="38" t="inlineStr">
        <is>
          <t>12 形状12</t>
        </is>
      </c>
      <c r="Q74" s="38" t="inlineStr">
        <is>
          <t>Golden</t>
        </is>
      </c>
      <c r="R74" s="38" t="inlineStr">
        <is>
          <t>item confirmed；来源=Lockbox；攻击2格；仅保留来源商人/训练师关系。</t>
        </is>
      </c>
      <c r="S74" s="38" t="n">
        <v>3</v>
      </c>
      <c r="T74" s="38" t="n">
        <v>2</v>
      </c>
      <c r="U74" s="442" t="inlineStr">
        <is>
          <t>skill_vanguard,skill_flank,skill_pierce,skill_revolve,skill_chase,skill_break,skill_suppress,skill_finale</t>
        </is>
      </c>
      <c r="V74" s="442" t="inlineStr">
        <is>
          <t>trait_combo_resonance</t>
        </is>
      </c>
      <c r="W74" s="457">
        <f>XLOOKUP($D74&amp;"|"&amp;$E74&amp;"|"&amp;$F74,'PET_STAT_RULES'!$A$5:$A$88,'PET_STAT_RULES'!$E$5:$E$88)</f>
        <v/>
      </c>
      <c r="X74" s="385" t="inlineStr">
        <is>
          <t>hero_001</t>
        </is>
      </c>
      <c r="Y74" s="386" t="inlineStr">
        <is>
          <t>playable</t>
        </is>
      </c>
      <c r="Z74" s="386" t="inlineStr">
        <is>
          <t>relic, value</t>
        </is>
      </c>
      <c r="AA74" s="386" t="inlineStr">
        <is>
          <t>economy, damage</t>
        </is>
      </c>
    </row>
    <row r="75">
      <c r="A75" s="38" t="inlineStr">
        <is>
          <t>pal_074</t>
        </is>
      </c>
      <c r="B75" s="38" t="inlineStr">
        <is>
          <t>霜翼冥龙</t>
        </is>
      </c>
      <c r="C75" s="38" t="inlineStr">
        <is>
          <t>火、水</t>
        </is>
      </c>
      <c r="D75" s="259" t="inlineStr">
        <is>
          <t>青铜</t>
        </is>
      </c>
      <c r="E75" s="38" t="inlineStr">
        <is>
          <t>控制</t>
        </is>
      </c>
      <c r="F75" s="38" t="inlineStr">
        <is>
          <t>一格</t>
        </is>
      </c>
      <c r="G75" s="38" t="inlineStr">
        <is>
          <t>bz_van_074</t>
        </is>
      </c>
      <c r="H75" s="38" t="inlineStr">
        <is>
          <t>night_base, elem_火, elem_雷, role_坦克, role_输出, role_机动, special_merchant, tier_pT2, role_召唤铺场, role_机动压制</t>
        </is>
      </c>
      <c r="I75" s="38" t="n">
        <v>10</v>
      </c>
      <c r="J75" s="456">
        <f>XLOOKUP($D75&amp;"|"&amp;$E75&amp;"|"&amp;$F75,'PET_STAT_RULES'!$A$5:$A$88,'PET_STAT_RULES'!$C$5:$C$88)</f>
        <v/>
      </c>
      <c r="K75" s="456">
        <f>XLOOKUP($D75&amp;"|"&amp;$E75&amp;"|"&amp;$F75,'PET_STAT_RULES'!$A$5:$A$88,'PET_STAT_RULES'!$D$5:$D$88)</f>
        <v/>
      </c>
      <c r="L75" s="456">
        <f>XLOOKUP($D75&amp;"|"&amp;$E75&amp;"|"&amp;$F75,'PET_STAT_RULES'!$A$5:$A$88,'PET_STAT_RULES'!$F$5:$F$88)</f>
        <v/>
      </c>
      <c r="M75" s="456">
        <f>XLOOKUP($D75&amp;"|"&amp;$E75&amp;"|"&amp;$F75,'PET_STAT_RULES'!$A$5:$A$88,'PET_STAT_RULES'!$G$5:$G$88)</f>
        <v/>
      </c>
      <c r="N75" s="38" t="n">
        <v>2</v>
      </c>
      <c r="O75" s="38" t="inlineStr">
        <is>
          <t>mech_fire_ignite_bonus</t>
        </is>
      </c>
      <c r="P75" s="38" t="inlineStr">
        <is>
          <t>12 形状12</t>
        </is>
      </c>
      <c r="Q75" s="38" t="inlineStr">
        <is>
          <t>Fiery</t>
        </is>
      </c>
      <c r="R75" s="38" t="inlineStr">
        <is>
          <t>item confirmed；来源=Mantis Shrimp；攻击2格；仅保留来源商人/训练师关系。</t>
        </is>
      </c>
      <c r="S75" s="38" t="n">
        <v>4</v>
      </c>
      <c r="T75" s="38" t="n">
        <v>1</v>
      </c>
      <c r="U75" s="442" t="inlineStr">
        <is>
          <t>skill_vanguard,skill_flank,skill_pierce,skill_revolve,skill_chase,skill_break,skill_suppress,skill_finale</t>
        </is>
      </c>
      <c r="V75" s="442" t="inlineStr">
        <is>
          <t>trait_element_affinity</t>
        </is>
      </c>
      <c r="W75" s="457">
        <f>XLOOKUP($D75&amp;"|"&amp;$E75&amp;"|"&amp;$F75,'PET_STAT_RULES'!$A$5:$A$88,'PET_STAT_RULES'!$E$5:$E$88)</f>
        <v/>
      </c>
      <c r="X75" s="385" t="inlineStr">
        <is>
          <t>hero_001</t>
        </is>
      </c>
      <c r="Y75" s="386" t="inlineStr">
        <is>
          <t>playable</t>
        </is>
      </c>
      <c r="Z75" s="386" t="inlineStr">
        <is>
          <t>aquatic, weapon, friend, damage, burn, ammo</t>
        </is>
      </c>
      <c r="AA75" s="386" t="inlineStr">
        <is>
          <t>slow</t>
        </is>
      </c>
    </row>
    <row r="76">
      <c r="A76" s="38" t="inlineStr">
        <is>
          <t>pal_075</t>
        </is>
      </c>
      <c r="B76" s="38" t="inlineStr">
        <is>
          <t>赤刃螳螂</t>
        </is>
      </c>
      <c r="C76" s="38" t="inlineStr">
        <is>
          <t>水、雷</t>
        </is>
      </c>
      <c r="D76" s="259" t="inlineStr">
        <is>
          <t>青铜</t>
        </is>
      </c>
      <c r="E76" s="38" t="inlineStr">
        <is>
          <t>机动</t>
        </is>
      </c>
      <c r="F76" s="38" t="inlineStr">
        <is>
          <t>两格</t>
        </is>
      </c>
      <c r="G76" s="38" t="inlineStr">
        <is>
          <t>bz_van_075</t>
        </is>
      </c>
      <c r="H76" s="38" t="inlineStr">
        <is>
          <t>night_base, elem_水, elem_草, elem_雷, elem_无, role_坦克, role_控制, role_输出, tier_pT1, role_机动压制</t>
        </is>
      </c>
      <c r="I76" s="38" t="n">
        <v>10</v>
      </c>
      <c r="J76" s="456">
        <f>XLOOKUP($D76&amp;"|"&amp;$E76&amp;"|"&amp;$F76,'PET_STAT_RULES'!$A$5:$A$88,'PET_STAT_RULES'!$C$5:$C$88)</f>
        <v/>
      </c>
      <c r="K76" s="456">
        <f>XLOOKUP($D76&amp;"|"&amp;$E76&amp;"|"&amp;$F76,'PET_STAT_RULES'!$A$5:$A$88,'PET_STAT_RULES'!$D$5:$D$88)</f>
        <v/>
      </c>
      <c r="L76" s="456">
        <f>XLOOKUP($D76&amp;"|"&amp;$E76&amp;"|"&amp;$F76,'PET_STAT_RULES'!$A$5:$A$88,'PET_STAT_RULES'!$F$5:$F$88)</f>
        <v/>
      </c>
      <c r="M76" s="456">
        <f>XLOOKUP($D76&amp;"|"&amp;$E76&amp;"|"&amp;$F76,'PET_STAT_RULES'!$A$5:$A$88,'PET_STAT_RULES'!$G$5:$G$88)</f>
        <v/>
      </c>
      <c r="N76" s="38" t="n">
        <v>1</v>
      </c>
      <c r="O76" s="38" t="inlineStr">
        <is>
          <t>none</t>
        </is>
      </c>
      <c r="P76" s="38" t="inlineStr">
        <is>
          <t>01 形状01</t>
        </is>
      </c>
      <c r="Q76" s="38" t="inlineStr">
        <is>
          <t>Deadly</t>
        </is>
      </c>
      <c r="R76" s="38" t="inlineStr">
        <is>
          <t>item confirmed；来源=Marlon；攻击1格；仅保留来源商人/训练师关系。</t>
        </is>
      </c>
      <c r="S76" s="38" t="n">
        <v>5</v>
      </c>
      <c r="T76" s="38" t="n">
        <v>1</v>
      </c>
      <c r="U76" s="442" t="inlineStr">
        <is>
          <t>skill_vanguard,skill_flank,skill_pierce,skill_revolve,skill_chase,skill_break,skill_suppress,skill_finale</t>
        </is>
      </c>
      <c r="V76" s="442" t="inlineStr">
        <is>
          <t>trait_relentless</t>
        </is>
      </c>
      <c r="W76" s="457">
        <f>XLOOKUP($D76&amp;"|"&amp;$E76&amp;"|"&amp;$F76,'PET_STAT_RULES'!$A$5:$A$88,'PET_STAT_RULES'!$E$5:$E$88)</f>
        <v/>
      </c>
      <c r="X76" s="385" t="inlineStr">
        <is>
          <t>hero_001</t>
        </is>
      </c>
      <c r="Y76" s="386" t="inlineStr">
        <is>
          <t>playable</t>
        </is>
      </c>
      <c r="Z76" s="386" t="inlineStr">
        <is>
          <t>aquatic, friend, weapon, crit, flying</t>
        </is>
      </c>
      <c r="AA76" s="386" t="str"/>
    </row>
    <row r="77">
      <c r="A77" s="38" t="inlineStr">
        <is>
          <t>pal_076</t>
        </is>
      </c>
      <c r="B77" s="38" t="inlineStr">
        <is>
          <t>迅雷金雕</t>
        </is>
      </c>
      <c r="C77" s="38" t="inlineStr">
        <is>
          <t>水、地</t>
        </is>
      </c>
      <c r="D77" s="265" t="inlineStr">
        <is>
          <t>白银</t>
        </is>
      </c>
      <c r="E77" s="38" t="inlineStr">
        <is>
          <t>坦克</t>
        </is>
      </c>
      <c r="F77" s="38" t="inlineStr">
        <is>
          <t>一格</t>
        </is>
      </c>
      <c r="G77" s="38" t="inlineStr">
        <is>
          <t>bz_van_076</t>
        </is>
      </c>
      <c r="H77" s="38" t="inlineStr">
        <is>
          <t>elem_火, elem_雷, elem_冰, role_坦克, role_输出, special_merchant, elite_high, tier_pT3, role_召唤铺场, role_机动压制</t>
        </is>
      </c>
      <c r="I77" s="38" t="n">
        <v>10</v>
      </c>
      <c r="J77" s="456">
        <f>XLOOKUP($D77&amp;"|"&amp;$E77&amp;"|"&amp;$F77,'PET_STAT_RULES'!$A$5:$A$88,'PET_STAT_RULES'!$C$5:$C$88)</f>
        <v/>
      </c>
      <c r="K77" s="456">
        <f>XLOOKUP($D77&amp;"|"&amp;$E77&amp;"|"&amp;$F77,'PET_STAT_RULES'!$A$5:$A$88,'PET_STAT_RULES'!$D$5:$D$88)</f>
        <v/>
      </c>
      <c r="L77" s="456">
        <f>XLOOKUP($D77&amp;"|"&amp;$E77&amp;"|"&amp;$F77,'PET_STAT_RULES'!$A$5:$A$88,'PET_STAT_RULES'!$F$5:$F$88)</f>
        <v/>
      </c>
      <c r="M77" s="456">
        <f>XLOOKUP($D77&amp;"|"&amp;$E77&amp;"|"&amp;$F77,'PET_STAT_RULES'!$A$5:$A$88,'PET_STAT_RULES'!$G$5:$G$88)</f>
        <v/>
      </c>
      <c r="N77" s="38" t="n">
        <v>2</v>
      </c>
      <c r="O77" s="38" t="inlineStr">
        <is>
          <t>mech_armor_flat</t>
        </is>
      </c>
      <c r="P77" s="38" t="inlineStr">
        <is>
          <t>09 形状09</t>
        </is>
      </c>
      <c r="Q77" s="38" t="inlineStr">
        <is>
          <t>Icy</t>
        </is>
      </c>
      <c r="R77" s="38" t="inlineStr">
        <is>
          <t>item confirmed；来源=Mr. Richardson；攻击2格；仅保留来源商人/训练师关系。</t>
        </is>
      </c>
      <c r="S77" s="38" t="n">
        <v>3</v>
      </c>
      <c r="T77" s="38" t="n">
        <v>2</v>
      </c>
      <c r="U77" s="442" t="inlineStr">
        <is>
          <t>skill_vanguard,skill_flank,skill_pierce,skill_revolve,skill_chase,skill_break,skill_suppress,skill_finale</t>
        </is>
      </c>
      <c r="V77" s="442" t="inlineStr">
        <is>
          <t>trait_combo_mastery</t>
        </is>
      </c>
      <c r="W77" s="457">
        <f>XLOOKUP($D77&amp;"|"&amp;$E77&amp;"|"&amp;$F77,'PET_STAT_RULES'!$A$5:$A$88,'PET_STAT_RULES'!$E$5:$E$88)</f>
        <v/>
      </c>
      <c r="X77" s="385" t="inlineStr">
        <is>
          <t>hero_001</t>
        </is>
      </c>
      <c r="Y77" s="386" t="inlineStr">
        <is>
          <t>playable</t>
        </is>
      </c>
      <c r="Z77" s="386" t="inlineStr">
        <is>
          <t>friend, aquatic, shield</t>
        </is>
      </c>
      <c r="AA77" s="386" t="inlineStr">
        <is>
          <t>haste, slow</t>
        </is>
      </c>
    </row>
    <row r="78">
      <c r="A78" s="38" t="inlineStr">
        <is>
          <t>pal_077</t>
        </is>
      </c>
      <c r="B78" s="38" t="inlineStr">
        <is>
          <t>燧火黑乌</t>
        </is>
      </c>
      <c r="C78" s="38" t="inlineStr">
        <is>
          <t>火、雷</t>
        </is>
      </c>
      <c r="D78" s="265" t="inlineStr">
        <is>
          <t>白银</t>
        </is>
      </c>
      <c r="E78" s="38" t="inlineStr">
        <is>
          <t>输出</t>
        </is>
      </c>
      <c r="F78" s="38" t="inlineStr">
        <is>
          <t>两格</t>
        </is>
      </c>
      <c r="G78" s="38" t="inlineStr">
        <is>
          <t>bz_van_077</t>
        </is>
      </c>
      <c r="H78" s="38" t="inlineStr">
        <is>
          <t>night_base, elem_水, elem_雷, elem_无, role_召唤, role_坦克, role_控制, role_治疗, role_机动, tier_pT2</t>
        </is>
      </c>
      <c r="I78" s="38" t="n">
        <v>10</v>
      </c>
      <c r="J78" s="456">
        <f>XLOOKUP($D78&amp;"|"&amp;$E78&amp;"|"&amp;$F78,'PET_STAT_RULES'!$A$5:$A$88,'PET_STAT_RULES'!$C$5:$C$88)</f>
        <v/>
      </c>
      <c r="K78" s="456">
        <f>XLOOKUP($D78&amp;"|"&amp;$E78&amp;"|"&amp;$F78,'PET_STAT_RULES'!$A$5:$A$88,'PET_STAT_RULES'!$D$5:$D$88)</f>
        <v/>
      </c>
      <c r="L78" s="456">
        <f>XLOOKUP($D78&amp;"|"&amp;$E78&amp;"|"&amp;$F78,'PET_STAT_RULES'!$A$5:$A$88,'PET_STAT_RULES'!$F$5:$F$88)</f>
        <v/>
      </c>
      <c r="M78" s="456">
        <f>XLOOKUP($D78&amp;"|"&amp;$E78&amp;"|"&amp;$F78,'PET_STAT_RULES'!$A$5:$A$88,'PET_STAT_RULES'!$G$5:$G$88)</f>
        <v/>
      </c>
      <c r="N78" s="38" t="n">
        <v>2</v>
      </c>
      <c r="O78" s="38" t="inlineStr">
        <is>
          <t>mech_fire_ignite_bonus</t>
        </is>
      </c>
      <c r="P78" s="38" t="inlineStr">
        <is>
          <t>09 形状09</t>
        </is>
      </c>
      <c r="Q78" s="38" t="inlineStr">
        <is>
          <t>Fiery</t>
        </is>
      </c>
      <c r="R78" s="38" t="inlineStr">
        <is>
          <t>item confirmed；来源=Musket；攻击2格；仅保留来源商人/训练师关系。</t>
        </is>
      </c>
      <c r="S78" s="38" t="n">
        <v>3</v>
      </c>
      <c r="T78" s="38" t="n">
        <v>2</v>
      </c>
      <c r="U78" s="442" t="inlineStr">
        <is>
          <t>skill_vanguard,skill_flank,skill_pierce,skill_revolve,skill_chase,skill_break,skill_suppress,skill_finale</t>
        </is>
      </c>
      <c r="V78" s="442" t="inlineStr">
        <is>
          <t>trait_relentless</t>
        </is>
      </c>
      <c r="W78" s="457">
        <f>XLOOKUP($D78&amp;"|"&amp;$E78&amp;"|"&amp;$F78,'PET_STAT_RULES'!$A$5:$A$88,'PET_STAT_RULES'!$E$5:$E$88)</f>
        <v/>
      </c>
      <c r="X78" s="385" t="inlineStr">
        <is>
          <t>hero_001</t>
        </is>
      </c>
      <c r="Y78" s="386" t="inlineStr">
        <is>
          <t>playable</t>
        </is>
      </c>
      <c r="Z78" s="386" t="inlineStr">
        <is>
          <t>weapon, damage, ammo</t>
        </is>
      </c>
      <c r="AA78" s="386" t="inlineStr">
        <is>
          <t>burn</t>
        </is>
      </c>
    </row>
    <row r="79">
      <c r="A79" s="38" t="inlineStr">
        <is>
          <t>pal_078</t>
        </is>
      </c>
      <c r="B79" s="38" t="inlineStr">
        <is>
          <t>幽泉灵猫</t>
        </is>
      </c>
      <c r="C79" s="38" t="inlineStr">
        <is>
          <t>水、龙</t>
        </is>
      </c>
      <c r="D79" s="259" t="inlineStr">
        <is>
          <t>青铜</t>
        </is>
      </c>
      <c r="E79" s="38" t="inlineStr">
        <is>
          <t>召唤</t>
        </is>
      </c>
      <c r="F79" s="38" t="inlineStr">
        <is>
          <t>一格</t>
        </is>
      </c>
      <c r="G79" s="38" t="inlineStr">
        <is>
          <t>bz_van_078</t>
        </is>
      </c>
      <c r="H79" s="38" t="inlineStr">
        <is>
          <t>night_base, elem_火, elem_雷, elem_地, role_召唤, role_坦克, role_控制, role_治疗, role_输出, role_机动压制</t>
        </is>
      </c>
      <c r="I79" s="38" t="n">
        <v>10</v>
      </c>
      <c r="J79" s="456">
        <f>XLOOKUP($D79&amp;"|"&amp;$E79&amp;"|"&amp;$F79,'PET_STAT_RULES'!$A$5:$A$88,'PET_STAT_RULES'!$C$5:$C$88)</f>
        <v/>
      </c>
      <c r="K79" s="456">
        <f>XLOOKUP($D79&amp;"|"&amp;$E79&amp;"|"&amp;$F79,'PET_STAT_RULES'!$A$5:$A$88,'PET_STAT_RULES'!$D$5:$D$88)</f>
        <v/>
      </c>
      <c r="L79" s="456">
        <f>XLOOKUP($D79&amp;"|"&amp;$E79&amp;"|"&amp;$F79,'PET_STAT_RULES'!$A$5:$A$88,'PET_STAT_RULES'!$F$5:$F$88)</f>
        <v/>
      </c>
      <c r="M79" s="456">
        <f>XLOOKUP($D79&amp;"|"&amp;$E79&amp;"|"&amp;$F79,'PET_STAT_RULES'!$A$5:$A$88,'PET_STAT_RULES'!$G$5:$G$88)</f>
        <v/>
      </c>
      <c r="N79" s="38" t="n">
        <v>2</v>
      </c>
      <c r="O79" s="38" t="inlineStr">
        <is>
          <t>mech_grow_shield_each_round</t>
        </is>
      </c>
      <c r="P79" s="38" t="inlineStr">
        <is>
          <t>09 形状09</t>
        </is>
      </c>
      <c r="Q79" s="38" t="inlineStr">
        <is>
          <t>Deadly</t>
        </is>
      </c>
      <c r="R79" s="38" t="inlineStr">
        <is>
          <t>item confirmed；来源=Narwhal；攻击2格；仅保留来源商人/训练师关系。</t>
        </is>
      </c>
      <c r="S79" s="38" t="n">
        <v>3</v>
      </c>
      <c r="T79" s="38" t="n">
        <v>1</v>
      </c>
      <c r="U79" s="442" t="inlineStr">
        <is>
          <t>skill_vanguard,skill_flank,skill_pierce,skill_revolve,skill_chase,skill_break,skill_suppress,skill_finale</t>
        </is>
      </c>
      <c r="V79" s="442" t="inlineStr">
        <is>
          <t>trait_combo_resonance</t>
        </is>
      </c>
      <c r="W79" s="457">
        <f>XLOOKUP($D79&amp;"|"&amp;$E79&amp;"|"&amp;$F79,'PET_STAT_RULES'!$A$5:$A$88,'PET_STAT_RULES'!$E$5:$E$88)</f>
        <v/>
      </c>
      <c r="X79" s="385" t="inlineStr">
        <is>
          <t>hero_001</t>
        </is>
      </c>
      <c r="Y79" s="386" t="inlineStr">
        <is>
          <t>playable</t>
        </is>
      </c>
      <c r="Z79" s="386" t="inlineStr">
        <is>
          <t>aquatic, weapon, friend, damage</t>
        </is>
      </c>
      <c r="AA79" s="386" t="str"/>
    </row>
    <row r="80">
      <c r="A80" s="38" t="inlineStr">
        <is>
          <t>pal_079</t>
        </is>
      </c>
      <c r="B80" s="38" t="inlineStr">
        <is>
          <t>焰尾山狐</t>
        </is>
      </c>
      <c r="C80" s="38" t="inlineStr">
        <is>
          <t>雷、地</t>
        </is>
      </c>
      <c r="D80" s="265" t="inlineStr">
        <is>
          <t>白银</t>
        </is>
      </c>
      <c r="E80" s="38" t="inlineStr">
        <is>
          <t>坦克</t>
        </is>
      </c>
      <c r="F80" s="38" t="inlineStr">
        <is>
          <t>一格</t>
        </is>
      </c>
      <c r="G80" s="38" t="inlineStr">
        <is>
          <t>bz_van_079</t>
        </is>
      </c>
      <c r="H80" s="38" t="inlineStr">
        <is>
          <t>elem_火, elem_雷, elem_冰, elem_地, elem_龙, role_召唤, role_坦克, role_控制, role_机动, tier_pT3</t>
        </is>
      </c>
      <c r="I80" s="38" t="n">
        <v>10</v>
      </c>
      <c r="J80" s="456">
        <f>XLOOKUP($D80&amp;"|"&amp;$E80&amp;"|"&amp;$F80,'PET_STAT_RULES'!$A$5:$A$88,'PET_STAT_RULES'!$C$5:$C$88)</f>
        <v/>
      </c>
      <c r="K80" s="456">
        <f>XLOOKUP($D80&amp;"|"&amp;$E80&amp;"|"&amp;$F80,'PET_STAT_RULES'!$A$5:$A$88,'PET_STAT_RULES'!$D$5:$D$88)</f>
        <v/>
      </c>
      <c r="L80" s="456">
        <f>XLOOKUP($D80&amp;"|"&amp;$E80&amp;"|"&amp;$F80,'PET_STAT_RULES'!$A$5:$A$88,'PET_STAT_RULES'!$F$5:$F$88)</f>
        <v/>
      </c>
      <c r="M80" s="456">
        <f>XLOOKUP($D80&amp;"|"&amp;$E80&amp;"|"&amp;$F80,'PET_STAT_RULES'!$A$5:$A$88,'PET_STAT_RULES'!$G$5:$G$88)</f>
        <v/>
      </c>
      <c r="N80" s="38" t="n">
        <v>2</v>
      </c>
      <c r="O80" s="38" t="inlineStr">
        <is>
          <t>mech_shield_regen</t>
        </is>
      </c>
      <c r="P80" s="38" t="inlineStr">
        <is>
          <t>06 形状06</t>
        </is>
      </c>
      <c r="Q80" s="38" t="inlineStr">
        <is>
          <t>Shielded</t>
        </is>
      </c>
      <c r="R80" s="38" t="inlineStr">
        <is>
          <t>item confirmed；来源=Nesting Doll；攻击2格；仅保留来源商人/训练师关系。</t>
        </is>
      </c>
      <c r="S80" s="38" t="n">
        <v>3</v>
      </c>
      <c r="T80" s="38" t="n">
        <v>2</v>
      </c>
      <c r="U80" s="442" t="inlineStr">
        <is>
          <t>skill_vanguard,skill_flank,skill_pierce,skill_revolve,skill_chase,skill_break,skill_suppress,skill_finale</t>
        </is>
      </c>
      <c r="V80" s="442" t="inlineStr">
        <is>
          <t>trait_combo_mastery</t>
        </is>
      </c>
      <c r="W80" s="457">
        <f>XLOOKUP($D80&amp;"|"&amp;$E80&amp;"|"&amp;$F80,'PET_STAT_RULES'!$A$5:$A$88,'PET_STAT_RULES'!$E$5:$E$88)</f>
        <v/>
      </c>
      <c r="X80" s="385" t="inlineStr">
        <is>
          <t>hero_001</t>
        </is>
      </c>
      <c r="Y80" s="386" t="inlineStr">
        <is>
          <t>playable</t>
        </is>
      </c>
      <c r="Z80" s="386" t="inlineStr">
        <is>
          <t>toy, shield, ammo</t>
        </is>
      </c>
      <c r="AA80" s="386" t="str"/>
    </row>
    <row r="81">
      <c r="A81" s="38" t="inlineStr">
        <is>
          <t>pal_080</t>
        </is>
      </c>
      <c r="B81" s="38" t="inlineStr">
        <is>
          <t>踏春白兔</t>
        </is>
      </c>
      <c r="C81" s="38" t="inlineStr">
        <is>
          <t>水、龙</t>
        </is>
      </c>
      <c r="D81" s="265" t="inlineStr">
        <is>
          <t>白银</t>
        </is>
      </c>
      <c r="E81" s="38" t="inlineStr">
        <is>
          <t>控制</t>
        </is>
      </c>
      <c r="F81" s="38" t="inlineStr">
        <is>
          <t>一格</t>
        </is>
      </c>
      <c r="G81" s="38" t="inlineStr">
        <is>
          <t>bz_van_080</t>
        </is>
      </c>
      <c r="H81" s="38" t="inlineStr">
        <is>
          <t>night_base, elem_火, elem_雷, role_坦克, role_控制, role_输出, special_merchant, elite_high, role_召唤铺场, role_机动压制</t>
        </is>
      </c>
      <c r="I81" s="38" t="n">
        <v>10</v>
      </c>
      <c r="J81" s="456">
        <f>XLOOKUP($D81&amp;"|"&amp;$E81&amp;"|"&amp;$F81,'PET_STAT_RULES'!$A$5:$A$88,'PET_STAT_RULES'!$C$5:$C$88)</f>
        <v/>
      </c>
      <c r="K81" s="456">
        <f>XLOOKUP($D81&amp;"|"&amp;$E81&amp;"|"&amp;$F81,'PET_STAT_RULES'!$A$5:$A$88,'PET_STAT_RULES'!$D$5:$D$88)</f>
        <v/>
      </c>
      <c r="L81" s="456">
        <f>XLOOKUP($D81&amp;"|"&amp;$E81&amp;"|"&amp;$F81,'PET_STAT_RULES'!$A$5:$A$88,'PET_STAT_RULES'!$F$5:$F$88)</f>
        <v/>
      </c>
      <c r="M81" s="456">
        <f>XLOOKUP($D81&amp;"|"&amp;$E81&amp;"|"&amp;$F81,'PET_STAT_RULES'!$A$5:$A$88,'PET_STAT_RULES'!$G$5:$G$88)</f>
        <v/>
      </c>
      <c r="N81" s="38" t="n">
        <v>2</v>
      </c>
      <c r="O81" s="38" t="inlineStr">
        <is>
          <t>mech_counter_damage</t>
        </is>
      </c>
      <c r="P81" s="38" t="inlineStr">
        <is>
          <t>07 形状07</t>
        </is>
      </c>
      <c r="Q81" s="38" t="inlineStr">
        <is>
          <t>Icy</t>
        </is>
      </c>
      <c r="R81" s="38" t="inlineStr">
        <is>
          <t>item confirmed；来源=Old Saltclaw；攻击2格；仅保留来源商人/训练师关系。</t>
        </is>
      </c>
      <c r="S81" s="38" t="n">
        <v>4</v>
      </c>
      <c r="T81" s="38" t="n">
        <v>2</v>
      </c>
      <c r="U81" s="442" t="inlineStr">
        <is>
          <t>skill_vanguard,skill_flank,skill_pierce,skill_revolve,skill_chase,skill_break,skill_suppress,skill_finale</t>
        </is>
      </c>
      <c r="V81" s="442" t="inlineStr">
        <is>
          <t>trait_element_affinity</t>
        </is>
      </c>
      <c r="W81" s="457">
        <f>XLOOKUP($D81&amp;"|"&amp;$E81&amp;"|"&amp;$F81,'PET_STAT_RULES'!$A$5:$A$88,'PET_STAT_RULES'!$E$5:$E$88)</f>
        <v/>
      </c>
      <c r="X81" s="385" t="inlineStr">
        <is>
          <t>hero_001</t>
        </is>
      </c>
      <c r="Y81" s="386" t="inlineStr">
        <is>
          <t>playable</t>
        </is>
      </c>
      <c r="Z81" s="386" t="inlineStr">
        <is>
          <t>aquatic, friend, weapon, damage</t>
        </is>
      </c>
      <c r="AA81" s="386" t="inlineStr">
        <is>
          <t>haste, slow</t>
        </is>
      </c>
    </row>
    <row r="82">
      <c r="A82" s="38" t="inlineStr">
        <is>
          <t>pal_081</t>
        </is>
      </c>
      <c r="B82" s="38" t="inlineStr">
        <is>
          <t>药香花鹿</t>
        </is>
      </c>
      <c r="C82" s="38" t="inlineStr">
        <is>
          <t>火、雷</t>
        </is>
      </c>
      <c r="D82" s="265" t="inlineStr">
        <is>
          <t>白银</t>
        </is>
      </c>
      <c r="E82" s="38" t="inlineStr">
        <is>
          <t>输出</t>
        </is>
      </c>
      <c r="F82" s="38" t="inlineStr">
        <is>
          <t>两格</t>
        </is>
      </c>
      <c r="G82" s="38" t="inlineStr">
        <is>
          <t>bz_van_081</t>
        </is>
      </c>
      <c r="H82" s="38" t="inlineStr">
        <is>
          <t>elem_水, elem_雷, elem_冰, elem_无, role_坦克, role_控制, tier_pT1, tier_pT2, role_抗压承伤, role_重甲抗压</t>
        </is>
      </c>
      <c r="I82" s="38" t="n">
        <v>10</v>
      </c>
      <c r="J82" s="456">
        <f>XLOOKUP($D82&amp;"|"&amp;$E82&amp;"|"&amp;$F82,'PET_STAT_RULES'!$A$5:$A$88,'PET_STAT_RULES'!$C$5:$C$88)</f>
        <v/>
      </c>
      <c r="K82" s="456">
        <f>XLOOKUP($D82&amp;"|"&amp;$E82&amp;"|"&amp;$F82,'PET_STAT_RULES'!$A$5:$A$88,'PET_STAT_RULES'!$D$5:$D$88)</f>
        <v/>
      </c>
      <c r="L82" s="456">
        <f>XLOOKUP($D82&amp;"|"&amp;$E82&amp;"|"&amp;$F82,'PET_STAT_RULES'!$A$5:$A$88,'PET_STAT_RULES'!$F$5:$F$88)</f>
        <v/>
      </c>
      <c r="M82" s="456">
        <f>XLOOKUP($D82&amp;"|"&amp;$E82&amp;"|"&amp;$F82,'PET_STAT_RULES'!$A$5:$A$88,'PET_STAT_RULES'!$G$5:$G$88)</f>
        <v/>
      </c>
      <c r="N82" s="38" t="n">
        <v>2</v>
      </c>
      <c r="O82" s="38" t="inlineStr">
        <is>
          <t>mech_fire_ignite_bonus</t>
        </is>
      </c>
      <c r="P82" s="38" t="inlineStr">
        <is>
          <t>07 形状07</t>
        </is>
      </c>
      <c r="Q82" s="38" t="inlineStr">
        <is>
          <t>Fiery</t>
        </is>
      </c>
      <c r="R82" s="38" t="inlineStr">
        <is>
          <t>item confirmed；来源=Oni Mask；攻击2格；仅保留来源商人/训练师关系。</t>
        </is>
      </c>
      <c r="S82" s="38" t="n">
        <v>3</v>
      </c>
      <c r="T82" s="38" t="n">
        <v>2</v>
      </c>
      <c r="U82" s="442" t="inlineStr">
        <is>
          <t>skill_vanguard,skill_flank,skill_pierce,skill_revolve,skill_chase,skill_break,skill_suppress,skill_finale</t>
        </is>
      </c>
      <c r="V82" s="442" t="inlineStr">
        <is>
          <t>trait_relentless</t>
        </is>
      </c>
      <c r="W82" s="457">
        <f>XLOOKUP($D82&amp;"|"&amp;$E82&amp;"|"&amp;$F82,'PET_STAT_RULES'!$A$5:$A$88,'PET_STAT_RULES'!$E$5:$E$88)</f>
        <v/>
      </c>
      <c r="X82" s="385" t="inlineStr">
        <is>
          <t>hero_001</t>
        </is>
      </c>
      <c r="Y82" s="386" t="inlineStr">
        <is>
          <t>playable</t>
        </is>
      </c>
      <c r="Z82" s="386" t="inlineStr">
        <is>
          <t>apparel, tech, burn</t>
        </is>
      </c>
      <c r="AA82" s="386" t="inlineStr">
        <is>
          <t>crit</t>
        </is>
      </c>
    </row>
    <row r="83">
      <c r="A83" s="38" t="inlineStr">
        <is>
          <t>pal_082</t>
        </is>
      </c>
      <c r="B83" s="38" t="inlineStr">
        <is>
          <t>冰丝巨蛾</t>
        </is>
      </c>
      <c r="C83" s="38" t="inlineStr">
        <is>
          <t>龙</t>
        </is>
      </c>
      <c r="D83" s="265" t="inlineStr">
        <is>
          <t>白银</t>
        </is>
      </c>
      <c r="E83" s="38" t="inlineStr">
        <is>
          <t>经济</t>
        </is>
      </c>
      <c r="F83" s="38" t="inlineStr">
        <is>
          <t>两格</t>
        </is>
      </c>
      <c r="G83" s="38" t="inlineStr">
        <is>
          <t>bz_van_082</t>
        </is>
      </c>
      <c r="H83" s="38" t="inlineStr">
        <is>
          <t>elem_水, elem_雷, elem_冰, elem_无, role_召唤, role_坦克, role_控制, role_治疗, role_机动, role_机动压制</t>
        </is>
      </c>
      <c r="I83" s="38" t="n">
        <v>10</v>
      </c>
      <c r="J83" s="456">
        <f>XLOOKUP($D83&amp;"|"&amp;$E83&amp;"|"&amp;$F83,'PET_STAT_RULES'!$A$5:$A$88,'PET_STAT_RULES'!$C$5:$C$88)</f>
        <v/>
      </c>
      <c r="K83" s="456">
        <f>XLOOKUP($D83&amp;"|"&amp;$E83&amp;"|"&amp;$F83,'PET_STAT_RULES'!$A$5:$A$88,'PET_STAT_RULES'!$D$5:$D$88)</f>
        <v/>
      </c>
      <c r="L83" s="456">
        <f>XLOOKUP($D83&amp;"|"&amp;$E83&amp;"|"&amp;$F83,'PET_STAT_RULES'!$A$5:$A$88,'PET_STAT_RULES'!$F$5:$F$88)</f>
        <v/>
      </c>
      <c r="M83" s="456">
        <f>XLOOKUP($D83&amp;"|"&amp;$E83&amp;"|"&amp;$F83,'PET_STAT_RULES'!$A$5:$A$88,'PET_STAT_RULES'!$G$5:$G$88)</f>
        <v/>
      </c>
      <c r="N83" s="38" t="n">
        <v>2</v>
      </c>
      <c r="O83" s="38" t="inlineStr">
        <is>
          <t>none</t>
        </is>
      </c>
      <c r="P83" s="38" t="inlineStr">
        <is>
          <t>12 形状12</t>
        </is>
      </c>
      <c r="Q83" s="38" t="inlineStr">
        <is>
          <t>Golden</t>
        </is>
      </c>
      <c r="R83" s="38" t="inlineStr">
        <is>
          <t>item confirmed；来源=Orange Julian；攻击2格；仅保留来源商人/训练师关系。</t>
        </is>
      </c>
      <c r="S83" s="38" t="n">
        <v>3</v>
      </c>
      <c r="T83" s="38" t="n">
        <v>2</v>
      </c>
      <c r="U83" s="442" t="inlineStr">
        <is>
          <t>skill_vanguard,skill_flank,skill_pierce,skill_revolve,skill_chase,skill_break,skill_suppress,skill_finale</t>
        </is>
      </c>
      <c r="V83" s="442" t="inlineStr">
        <is>
          <t>trait_combo_resonance</t>
        </is>
      </c>
      <c r="W83" s="457">
        <f>XLOOKUP($D83&amp;"|"&amp;$E83&amp;"|"&amp;$F83,'PET_STAT_RULES'!$A$5:$A$88,'PET_STAT_RULES'!$E$5:$E$88)</f>
        <v/>
      </c>
      <c r="X83" s="385" t="inlineStr">
        <is>
          <t>hero_001</t>
        </is>
      </c>
      <c r="Y83" s="386" t="inlineStr">
        <is>
          <t>playable</t>
        </is>
      </c>
      <c r="Z83" s="386" t="inlineStr">
        <is>
          <t>friend</t>
        </is>
      </c>
      <c r="AA83" s="386" t="inlineStr">
        <is>
          <t>damage, economy</t>
        </is>
      </c>
    </row>
    <row r="84">
      <c r="A84" s="38" t="inlineStr">
        <is>
          <t>pal_083</t>
        </is>
      </c>
      <c r="B84" s="38" t="inlineStr">
        <is>
          <t>云鳞幼螭</t>
        </is>
      </c>
      <c r="C84" s="38" t="inlineStr">
        <is>
          <t>水、雷</t>
        </is>
      </c>
      <c r="D84" s="259" t="inlineStr">
        <is>
          <t>青铜</t>
        </is>
      </c>
      <c r="E84" s="38" t="inlineStr">
        <is>
          <t>坦克</t>
        </is>
      </c>
      <c r="F84" s="38" t="inlineStr">
        <is>
          <t>一格</t>
        </is>
      </c>
      <c r="G84" s="38" t="inlineStr">
        <is>
          <t>bz_van_083</t>
        </is>
      </c>
      <c r="H84" s="38" t="inlineStr">
        <is>
          <t>elem_火, elem_雷, elem_冰, elem_地, elem_龙, role_召唤, role_坦克, role_控制, role_输出, tier_pT3</t>
        </is>
      </c>
      <c r="I84" s="38" t="n">
        <v>10</v>
      </c>
      <c r="J84" s="456">
        <f>XLOOKUP($D84&amp;"|"&amp;$E84&amp;"|"&amp;$F84,'PET_STAT_RULES'!$A$5:$A$88,'PET_STAT_RULES'!$C$5:$C$88)</f>
        <v/>
      </c>
      <c r="K84" s="456">
        <f>XLOOKUP($D84&amp;"|"&amp;$E84&amp;"|"&amp;$F84,'PET_STAT_RULES'!$A$5:$A$88,'PET_STAT_RULES'!$D$5:$D$88)</f>
        <v/>
      </c>
      <c r="L84" s="456">
        <f>XLOOKUP($D84&amp;"|"&amp;$E84&amp;"|"&amp;$F84,'PET_STAT_RULES'!$A$5:$A$88,'PET_STAT_RULES'!$F$5:$F$88)</f>
        <v/>
      </c>
      <c r="M84" s="456">
        <f>XLOOKUP($D84&amp;"|"&amp;$E84&amp;"|"&amp;$F84,'PET_STAT_RULES'!$A$5:$A$88,'PET_STAT_RULES'!$G$5:$G$88)</f>
        <v/>
      </c>
      <c r="N84" s="38" t="n">
        <v>1</v>
      </c>
      <c r="O84" s="38" t="inlineStr">
        <is>
          <t>mech_shield_flat</t>
        </is>
      </c>
      <c r="P84" s="38" t="inlineStr">
        <is>
          <t>04 形状04</t>
        </is>
      </c>
      <c r="Q84" s="38" t="inlineStr">
        <is>
          <t>Turbo</t>
        </is>
      </c>
      <c r="R84" s="38" t="inlineStr">
        <is>
          <t>item confirmed；来源=Pearl；攻击1格；仅保留来源商人/训练师关系。</t>
        </is>
      </c>
      <c r="S84" s="38" t="n">
        <v>3</v>
      </c>
      <c r="T84" s="38" t="n">
        <v>1</v>
      </c>
      <c r="U84" s="442" t="inlineStr">
        <is>
          <t>skill_vanguard,skill_flank,skill_pierce,skill_revolve,skill_chase,skill_break,skill_suppress,skill_finale</t>
        </is>
      </c>
      <c r="V84" s="442" t="inlineStr">
        <is>
          <t>trait_combo_mastery</t>
        </is>
      </c>
      <c r="W84" s="457">
        <f>XLOOKUP($D84&amp;"|"&amp;$E84&amp;"|"&amp;$F84,'PET_STAT_RULES'!$A$5:$A$88,'PET_STAT_RULES'!$E$5:$E$88)</f>
        <v/>
      </c>
      <c r="X84" s="385" t="inlineStr">
        <is>
          <t>hero_001</t>
        </is>
      </c>
      <c r="Y84" s="386" t="inlineStr">
        <is>
          <t>playable</t>
        </is>
      </c>
      <c r="Z84" s="386" t="inlineStr">
        <is>
          <t>aquatic, shield</t>
        </is>
      </c>
      <c r="AA84" s="386" t="str"/>
    </row>
    <row r="85">
      <c r="A85" s="38" t="inlineStr">
        <is>
          <t>pal_084</t>
        </is>
      </c>
      <c r="B85" s="38" t="inlineStr">
        <is>
          <t>沧浪青蛟</t>
        </is>
      </c>
      <c r="C85" s="38" t="inlineStr">
        <is>
          <t>火、龙</t>
        </is>
      </c>
      <c r="D85" s="259" t="inlineStr">
        <is>
          <t>青铜</t>
        </is>
      </c>
      <c r="E85" s="38" t="inlineStr">
        <is>
          <t>机动</t>
        </is>
      </c>
      <c r="F85" s="38" t="inlineStr">
        <is>
          <t>一格</t>
        </is>
      </c>
      <c r="G85" s="38" t="inlineStr">
        <is>
          <t>bz_van_084</t>
        </is>
      </c>
      <c r="H85" s="38" t="inlineStr">
        <is>
          <t>elem_火, elem_草, elem_雷, elem_冰, elem_地, role_召唤, role_坦克, role_控制, tier_pT2, role_机动压制</t>
        </is>
      </c>
      <c r="I85" s="38" t="n">
        <v>10</v>
      </c>
      <c r="J85" s="456">
        <f>XLOOKUP($D85&amp;"|"&amp;$E85&amp;"|"&amp;$F85,'PET_STAT_RULES'!$A$5:$A$88,'PET_STAT_RULES'!$C$5:$C$88)</f>
        <v/>
      </c>
      <c r="K85" s="456">
        <f>XLOOKUP($D85&amp;"|"&amp;$E85&amp;"|"&amp;$F85,'PET_STAT_RULES'!$A$5:$A$88,'PET_STAT_RULES'!$D$5:$D$88)</f>
        <v/>
      </c>
      <c r="L85" s="456">
        <f>XLOOKUP($D85&amp;"|"&amp;$E85&amp;"|"&amp;$F85,'PET_STAT_RULES'!$A$5:$A$88,'PET_STAT_RULES'!$F$5:$F$88)</f>
        <v/>
      </c>
      <c r="M85" s="456">
        <f>XLOOKUP($D85&amp;"|"&amp;$E85&amp;"|"&amp;$F85,'PET_STAT_RULES'!$A$5:$A$88,'PET_STAT_RULES'!$G$5:$G$88)</f>
        <v/>
      </c>
      <c r="N85" s="38" t="n">
        <v>2</v>
      </c>
      <c r="O85" s="38" t="inlineStr">
        <is>
          <t>mech_fire_ignite_bonus</t>
        </is>
      </c>
      <c r="P85" s="38" t="inlineStr">
        <is>
          <t>07 形状07</t>
        </is>
      </c>
      <c r="Q85" s="38" t="inlineStr">
        <is>
          <t>Fiery</t>
        </is>
      </c>
      <c r="R85" s="38" t="inlineStr">
        <is>
          <t>item confirmed；来源=Pesky Pete；攻击2格；仅保留来源商人/训练师关系。</t>
        </is>
      </c>
      <c r="S85" s="38" t="n">
        <v>5</v>
      </c>
      <c r="T85" s="38" t="n">
        <v>1</v>
      </c>
      <c r="U85" s="442" t="inlineStr">
        <is>
          <t>skill_vanguard,skill_flank,skill_pierce,skill_revolve,skill_chase,skill_break,skill_suppress,skill_finale</t>
        </is>
      </c>
      <c r="V85" s="442" t="inlineStr">
        <is>
          <t>trait_relentless</t>
        </is>
      </c>
      <c r="W85" s="457">
        <f>XLOOKUP($D85&amp;"|"&amp;$E85&amp;"|"&amp;$F85,'PET_STAT_RULES'!$A$5:$A$88,'PET_STAT_RULES'!$E$5:$E$88)</f>
        <v/>
      </c>
      <c r="X85" s="385" t="inlineStr">
        <is>
          <t>hero_001</t>
        </is>
      </c>
      <c r="Y85" s="386" t="inlineStr">
        <is>
          <t>playable</t>
        </is>
      </c>
      <c r="Z85" s="386" t="inlineStr">
        <is>
          <t>friend, burn, flying</t>
        </is>
      </c>
      <c r="AA85" s="386" t="str"/>
    </row>
    <row r="86">
      <c r="A86" s="38" t="inlineStr">
        <is>
          <t>pal_085</t>
        </is>
      </c>
      <c r="B86" s="38" t="inlineStr">
        <is>
          <t>涌泉水獭</t>
        </is>
      </c>
      <c r="C86" s="38" t="inlineStr">
        <is>
          <t>雷、地</t>
        </is>
      </c>
      <c r="D86" s="259" t="inlineStr">
        <is>
          <t>青铜</t>
        </is>
      </c>
      <c r="E86" s="38" t="inlineStr">
        <is>
          <t>召唤</t>
        </is>
      </c>
      <c r="F86" s="38" t="inlineStr">
        <is>
          <t>一格</t>
        </is>
      </c>
      <c r="G86" s="38" t="inlineStr">
        <is>
          <t>bz_van_085</t>
        </is>
      </c>
      <c r="H86" s="38" t="inlineStr">
        <is>
          <t>night_base, elem_火, elem_雷, elem_地, role_召唤, role_坦克, role_控制, role_治疗, tier_pT1, role_机动压制</t>
        </is>
      </c>
      <c r="I86" s="38" t="n">
        <v>10</v>
      </c>
      <c r="J86" s="456">
        <f>XLOOKUP($D86&amp;"|"&amp;$E86&amp;"|"&amp;$F86,'PET_STAT_RULES'!$A$5:$A$88,'PET_STAT_RULES'!$C$5:$C$88)</f>
        <v/>
      </c>
      <c r="K86" s="456">
        <f>XLOOKUP($D86&amp;"|"&amp;$E86&amp;"|"&amp;$F86,'PET_STAT_RULES'!$A$5:$A$88,'PET_STAT_RULES'!$D$5:$D$88)</f>
        <v/>
      </c>
      <c r="L86" s="456">
        <f>XLOOKUP($D86&amp;"|"&amp;$E86&amp;"|"&amp;$F86,'PET_STAT_RULES'!$A$5:$A$88,'PET_STAT_RULES'!$F$5:$F$88)</f>
        <v/>
      </c>
      <c r="M86" s="456">
        <f>XLOOKUP($D86&amp;"|"&amp;$E86&amp;"|"&amp;$F86,'PET_STAT_RULES'!$A$5:$A$88,'PET_STAT_RULES'!$G$5:$G$88)</f>
        <v/>
      </c>
      <c r="N86" s="38" t="n">
        <v>2</v>
      </c>
      <c r="O86" s="38" t="inlineStr">
        <is>
          <t>mech_grow_shield_each_round</t>
        </is>
      </c>
      <c r="P86" s="38" t="inlineStr">
        <is>
          <t>05 形状05</t>
        </is>
      </c>
      <c r="Q86" s="38" t="inlineStr">
        <is>
          <t>Deadly</t>
        </is>
      </c>
      <c r="R86" s="38" t="inlineStr">
        <is>
          <t>item confirmed；来源=Pet Rock；攻击2格；仅保留来源商人/训练师关系。</t>
        </is>
      </c>
      <c r="S86" s="38" t="n">
        <v>3</v>
      </c>
      <c r="T86" s="38" t="n">
        <v>1</v>
      </c>
      <c r="U86" s="442" t="inlineStr">
        <is>
          <t>skill_vanguard,skill_flank,skill_pierce,skill_revolve,skill_chase,skill_break,skill_suppress,skill_finale</t>
        </is>
      </c>
      <c r="V86" s="442" t="inlineStr">
        <is>
          <t>trait_combo_resonance</t>
        </is>
      </c>
      <c r="W86" s="457">
        <f>XLOOKUP($D86&amp;"|"&amp;$E86&amp;"|"&amp;$F86,'PET_STAT_RULES'!$A$5:$A$88,'PET_STAT_RULES'!$E$5:$E$88)</f>
        <v/>
      </c>
      <c r="X86" s="385" t="inlineStr">
        <is>
          <t>hero_001</t>
        </is>
      </c>
      <c r="Y86" s="386" t="inlineStr">
        <is>
          <t>playable</t>
        </is>
      </c>
      <c r="Z86" s="386" t="inlineStr">
        <is>
          <t>weapon, friend, toy, damage, crit</t>
        </is>
      </c>
      <c r="AA86" s="386" t="str"/>
    </row>
    <row r="87">
      <c r="A87" s="38" t="inlineStr">
        <is>
          <t>pal_086</t>
        </is>
      </c>
      <c r="B87" s="38" t="inlineStr">
        <is>
          <t>赤炎狻猊</t>
        </is>
      </c>
      <c r="C87" s="38" t="inlineStr">
        <is>
          <t>龙</t>
        </is>
      </c>
      <c r="D87" s="262" t="inlineStr">
        <is>
          <t>黄金</t>
        </is>
      </c>
      <c r="E87" s="38" t="inlineStr">
        <is>
          <t>机动</t>
        </is>
      </c>
      <c r="F87" s="38" t="inlineStr">
        <is>
          <t>两格</t>
        </is>
      </c>
      <c r="G87" s="38" t="inlineStr">
        <is>
          <t>bz_van_086</t>
        </is>
      </c>
      <c r="H87" s="38" t="inlineStr">
        <is>
          <t>elem_水, elem_雷, elem_冰, elem_无, role_召唤, role_坦克, role_控制, role_治疗, special_merchant, elite_high</t>
        </is>
      </c>
      <c r="I87" s="38" t="n">
        <v>10</v>
      </c>
      <c r="J87" s="456">
        <f>XLOOKUP($D87&amp;"|"&amp;$E87&amp;"|"&amp;$F87,'PET_STAT_RULES'!$A$5:$A$88,'PET_STAT_RULES'!$C$5:$C$88)</f>
        <v/>
      </c>
      <c r="K87" s="456">
        <f>XLOOKUP($D87&amp;"|"&amp;$E87&amp;"|"&amp;$F87,'PET_STAT_RULES'!$A$5:$A$88,'PET_STAT_RULES'!$D$5:$D$88)</f>
        <v/>
      </c>
      <c r="L87" s="456">
        <f>XLOOKUP($D87&amp;"|"&amp;$E87&amp;"|"&amp;$F87,'PET_STAT_RULES'!$A$5:$A$88,'PET_STAT_RULES'!$F$5:$F$88)</f>
        <v/>
      </c>
      <c r="M87" s="456">
        <f>XLOOKUP($D87&amp;"|"&amp;$E87&amp;"|"&amp;$F87,'PET_STAT_RULES'!$A$5:$A$88,'PET_STAT_RULES'!$G$5:$G$88)</f>
        <v/>
      </c>
      <c r="N87" s="38" t="n">
        <v>2</v>
      </c>
      <c r="O87" s="38" t="inlineStr">
        <is>
          <t>none</t>
        </is>
      </c>
      <c r="P87" s="38" t="inlineStr">
        <is>
          <t>11 形状11</t>
        </is>
      </c>
      <c r="Q87" s="38" t="inlineStr">
        <is>
          <t>Turbo</t>
        </is>
      </c>
      <c r="R87" s="38" t="inlineStr">
        <is>
          <t>item confirmed；来源=Piano；攻击2格；仅保留来源商人/训练师关系。</t>
        </is>
      </c>
      <c r="S87" s="38" t="n">
        <v>5</v>
      </c>
      <c r="T87" s="38" t="n">
        <v>2</v>
      </c>
      <c r="U87" s="442" t="inlineStr">
        <is>
          <t>skill_vanguard,skill_flank,skill_pierce,skill_revolve,skill_chase,skill_break,skill_suppress,skill_finale</t>
        </is>
      </c>
      <c r="V87" s="442" t="inlineStr">
        <is>
          <t>trait_relentless</t>
        </is>
      </c>
      <c r="W87" s="457">
        <f>XLOOKUP($D87&amp;"|"&amp;$E87&amp;"|"&amp;$F87,'PET_STAT_RULES'!$A$5:$A$88,'PET_STAT_RULES'!$E$5:$E$88)</f>
        <v/>
      </c>
      <c r="X87" s="385" t="inlineStr">
        <is>
          <t>hero_001</t>
        </is>
      </c>
      <c r="Y87" s="386" t="inlineStr">
        <is>
          <t>playable</t>
        </is>
      </c>
      <c r="Z87" s="386" t="inlineStr">
        <is>
          <t>haste</t>
        </is>
      </c>
      <c r="AA87" s="386" t="str"/>
    </row>
    <row r="88">
      <c r="A88" s="38" t="inlineStr">
        <is>
          <t>pal_087</t>
        </is>
      </c>
      <c r="B88" s="38" t="inlineStr">
        <is>
          <t>碧海青蛟</t>
        </is>
      </c>
      <c r="C88" s="38" t="inlineStr">
        <is>
          <t>草、水</t>
        </is>
      </c>
      <c r="D88" s="259" t="inlineStr">
        <is>
          <t>青铜</t>
        </is>
      </c>
      <c r="E88" s="38" t="inlineStr">
        <is>
          <t>机动</t>
        </is>
      </c>
      <c r="F88" s="38" t="inlineStr">
        <is>
          <t>一格</t>
        </is>
      </c>
      <c r="G88" s="38" t="inlineStr">
        <is>
          <t>bz_van_087</t>
        </is>
      </c>
      <c r="H88" s="38" t="inlineStr">
        <is>
          <t>night_base, elem_火, elem_雷, elem_地, role_召唤, role_坦克, role_控制, role_治疗, role_输出, role_机动压制</t>
        </is>
      </c>
      <c r="I88" s="38" t="n">
        <v>10</v>
      </c>
      <c r="J88" s="456">
        <f>XLOOKUP($D88&amp;"|"&amp;$E88&amp;"|"&amp;$F88,'PET_STAT_RULES'!$A$5:$A$88,'PET_STAT_RULES'!$C$5:$C$88)</f>
        <v/>
      </c>
      <c r="K88" s="456">
        <f>XLOOKUP($D88&amp;"|"&amp;$E88&amp;"|"&amp;$F88,'PET_STAT_RULES'!$A$5:$A$88,'PET_STAT_RULES'!$D$5:$D$88)</f>
        <v/>
      </c>
      <c r="L88" s="456">
        <f>XLOOKUP($D88&amp;"|"&amp;$E88&amp;"|"&amp;$F88,'PET_STAT_RULES'!$A$5:$A$88,'PET_STAT_RULES'!$F$5:$F$88)</f>
        <v/>
      </c>
      <c r="M88" s="456">
        <f>XLOOKUP($D88&amp;"|"&amp;$E88&amp;"|"&amp;$F88,'PET_STAT_RULES'!$A$5:$A$88,'PET_STAT_RULES'!$G$5:$G$88)</f>
        <v/>
      </c>
      <c r="N88" s="38" t="n">
        <v>1</v>
      </c>
      <c r="O88" s="38" t="inlineStr">
        <is>
          <t>none</t>
        </is>
      </c>
      <c r="P88" s="38" t="inlineStr">
        <is>
          <t>01 形状01</t>
        </is>
      </c>
      <c r="Q88" s="38" t="inlineStr">
        <is>
          <t>Turbo</t>
        </is>
      </c>
      <c r="R88" s="38" t="inlineStr">
        <is>
          <t>item confirmed；来源=Piranha；攻击1格；仅保留来源商人/训练师关系。</t>
        </is>
      </c>
      <c r="S88" s="38" t="n">
        <v>5</v>
      </c>
      <c r="T88" s="38" t="n">
        <v>1</v>
      </c>
      <c r="U88" s="442" t="inlineStr">
        <is>
          <t>skill_vanguard,skill_flank,skill_pierce,skill_revolve,skill_chase,skill_break,skill_suppress,skill_finale</t>
        </is>
      </c>
      <c r="V88" s="442" t="inlineStr">
        <is>
          <t>trait_relentless</t>
        </is>
      </c>
      <c r="W88" s="457">
        <f>XLOOKUP($D88&amp;"|"&amp;$E88&amp;"|"&amp;$F88,'PET_STAT_RULES'!$A$5:$A$88,'PET_STAT_RULES'!$E$5:$E$88)</f>
        <v/>
      </c>
      <c r="X88" s="385" t="inlineStr">
        <is>
          <t>hero_001</t>
        </is>
      </c>
      <c r="Y88" s="386" t="inlineStr">
        <is>
          <t>playable</t>
        </is>
      </c>
      <c r="Z88" s="386" t="inlineStr">
        <is>
          <t>aquatic, weapon, friend, damage, charge</t>
        </is>
      </c>
      <c r="AA88" s="386" t="str"/>
    </row>
    <row r="89">
      <c r="A89" s="38" t="inlineStr">
        <is>
          <t>pal_088</t>
        </is>
      </c>
      <c r="B89" s="38" t="inlineStr">
        <is>
          <t>冰棘豪猪</t>
        </is>
      </c>
      <c r="C89" s="38" t="inlineStr">
        <is>
          <t>雷</t>
        </is>
      </c>
      <c r="D89" s="262" t="inlineStr">
        <is>
          <t>黄金</t>
        </is>
      </c>
      <c r="E89" s="38" t="inlineStr">
        <is>
          <t>输出</t>
        </is>
      </c>
      <c r="F89" s="38" t="inlineStr">
        <is>
          <t>两格</t>
        </is>
      </c>
      <c r="G89" s="38" t="inlineStr">
        <is>
          <t>bz_van_088</t>
        </is>
      </c>
      <c r="H89" s="38" t="inlineStr">
        <is>
          <t>night_base, elem_水, elem_雷, elem_暗, elem_无, role_召唤, role_坦克, role_控制, role_治疗, role_机动</t>
        </is>
      </c>
      <c r="I89" s="38" t="n">
        <v>10</v>
      </c>
      <c r="J89" s="456">
        <f>XLOOKUP($D89&amp;"|"&amp;$E89&amp;"|"&amp;$F89,'PET_STAT_RULES'!$A$5:$A$88,'PET_STAT_RULES'!$C$5:$C$88)</f>
        <v/>
      </c>
      <c r="K89" s="456">
        <f>XLOOKUP($D89&amp;"|"&amp;$E89&amp;"|"&amp;$F89,'PET_STAT_RULES'!$A$5:$A$88,'PET_STAT_RULES'!$D$5:$D$88)</f>
        <v/>
      </c>
      <c r="L89" s="456">
        <f>XLOOKUP($D89&amp;"|"&amp;$E89&amp;"|"&amp;$F89,'PET_STAT_RULES'!$A$5:$A$88,'PET_STAT_RULES'!$F$5:$F$88)</f>
        <v/>
      </c>
      <c r="M89" s="456">
        <f>XLOOKUP($D89&amp;"|"&amp;$E89&amp;"|"&amp;$F89,'PET_STAT_RULES'!$A$5:$A$88,'PET_STAT_RULES'!$G$5:$G$88)</f>
        <v/>
      </c>
      <c r="N89" s="38" t="n">
        <v>3</v>
      </c>
      <c r="O89" s="38" t="inlineStr">
        <is>
          <t>mech_grow_atk_each_round</t>
        </is>
      </c>
      <c r="P89" s="38" t="inlineStr">
        <is>
          <t>19 形状19</t>
        </is>
      </c>
      <c r="Q89" s="38" t="inlineStr">
        <is>
          <t>Deadly</t>
        </is>
      </c>
      <c r="R89" s="38" t="inlineStr">
        <is>
          <t>item confirmed；来源=Pistol Sword；攻击3格；仅保留来源商人/训练师关系。</t>
        </is>
      </c>
      <c r="S89" s="38" t="n">
        <v>3</v>
      </c>
      <c r="T89" s="38" t="n">
        <v>2</v>
      </c>
      <c r="U89" s="442" t="inlineStr">
        <is>
          <t>skill_vanguard,skill_flank,skill_pierce,skill_revolve,skill_chase,skill_break,skill_suppress,skill_finale</t>
        </is>
      </c>
      <c r="V89" s="442" t="inlineStr">
        <is>
          <t>trait_relentless</t>
        </is>
      </c>
      <c r="W89" s="457">
        <f>XLOOKUP($D89&amp;"|"&amp;$E89&amp;"|"&amp;$F89,'PET_STAT_RULES'!$A$5:$A$88,'PET_STAT_RULES'!$E$5:$E$88)</f>
        <v/>
      </c>
      <c r="X89" s="385" t="inlineStr">
        <is>
          <t>hero_001</t>
        </is>
      </c>
      <c r="Y89" s="386" t="inlineStr">
        <is>
          <t>playable</t>
        </is>
      </c>
      <c r="Z89" s="386" t="inlineStr">
        <is>
          <t>weapon, damage, ammo</t>
        </is>
      </c>
      <c r="AA89" s="386" t="str"/>
    </row>
    <row r="90">
      <c r="A90" s="38" t="inlineStr">
        <is>
          <t>pal_089</t>
        </is>
      </c>
      <c r="B90" s="38" t="inlineStr">
        <is>
          <t>狱火凶獒</t>
        </is>
      </c>
      <c r="C90" s="38" t="inlineStr">
        <is>
          <t>火、雷</t>
        </is>
      </c>
      <c r="D90" s="259" t="inlineStr">
        <is>
          <t>青铜</t>
        </is>
      </c>
      <c r="E90" s="38" t="inlineStr">
        <is>
          <t>输出</t>
        </is>
      </c>
      <c r="F90" s="38" t="inlineStr">
        <is>
          <t>一格</t>
        </is>
      </c>
      <c r="G90" s="38" t="inlineStr">
        <is>
          <t>bz_van_089</t>
        </is>
      </c>
      <c r="H90" s="38" t="inlineStr">
        <is>
          <t>elem_火, elem_雷, elem_冰, elem_地, role_召唤, role_坦克, role_控制, role_治疗, role_机动, tier_pT2</t>
        </is>
      </c>
      <c r="I90" s="38" t="n">
        <v>10</v>
      </c>
      <c r="J90" s="456">
        <f>XLOOKUP($D90&amp;"|"&amp;$E90&amp;"|"&amp;$F90,'PET_STAT_RULES'!$A$5:$A$88,'PET_STAT_RULES'!$C$5:$C$88)</f>
        <v/>
      </c>
      <c r="K90" s="456">
        <f>XLOOKUP($D90&amp;"|"&amp;$E90&amp;"|"&amp;$F90,'PET_STAT_RULES'!$A$5:$A$88,'PET_STAT_RULES'!$D$5:$D$88)</f>
        <v/>
      </c>
      <c r="L90" s="456">
        <f>XLOOKUP($D90&amp;"|"&amp;$E90&amp;"|"&amp;$F90,'PET_STAT_RULES'!$A$5:$A$88,'PET_STAT_RULES'!$F$5:$F$88)</f>
        <v/>
      </c>
      <c r="M90" s="456">
        <f>XLOOKUP($D90&amp;"|"&amp;$E90&amp;"|"&amp;$F90,'PET_STAT_RULES'!$A$5:$A$88,'PET_STAT_RULES'!$G$5:$G$88)</f>
        <v/>
      </c>
      <c r="N90" s="38" t="n">
        <v>1</v>
      </c>
      <c r="O90" s="38" t="inlineStr">
        <is>
          <t>mech_fire_ignite_bonus</t>
        </is>
      </c>
      <c r="P90" s="38" t="inlineStr">
        <is>
          <t>04 形状04</t>
        </is>
      </c>
      <c r="Q90" s="38" t="inlineStr">
        <is>
          <t>Fiery</t>
        </is>
      </c>
      <c r="R90" s="38" t="inlineStr">
        <is>
          <t>item confirmed；来源=Pop Snappers；攻击1格；仅保留来源商人/训练师关系。</t>
        </is>
      </c>
      <c r="S90" s="38" t="n">
        <v>3</v>
      </c>
      <c r="T90" s="38" t="n">
        <v>1</v>
      </c>
      <c r="U90" s="442" t="inlineStr">
        <is>
          <t>skill_vanguard,skill_flank,skill_pierce,skill_revolve,skill_chase,skill_break,skill_suppress,skill_finale</t>
        </is>
      </c>
      <c r="V90" s="442" t="inlineStr">
        <is>
          <t>trait_relentless</t>
        </is>
      </c>
      <c r="W90" s="457">
        <f>XLOOKUP($D90&amp;"|"&amp;$E90&amp;"|"&amp;$F90,'PET_STAT_RULES'!$A$5:$A$88,'PET_STAT_RULES'!$E$5:$E$88)</f>
        <v/>
      </c>
      <c r="X90" s="385" t="inlineStr">
        <is>
          <t>hero_001</t>
        </is>
      </c>
      <c r="Y90" s="386" t="inlineStr">
        <is>
          <t>playable</t>
        </is>
      </c>
      <c r="Z90" s="386" t="inlineStr">
        <is>
          <t>toy, burn, ammo</t>
        </is>
      </c>
      <c r="AA90" s="386" t="str"/>
    </row>
    <row r="91">
      <c r="A91" s="38" t="inlineStr">
        <is>
          <t>pal_090</t>
        </is>
      </c>
      <c r="B91" s="38" t="inlineStr">
        <is>
          <t>三首火犬</t>
        </is>
      </c>
      <c r="C91" s="38" t="inlineStr">
        <is>
          <t>水、雷</t>
        </is>
      </c>
      <c r="D91" s="265" t="inlineStr">
        <is>
          <t>白银</t>
        </is>
      </c>
      <c r="E91" s="38" t="inlineStr">
        <is>
          <t>机动</t>
        </is>
      </c>
      <c r="F91" s="38" t="inlineStr">
        <is>
          <t>三格</t>
        </is>
      </c>
      <c r="G91" s="38" t="inlineStr">
        <is>
          <t>bz_van_090</t>
        </is>
      </c>
      <c r="H91" s="38" t="inlineStr">
        <is>
          <t>elem_水, elem_雷, elem_冰, elem_地, elem_暗, role_坦克, role_控制, role_输出, role_机动, role_风系铺场</t>
        </is>
      </c>
      <c r="I91" s="38" t="n">
        <v>10</v>
      </c>
      <c r="J91" s="456">
        <f>XLOOKUP($D91&amp;"|"&amp;$E91&amp;"|"&amp;$F91,'PET_STAT_RULES'!$A$5:$A$88,'PET_STAT_RULES'!$C$5:$C$88)</f>
        <v/>
      </c>
      <c r="K91" s="456">
        <f>XLOOKUP($D91&amp;"|"&amp;$E91&amp;"|"&amp;$F91,'PET_STAT_RULES'!$A$5:$A$88,'PET_STAT_RULES'!$D$5:$D$88)</f>
        <v/>
      </c>
      <c r="L91" s="456">
        <f>XLOOKUP($D91&amp;"|"&amp;$E91&amp;"|"&amp;$F91,'PET_STAT_RULES'!$A$5:$A$88,'PET_STAT_RULES'!$F$5:$F$88)</f>
        <v/>
      </c>
      <c r="M91" s="456">
        <f>XLOOKUP($D91&amp;"|"&amp;$E91&amp;"|"&amp;$F91,'PET_STAT_RULES'!$A$5:$A$88,'PET_STAT_RULES'!$G$5:$G$88)</f>
        <v/>
      </c>
      <c r="N91" s="38" t="n">
        <v>3</v>
      </c>
      <c r="O91" s="38" t="inlineStr">
        <is>
          <t>none</t>
        </is>
      </c>
      <c r="P91" s="38" t="inlineStr">
        <is>
          <t>18 形状18</t>
        </is>
      </c>
      <c r="Q91" s="38" t="inlineStr">
        <is>
          <t>Turbo</t>
        </is>
      </c>
      <c r="R91" s="38" t="inlineStr">
        <is>
          <t>item confirmed；来源=Port；攻击3格；仅保留来源商人/训练师关系。</t>
        </is>
      </c>
      <c r="S91" s="38" t="n">
        <v>5</v>
      </c>
      <c r="T91" s="38" t="n">
        <v>2</v>
      </c>
      <c r="U91" s="442" t="inlineStr">
        <is>
          <t>skill_vanguard,skill_flank,skill_pierce,skill_revolve,skill_chase,skill_break,skill_suppress,skill_finale</t>
        </is>
      </c>
      <c r="V91" s="442" t="inlineStr">
        <is>
          <t>trait_relentless</t>
        </is>
      </c>
      <c r="W91" s="457">
        <f>XLOOKUP($D91&amp;"|"&amp;$E91&amp;"|"&amp;$F91,'PET_STAT_RULES'!$A$5:$A$88,'PET_STAT_RULES'!$E$5:$E$88)</f>
        <v/>
      </c>
      <c r="X91" s="385" t="inlineStr">
        <is>
          <t>hero_001</t>
        </is>
      </c>
      <c r="Y91" s="386" t="inlineStr">
        <is>
          <t>playable</t>
        </is>
      </c>
      <c r="Z91" s="386" t="inlineStr">
        <is>
          <t>property, aquatic, charge</t>
        </is>
      </c>
      <c r="AA91" s="386" t="inlineStr">
        <is>
          <t>ammo</t>
        </is>
      </c>
    </row>
    <row r="92">
      <c r="A92" s="38" t="inlineStr">
        <is>
          <t>pal_091</t>
        </is>
      </c>
      <c r="B92" s="38" t="inlineStr">
        <is>
          <t>覆水龙龟</t>
        </is>
      </c>
      <c r="C92" s="38" t="inlineStr">
        <is>
          <t>雷</t>
        </is>
      </c>
      <c r="D92" s="259" t="inlineStr">
        <is>
          <t>青铜</t>
        </is>
      </c>
      <c r="E92" s="38" t="inlineStr">
        <is>
          <t>输出</t>
        </is>
      </c>
      <c r="F92" s="38" t="inlineStr">
        <is>
          <t>一格</t>
        </is>
      </c>
      <c r="G92" s="38" t="inlineStr">
        <is>
          <t>bz_van_091</t>
        </is>
      </c>
      <c r="H92" s="38" t="inlineStr">
        <is>
          <t>elem_火, elem_雷, elem_冰, elem_地, role_召唤, role_坦克, role_控制, role_治疗, role_机动, role_远点压制</t>
        </is>
      </c>
      <c r="I92" s="38" t="n">
        <v>10</v>
      </c>
      <c r="J92" s="456">
        <f>XLOOKUP($D92&amp;"|"&amp;$E92&amp;"|"&amp;$F92,'PET_STAT_RULES'!$A$5:$A$88,'PET_STAT_RULES'!$C$5:$C$88)</f>
        <v/>
      </c>
      <c r="K92" s="456">
        <f>XLOOKUP($D92&amp;"|"&amp;$E92&amp;"|"&amp;$F92,'PET_STAT_RULES'!$A$5:$A$88,'PET_STAT_RULES'!$D$5:$D$88)</f>
        <v/>
      </c>
      <c r="L92" s="456">
        <f>XLOOKUP($D92&amp;"|"&amp;$E92&amp;"|"&amp;$F92,'PET_STAT_RULES'!$A$5:$A$88,'PET_STAT_RULES'!$F$5:$F$88)</f>
        <v/>
      </c>
      <c r="M92" s="456">
        <f>XLOOKUP($D92&amp;"|"&amp;$E92&amp;"|"&amp;$F92,'PET_STAT_RULES'!$A$5:$A$88,'PET_STAT_RULES'!$G$5:$G$88)</f>
        <v/>
      </c>
      <c r="N92" s="38" t="n">
        <v>1</v>
      </c>
      <c r="O92" s="38" t="inlineStr">
        <is>
          <t>mech_grow_atk_each_round</t>
        </is>
      </c>
      <c r="P92" s="38" t="inlineStr">
        <is>
          <t>03 形状03</t>
        </is>
      </c>
      <c r="Q92" s="38" t="inlineStr">
        <is>
          <t>Deadly</t>
        </is>
      </c>
      <c r="R92" s="38" t="inlineStr">
        <is>
          <t>item confirmed；来源=Powder Horn；攻击1格；仅保留来源商人/训练师关系。</t>
        </is>
      </c>
      <c r="S92" s="38" t="n">
        <v>3</v>
      </c>
      <c r="T92" s="38" t="n">
        <v>1</v>
      </c>
      <c r="U92" s="442" t="inlineStr">
        <is>
          <t>skill_vanguard,skill_flank,skill_pierce,skill_revolve,skill_chase,skill_break,skill_suppress,skill_finale</t>
        </is>
      </c>
      <c r="V92" s="442" t="inlineStr">
        <is>
          <t>trait_relentless</t>
        </is>
      </c>
      <c r="W92" s="457">
        <f>XLOOKUP($D92&amp;"|"&amp;$E92&amp;"|"&amp;$F92,'PET_STAT_RULES'!$A$5:$A$88,'PET_STAT_RULES'!$E$5:$E$88)</f>
        <v/>
      </c>
      <c r="X92" s="385" t="inlineStr">
        <is>
          <t>hero_001</t>
        </is>
      </c>
      <c r="Y92" s="386" t="inlineStr">
        <is>
          <t>playable</t>
        </is>
      </c>
      <c r="Z92" s="386" t="inlineStr">
        <is>
          <t>tool</t>
        </is>
      </c>
      <c r="AA92" s="386" t="inlineStr">
        <is>
          <t>ammo</t>
        </is>
      </c>
    </row>
    <row r="93">
      <c r="A93" s="38" t="inlineStr">
        <is>
          <t>pal_092</t>
        </is>
      </c>
      <c r="B93" s="38" t="inlineStr">
        <is>
          <t>雷泽青蛟</t>
        </is>
      </c>
      <c r="C93" s="38" t="inlineStr">
        <is>
          <t>火、水</t>
        </is>
      </c>
      <c r="D93" s="262" t="inlineStr">
        <is>
          <t>黄金</t>
        </is>
      </c>
      <c r="E93" s="38" t="inlineStr">
        <is>
          <t>治疗</t>
        </is>
      </c>
      <c r="F93" s="38" t="inlineStr">
        <is>
          <t>两格</t>
        </is>
      </c>
      <c r="G93" s="38" t="inlineStr">
        <is>
          <t>bz_van_092</t>
        </is>
      </c>
      <c r="H93" s="38" t="inlineStr">
        <is>
          <t>night_base, elem_水, elem_雷, elem_暗, elem_无, role_召唤, role_坦克, role_控制, role_治疗, tier_pT2</t>
        </is>
      </c>
      <c r="I93" s="38" t="n">
        <v>10</v>
      </c>
      <c r="J93" s="456">
        <f>XLOOKUP($D93&amp;"|"&amp;$E93&amp;"|"&amp;$F93,'PET_STAT_RULES'!$A$5:$A$88,'PET_STAT_RULES'!$C$5:$C$88)</f>
        <v/>
      </c>
      <c r="K93" s="456">
        <f>XLOOKUP($D93&amp;"|"&amp;$E93&amp;"|"&amp;$F93,'PET_STAT_RULES'!$A$5:$A$88,'PET_STAT_RULES'!$D$5:$D$88)</f>
        <v/>
      </c>
      <c r="L93" s="456">
        <f>XLOOKUP($D93&amp;"|"&amp;$E93&amp;"|"&amp;$F93,'PET_STAT_RULES'!$A$5:$A$88,'PET_STAT_RULES'!$F$5:$F$88)</f>
        <v/>
      </c>
      <c r="M93" s="456">
        <f>XLOOKUP($D93&amp;"|"&amp;$E93&amp;"|"&amp;$F93,'PET_STAT_RULES'!$A$5:$A$88,'PET_STAT_RULES'!$G$5:$G$88)</f>
        <v/>
      </c>
      <c r="N93" s="38" t="n">
        <v>2</v>
      </c>
      <c r="O93" s="38" t="inlineStr">
        <is>
          <t>mech_fire_ignite_bonus</t>
        </is>
      </c>
      <c r="P93" s="38" t="inlineStr">
        <is>
          <t>09 形状09</t>
        </is>
      </c>
      <c r="Q93" s="38" t="inlineStr">
        <is>
          <t>Fiery</t>
        </is>
      </c>
      <c r="R93" s="38" t="inlineStr">
        <is>
          <t>item confirmed；来源=Powder Keg；攻击2格；仅保留来源商人/训练师关系。</t>
        </is>
      </c>
      <c r="S93" s="38" t="n">
        <v>3</v>
      </c>
      <c r="T93" s="38" t="n">
        <v>2</v>
      </c>
      <c r="U93" s="442" t="inlineStr">
        <is>
          <t>skill_vanguard,skill_flank,skill_pierce,skill_revolve,skill_chase,skill_break,skill_suppress,skill_finale</t>
        </is>
      </c>
      <c r="V93" s="442" t="inlineStr">
        <is>
          <t>trait_element_affinity</t>
        </is>
      </c>
      <c r="W93" s="457">
        <f>XLOOKUP($D93&amp;"|"&amp;$E93&amp;"|"&amp;$F93,'PET_STAT_RULES'!$A$5:$A$88,'PET_STAT_RULES'!$E$5:$E$88)</f>
        <v/>
      </c>
      <c r="X93" s="385" t="inlineStr">
        <is>
          <t>hero_001</t>
        </is>
      </c>
      <c r="Y93" s="386" t="inlineStr">
        <is>
          <t>playable</t>
        </is>
      </c>
      <c r="Z93" s="386" t="inlineStr">
        <is>
          <t>weapon, damage</t>
        </is>
      </c>
      <c r="AA93" s="386" t="inlineStr">
        <is>
          <t>burn</t>
        </is>
      </c>
    </row>
    <row r="94">
      <c r="A94" s="38" t="inlineStr">
        <is>
          <t>pal_093</t>
        </is>
      </c>
      <c r="B94" s="38" t="inlineStr">
        <is>
          <t>连理双鹿</t>
        </is>
      </c>
      <c r="C94" s="38" t="inlineStr">
        <is>
          <t>草、水</t>
        </is>
      </c>
      <c r="D94" s="265" t="inlineStr">
        <is>
          <t>白银</t>
        </is>
      </c>
      <c r="E94" s="38" t="inlineStr">
        <is>
          <t>控制</t>
        </is>
      </c>
      <c r="F94" s="38" t="inlineStr">
        <is>
          <t>两格</t>
        </is>
      </c>
      <c r="G94" s="38" t="inlineStr">
        <is>
          <t>bz_van_093</t>
        </is>
      </c>
      <c r="H94" s="38" t="inlineStr">
        <is>
          <t>elem_水, elem_雷, elem_冰, role_坦克, role_控制, role_输出, special_merchant, elite_high, role_机动压制, role_火系压制</t>
        </is>
      </c>
      <c r="I94" s="38" t="n">
        <v>10</v>
      </c>
      <c r="J94" s="456">
        <f>XLOOKUP($D94&amp;"|"&amp;$E94&amp;"|"&amp;$F94,'PET_STAT_RULES'!$A$5:$A$88,'PET_STAT_RULES'!$C$5:$C$88)</f>
        <v/>
      </c>
      <c r="K94" s="456">
        <f>XLOOKUP($D94&amp;"|"&amp;$E94&amp;"|"&amp;$F94,'PET_STAT_RULES'!$A$5:$A$88,'PET_STAT_RULES'!$D$5:$D$88)</f>
        <v/>
      </c>
      <c r="L94" s="456">
        <f>XLOOKUP($D94&amp;"|"&amp;$E94&amp;"|"&amp;$F94,'PET_STAT_RULES'!$A$5:$A$88,'PET_STAT_RULES'!$F$5:$F$88)</f>
        <v/>
      </c>
      <c r="M94" s="456">
        <f>XLOOKUP($D94&amp;"|"&amp;$E94&amp;"|"&amp;$F94,'PET_STAT_RULES'!$A$5:$A$88,'PET_STAT_RULES'!$G$5:$G$88)</f>
        <v/>
      </c>
      <c r="N94" s="38" t="n">
        <v>2</v>
      </c>
      <c r="O94" s="38" t="inlineStr">
        <is>
          <t>mech_counter_damage</t>
        </is>
      </c>
      <c r="P94" s="38" t="inlineStr">
        <is>
          <t>08 形状08</t>
        </is>
      </c>
      <c r="Q94" s="38" t="inlineStr">
        <is>
          <t>Toxic</t>
        </is>
      </c>
      <c r="R94" s="38" t="inlineStr">
        <is>
          <t>item confirmed；来源=Pufferfish；攻击2格；仅保留来源商人/训练师关系。</t>
        </is>
      </c>
      <c r="S94" s="38" t="n">
        <v>4</v>
      </c>
      <c r="T94" s="38" t="n">
        <v>2</v>
      </c>
      <c r="U94" s="442" t="inlineStr">
        <is>
          <t>skill_vanguard,skill_flank,skill_pierce,skill_revolve,skill_chase,skill_break,skill_suppress,skill_finale</t>
        </is>
      </c>
      <c r="V94" s="442" t="inlineStr">
        <is>
          <t>trait_element_affinity</t>
        </is>
      </c>
      <c r="W94" s="457">
        <f>XLOOKUP($D94&amp;"|"&amp;$E94&amp;"|"&amp;$F94,'PET_STAT_RULES'!$A$5:$A$88,'PET_STAT_RULES'!$E$5:$E$88)</f>
        <v/>
      </c>
      <c r="X94" s="385" t="inlineStr">
        <is>
          <t>hero_001</t>
        </is>
      </c>
      <c r="Y94" s="386" t="inlineStr">
        <is>
          <t>playable</t>
        </is>
      </c>
      <c r="Z94" s="386" t="inlineStr">
        <is>
          <t>aquatic, friend, poison</t>
        </is>
      </c>
      <c r="AA94" s="386" t="inlineStr">
        <is>
          <t>haste</t>
        </is>
      </c>
    </row>
    <row r="95">
      <c r="A95" s="38" t="inlineStr">
        <is>
          <t>pal_094</t>
        </is>
      </c>
      <c r="B95" s="38" t="inlineStr">
        <is>
          <t>海棠水鹿</t>
        </is>
      </c>
      <c r="C95" s="38" t="inlineStr">
        <is>
          <t>雷</t>
        </is>
      </c>
      <c r="D95" s="259" t="inlineStr">
        <is>
          <t>青铜</t>
        </is>
      </c>
      <c r="E95" s="38" t="inlineStr">
        <is>
          <t>输出</t>
        </is>
      </c>
      <c r="F95" s="38" t="inlineStr">
        <is>
          <t>两格</t>
        </is>
      </c>
      <c r="G95" s="38" t="inlineStr">
        <is>
          <t>bz_van_094</t>
        </is>
      </c>
      <c r="H95" s="38" t="inlineStr">
        <is>
          <t>elem_水, elem_雷, elem_冰, elem_无, role_召唤, role_坦克, role_控制, role_机动, tier_pT1, role_远点压制</t>
        </is>
      </c>
      <c r="I95" s="38" t="n">
        <v>10</v>
      </c>
      <c r="J95" s="456">
        <f>XLOOKUP($D95&amp;"|"&amp;$E95&amp;"|"&amp;$F95,'PET_STAT_RULES'!$A$5:$A$88,'PET_STAT_RULES'!$C$5:$C$88)</f>
        <v/>
      </c>
      <c r="K95" s="456">
        <f>XLOOKUP($D95&amp;"|"&amp;$E95&amp;"|"&amp;$F95,'PET_STAT_RULES'!$A$5:$A$88,'PET_STAT_RULES'!$D$5:$D$88)</f>
        <v/>
      </c>
      <c r="L95" s="456">
        <f>XLOOKUP($D95&amp;"|"&amp;$E95&amp;"|"&amp;$F95,'PET_STAT_RULES'!$A$5:$A$88,'PET_STAT_RULES'!$F$5:$F$88)</f>
        <v/>
      </c>
      <c r="M95" s="456">
        <f>XLOOKUP($D95&amp;"|"&amp;$E95&amp;"|"&amp;$F95,'PET_STAT_RULES'!$A$5:$A$88,'PET_STAT_RULES'!$G$5:$G$88)</f>
        <v/>
      </c>
      <c r="N95" s="38" t="n">
        <v>2</v>
      </c>
      <c r="O95" s="38" t="inlineStr">
        <is>
          <t>mech_grow_atk_each_round</t>
        </is>
      </c>
      <c r="P95" s="38" t="inlineStr">
        <is>
          <t>05 形状05</t>
        </is>
      </c>
      <c r="Q95" s="38" t="inlineStr">
        <is>
          <t>Deadly</t>
        </is>
      </c>
      <c r="R95" s="38" t="inlineStr">
        <is>
          <t>item confirmed；来源=Ramrod；攻击2格；仅保留来源商人/训练师关系。</t>
        </is>
      </c>
      <c r="S95" s="38" t="n">
        <v>3</v>
      </c>
      <c r="T95" s="38" t="n">
        <v>1</v>
      </c>
      <c r="U95" s="442" t="inlineStr">
        <is>
          <t>skill_vanguard,skill_flank,skill_pierce,skill_revolve,skill_chase,skill_break,skill_suppress,skill_finale</t>
        </is>
      </c>
      <c r="V95" s="442" t="inlineStr">
        <is>
          <t>trait_relentless</t>
        </is>
      </c>
      <c r="W95" s="457">
        <f>XLOOKUP($D95&amp;"|"&amp;$E95&amp;"|"&amp;$F95,'PET_STAT_RULES'!$A$5:$A$88,'PET_STAT_RULES'!$E$5:$E$88)</f>
        <v/>
      </c>
      <c r="X95" s="385" t="inlineStr">
        <is>
          <t>hero_001</t>
        </is>
      </c>
      <c r="Y95" s="386" t="inlineStr">
        <is>
          <t>playable</t>
        </is>
      </c>
      <c r="Z95" s="386" t="inlineStr">
        <is>
          <t>tool, crit</t>
        </is>
      </c>
      <c r="AA95" s="386" t="inlineStr">
        <is>
          <t>ammo</t>
        </is>
      </c>
    </row>
    <row r="96">
      <c r="A96" s="38" t="inlineStr">
        <is>
          <t>pal_095</t>
        </is>
      </c>
      <c r="B96" s="38" t="inlineStr">
        <is>
          <t>百花灵鹿</t>
        </is>
      </c>
      <c r="C96" s="38" t="inlineStr">
        <is>
          <t>雷</t>
        </is>
      </c>
      <c r="D96" s="265" t="inlineStr">
        <is>
          <t>白银</t>
        </is>
      </c>
      <c r="E96" s="38" t="inlineStr">
        <is>
          <t>输出</t>
        </is>
      </c>
      <c r="F96" s="38" t="inlineStr">
        <is>
          <t>两格</t>
        </is>
      </c>
      <c r="G96" s="38" t="inlineStr">
        <is>
          <t>bz_van_095</t>
        </is>
      </c>
      <c r="H96" s="38" t="inlineStr">
        <is>
          <t>night_base, elem_水, elem_雷, elem_无, role_召唤, role_坦克, role_控制, role_治疗, role_经济, role_机动</t>
        </is>
      </c>
      <c r="I96" s="38" t="n">
        <v>10</v>
      </c>
      <c r="J96" s="456">
        <f>XLOOKUP($D96&amp;"|"&amp;$E96&amp;"|"&amp;$F96,'PET_STAT_RULES'!$A$5:$A$88,'PET_STAT_RULES'!$C$5:$C$88)</f>
        <v/>
      </c>
      <c r="K96" s="456">
        <f>XLOOKUP($D96&amp;"|"&amp;$E96&amp;"|"&amp;$F96,'PET_STAT_RULES'!$A$5:$A$88,'PET_STAT_RULES'!$D$5:$D$88)</f>
        <v/>
      </c>
      <c r="L96" s="456">
        <f>XLOOKUP($D96&amp;"|"&amp;$E96&amp;"|"&amp;$F96,'PET_STAT_RULES'!$A$5:$A$88,'PET_STAT_RULES'!$F$5:$F$88)</f>
        <v/>
      </c>
      <c r="M96" s="456">
        <f>XLOOKUP($D96&amp;"|"&amp;$E96&amp;"|"&amp;$F96,'PET_STAT_RULES'!$A$5:$A$88,'PET_STAT_RULES'!$G$5:$G$88)</f>
        <v/>
      </c>
      <c r="N96" s="38" t="n">
        <v>2</v>
      </c>
      <c r="O96" s="38" t="inlineStr">
        <is>
          <t>mech_grow_atk_each_round</t>
        </is>
      </c>
      <c r="P96" s="38" t="inlineStr">
        <is>
          <t>10 形状10</t>
        </is>
      </c>
      <c r="Q96" s="38" t="inlineStr">
        <is>
          <t>Deadly</t>
        </is>
      </c>
      <c r="R96" s="38" t="inlineStr">
        <is>
          <t>item confirmed；来源=Repeater；攻击2格；仅保留来源商人/训练师关系。</t>
        </is>
      </c>
      <c r="S96" s="38" t="n">
        <v>3</v>
      </c>
      <c r="T96" s="38" t="n">
        <v>2</v>
      </c>
      <c r="U96" s="442" t="inlineStr">
        <is>
          <t>skill_vanguard,skill_flank,skill_pierce,skill_revolve,skill_chase,skill_break,skill_suppress,skill_finale</t>
        </is>
      </c>
      <c r="V96" s="442" t="inlineStr">
        <is>
          <t>trait_relentless</t>
        </is>
      </c>
      <c r="W96" s="457">
        <f>XLOOKUP($D96&amp;"|"&amp;$E96&amp;"|"&amp;$F96,'PET_STAT_RULES'!$A$5:$A$88,'PET_STAT_RULES'!$E$5:$E$88)</f>
        <v/>
      </c>
      <c r="X96" s="385" t="inlineStr">
        <is>
          <t>hero_001</t>
        </is>
      </c>
      <c r="Y96" s="386" t="inlineStr">
        <is>
          <t>playable</t>
        </is>
      </c>
      <c r="Z96" s="386" t="inlineStr">
        <is>
          <t>weapon, damage, ammo</t>
        </is>
      </c>
      <c r="AA96" s="386" t="str"/>
    </row>
    <row r="97">
      <c r="A97" s="38" t="inlineStr">
        <is>
          <t>pal_096</t>
        </is>
      </c>
      <c r="B97" s="38" t="inlineStr">
        <is>
          <t>熔岩巨兽</t>
        </is>
      </c>
      <c r="C97" s="38" t="inlineStr">
        <is>
          <t>雷</t>
        </is>
      </c>
      <c r="D97" s="259" t="inlineStr">
        <is>
          <t>青铜</t>
        </is>
      </c>
      <c r="E97" s="38" t="inlineStr">
        <is>
          <t>输出</t>
        </is>
      </c>
      <c r="F97" s="38" t="inlineStr">
        <is>
          <t>一格</t>
        </is>
      </c>
      <c r="G97" s="38" t="inlineStr">
        <is>
          <t>bz_van_096</t>
        </is>
      </c>
      <c r="H97" s="38" t="inlineStr">
        <is>
          <t>night_base, elem_火, elem_雷, elem_地, role_召唤, role_坦克, role_控制, role_治疗, role_经济, role_机动</t>
        </is>
      </c>
      <c r="I97" s="38" t="n">
        <v>10</v>
      </c>
      <c r="J97" s="456">
        <f>XLOOKUP($D97&amp;"|"&amp;$E97&amp;"|"&amp;$F97,'PET_STAT_RULES'!$A$5:$A$88,'PET_STAT_RULES'!$C$5:$C$88)</f>
        <v/>
      </c>
      <c r="K97" s="456">
        <f>XLOOKUP($D97&amp;"|"&amp;$E97&amp;"|"&amp;$F97,'PET_STAT_RULES'!$A$5:$A$88,'PET_STAT_RULES'!$D$5:$D$88)</f>
        <v/>
      </c>
      <c r="L97" s="456">
        <f>XLOOKUP($D97&amp;"|"&amp;$E97&amp;"|"&amp;$F97,'PET_STAT_RULES'!$A$5:$A$88,'PET_STAT_RULES'!$F$5:$F$88)</f>
        <v/>
      </c>
      <c r="M97" s="456">
        <f>XLOOKUP($D97&amp;"|"&amp;$E97&amp;"|"&amp;$F97,'PET_STAT_RULES'!$A$5:$A$88,'PET_STAT_RULES'!$G$5:$G$88)</f>
        <v/>
      </c>
      <c r="N97" s="38" t="n">
        <v>1</v>
      </c>
      <c r="O97" s="38" t="inlineStr">
        <is>
          <t>mech_grow_atk_each_round</t>
        </is>
      </c>
      <c r="P97" s="38" t="inlineStr">
        <is>
          <t>03 形状03</t>
        </is>
      </c>
      <c r="Q97" s="38" t="inlineStr">
        <is>
          <t>Deadly</t>
        </is>
      </c>
      <c r="R97" s="38" t="inlineStr">
        <is>
          <t>item confirmed；来源=Revolver；攻击1格；仅保留来源商人/训练师关系。</t>
        </is>
      </c>
      <c r="S97" s="38" t="n">
        <v>3</v>
      </c>
      <c r="T97" s="38" t="n">
        <v>1</v>
      </c>
      <c r="U97" s="442" t="inlineStr">
        <is>
          <t>skill_vanguard,skill_flank,skill_pierce,skill_revolve,skill_chase,skill_break,skill_suppress,skill_finale</t>
        </is>
      </c>
      <c r="V97" s="442" t="inlineStr">
        <is>
          <t>trait_relentless</t>
        </is>
      </c>
      <c r="W97" s="457">
        <f>XLOOKUP($D97&amp;"|"&amp;$E97&amp;"|"&amp;$F97,'PET_STAT_RULES'!$A$5:$A$88,'PET_STAT_RULES'!$E$5:$E$88)</f>
        <v/>
      </c>
      <c r="X97" s="385" t="inlineStr">
        <is>
          <t>hero_001</t>
        </is>
      </c>
      <c r="Y97" s="386" t="inlineStr">
        <is>
          <t>playable</t>
        </is>
      </c>
      <c r="Z97" s="386" t="inlineStr">
        <is>
          <t>weapon, damage, ammo</t>
        </is>
      </c>
      <c r="AA97" s="386" t="str"/>
    </row>
    <row r="98">
      <c r="A98" s="38" t="inlineStr">
        <is>
          <t>pal_097</t>
        </is>
      </c>
      <c r="B98" s="38" t="inlineStr">
        <is>
          <t>寒岩巨兽</t>
        </is>
      </c>
      <c r="C98" s="38" t="inlineStr">
        <is>
          <t>雷</t>
        </is>
      </c>
      <c r="D98" s="259" t="inlineStr">
        <is>
          <t>青铜</t>
        </is>
      </c>
      <c r="E98" s="38" t="inlineStr">
        <is>
          <t>输出</t>
        </is>
      </c>
      <c r="F98" s="38" t="inlineStr">
        <is>
          <t>两格</t>
        </is>
      </c>
      <c r="G98" s="38" t="inlineStr">
        <is>
          <t>bz_van_097</t>
        </is>
      </c>
      <c r="H98" s="38" t="inlineStr">
        <is>
          <t>night_base, elem_水, elem_雷, elem_无, role_召唤, role_坦克, role_控制, role_治疗, role_经济, role_机动</t>
        </is>
      </c>
      <c r="I98" s="38" t="n">
        <v>10</v>
      </c>
      <c r="J98" s="456">
        <f>XLOOKUP($D98&amp;"|"&amp;$E98&amp;"|"&amp;$F98,'PET_STAT_RULES'!$A$5:$A$88,'PET_STAT_RULES'!$C$5:$C$88)</f>
        <v/>
      </c>
      <c r="K98" s="456">
        <f>XLOOKUP($D98&amp;"|"&amp;$E98&amp;"|"&amp;$F98,'PET_STAT_RULES'!$A$5:$A$88,'PET_STAT_RULES'!$D$5:$D$88)</f>
        <v/>
      </c>
      <c r="L98" s="456">
        <f>XLOOKUP($D98&amp;"|"&amp;$E98&amp;"|"&amp;$F98,'PET_STAT_RULES'!$A$5:$A$88,'PET_STAT_RULES'!$F$5:$F$88)</f>
        <v/>
      </c>
      <c r="M98" s="456">
        <f>XLOOKUP($D98&amp;"|"&amp;$E98&amp;"|"&amp;$F98,'PET_STAT_RULES'!$A$5:$A$88,'PET_STAT_RULES'!$G$5:$G$88)</f>
        <v/>
      </c>
      <c r="N98" s="38" t="n">
        <v>1</v>
      </c>
      <c r="O98" s="38" t="inlineStr">
        <is>
          <t>mech_grow_atk_each_round</t>
        </is>
      </c>
      <c r="P98" s="38" t="inlineStr">
        <is>
          <t>02 形状02</t>
        </is>
      </c>
      <c r="Q98" s="38" t="inlineStr">
        <is>
          <t>Deadly</t>
        </is>
      </c>
      <c r="R98" s="38" t="inlineStr">
        <is>
          <t>item confirmed；来源=Rifle；攻击1格；仅保留来源商人/训练师关系。</t>
        </is>
      </c>
      <c r="S98" s="38" t="n">
        <v>3</v>
      </c>
      <c r="T98" s="38" t="n">
        <v>1</v>
      </c>
      <c r="U98" s="442" t="inlineStr">
        <is>
          <t>skill_vanguard,skill_flank,skill_pierce,skill_revolve,skill_chase,skill_break,skill_suppress,skill_finale</t>
        </is>
      </c>
      <c r="V98" s="442" t="inlineStr">
        <is>
          <t>trait_relentless</t>
        </is>
      </c>
      <c r="W98" s="457">
        <f>XLOOKUP($D98&amp;"|"&amp;$E98&amp;"|"&amp;$F98,'PET_STAT_RULES'!$A$5:$A$88,'PET_STAT_RULES'!$E$5:$E$88)</f>
        <v/>
      </c>
      <c r="X98" s="385" t="inlineStr">
        <is>
          <t>hero_001</t>
        </is>
      </c>
      <c r="Y98" s="386" t="inlineStr">
        <is>
          <t>playable</t>
        </is>
      </c>
      <c r="Z98" s="386" t="inlineStr">
        <is>
          <t>weapon, damage, ammo</t>
        </is>
      </c>
      <c r="AA98" s="386" t="str"/>
    </row>
    <row r="99">
      <c r="A99" s="38" t="inlineStr">
        <is>
          <t>pal_098</t>
        </is>
      </c>
      <c r="B99" s="38" t="inlineStr">
        <is>
          <t>云顶巨驼</t>
        </is>
      </c>
      <c r="C99" s="38" t="inlineStr">
        <is>
          <t>水、雷</t>
        </is>
      </c>
      <c r="D99" s="262" t="inlineStr">
        <is>
          <t>黄金</t>
        </is>
      </c>
      <c r="E99" s="38" t="inlineStr">
        <is>
          <t>机动</t>
        </is>
      </c>
      <c r="F99" s="38" t="inlineStr">
        <is>
          <t>两格</t>
        </is>
      </c>
      <c r="G99" s="38" t="inlineStr">
        <is>
          <t>bz_van_098</t>
        </is>
      </c>
      <c r="H99" s="38" t="inlineStr">
        <is>
          <t>elem_火, elem_水, elem_雷, elem_冰, elem_无, role_召唤, role_坦克, role_控制, role_输出, special_merchant</t>
        </is>
      </c>
      <c r="I99" s="38" t="n">
        <v>10</v>
      </c>
      <c r="J99" s="456">
        <f>XLOOKUP($D99&amp;"|"&amp;$E99&amp;"|"&amp;$F99,'PET_STAT_RULES'!$A$5:$A$88,'PET_STAT_RULES'!$C$5:$C$88)</f>
        <v/>
      </c>
      <c r="K99" s="456">
        <f>XLOOKUP($D99&amp;"|"&amp;$E99&amp;"|"&amp;$F99,'PET_STAT_RULES'!$A$5:$A$88,'PET_STAT_RULES'!$D$5:$D$88)</f>
        <v/>
      </c>
      <c r="L99" s="456">
        <f>XLOOKUP($D99&amp;"|"&amp;$E99&amp;"|"&amp;$F99,'PET_STAT_RULES'!$A$5:$A$88,'PET_STAT_RULES'!$F$5:$F$88)</f>
        <v/>
      </c>
      <c r="M99" s="456">
        <f>XLOOKUP($D99&amp;"|"&amp;$E99&amp;"|"&amp;$F99,'PET_STAT_RULES'!$A$5:$A$88,'PET_STAT_RULES'!$G$5:$G$88)</f>
        <v/>
      </c>
      <c r="N99" s="38" t="n">
        <v>2</v>
      </c>
      <c r="O99" s="38" t="inlineStr">
        <is>
          <t>none</t>
        </is>
      </c>
      <c r="P99" s="38" t="inlineStr">
        <is>
          <t>06 形状06</t>
        </is>
      </c>
      <c r="Q99" s="38" t="inlineStr">
        <is>
          <t>Turbo</t>
        </is>
      </c>
      <c r="R99" s="38" t="inlineStr">
        <is>
          <t>item confirmed；来源=Rowboat；攻击2格；仅保留来源商人/训练师关系。</t>
        </is>
      </c>
      <c r="S99" s="38" t="n">
        <v>5</v>
      </c>
      <c r="T99" s="38" t="n">
        <v>2</v>
      </c>
      <c r="U99" s="442" t="inlineStr">
        <is>
          <t>skill_vanguard,skill_flank,skill_pierce,skill_revolve,skill_chase,skill_break,skill_suppress,skill_finale</t>
        </is>
      </c>
      <c r="V99" s="442" t="inlineStr">
        <is>
          <t>trait_relentless</t>
        </is>
      </c>
      <c r="W99" s="457">
        <f>XLOOKUP($D99&amp;"|"&amp;$E99&amp;"|"&amp;$F99,'PET_STAT_RULES'!$A$5:$A$88,'PET_STAT_RULES'!$E$5:$E$88)</f>
        <v/>
      </c>
      <c r="X99" s="385" t="inlineStr">
        <is>
          <t>hero_001</t>
        </is>
      </c>
      <c r="Y99" s="386" t="inlineStr">
        <is>
          <t>playable</t>
        </is>
      </c>
      <c r="Z99" s="386" t="inlineStr">
        <is>
          <t>aquatic, vehicle, charge, cooldown</t>
        </is>
      </c>
      <c r="AA99" s="386" t="str"/>
    </row>
    <row r="100">
      <c r="A100" s="38" t="inlineStr">
        <is>
          <t>pal_099</t>
        </is>
      </c>
      <c r="B100" s="38" t="inlineStr">
        <is>
          <t>冰峰巨驼</t>
        </is>
      </c>
      <c r="C100" s="38" t="inlineStr">
        <is>
          <t>草、水</t>
        </is>
      </c>
      <c r="D100" s="265" t="inlineStr">
        <is>
          <t>白银</t>
        </is>
      </c>
      <c r="E100" s="38" t="inlineStr">
        <is>
          <t>控制</t>
        </is>
      </c>
      <c r="F100" s="38" t="inlineStr">
        <is>
          <t>两格</t>
        </is>
      </c>
      <c r="G100" s="38" t="inlineStr">
        <is>
          <t>bz_van_099</t>
        </is>
      </c>
      <c r="H100" s="38" t="inlineStr">
        <is>
          <t>night_base, elem_水, elem_雷, role_坦克, role_控制, role_输出, special_merchant, elite_high, tier_pT1, role_火系压制</t>
        </is>
      </c>
      <c r="I100" s="38" t="n">
        <v>10</v>
      </c>
      <c r="J100" s="456">
        <f>XLOOKUP($D100&amp;"|"&amp;$E100&amp;"|"&amp;$F100,'PET_STAT_RULES'!$A$5:$A$88,'PET_STAT_RULES'!$C$5:$C$88)</f>
        <v/>
      </c>
      <c r="K100" s="456">
        <f>XLOOKUP($D100&amp;"|"&amp;$E100&amp;"|"&amp;$F100,'PET_STAT_RULES'!$A$5:$A$88,'PET_STAT_RULES'!$D$5:$D$88)</f>
        <v/>
      </c>
      <c r="L100" s="456">
        <f>XLOOKUP($D100&amp;"|"&amp;$E100&amp;"|"&amp;$F100,'PET_STAT_RULES'!$A$5:$A$88,'PET_STAT_RULES'!$F$5:$F$88)</f>
        <v/>
      </c>
      <c r="M100" s="456">
        <f>XLOOKUP($D100&amp;"|"&amp;$E100&amp;"|"&amp;$F100,'PET_STAT_RULES'!$A$5:$A$88,'PET_STAT_RULES'!$G$5:$G$88)</f>
        <v/>
      </c>
      <c r="N100" s="38" t="n">
        <v>2</v>
      </c>
      <c r="O100" s="38" t="inlineStr">
        <is>
          <t>mech_counter_damage</t>
        </is>
      </c>
      <c r="P100" s="38" t="inlineStr">
        <is>
          <t>11 形状11</t>
        </is>
      </c>
      <c r="Q100" s="38" t="inlineStr">
        <is>
          <t>Toxic</t>
        </is>
      </c>
      <c r="R100" s="38" t="inlineStr">
        <is>
          <t>item confirmed；来源=Scimitar of the Deep；攻击2格；仅保留来源商人/训练师关系。</t>
        </is>
      </c>
      <c r="S100" s="38" t="n">
        <v>4</v>
      </c>
      <c r="T100" s="38" t="n">
        <v>2</v>
      </c>
      <c r="U100" s="442" t="inlineStr">
        <is>
          <t>skill_vanguard,skill_flank,skill_pierce,skill_revolve,skill_chase,skill_break,skill_suppress,skill_finale</t>
        </is>
      </c>
      <c r="V100" s="442" t="inlineStr">
        <is>
          <t>trait_element_affinity</t>
        </is>
      </c>
      <c r="W100" s="457">
        <f>XLOOKUP($D100&amp;"|"&amp;$E100&amp;"|"&amp;$F100,'PET_STAT_RULES'!$A$5:$A$88,'PET_STAT_RULES'!$E$5:$E$88)</f>
        <v/>
      </c>
      <c r="X100" s="385" t="inlineStr">
        <is>
          <t>hero_001</t>
        </is>
      </c>
      <c r="Y100" s="386" t="inlineStr">
        <is>
          <t>playable</t>
        </is>
      </c>
      <c r="Z100" s="386" t="inlineStr">
        <is>
          <t>weapon, relic, aquatic, damage, poison, crit</t>
        </is>
      </c>
      <c r="AA100" s="386" t="inlineStr">
        <is>
          <t>haste</t>
        </is>
      </c>
    </row>
    <row r="101">
      <c r="A101" s="38" t="inlineStr">
        <is>
          <t>pal_100</t>
        </is>
      </c>
      <c r="B101" s="38" t="inlineStr">
        <is>
          <t>青林巨象</t>
        </is>
      </c>
      <c r="C101" s="38" t="inlineStr">
        <is>
          <t>水、地</t>
        </is>
      </c>
      <c r="D101" s="259" t="inlineStr">
        <is>
          <t>青铜</t>
        </is>
      </c>
      <c r="E101" s="38" t="inlineStr">
        <is>
          <t>坦克</t>
        </is>
      </c>
      <c r="F101" s="38" t="inlineStr">
        <is>
          <t>一格</t>
        </is>
      </c>
      <c r="G101" s="38" t="inlineStr">
        <is>
          <t>bz_van_100</t>
        </is>
      </c>
      <c r="H101" s="38" t="inlineStr">
        <is>
          <t>elem_火, elem_雷, elem_冰, elem_地, elem_龙, role_召唤, role_坦克, role_控制, role_输出, tier_pT3</t>
        </is>
      </c>
      <c r="I101" s="38" t="n">
        <v>10</v>
      </c>
      <c r="J101" s="456">
        <f>XLOOKUP($D101&amp;"|"&amp;$E101&amp;"|"&amp;$F101,'PET_STAT_RULES'!$A$5:$A$88,'PET_STAT_RULES'!$C$5:$C$88)</f>
        <v/>
      </c>
      <c r="K101" s="456">
        <f>XLOOKUP($D101&amp;"|"&amp;$E101&amp;"|"&amp;$F101,'PET_STAT_RULES'!$A$5:$A$88,'PET_STAT_RULES'!$D$5:$D$88)</f>
        <v/>
      </c>
      <c r="L101" s="456">
        <f>XLOOKUP($D101&amp;"|"&amp;$E101&amp;"|"&amp;$F101,'PET_STAT_RULES'!$A$5:$A$88,'PET_STAT_RULES'!$F$5:$F$88)</f>
        <v/>
      </c>
      <c r="M101" s="456">
        <f>XLOOKUP($D101&amp;"|"&amp;$E101&amp;"|"&amp;$F101,'PET_STAT_RULES'!$A$5:$A$88,'PET_STAT_RULES'!$G$5:$G$88)</f>
        <v/>
      </c>
      <c r="N101" s="38" t="n">
        <v>1</v>
      </c>
      <c r="O101" s="38" t="inlineStr">
        <is>
          <t>mech_shield_regen</t>
        </is>
      </c>
      <c r="P101" s="38" t="inlineStr">
        <is>
          <t>04 形状04</t>
        </is>
      </c>
      <c r="Q101" s="38" t="inlineStr">
        <is>
          <t>Shielded</t>
        </is>
      </c>
      <c r="R101" s="38" t="inlineStr">
        <is>
          <t>item confirmed；来源=Sea Shell；攻击1格；仅保留来源商人/训练师关系。</t>
        </is>
      </c>
      <c r="S101" s="38" t="n">
        <v>3</v>
      </c>
      <c r="T101" s="38" t="n">
        <v>1</v>
      </c>
      <c r="U101" s="442" t="inlineStr">
        <is>
          <t>skill_vanguard,skill_flank,skill_pierce,skill_revolve,skill_chase,skill_break,skill_suppress,skill_finale</t>
        </is>
      </c>
      <c r="V101" s="442" t="inlineStr">
        <is>
          <t>trait_combo_mastery</t>
        </is>
      </c>
      <c r="W101" s="457">
        <f>XLOOKUP($D101&amp;"|"&amp;$E101&amp;"|"&amp;$F101,'PET_STAT_RULES'!$A$5:$A$88,'PET_STAT_RULES'!$E$5:$E$88)</f>
        <v/>
      </c>
      <c r="X101" s="385" t="inlineStr">
        <is>
          <t>hero_001</t>
        </is>
      </c>
      <c r="Y101" s="386" t="inlineStr">
        <is>
          <t>playable</t>
        </is>
      </c>
      <c r="Z101" s="386" t="inlineStr">
        <is>
          <t>aquatic, shield</t>
        </is>
      </c>
      <c r="AA101" s="386" t="str"/>
    </row>
    <row r="102">
      <c r="A102" s="38" t="inlineStr">
        <is>
          <t>pal_101</t>
        </is>
      </c>
      <c r="B102" s="38" t="inlineStr">
        <is>
          <t>白牙雪象</t>
        </is>
      </c>
      <c r="C102" s="38" t="inlineStr">
        <is>
          <t>水、龙</t>
        </is>
      </c>
      <c r="D102" s="265" t="inlineStr">
        <is>
          <t>白银</t>
        </is>
      </c>
      <c r="E102" s="38" t="inlineStr">
        <is>
          <t>控制</t>
        </is>
      </c>
      <c r="F102" s="38" t="inlineStr">
        <is>
          <t>三格</t>
        </is>
      </c>
      <c r="G102" s="38" t="inlineStr">
        <is>
          <t>bz_van_101</t>
        </is>
      </c>
      <c r="H102" s="38" t="inlineStr">
        <is>
          <t>elem_水, elem_雷, elem_冰, elem_地, role_坦克, role_控制, role_输出, special_merchant, elite_high, role_召唤铺场</t>
        </is>
      </c>
      <c r="I102" s="38" t="n">
        <v>10</v>
      </c>
      <c r="J102" s="456">
        <f>XLOOKUP($D102&amp;"|"&amp;$E102&amp;"|"&amp;$F102,'PET_STAT_RULES'!$A$5:$A$88,'PET_STAT_RULES'!$C$5:$C$88)</f>
        <v/>
      </c>
      <c r="K102" s="456">
        <f>XLOOKUP($D102&amp;"|"&amp;$E102&amp;"|"&amp;$F102,'PET_STAT_RULES'!$A$5:$A$88,'PET_STAT_RULES'!$D$5:$D$88)</f>
        <v/>
      </c>
      <c r="L102" s="456">
        <f>XLOOKUP($D102&amp;"|"&amp;$E102&amp;"|"&amp;$F102,'PET_STAT_RULES'!$A$5:$A$88,'PET_STAT_RULES'!$F$5:$F$88)</f>
        <v/>
      </c>
      <c r="M102" s="456">
        <f>XLOOKUP($D102&amp;"|"&amp;$E102&amp;"|"&amp;$F102,'PET_STAT_RULES'!$A$5:$A$88,'PET_STAT_RULES'!$G$5:$G$88)</f>
        <v/>
      </c>
      <c r="N102" s="38" t="n">
        <v>2</v>
      </c>
      <c r="O102" s="38" t="inlineStr">
        <is>
          <t>mech_counter_damage</t>
        </is>
      </c>
      <c r="P102" s="38" t="inlineStr">
        <is>
          <t>10 形状10</t>
        </is>
      </c>
      <c r="Q102" s="38" t="inlineStr">
        <is>
          <t>Icy</t>
        </is>
      </c>
      <c r="R102" s="38" t="inlineStr">
        <is>
          <t>item confirmed；来源=Seadog's Saloon；攻击2格；仅保留来源商人/训练师关系。</t>
        </is>
      </c>
      <c r="S102" s="38" t="n">
        <v>4</v>
      </c>
      <c r="T102" s="38" t="n">
        <v>2</v>
      </c>
      <c r="U102" s="442" t="inlineStr">
        <is>
          <t>skill_vanguard,skill_flank,skill_pierce,skill_revolve,skill_chase,skill_break,skill_suppress,skill_finale</t>
        </is>
      </c>
      <c r="V102" s="442" t="inlineStr">
        <is>
          <t>trait_element_affinity</t>
        </is>
      </c>
      <c r="W102" s="457">
        <f>XLOOKUP($D102&amp;"|"&amp;$E102&amp;"|"&amp;$F102,'PET_STAT_RULES'!$A$5:$A$88,'PET_STAT_RULES'!$E$5:$E$88)</f>
        <v/>
      </c>
      <c r="X102" s="385" t="inlineStr">
        <is>
          <t>hero_001</t>
        </is>
      </c>
      <c r="Y102" s="386" t="inlineStr">
        <is>
          <t>playable</t>
        </is>
      </c>
      <c r="Z102" s="386" t="inlineStr">
        <is>
          <t>aquatic, property, haste, slow</t>
        </is>
      </c>
      <c r="AA102" s="386" t="str"/>
    </row>
    <row r="103">
      <c r="A103" s="38" t="inlineStr">
        <is>
          <t>pal_102</t>
        </is>
      </c>
      <c r="B103" s="38" t="inlineStr">
        <is>
          <t>白绒雪猿</t>
        </is>
      </c>
      <c r="C103" s="38" t="inlineStr">
        <is>
          <t>暗、龙</t>
        </is>
      </c>
      <c r="D103" s="265" t="inlineStr">
        <is>
          <t>白银</t>
        </is>
      </c>
      <c r="E103" s="38" t="inlineStr">
        <is>
          <t>机动</t>
        </is>
      </c>
      <c r="F103" s="38" t="inlineStr">
        <is>
          <t>两格</t>
        </is>
      </c>
      <c r="G103" s="38" t="inlineStr">
        <is>
          <t>bz_van_102</t>
        </is>
      </c>
      <c r="H103" s="38" t="inlineStr">
        <is>
          <t>elem_火, elem_水, elem_雷, elem_冰, elem_无, role_召唤, role_坦克, role_控制, special_merchant, role_机动压制</t>
        </is>
      </c>
      <c r="I103" s="38" t="n">
        <v>10</v>
      </c>
      <c r="J103" s="456">
        <f>XLOOKUP($D103&amp;"|"&amp;$E103&amp;"|"&amp;$F103,'PET_STAT_RULES'!$A$5:$A$88,'PET_STAT_RULES'!$C$5:$C$88)</f>
        <v/>
      </c>
      <c r="K103" s="456">
        <f>XLOOKUP($D103&amp;"|"&amp;$E103&amp;"|"&amp;$F103,'PET_STAT_RULES'!$A$5:$A$88,'PET_STAT_RULES'!$D$5:$D$88)</f>
        <v/>
      </c>
      <c r="L103" s="456">
        <f>XLOOKUP($D103&amp;"|"&amp;$E103&amp;"|"&amp;$F103,'PET_STAT_RULES'!$A$5:$A$88,'PET_STAT_RULES'!$F$5:$F$88)</f>
        <v/>
      </c>
      <c r="M103" s="456">
        <f>XLOOKUP($D103&amp;"|"&amp;$E103&amp;"|"&amp;$F103,'PET_STAT_RULES'!$A$5:$A$88,'PET_STAT_RULES'!$G$5:$G$88)</f>
        <v/>
      </c>
      <c r="N103" s="38" t="n">
        <v>2</v>
      </c>
      <c r="O103" s="38" t="inlineStr">
        <is>
          <t>none</t>
        </is>
      </c>
      <c r="P103" s="38" t="inlineStr">
        <is>
          <t>05 形状05</t>
        </is>
      </c>
      <c r="Q103" s="38" t="inlineStr">
        <is>
          <t>Turbo</t>
        </is>
      </c>
      <c r="R103" s="38" t="inlineStr">
        <is>
          <t>item confirmed；来源=Seashadow；攻击2格；仅保留来源商人/训练师关系。</t>
        </is>
      </c>
      <c r="S103" s="38" t="n">
        <v>5</v>
      </c>
      <c r="T103" s="38" t="n">
        <v>2</v>
      </c>
      <c r="U103" s="442" t="inlineStr">
        <is>
          <t>skill_vanguard,skill_flank,skill_pierce,skill_revolve,skill_chase,skill_break,skill_suppress,skill_finale</t>
        </is>
      </c>
      <c r="V103" s="442" t="inlineStr">
        <is>
          <t>trait_relentless</t>
        </is>
      </c>
      <c r="W103" s="457">
        <f>XLOOKUP($D103&amp;"|"&amp;$E103&amp;"|"&amp;$F103,'PET_STAT_RULES'!$A$5:$A$88,'PET_STAT_RULES'!$E$5:$E$88)</f>
        <v/>
      </c>
      <c r="X103" s="385" t="inlineStr">
        <is>
          <t>hero_001</t>
        </is>
      </c>
      <c r="Y103" s="386" t="inlineStr">
        <is>
          <t>playable</t>
        </is>
      </c>
      <c r="Z103" s="386" t="inlineStr">
        <is>
          <t>friend, vehicle, cooldown</t>
        </is>
      </c>
      <c r="AA103" s="386" t="str"/>
    </row>
    <row r="104">
      <c r="A104" s="38" t="inlineStr">
        <is>
          <t>pal_103</t>
        </is>
      </c>
      <c r="B104" s="38" t="inlineStr">
        <is>
          <t>绿苔巨猿</t>
        </is>
      </c>
      <c r="C104" s="38" t="inlineStr">
        <is>
          <t>水</t>
        </is>
      </c>
      <c r="D104" s="259" t="inlineStr">
        <is>
          <t>青铜</t>
        </is>
      </c>
      <c r="E104" s="38" t="inlineStr">
        <is>
          <t>治疗</t>
        </is>
      </c>
      <c r="F104" s="38" t="inlineStr">
        <is>
          <t>一格</t>
        </is>
      </c>
      <c r="G104" s="38" t="inlineStr">
        <is>
          <t>bz_van_103</t>
        </is>
      </c>
      <c r="H104" s="38" t="inlineStr">
        <is>
          <t>night_base, elem_火, elem_雷, elem_冰, elem_地, role_召唤, role_坦克, role_控制, role_治疗, role_输出</t>
        </is>
      </c>
      <c r="I104" s="38" t="n">
        <v>10</v>
      </c>
      <c r="J104" s="456">
        <f>XLOOKUP($D104&amp;"|"&amp;$E104&amp;"|"&amp;$F104,'PET_STAT_RULES'!$A$5:$A$88,'PET_STAT_RULES'!$C$5:$C$88)</f>
        <v/>
      </c>
      <c r="K104" s="456">
        <f>XLOOKUP($D104&amp;"|"&amp;$E104&amp;"|"&amp;$F104,'PET_STAT_RULES'!$A$5:$A$88,'PET_STAT_RULES'!$D$5:$D$88)</f>
        <v/>
      </c>
      <c r="L104" s="456">
        <f>XLOOKUP($D104&amp;"|"&amp;$E104&amp;"|"&amp;$F104,'PET_STAT_RULES'!$A$5:$A$88,'PET_STAT_RULES'!$F$5:$F$88)</f>
        <v/>
      </c>
      <c r="M104" s="456">
        <f>XLOOKUP($D104&amp;"|"&amp;$E104&amp;"|"&amp;$F104,'PET_STAT_RULES'!$A$5:$A$88,'PET_STAT_RULES'!$G$5:$G$88)</f>
        <v/>
      </c>
      <c r="N104" s="38" t="n">
        <v>1</v>
      </c>
      <c r="O104" s="38" t="inlineStr">
        <is>
          <t>mech_shield_regen</t>
        </is>
      </c>
      <c r="P104" s="38" t="inlineStr">
        <is>
          <t>02 形状02</t>
        </is>
      </c>
      <c r="Q104" s="38" t="inlineStr">
        <is>
          <t>Restorative</t>
        </is>
      </c>
      <c r="R104" s="38" t="inlineStr">
        <is>
          <t>item confirmed；来源=Seaweed；攻击1格；仅保留来源商人/训练师关系。</t>
        </is>
      </c>
      <c r="S104" s="38" t="n">
        <v>3</v>
      </c>
      <c r="T104" s="38" t="n">
        <v>1</v>
      </c>
      <c r="U104" s="442" t="inlineStr">
        <is>
          <t>skill_vanguard,skill_flank,skill_pierce,skill_revolve,skill_chase,skill_break,skill_suppress,skill_finale</t>
        </is>
      </c>
      <c r="V104" s="442" t="inlineStr">
        <is>
          <t>trait_element_affinity</t>
        </is>
      </c>
      <c r="W104" s="457">
        <f>XLOOKUP($D104&amp;"|"&amp;$E104&amp;"|"&amp;$F104,'PET_STAT_RULES'!$A$5:$A$88,'PET_STAT_RULES'!$E$5:$E$88)</f>
        <v/>
      </c>
      <c r="X104" s="385" t="inlineStr">
        <is>
          <t>hero_001</t>
        </is>
      </c>
      <c r="Y104" s="386" t="inlineStr">
        <is>
          <t>playable</t>
        </is>
      </c>
      <c r="Z104" s="386" t="inlineStr">
        <is>
          <t>aquatic, heal</t>
        </is>
      </c>
      <c r="AA104" s="386" t="str"/>
    </row>
    <row r="105">
      <c r="A105" s="38" t="inlineStr">
        <is>
          <t>pal_104</t>
        </is>
      </c>
      <c r="B105" s="38" t="inlineStr">
        <is>
          <t>铁甲巨兕</t>
        </is>
      </c>
      <c r="C105" s="38" t="inlineStr">
        <is>
          <t>水、雷</t>
        </is>
      </c>
      <c r="D105" s="265" t="inlineStr">
        <is>
          <t>白银</t>
        </is>
      </c>
      <c r="E105" s="38" t="inlineStr">
        <is>
          <t>机动</t>
        </is>
      </c>
      <c r="F105" s="38" t="inlineStr">
        <is>
          <t>两格</t>
        </is>
      </c>
      <c r="G105" s="38" t="inlineStr">
        <is>
          <t>bz_van_104</t>
        </is>
      </c>
      <c r="H105" s="38" t="inlineStr">
        <is>
          <t>elem_水, elem_雷, elem_冰, elem_无, role_坦克, role_控制, role_输出, special_merchant, elite_high, tier_pT1</t>
        </is>
      </c>
      <c r="I105" s="38" t="n">
        <v>10</v>
      </c>
      <c r="J105" s="456">
        <f>XLOOKUP($D105&amp;"|"&amp;$E105&amp;"|"&amp;$F105,'PET_STAT_RULES'!$A$5:$A$88,'PET_STAT_RULES'!$C$5:$C$88)</f>
        <v/>
      </c>
      <c r="K105" s="456">
        <f>XLOOKUP($D105&amp;"|"&amp;$E105&amp;"|"&amp;$F105,'PET_STAT_RULES'!$A$5:$A$88,'PET_STAT_RULES'!$D$5:$D$88)</f>
        <v/>
      </c>
      <c r="L105" s="456">
        <f>XLOOKUP($D105&amp;"|"&amp;$E105&amp;"|"&amp;$F105,'PET_STAT_RULES'!$A$5:$A$88,'PET_STAT_RULES'!$F$5:$F$88)</f>
        <v/>
      </c>
      <c r="M105" s="456">
        <f>XLOOKUP($D105&amp;"|"&amp;$E105&amp;"|"&amp;$F105,'PET_STAT_RULES'!$A$5:$A$88,'PET_STAT_RULES'!$G$5:$G$88)</f>
        <v/>
      </c>
      <c r="N105" s="38" t="n">
        <v>2</v>
      </c>
      <c r="O105" s="38" t="inlineStr">
        <is>
          <t>none</t>
        </is>
      </c>
      <c r="P105" s="38" t="inlineStr">
        <is>
          <t>07 形状07</t>
        </is>
      </c>
      <c r="Q105" s="38" t="inlineStr">
        <is>
          <t>Turbo</t>
        </is>
      </c>
      <c r="R105" s="38" t="inlineStr">
        <is>
          <t>item confirmed；来源=Sextant；攻击2格；仅保留来源商人/训练师关系。</t>
        </is>
      </c>
      <c r="S105" s="38" t="n">
        <v>5</v>
      </c>
      <c r="T105" s="38" t="n">
        <v>2</v>
      </c>
      <c r="U105" s="442" t="inlineStr">
        <is>
          <t>skill_vanguard,skill_flank,skill_pierce,skill_revolve,skill_chase,skill_break,skill_suppress,skill_finale</t>
        </is>
      </c>
      <c r="V105" s="442" t="inlineStr">
        <is>
          <t>trait_relentless</t>
        </is>
      </c>
      <c r="W105" s="457">
        <f>XLOOKUP($D105&amp;"|"&amp;$E105&amp;"|"&amp;$F105,'PET_STAT_RULES'!$A$5:$A$88,'PET_STAT_RULES'!$E$5:$E$88)</f>
        <v/>
      </c>
      <c r="X105" s="385" t="inlineStr">
        <is>
          <t>hero_001</t>
        </is>
      </c>
      <c r="Y105" s="386" t="inlineStr">
        <is>
          <t>playable</t>
        </is>
      </c>
      <c r="Z105" s="386" t="inlineStr">
        <is>
          <t>aquatic, tool, crit, haste</t>
        </is>
      </c>
      <c r="AA105" s="386" t="str"/>
    </row>
    <row r="106">
      <c r="A106" s="38" t="inlineStr">
        <is>
          <t>pal_105</t>
        </is>
      </c>
      <c r="B106" s="38" t="inlineStr">
        <is>
          <t>云海白鹿</t>
        </is>
      </c>
      <c r="C106" s="38" t="inlineStr">
        <is>
          <t>水</t>
        </is>
      </c>
      <c r="D106" s="259" t="inlineStr">
        <is>
          <t>青铜</t>
        </is>
      </c>
      <c r="E106" s="38" t="inlineStr">
        <is>
          <t>输出</t>
        </is>
      </c>
      <c r="F106" s="38" t="inlineStr">
        <is>
          <t>两格</t>
        </is>
      </c>
      <c r="G106" s="38" t="inlineStr">
        <is>
          <t>bz_van_105</t>
        </is>
      </c>
      <c r="H106" s="38" t="inlineStr">
        <is>
          <t>night_base, elem_水, elem_雷, elem_无, role_召唤, role_坦克, role_控制, role_治疗, role_输出, role_经济</t>
        </is>
      </c>
      <c r="I106" s="38" t="n">
        <v>10</v>
      </c>
      <c r="J106" s="456">
        <f>XLOOKUP($D106&amp;"|"&amp;$E106&amp;"|"&amp;$F106,'PET_STAT_RULES'!$A$5:$A$88,'PET_STAT_RULES'!$C$5:$C$88)</f>
        <v/>
      </c>
      <c r="K106" s="456">
        <f>XLOOKUP($D106&amp;"|"&amp;$E106&amp;"|"&amp;$F106,'PET_STAT_RULES'!$A$5:$A$88,'PET_STAT_RULES'!$D$5:$D$88)</f>
        <v/>
      </c>
      <c r="L106" s="456">
        <f>XLOOKUP($D106&amp;"|"&amp;$E106&amp;"|"&amp;$F106,'PET_STAT_RULES'!$A$5:$A$88,'PET_STAT_RULES'!$F$5:$F$88)</f>
        <v/>
      </c>
      <c r="M106" s="456">
        <f>XLOOKUP($D106&amp;"|"&amp;$E106&amp;"|"&amp;$F106,'PET_STAT_RULES'!$A$5:$A$88,'PET_STAT_RULES'!$G$5:$G$88)</f>
        <v/>
      </c>
      <c r="N106" s="38" t="n">
        <v>1</v>
      </c>
      <c r="O106" s="38" t="inlineStr">
        <is>
          <t>mech_grow_atk_each_round</t>
        </is>
      </c>
      <c r="P106" s="38" t="inlineStr">
        <is>
          <t>03 形状03</t>
        </is>
      </c>
      <c r="Q106" s="38" t="inlineStr">
        <is>
          <t>Deadly</t>
        </is>
      </c>
      <c r="R106" s="38" t="inlineStr">
        <is>
          <t>item confirmed；来源=Sharkclaws；攻击1格；仅保留来源商人/训练师关系。</t>
        </is>
      </c>
      <c r="S106" s="38" t="n">
        <v>3</v>
      </c>
      <c r="T106" s="38" t="n">
        <v>1</v>
      </c>
      <c r="U106" s="442" t="inlineStr">
        <is>
          <t>skill_vanguard,skill_flank,skill_pierce,skill_revolve,skill_chase,skill_break,skill_suppress,skill_finale</t>
        </is>
      </c>
      <c r="V106" s="442" t="inlineStr">
        <is>
          <t>trait_relentless</t>
        </is>
      </c>
      <c r="W106" s="457">
        <f>XLOOKUP($D106&amp;"|"&amp;$E106&amp;"|"&amp;$F106,'PET_STAT_RULES'!$A$5:$A$88,'PET_STAT_RULES'!$E$5:$E$88)</f>
        <v/>
      </c>
      <c r="X106" s="385" t="inlineStr">
        <is>
          <t>hero_001</t>
        </is>
      </c>
      <c r="Y106" s="386" t="inlineStr">
        <is>
          <t>playable</t>
        </is>
      </c>
      <c r="Z106" s="386" t="inlineStr">
        <is>
          <t>aquatic, weapon, damage</t>
        </is>
      </c>
      <c r="AA106" s="386" t="str"/>
    </row>
    <row r="107">
      <c r="A107" s="38" t="inlineStr">
        <is>
          <t>pal_106</t>
        </is>
      </c>
      <c r="B107" s="38" t="inlineStr">
        <is>
          <t>夜幕巨蝠</t>
        </is>
      </c>
      <c r="C107" s="38" t="inlineStr">
        <is>
          <t>草、水</t>
        </is>
      </c>
      <c r="D107" s="265" t="inlineStr">
        <is>
          <t>白银</t>
        </is>
      </c>
      <c r="E107" s="38" t="inlineStr">
        <is>
          <t>控制</t>
        </is>
      </c>
      <c r="F107" s="38" t="inlineStr">
        <is>
          <t>两格</t>
        </is>
      </c>
      <c r="G107" s="38" t="inlineStr">
        <is>
          <t>bz_van_106</t>
        </is>
      </c>
      <c r="H107" s="38" t="inlineStr">
        <is>
          <t>night_base, elem_水, elem_雷, role_坦克, role_控制, role_输出, special_merchant, elite_high, role_机动压制, role_火系压制</t>
        </is>
      </c>
      <c r="I107" s="38" t="n">
        <v>10</v>
      </c>
      <c r="J107" s="456">
        <f>XLOOKUP($D107&amp;"|"&amp;$E107&amp;"|"&amp;$F107,'PET_STAT_RULES'!$A$5:$A$88,'PET_STAT_RULES'!$C$5:$C$88)</f>
        <v/>
      </c>
      <c r="K107" s="456">
        <f>XLOOKUP($D107&amp;"|"&amp;$E107&amp;"|"&amp;$F107,'PET_STAT_RULES'!$A$5:$A$88,'PET_STAT_RULES'!$D$5:$D$88)</f>
        <v/>
      </c>
      <c r="L107" s="456">
        <f>XLOOKUP($D107&amp;"|"&amp;$E107&amp;"|"&amp;$F107,'PET_STAT_RULES'!$A$5:$A$88,'PET_STAT_RULES'!$F$5:$F$88)</f>
        <v/>
      </c>
      <c r="M107" s="456">
        <f>XLOOKUP($D107&amp;"|"&amp;$E107&amp;"|"&amp;$F107,'PET_STAT_RULES'!$A$5:$A$88,'PET_STAT_RULES'!$G$5:$G$88)</f>
        <v/>
      </c>
      <c r="N107" s="38" t="n">
        <v>2</v>
      </c>
      <c r="O107" s="38" t="inlineStr">
        <is>
          <t>mech_counter_damage</t>
        </is>
      </c>
      <c r="P107" s="38" t="inlineStr">
        <is>
          <t>11 形状11</t>
        </is>
      </c>
      <c r="Q107" s="38" t="inlineStr">
        <is>
          <t>Toxic</t>
        </is>
      </c>
      <c r="R107" s="38" t="inlineStr">
        <is>
          <t>item confirmed；来源=Sharkray；攻击2格；仅保留来源商人/训练师关系。</t>
        </is>
      </c>
      <c r="S107" s="38" t="n">
        <v>4</v>
      </c>
      <c r="T107" s="38" t="n">
        <v>2</v>
      </c>
      <c r="U107" s="442" t="inlineStr">
        <is>
          <t>skill_vanguard,skill_flank,skill_pierce,skill_revolve,skill_chase,skill_break,skill_suppress,skill_finale</t>
        </is>
      </c>
      <c r="V107" s="442" t="inlineStr">
        <is>
          <t>trait_element_affinity</t>
        </is>
      </c>
      <c r="W107" s="457">
        <f>XLOOKUP($D107&amp;"|"&amp;$E107&amp;"|"&amp;$F107,'PET_STAT_RULES'!$A$5:$A$88,'PET_STAT_RULES'!$E$5:$E$88)</f>
        <v/>
      </c>
      <c r="X107" s="385" t="inlineStr">
        <is>
          <t>hero_001</t>
        </is>
      </c>
      <c r="Y107" s="386" t="inlineStr">
        <is>
          <t>playable</t>
        </is>
      </c>
      <c r="Z107" s="386" t="inlineStr">
        <is>
          <t>aquatic, weapon, friend, ray, damage</t>
        </is>
      </c>
      <c r="AA107" s="386" t="inlineStr">
        <is>
          <t>haste, poison</t>
        </is>
      </c>
    </row>
    <row r="108">
      <c r="A108" s="38" t="inlineStr">
        <is>
          <t>pal_107</t>
        </is>
      </c>
      <c r="B108" s="38" t="inlineStr">
        <is>
          <t>天羽云螭</t>
        </is>
      </c>
      <c r="C108" s="38" t="inlineStr">
        <is>
          <t>水、龙</t>
        </is>
      </c>
      <c r="D108" s="268" t="inlineStr">
        <is>
          <t>钻石</t>
        </is>
      </c>
      <c r="E108" s="38" t="inlineStr">
        <is>
          <t>召唤</t>
        </is>
      </c>
      <c r="F108" s="38" t="inlineStr">
        <is>
          <t>三格</t>
        </is>
      </c>
      <c r="G108" s="38" t="inlineStr">
        <is>
          <t>bz_van_107</t>
        </is>
      </c>
      <c r="H108" s="38" t="inlineStr">
        <is>
          <t>elem_火, elem_水, elem_雷, elem_冰, elem_地, elem_暗, role_控制, role_治疗, role_输出, role_风系铺场</t>
        </is>
      </c>
      <c r="I108" s="38" t="n">
        <v>10</v>
      </c>
      <c r="J108" s="456">
        <f>XLOOKUP($D108&amp;"|"&amp;$E108&amp;"|"&amp;$F108,'PET_STAT_RULES'!$A$5:$A$88,'PET_STAT_RULES'!$C$5:$C$88)</f>
        <v/>
      </c>
      <c r="K108" s="456">
        <f>XLOOKUP($D108&amp;"|"&amp;$E108&amp;"|"&amp;$F108,'PET_STAT_RULES'!$A$5:$A$88,'PET_STAT_RULES'!$D$5:$D$88)</f>
        <v/>
      </c>
      <c r="L108" s="456">
        <f>XLOOKUP($D108&amp;"|"&amp;$E108&amp;"|"&amp;$F108,'PET_STAT_RULES'!$A$5:$A$88,'PET_STAT_RULES'!$F$5:$F$88)</f>
        <v/>
      </c>
      <c r="M108" s="456">
        <f>XLOOKUP($D108&amp;"|"&amp;$E108&amp;"|"&amp;$F108,'PET_STAT_RULES'!$A$5:$A$88,'PET_STAT_RULES'!$G$5:$G$88)</f>
        <v/>
      </c>
      <c r="N108" s="38" t="n">
        <v>2</v>
      </c>
      <c r="O108" s="38" t="inlineStr">
        <is>
          <t>mech_grow_shield_each_round</t>
        </is>
      </c>
      <c r="P108" s="38" t="inlineStr">
        <is>
          <t>12 形状12</t>
        </is>
      </c>
      <c r="Q108" s="38" t="inlineStr">
        <is>
          <t>Radiant</t>
        </is>
      </c>
      <c r="R108" s="38" t="inlineStr">
        <is>
          <t>item confirmed；来源=Shipwreck；攻击2格；仅保留来源商人/训练师关系。</t>
        </is>
      </c>
      <c r="S108" s="38" t="n">
        <v>2</v>
      </c>
      <c r="T108" s="38" t="n">
        <v>3</v>
      </c>
      <c r="U108" s="442" t="inlineStr">
        <is>
          <t>skill_vanguard,skill_flank,skill_pierce,skill_revolve,skill_chase,skill_break,skill_suppress,skill_finale</t>
        </is>
      </c>
      <c r="V108" s="442" t="inlineStr">
        <is>
          <t>trait_combo_resonance</t>
        </is>
      </c>
      <c r="W108" s="457">
        <f>XLOOKUP($D108&amp;"|"&amp;$E108&amp;"|"&amp;$F108,'PET_STAT_RULES'!$A$5:$A$88,'PET_STAT_RULES'!$E$5:$E$88)</f>
        <v/>
      </c>
      <c r="X108" s="385" t="inlineStr">
        <is>
          <t>hero_001</t>
        </is>
      </c>
      <c r="Y108" s="386" t="inlineStr">
        <is>
          <t>playable</t>
        </is>
      </c>
      <c r="Z108" s="386" t="inlineStr">
        <is>
          <t>aquatic, vehicle, property, relic</t>
        </is>
      </c>
      <c r="AA108" s="386" t="str"/>
    </row>
    <row r="109">
      <c r="A109" s="38" t="inlineStr">
        <is>
          <t>pal_108</t>
        </is>
      </c>
      <c r="B109" s="38" t="inlineStr">
        <is>
          <t>焰羽赤雕</t>
        </is>
      </c>
      <c r="C109" s="38" t="inlineStr">
        <is>
          <t>雷</t>
        </is>
      </c>
      <c r="D109" s="259" t="inlineStr">
        <is>
          <t>青铜</t>
        </is>
      </c>
      <c r="E109" s="38" t="inlineStr">
        <is>
          <t>输出</t>
        </is>
      </c>
      <c r="F109" s="38" t="inlineStr">
        <is>
          <t>一格</t>
        </is>
      </c>
      <c r="G109" s="38" t="inlineStr">
        <is>
          <t>bz_van_108</t>
        </is>
      </c>
      <c r="H109" s="38" t="inlineStr">
        <is>
          <t>night_base, elem_火, elem_雷, elem_地, role_召唤, role_坦克, role_控制, role_治疗, tier_pT1, role_重甲抗压</t>
        </is>
      </c>
      <c r="I109" s="38" t="n">
        <v>10</v>
      </c>
      <c r="J109" s="456">
        <f>XLOOKUP($D109&amp;"|"&amp;$E109&amp;"|"&amp;$F109,'PET_STAT_RULES'!$A$5:$A$88,'PET_STAT_RULES'!$C$5:$C$88)</f>
        <v/>
      </c>
      <c r="K109" s="456">
        <f>XLOOKUP($D109&amp;"|"&amp;$E109&amp;"|"&amp;$F109,'PET_STAT_RULES'!$A$5:$A$88,'PET_STAT_RULES'!$D$5:$D$88)</f>
        <v/>
      </c>
      <c r="L109" s="456">
        <f>XLOOKUP($D109&amp;"|"&amp;$E109&amp;"|"&amp;$F109,'PET_STAT_RULES'!$A$5:$A$88,'PET_STAT_RULES'!$F$5:$F$88)</f>
        <v/>
      </c>
      <c r="M109" s="456">
        <f>XLOOKUP($D109&amp;"|"&amp;$E109&amp;"|"&amp;$F109,'PET_STAT_RULES'!$A$5:$A$88,'PET_STAT_RULES'!$G$5:$G$88)</f>
        <v/>
      </c>
      <c r="N109" s="38" t="n">
        <v>1</v>
      </c>
      <c r="O109" s="38" t="inlineStr">
        <is>
          <t>mech_grow_atk_each_round</t>
        </is>
      </c>
      <c r="P109" s="38" t="inlineStr">
        <is>
          <t>02 形状02</t>
        </is>
      </c>
      <c r="Q109" s="38" t="inlineStr">
        <is>
          <t>Deadly</t>
        </is>
      </c>
      <c r="R109" s="38" t="inlineStr">
        <is>
          <t>item confirmed；来源=Shoe Blade；攻击1格；仅保留来源商人/训练师关系。</t>
        </is>
      </c>
      <c r="S109" s="38" t="n">
        <v>3</v>
      </c>
      <c r="T109" s="38" t="n">
        <v>1</v>
      </c>
      <c r="U109" s="442" t="inlineStr">
        <is>
          <t>skill_vanguard,skill_flank,skill_pierce,skill_revolve,skill_chase,skill_break,skill_suppress,skill_finale</t>
        </is>
      </c>
      <c r="V109" s="442" t="inlineStr">
        <is>
          <t>trait_relentless</t>
        </is>
      </c>
      <c r="W109" s="457">
        <f>XLOOKUP($D109&amp;"|"&amp;$E109&amp;"|"&amp;$F109,'PET_STAT_RULES'!$A$5:$A$88,'PET_STAT_RULES'!$E$5:$E$88)</f>
        <v/>
      </c>
      <c r="X109" s="385" t="inlineStr">
        <is>
          <t>hero_001</t>
        </is>
      </c>
      <c r="Y109" s="386" t="inlineStr">
        <is>
          <t>playable</t>
        </is>
      </c>
      <c r="Z109" s="386" t="inlineStr">
        <is>
          <t>weapon, apparel, damage, crit</t>
        </is>
      </c>
      <c r="AA109" s="386" t="str"/>
    </row>
    <row r="110">
      <c r="A110" s="38" t="inlineStr">
        <is>
          <t>pal_109</t>
        </is>
      </c>
      <c r="B110" s="38" t="inlineStr">
        <is>
          <t>冥羽黑乌</t>
        </is>
      </c>
      <c r="C110" s="38" t="inlineStr">
        <is>
          <t>雷</t>
        </is>
      </c>
      <c r="D110" s="265" t="inlineStr">
        <is>
          <t>白银</t>
        </is>
      </c>
      <c r="E110" s="38" t="inlineStr">
        <is>
          <t>控制</t>
        </is>
      </c>
      <c r="F110" s="38" t="inlineStr">
        <is>
          <t>一格</t>
        </is>
      </c>
      <c r="G110" s="38" t="inlineStr">
        <is>
          <t>bz_van_109</t>
        </is>
      </c>
      <c r="H110" s="38" t="inlineStr">
        <is>
          <t>elem_火, elem_雷, elem_冰, elem_地, role_坦克, role_控制, role_机动, special_merchant, elite_high, role_召唤铺场</t>
        </is>
      </c>
      <c r="I110" s="38" t="n">
        <v>10</v>
      </c>
      <c r="J110" s="456">
        <f>XLOOKUP($D110&amp;"|"&amp;$E110&amp;"|"&amp;$F110,'PET_STAT_RULES'!$A$5:$A$88,'PET_STAT_RULES'!$C$5:$C$88)</f>
        <v/>
      </c>
      <c r="K110" s="456">
        <f>XLOOKUP($D110&amp;"|"&amp;$E110&amp;"|"&amp;$F110,'PET_STAT_RULES'!$A$5:$A$88,'PET_STAT_RULES'!$D$5:$D$88)</f>
        <v/>
      </c>
      <c r="L110" s="456">
        <f>XLOOKUP($D110&amp;"|"&amp;$E110&amp;"|"&amp;$F110,'PET_STAT_RULES'!$A$5:$A$88,'PET_STAT_RULES'!$F$5:$F$88)</f>
        <v/>
      </c>
      <c r="M110" s="456">
        <f>XLOOKUP($D110&amp;"|"&amp;$E110&amp;"|"&amp;$F110,'PET_STAT_RULES'!$A$5:$A$88,'PET_STAT_RULES'!$G$5:$G$88)</f>
        <v/>
      </c>
      <c r="N110" s="38" t="n">
        <v>2</v>
      </c>
      <c r="O110" s="38" t="inlineStr">
        <is>
          <t>mech_counter_damage</t>
        </is>
      </c>
      <c r="P110" s="38" t="inlineStr">
        <is>
          <t>05 形状05</t>
        </is>
      </c>
      <c r="Q110" s="38" t="inlineStr">
        <is>
          <t>Icy</t>
        </is>
      </c>
      <c r="R110" s="38" t="inlineStr">
        <is>
          <t>item confirmed；来源=Shot Glasses；攻击2格；仅保留来源商人/训练师关系。</t>
        </is>
      </c>
      <c r="S110" s="38" t="n">
        <v>4</v>
      </c>
      <c r="T110" s="38" t="n">
        <v>2</v>
      </c>
      <c r="U110" s="442" t="inlineStr">
        <is>
          <t>skill_vanguard,skill_flank,skill_pierce,skill_revolve,skill_chase,skill_break,skill_suppress,skill_finale</t>
        </is>
      </c>
      <c r="V110" s="442" t="inlineStr">
        <is>
          <t>trait_element_affinity</t>
        </is>
      </c>
      <c r="W110" s="457">
        <f>XLOOKUP($D110&amp;"|"&amp;$E110&amp;"|"&amp;$F110,'PET_STAT_RULES'!$A$5:$A$88,'PET_STAT_RULES'!$E$5:$E$88)</f>
        <v/>
      </c>
      <c r="X110" s="385" t="inlineStr">
        <is>
          <t>hero_001</t>
        </is>
      </c>
      <c r="Y110" s="386" t="inlineStr">
        <is>
          <t>playable</t>
        </is>
      </c>
      <c r="Z110" s="386" t="inlineStr">
        <is>
          <t>ammo, haste, slow</t>
        </is>
      </c>
      <c r="AA110" s="386" t="str"/>
    </row>
    <row r="111">
      <c r="A111" s="38" t="inlineStr">
        <is>
          <t>pal_110</t>
        </is>
      </c>
      <c r="B111" s="38" t="inlineStr">
        <is>
          <t>渊鳞黑蛟</t>
        </is>
      </c>
      <c r="C111" s="38" t="inlineStr">
        <is>
          <t>雷</t>
        </is>
      </c>
      <c r="D111" s="259" t="inlineStr">
        <is>
          <t>青铜</t>
        </is>
      </c>
      <c r="E111" s="38" t="inlineStr">
        <is>
          <t>输出</t>
        </is>
      </c>
      <c r="F111" s="38" t="inlineStr">
        <is>
          <t>两格</t>
        </is>
      </c>
      <c r="G111" s="38" t="inlineStr">
        <is>
          <t>bz_van_110</t>
        </is>
      </c>
      <c r="H111" s="38" t="inlineStr">
        <is>
          <t>night_base, elem_水, elem_雷, elem_无, role_召唤, role_坦克, role_控制, role_治疗, role_经济, role_远点压制</t>
        </is>
      </c>
      <c r="I111" s="38" t="n">
        <v>10</v>
      </c>
      <c r="J111" s="456">
        <f>XLOOKUP($D111&amp;"|"&amp;$E111&amp;"|"&amp;$F111,'PET_STAT_RULES'!$A$5:$A$88,'PET_STAT_RULES'!$C$5:$C$88)</f>
        <v/>
      </c>
      <c r="K111" s="456">
        <f>XLOOKUP($D111&amp;"|"&amp;$E111&amp;"|"&amp;$F111,'PET_STAT_RULES'!$A$5:$A$88,'PET_STAT_RULES'!$D$5:$D$88)</f>
        <v/>
      </c>
      <c r="L111" s="456">
        <f>XLOOKUP($D111&amp;"|"&amp;$E111&amp;"|"&amp;$F111,'PET_STAT_RULES'!$A$5:$A$88,'PET_STAT_RULES'!$F$5:$F$88)</f>
        <v/>
      </c>
      <c r="M111" s="456">
        <f>XLOOKUP($D111&amp;"|"&amp;$E111&amp;"|"&amp;$F111,'PET_STAT_RULES'!$A$5:$A$88,'PET_STAT_RULES'!$G$5:$G$88)</f>
        <v/>
      </c>
      <c r="N111" s="38" t="n">
        <v>3</v>
      </c>
      <c r="O111" s="38" t="inlineStr">
        <is>
          <t>mech_grow_atk_each_round</t>
        </is>
      </c>
      <c r="P111" s="38" t="inlineStr">
        <is>
          <t>16 形状16</t>
        </is>
      </c>
      <c r="Q111" s="38" t="inlineStr">
        <is>
          <t>Deadly</t>
        </is>
      </c>
      <c r="R111" s="38" t="inlineStr">
        <is>
          <t>item confirmed；来源=Shovel；攻击3格；仅保留来源商人/训练师关系。</t>
        </is>
      </c>
      <c r="S111" s="38" t="n">
        <v>3</v>
      </c>
      <c r="T111" s="38" t="n">
        <v>1</v>
      </c>
      <c r="U111" s="442" t="inlineStr">
        <is>
          <t>skill_vanguard,skill_flank,skill_pierce,skill_revolve,skill_chase,skill_break,skill_suppress,skill_finale</t>
        </is>
      </c>
      <c r="V111" s="442" t="inlineStr">
        <is>
          <t>trait_relentless</t>
        </is>
      </c>
      <c r="W111" s="457">
        <f>XLOOKUP($D111&amp;"|"&amp;$E111&amp;"|"&amp;$F111,'PET_STAT_RULES'!$A$5:$A$88,'PET_STAT_RULES'!$E$5:$E$88)</f>
        <v/>
      </c>
      <c r="X111" s="385" t="inlineStr">
        <is>
          <t>hero_001</t>
        </is>
      </c>
      <c r="Y111" s="386" t="inlineStr">
        <is>
          <t>playable</t>
        </is>
      </c>
      <c r="Z111" s="386" t="inlineStr">
        <is>
          <t>weapon, tool, damage</t>
        </is>
      </c>
      <c r="AA111" s="386" t="str"/>
    </row>
    <row r="112">
      <c r="A112" s="38" t="inlineStr">
        <is>
          <t>pal_111</t>
        </is>
      </c>
      <c r="B112" s="38" t="inlineStr">
        <is>
          <t>毒甲蝎将</t>
        </is>
      </c>
      <c r="C112" s="38" t="inlineStr">
        <is>
          <t>雷</t>
        </is>
      </c>
      <c r="D112" s="259" t="inlineStr">
        <is>
          <t>青铜</t>
        </is>
      </c>
      <c r="E112" s="38" t="inlineStr">
        <is>
          <t>输出</t>
        </is>
      </c>
      <c r="F112" s="38" t="inlineStr">
        <is>
          <t>一格</t>
        </is>
      </c>
      <c r="G112" s="38" t="inlineStr">
        <is>
          <t>bz_van_111</t>
        </is>
      </c>
      <c r="H112" s="38" t="inlineStr">
        <is>
          <t>night_base, elem_火, elem_雷, elem_地, role_召唤, role_坦克, role_控制, role_治疗, role_经济, role_机动</t>
        </is>
      </c>
      <c r="I112" s="38" t="n">
        <v>10</v>
      </c>
      <c r="J112" s="456">
        <f>XLOOKUP($D112&amp;"|"&amp;$E112&amp;"|"&amp;$F112,'PET_STAT_RULES'!$A$5:$A$88,'PET_STAT_RULES'!$C$5:$C$88)</f>
        <v/>
      </c>
      <c r="K112" s="456">
        <f>XLOOKUP($D112&amp;"|"&amp;$E112&amp;"|"&amp;$F112,'PET_STAT_RULES'!$A$5:$A$88,'PET_STAT_RULES'!$D$5:$D$88)</f>
        <v/>
      </c>
      <c r="L112" s="456">
        <f>XLOOKUP($D112&amp;"|"&amp;$E112&amp;"|"&amp;$F112,'PET_STAT_RULES'!$A$5:$A$88,'PET_STAT_RULES'!$F$5:$F$88)</f>
        <v/>
      </c>
      <c r="M112" s="456">
        <f>XLOOKUP($D112&amp;"|"&amp;$E112&amp;"|"&amp;$F112,'PET_STAT_RULES'!$A$5:$A$88,'PET_STAT_RULES'!$G$5:$G$88)</f>
        <v/>
      </c>
      <c r="N112" s="38" t="n">
        <v>3</v>
      </c>
      <c r="O112" s="38" t="inlineStr">
        <is>
          <t>mech_grow_atk_each_round</t>
        </is>
      </c>
      <c r="P112" s="38" t="inlineStr">
        <is>
          <t>16 形状16</t>
        </is>
      </c>
      <c r="Q112" s="38" t="inlineStr">
        <is>
          <t>Deadly</t>
        </is>
      </c>
      <c r="R112" s="38" t="inlineStr">
        <is>
          <t>item confirmed；来源=Shuriken；攻击3格；仅保留来源商人/训练师关系。</t>
        </is>
      </c>
      <c r="S112" s="38" t="n">
        <v>3</v>
      </c>
      <c r="T112" s="38" t="n">
        <v>1</v>
      </c>
      <c r="U112" s="442" t="inlineStr">
        <is>
          <t>skill_vanguard,skill_flank,skill_pierce,skill_revolve,skill_chase,skill_break,skill_suppress,skill_finale</t>
        </is>
      </c>
      <c r="V112" s="442" t="inlineStr">
        <is>
          <t>trait_relentless</t>
        </is>
      </c>
      <c r="W112" s="457">
        <f>XLOOKUP($D112&amp;"|"&amp;$E112&amp;"|"&amp;$F112,'PET_STAT_RULES'!$A$5:$A$88,'PET_STAT_RULES'!$E$5:$E$88)</f>
        <v/>
      </c>
      <c r="X112" s="385" t="inlineStr">
        <is>
          <t>hero_001</t>
        </is>
      </c>
      <c r="Y112" s="386" t="inlineStr">
        <is>
          <t>playable</t>
        </is>
      </c>
      <c r="Z112" s="386" t="inlineStr">
        <is>
          <t>weapon, damage, ammo</t>
        </is>
      </c>
      <c r="AA112" s="386" t="str"/>
    </row>
    <row r="113">
      <c r="A113" s="38" t="inlineStr">
        <is>
          <t>pal_112</t>
        </is>
      </c>
      <c r="B113" s="38" t="inlineStr">
        <is>
          <t>石猿战将</t>
        </is>
      </c>
      <c r="C113" s="38" t="inlineStr">
        <is>
          <t>火、冰</t>
        </is>
      </c>
      <c r="D113" s="262" t="inlineStr">
        <is>
          <t>黄金</t>
        </is>
      </c>
      <c r="E113" s="38" t="inlineStr">
        <is>
          <t>控制</t>
        </is>
      </c>
      <c r="F113" s="38" t="inlineStr">
        <is>
          <t>三格</t>
        </is>
      </c>
      <c r="G113" s="38" t="inlineStr">
        <is>
          <t>bz_van_112</t>
        </is>
      </c>
      <c r="H113" s="38" t="inlineStr">
        <is>
          <t>night_base, elem_水, elem_雷, role_坦克, role_控制, role_输出, tier_pT2, role_机动压制, role_风系牵制, role_火系压制</t>
        </is>
      </c>
      <c r="I113" s="38" t="n">
        <v>10</v>
      </c>
      <c r="J113" s="456">
        <f>XLOOKUP($D113&amp;"|"&amp;$E113&amp;"|"&amp;$F113,'PET_STAT_RULES'!$A$5:$A$88,'PET_STAT_RULES'!$C$5:$C$88)</f>
        <v/>
      </c>
      <c r="K113" s="456">
        <f>XLOOKUP($D113&amp;"|"&amp;$E113&amp;"|"&amp;$F113,'PET_STAT_RULES'!$A$5:$A$88,'PET_STAT_RULES'!$D$5:$D$88)</f>
        <v/>
      </c>
      <c r="L113" s="456">
        <f>XLOOKUP($D113&amp;"|"&amp;$E113&amp;"|"&amp;$F113,'PET_STAT_RULES'!$A$5:$A$88,'PET_STAT_RULES'!$F$5:$F$88)</f>
        <v/>
      </c>
      <c r="M113" s="456">
        <f>XLOOKUP($D113&amp;"|"&amp;$E113&amp;"|"&amp;$F113,'PET_STAT_RULES'!$A$5:$A$88,'PET_STAT_RULES'!$G$5:$G$88)</f>
        <v/>
      </c>
      <c r="N113" s="38" t="n">
        <v>2</v>
      </c>
      <c r="O113" s="38" t="inlineStr">
        <is>
          <t>mech_fire_ignite_bonus</t>
        </is>
      </c>
      <c r="P113" s="38" t="inlineStr">
        <is>
          <t>10 形状10</t>
        </is>
      </c>
      <c r="Q113" s="38" t="inlineStr">
        <is>
          <t>Fiery</t>
        </is>
      </c>
      <c r="R113" s="38" t="inlineStr">
        <is>
          <t>item confirmed；来源=Slumbering Primordial；攻击2格；仅保留来源商人/训练师关系。</t>
        </is>
      </c>
      <c r="S113" s="38" t="n">
        <v>4</v>
      </c>
      <c r="T113" s="38" t="n">
        <v>2</v>
      </c>
      <c r="U113" s="442" t="inlineStr">
        <is>
          <t>skill_vanguard,skill_flank,skill_pierce,skill_revolve,skill_chase,skill_break,skill_suppress,skill_finale</t>
        </is>
      </c>
      <c r="V113" s="442" t="inlineStr">
        <is>
          <t>trait_element_affinity</t>
        </is>
      </c>
      <c r="W113" s="457">
        <f>XLOOKUP($D113&amp;"|"&amp;$E113&amp;"|"&amp;$F113,'PET_STAT_RULES'!$A$5:$A$88,'PET_STAT_RULES'!$E$5:$E$88)</f>
        <v/>
      </c>
      <c r="X113" s="385" t="inlineStr">
        <is>
          <t>hero_001</t>
        </is>
      </c>
      <c r="Y113" s="386" t="inlineStr">
        <is>
          <t>playable</t>
        </is>
      </c>
      <c r="Z113" s="386" t="inlineStr">
        <is>
          <t>friend, aquatic, weapon, relic, damage</t>
        </is>
      </c>
      <c r="AA113" s="386" t="inlineStr">
        <is>
          <t>poison, freeze, burn</t>
        </is>
      </c>
    </row>
    <row r="114">
      <c r="A114" s="38" t="inlineStr">
        <is>
          <t>pal_113</t>
        </is>
      </c>
      <c r="B114" s="38" t="inlineStr">
        <is>
          <t>覆海蛟王</t>
        </is>
      </c>
      <c r="C114" s="38" t="inlineStr">
        <is>
          <t>水</t>
        </is>
      </c>
      <c r="D114" s="262" t="inlineStr">
        <is>
          <t>黄金</t>
        </is>
      </c>
      <c r="E114" s="38" t="inlineStr">
        <is>
          <t>输出</t>
        </is>
      </c>
      <c r="F114" s="38" t="inlineStr">
        <is>
          <t>两格</t>
        </is>
      </c>
      <c r="G114" s="38" t="inlineStr">
        <is>
          <t>bz_van_113</t>
        </is>
      </c>
      <c r="H114" s="38" t="inlineStr">
        <is>
          <t>night_base, elem_水, elem_雷, elem_暗, elem_无, role_召唤, role_坦克, role_控制, role_治疗, elite_high</t>
        </is>
      </c>
      <c r="I114" s="38" t="n">
        <v>10</v>
      </c>
      <c r="J114" s="456">
        <f>XLOOKUP($D114&amp;"|"&amp;$E114&amp;"|"&amp;$F114,'PET_STAT_RULES'!$A$5:$A$88,'PET_STAT_RULES'!$C$5:$C$88)</f>
        <v/>
      </c>
      <c r="K114" s="456">
        <f>XLOOKUP($D114&amp;"|"&amp;$E114&amp;"|"&amp;$F114,'PET_STAT_RULES'!$A$5:$A$88,'PET_STAT_RULES'!$D$5:$D$88)</f>
        <v/>
      </c>
      <c r="L114" s="456">
        <f>XLOOKUP($D114&amp;"|"&amp;$E114&amp;"|"&amp;$F114,'PET_STAT_RULES'!$A$5:$A$88,'PET_STAT_RULES'!$F$5:$F$88)</f>
        <v/>
      </c>
      <c r="M114" s="456">
        <f>XLOOKUP($D114&amp;"|"&amp;$E114&amp;"|"&amp;$F114,'PET_STAT_RULES'!$A$5:$A$88,'PET_STAT_RULES'!$G$5:$G$88)</f>
        <v/>
      </c>
      <c r="N114" s="38" t="n">
        <v>3</v>
      </c>
      <c r="O114" s="38" t="inlineStr">
        <is>
          <t>mech_grow_atk_each_round</t>
        </is>
      </c>
      <c r="P114" s="38" t="inlineStr">
        <is>
          <t>17 形状17</t>
        </is>
      </c>
      <c r="Q114" s="38" t="inlineStr">
        <is>
          <t>Deadly</t>
        </is>
      </c>
      <c r="R114" s="38" t="inlineStr">
        <is>
          <t>item confirmed；来源=Sniper Rifle；攻击3格；仅保留来源商人/训练师关系。</t>
        </is>
      </c>
      <c r="S114" s="38" t="n">
        <v>3</v>
      </c>
      <c r="T114" s="38" t="n">
        <v>2</v>
      </c>
      <c r="U114" s="442" t="inlineStr">
        <is>
          <t>skill_vanguard,skill_flank,skill_pierce,skill_revolve,skill_chase,skill_break,skill_suppress,skill_finale</t>
        </is>
      </c>
      <c r="V114" s="442" t="inlineStr">
        <is>
          <t>trait_relentless</t>
        </is>
      </c>
      <c r="W114" s="457">
        <f>XLOOKUP($D114&amp;"|"&amp;$E114&amp;"|"&amp;$F114,'PET_STAT_RULES'!$A$5:$A$88,'PET_STAT_RULES'!$E$5:$E$88)</f>
        <v/>
      </c>
      <c r="X114" s="385" t="inlineStr">
        <is>
          <t>hero_001</t>
        </is>
      </c>
      <c r="Y114" s="386" t="inlineStr">
        <is>
          <t>playable</t>
        </is>
      </c>
      <c r="Z114" s="386" t="inlineStr">
        <is>
          <t>weapon, damage</t>
        </is>
      </c>
      <c r="AA114" s="386" t="str"/>
    </row>
    <row r="115">
      <c r="A115" s="38" t="inlineStr">
        <is>
          <t>pal_114</t>
        </is>
      </c>
      <c r="B115" s="38" t="inlineStr">
        <is>
          <t>赤焰龙君</t>
        </is>
      </c>
      <c r="C115" s="38" t="inlineStr">
        <is>
          <t>雷</t>
        </is>
      </c>
      <c r="D115" s="262" t="inlineStr">
        <is>
          <t>黄金</t>
        </is>
      </c>
      <c r="E115" s="38" t="inlineStr">
        <is>
          <t>控制</t>
        </is>
      </c>
      <c r="F115" s="38" t="inlineStr">
        <is>
          <t>两格</t>
        </is>
      </c>
      <c r="G115" s="38" t="inlineStr">
        <is>
          <t>bz_van_114</t>
        </is>
      </c>
      <c r="H115" s="38" t="inlineStr">
        <is>
          <t>elem_水, elem_雷, elem_冰, elem_无, role_坦克, role_控制, special_merchant, tier_pT1, role_召唤铺场, role_远点压制</t>
        </is>
      </c>
      <c r="I115" s="38" t="n">
        <v>10</v>
      </c>
      <c r="J115" s="456">
        <f>XLOOKUP($D115&amp;"|"&amp;$E115&amp;"|"&amp;$F115,'PET_STAT_RULES'!$A$5:$A$88,'PET_STAT_RULES'!$C$5:$C$88)</f>
        <v/>
      </c>
      <c r="K115" s="456">
        <f>XLOOKUP($D115&amp;"|"&amp;$E115&amp;"|"&amp;$F115,'PET_STAT_RULES'!$A$5:$A$88,'PET_STAT_RULES'!$D$5:$D$88)</f>
        <v/>
      </c>
      <c r="L115" s="456">
        <f>XLOOKUP($D115&amp;"|"&amp;$E115&amp;"|"&amp;$F115,'PET_STAT_RULES'!$A$5:$A$88,'PET_STAT_RULES'!$F$5:$F$88)</f>
        <v/>
      </c>
      <c r="M115" s="456">
        <f>XLOOKUP($D115&amp;"|"&amp;$E115&amp;"|"&amp;$F115,'PET_STAT_RULES'!$A$5:$A$88,'PET_STAT_RULES'!$G$5:$G$88)</f>
        <v/>
      </c>
      <c r="N115" s="38" t="n">
        <v>3</v>
      </c>
      <c r="O115" s="38" t="inlineStr">
        <is>
          <t>mech_counter_damage</t>
        </is>
      </c>
      <c r="P115" s="38" t="inlineStr">
        <is>
          <t>15 形状15</t>
        </is>
      </c>
      <c r="Q115" s="38" t="inlineStr">
        <is>
          <t>Icy</t>
        </is>
      </c>
      <c r="R115" s="38" t="inlineStr">
        <is>
          <t>item confirmed；来源=Spyglass；攻击3格；仅保留来源商人/训练师关系。</t>
        </is>
      </c>
      <c r="S115" s="38" t="n">
        <v>4</v>
      </c>
      <c r="T115" s="38" t="n">
        <v>2</v>
      </c>
      <c r="U115" s="442" t="inlineStr">
        <is>
          <t>skill_vanguard,skill_flank,skill_pierce,skill_revolve,skill_chase,skill_break,skill_suppress,skill_finale</t>
        </is>
      </c>
      <c r="V115" s="442" t="inlineStr">
        <is>
          <t>trait_element_affinity</t>
        </is>
      </c>
      <c r="W115" s="457">
        <f>XLOOKUP($D115&amp;"|"&amp;$E115&amp;"|"&amp;$F115,'PET_STAT_RULES'!$A$5:$A$88,'PET_STAT_RULES'!$E$5:$E$88)</f>
        <v/>
      </c>
      <c r="X115" s="385" t="inlineStr">
        <is>
          <t>hero_001</t>
        </is>
      </c>
      <c r="Y115" s="386" t="inlineStr">
        <is>
          <t>playable</t>
        </is>
      </c>
      <c r="Z115" s="386" t="inlineStr">
        <is>
          <t>tool, crit, cooldown</t>
        </is>
      </c>
      <c r="AA115" s="386" t="inlineStr">
        <is>
          <t>slow</t>
        </is>
      </c>
    </row>
    <row r="116">
      <c r="A116" s="38" t="inlineStr">
        <is>
          <t>pal_115</t>
        </is>
      </c>
      <c r="B116" s="38" t="inlineStr">
        <is>
          <t>南明朱雀</t>
        </is>
      </c>
      <c r="C116" s="38" t="inlineStr">
        <is>
          <t>雷、龙</t>
        </is>
      </c>
      <c r="D116" s="259" t="inlineStr">
        <is>
          <t>青铜</t>
        </is>
      </c>
      <c r="E116" s="38" t="inlineStr">
        <is>
          <t>机动</t>
        </is>
      </c>
      <c r="F116" s="38" t="inlineStr">
        <is>
          <t>两格</t>
        </is>
      </c>
      <c r="G116" s="38" t="inlineStr">
        <is>
          <t>bz_van_115</t>
        </is>
      </c>
      <c r="H116" s="38" t="inlineStr">
        <is>
          <t>elem_水, elem_雷, elem_冰, elem_无, role_召唤, role_坦克, role_控制, special_merchant, tier_pT1, role_远点压制</t>
        </is>
      </c>
      <c r="I116" s="38" t="n">
        <v>10</v>
      </c>
      <c r="J116" s="456">
        <f>XLOOKUP($D116&amp;"|"&amp;$E116&amp;"|"&amp;$F116,'PET_STAT_RULES'!$A$5:$A$88,'PET_STAT_RULES'!$C$5:$C$88)</f>
        <v/>
      </c>
      <c r="K116" s="456">
        <f>XLOOKUP($D116&amp;"|"&amp;$E116&amp;"|"&amp;$F116,'PET_STAT_RULES'!$A$5:$A$88,'PET_STAT_RULES'!$D$5:$D$88)</f>
        <v/>
      </c>
      <c r="L116" s="456">
        <f>XLOOKUP($D116&amp;"|"&amp;$E116&amp;"|"&amp;$F116,'PET_STAT_RULES'!$A$5:$A$88,'PET_STAT_RULES'!$F$5:$F$88)</f>
        <v/>
      </c>
      <c r="M116" s="456">
        <f>XLOOKUP($D116&amp;"|"&amp;$E116&amp;"|"&amp;$F116,'PET_STAT_RULES'!$A$5:$A$88,'PET_STAT_RULES'!$G$5:$G$88)</f>
        <v/>
      </c>
      <c r="N116" s="38" t="n">
        <v>2</v>
      </c>
      <c r="O116" s="38" t="inlineStr">
        <is>
          <t>none</t>
        </is>
      </c>
      <c r="P116" s="38" t="inlineStr">
        <is>
          <t>09 形状09</t>
        </is>
      </c>
      <c r="Q116" s="38" t="inlineStr">
        <is>
          <t>Turbo</t>
        </is>
      </c>
      <c r="R116" s="38" t="inlineStr">
        <is>
          <t>item confirmed；来源=Star Chart；攻击2格；仅保留来源商人/训练师关系。</t>
        </is>
      </c>
      <c r="S116" s="38" t="n">
        <v>5</v>
      </c>
      <c r="T116" s="38" t="n">
        <v>1</v>
      </c>
      <c r="U116" s="442" t="inlineStr">
        <is>
          <t>skill_vanguard,skill_flank,skill_pierce,skill_revolve,skill_chase,skill_break,skill_suppress,skill_finale</t>
        </is>
      </c>
      <c r="V116" s="442" t="inlineStr">
        <is>
          <t>trait_relentless</t>
        </is>
      </c>
      <c r="W116" s="457">
        <f>XLOOKUP($D116&amp;"|"&amp;$E116&amp;"|"&amp;$F116,'PET_STAT_RULES'!$A$5:$A$88,'PET_STAT_RULES'!$E$5:$E$88)</f>
        <v/>
      </c>
      <c r="X116" s="385" t="inlineStr">
        <is>
          <t>hero_001</t>
        </is>
      </c>
      <c r="Y116" s="386" t="inlineStr">
        <is>
          <t>playable</t>
        </is>
      </c>
      <c r="Z116" s="386" t="inlineStr">
        <is>
          <t>tool, relic, cooldown, crit</t>
        </is>
      </c>
      <c r="AA116" s="386" t="str"/>
    </row>
    <row r="117">
      <c r="A117" s="38" t="inlineStr">
        <is>
          <t>pal_116</t>
        </is>
      </c>
      <c r="B117" s="38" t="inlineStr">
        <is>
          <t>净瓶青鸾</t>
        </is>
      </c>
      <c r="C117" s="38" t="inlineStr">
        <is>
          <t>龙</t>
        </is>
      </c>
      <c r="D117" s="265" t="inlineStr">
        <is>
          <t>白银</t>
        </is>
      </c>
      <c r="E117" s="38" t="inlineStr">
        <is>
          <t>机动</t>
        </is>
      </c>
      <c r="F117" s="38" t="inlineStr">
        <is>
          <t>三格</t>
        </is>
      </c>
      <c r="G117" s="38" t="inlineStr">
        <is>
          <t>bz_van_116</t>
        </is>
      </c>
      <c r="H117" s="38" t="inlineStr">
        <is>
          <t>elem_火, elem_水, elem_草, elem_雷, elem_冰, elem_地, role_坦克, role_控制, role_抗压承伤, role_风系铺场</t>
        </is>
      </c>
      <c r="I117" s="38" t="n">
        <v>10</v>
      </c>
      <c r="J117" s="456">
        <f>XLOOKUP($D117&amp;"|"&amp;$E117&amp;"|"&amp;$F117,'PET_STAT_RULES'!$A$5:$A$88,'PET_STAT_RULES'!$C$5:$C$88)</f>
        <v/>
      </c>
      <c r="K117" s="456">
        <f>XLOOKUP($D117&amp;"|"&amp;$E117&amp;"|"&amp;$F117,'PET_STAT_RULES'!$A$5:$A$88,'PET_STAT_RULES'!$D$5:$D$88)</f>
        <v/>
      </c>
      <c r="L117" s="456">
        <f>XLOOKUP($D117&amp;"|"&amp;$E117&amp;"|"&amp;$F117,'PET_STAT_RULES'!$A$5:$A$88,'PET_STAT_RULES'!$F$5:$F$88)</f>
        <v/>
      </c>
      <c r="M117" s="456">
        <f>XLOOKUP($D117&amp;"|"&amp;$E117&amp;"|"&amp;$F117,'PET_STAT_RULES'!$A$5:$A$88,'PET_STAT_RULES'!$G$5:$G$88)</f>
        <v/>
      </c>
      <c r="N117" s="38" t="n">
        <v>2</v>
      </c>
      <c r="O117" s="38" t="inlineStr">
        <is>
          <t>none</t>
        </is>
      </c>
      <c r="P117" s="38" t="inlineStr">
        <is>
          <t>11 形状11</t>
        </is>
      </c>
      <c r="Q117" s="38" t="inlineStr">
        <is>
          <t>Deadly</t>
        </is>
      </c>
      <c r="R117" s="38" t="inlineStr">
        <is>
          <t>item confirmed；来源=Stealth Glider；攻击2格；仅保留来源商人/训练师关系。</t>
        </is>
      </c>
      <c r="S117" s="38" t="n">
        <v>5</v>
      </c>
      <c r="T117" s="38" t="n">
        <v>2</v>
      </c>
      <c r="U117" s="442" t="inlineStr">
        <is>
          <t>skill_vanguard,skill_flank,skill_pierce,skill_revolve,skill_chase,skill_break,skill_suppress,skill_finale</t>
        </is>
      </c>
      <c r="V117" s="442" t="inlineStr">
        <is>
          <t>trait_relentless</t>
        </is>
      </c>
      <c r="W117" s="457">
        <f>XLOOKUP($D117&amp;"|"&amp;$E117&amp;"|"&amp;$F117,'PET_STAT_RULES'!$A$5:$A$88,'PET_STAT_RULES'!$E$5:$E$88)</f>
        <v/>
      </c>
      <c r="X117" s="385" t="inlineStr">
        <is>
          <t>hero_001</t>
        </is>
      </c>
      <c r="Y117" s="386" t="inlineStr">
        <is>
          <t>playable</t>
        </is>
      </c>
      <c r="Z117" s="386" t="inlineStr">
        <is>
          <t>vehicle, tech, flying</t>
        </is>
      </c>
      <c r="AA117" s="386" t="str"/>
    </row>
    <row r="118">
      <c r="A118" s="38" t="inlineStr">
        <is>
          <t>pal_117</t>
        </is>
      </c>
      <c r="B118" s="38" t="inlineStr">
        <is>
          <t>九霄熊王</t>
        </is>
      </c>
      <c r="C118" s="38" t="inlineStr">
        <is>
          <t>冰、水</t>
        </is>
      </c>
      <c r="D118" s="265" t="inlineStr">
        <is>
          <t>白银</t>
        </is>
      </c>
      <c r="E118" s="38" t="inlineStr">
        <is>
          <t>坦克</t>
        </is>
      </c>
      <c r="F118" s="38" t="inlineStr">
        <is>
          <t>三格</t>
        </is>
      </c>
      <c r="G118" s="38" t="inlineStr">
        <is>
          <t>bz_van_117</t>
        </is>
      </c>
      <c r="H118" s="38" t="inlineStr">
        <is>
          <t>night_base, elem_火, elem_水, elem_雷, elem_地, role_坦克, role_控制, role_输出, tier_pT3, role_抗压承伤</t>
        </is>
      </c>
      <c r="I118" s="38" t="n">
        <v>10</v>
      </c>
      <c r="J118" s="456">
        <f>XLOOKUP($D118&amp;"|"&amp;$E118&amp;"|"&amp;$F118,'PET_STAT_RULES'!$A$5:$A$88,'PET_STAT_RULES'!$C$5:$C$88)</f>
        <v/>
      </c>
      <c r="K118" s="456">
        <f>XLOOKUP($D118&amp;"|"&amp;$E118&amp;"|"&amp;$F118,'PET_STAT_RULES'!$A$5:$A$88,'PET_STAT_RULES'!$D$5:$D$88)</f>
        <v/>
      </c>
      <c r="L118" s="456">
        <f>XLOOKUP($D118&amp;"|"&amp;$E118&amp;"|"&amp;$F118,'PET_STAT_RULES'!$A$5:$A$88,'PET_STAT_RULES'!$F$5:$F$88)</f>
        <v/>
      </c>
      <c r="M118" s="456">
        <f>XLOOKUP($D118&amp;"|"&amp;$E118&amp;"|"&amp;$F118,'PET_STAT_RULES'!$A$5:$A$88,'PET_STAT_RULES'!$G$5:$G$88)</f>
        <v/>
      </c>
      <c r="N118" s="38" t="n">
        <v>2</v>
      </c>
      <c r="O118" s="38" t="inlineStr">
        <is>
          <t>mech_shield_flat</t>
        </is>
      </c>
      <c r="P118" s="38" t="inlineStr">
        <is>
          <t>12 形状12</t>
        </is>
      </c>
      <c r="Q118" s="38" t="inlineStr">
        <is>
          <t>Icy</t>
        </is>
      </c>
      <c r="R118" s="38" t="inlineStr">
        <is>
          <t>item confirmed；来源=Submarine；攻击2格；仅保留来源商人/训练师关系。</t>
        </is>
      </c>
      <c r="S118" s="38" t="n">
        <v>2</v>
      </c>
      <c r="T118" s="38" t="n">
        <v>2</v>
      </c>
      <c r="U118" s="442" t="inlineStr">
        <is>
          <t>skill_vanguard,skill_flank,skill_pierce,skill_revolve,skill_chase,skill_break,skill_suppress,skill_finale</t>
        </is>
      </c>
      <c r="V118" s="442" t="inlineStr">
        <is>
          <t>trait_combo_mastery</t>
        </is>
      </c>
      <c r="W118" s="457">
        <f>XLOOKUP($D118&amp;"|"&amp;$E118&amp;"|"&amp;$F118,'PET_STAT_RULES'!$A$5:$A$88,'PET_STAT_RULES'!$E$5:$E$88)</f>
        <v/>
      </c>
      <c r="X118" s="385" t="inlineStr">
        <is>
          <t>hero_001</t>
        </is>
      </c>
      <c r="Y118" s="386" t="inlineStr">
        <is>
          <t>playable</t>
        </is>
      </c>
      <c r="Z118" s="386" t="inlineStr">
        <is>
          <t>aquatic, weapon, vehicle, tech, damage, shield</t>
        </is>
      </c>
      <c r="AA118" s="386" t="str"/>
    </row>
    <row r="119">
      <c r="A119" s="38" t="inlineStr">
        <is>
          <t>pal_118</t>
        </is>
      </c>
      <c r="B119" s="38" t="inlineStr">
        <is>
          <t>百花鹿仙</t>
        </is>
      </c>
      <c r="C119" s="38" t="inlineStr">
        <is>
          <t>水、地</t>
        </is>
      </c>
      <c r="D119" s="265" t="inlineStr">
        <is>
          <t>白银</t>
        </is>
      </c>
      <c r="E119" s="38" t="inlineStr">
        <is>
          <t>坦克</t>
        </is>
      </c>
      <c r="F119" s="38" t="inlineStr">
        <is>
          <t>两格</t>
        </is>
      </c>
      <c r="G119" s="38" t="inlineStr">
        <is>
          <t>bz_van_118</t>
        </is>
      </c>
      <c r="H119" s="38" t="inlineStr">
        <is>
          <t>elem_火, elem_水, elem_雷, elem_冰, elem_无, role_坦克, role_控制, role_输出, tier_pT3, role_抗压承伤</t>
        </is>
      </c>
      <c r="I119" s="38" t="n">
        <v>10</v>
      </c>
      <c r="J119" s="456">
        <f>XLOOKUP($D119&amp;"|"&amp;$E119&amp;"|"&amp;$F119,'PET_STAT_RULES'!$A$5:$A$88,'PET_STAT_RULES'!$C$5:$C$88)</f>
        <v/>
      </c>
      <c r="K119" s="456">
        <f>XLOOKUP($D119&amp;"|"&amp;$E119&amp;"|"&amp;$F119,'PET_STAT_RULES'!$A$5:$A$88,'PET_STAT_RULES'!$D$5:$D$88)</f>
        <v/>
      </c>
      <c r="L119" s="456">
        <f>XLOOKUP($D119&amp;"|"&amp;$E119&amp;"|"&amp;$F119,'PET_STAT_RULES'!$A$5:$A$88,'PET_STAT_RULES'!$F$5:$F$88)</f>
        <v/>
      </c>
      <c r="M119" s="456">
        <f>XLOOKUP($D119&amp;"|"&amp;$E119&amp;"|"&amp;$F119,'PET_STAT_RULES'!$A$5:$A$88,'PET_STAT_RULES'!$G$5:$G$88)</f>
        <v/>
      </c>
      <c r="N119" s="38" t="n">
        <v>2</v>
      </c>
      <c r="O119" s="38" t="inlineStr">
        <is>
          <t>mech_armor_flat</t>
        </is>
      </c>
      <c r="P119" s="38" t="inlineStr">
        <is>
          <t>09 形状09</t>
        </is>
      </c>
      <c r="Q119" s="38" t="inlineStr">
        <is>
          <t>Turbo</t>
        </is>
      </c>
      <c r="R119" s="38" t="inlineStr">
        <is>
          <t>item confirmed；来源=Submersible；攻击2格；仅保留来源商人/训练师关系。</t>
        </is>
      </c>
      <c r="S119" s="38" t="n">
        <v>3</v>
      </c>
      <c r="T119" s="38" t="n">
        <v>2</v>
      </c>
      <c r="U119" s="442" t="inlineStr">
        <is>
          <t>skill_vanguard,skill_flank,skill_pierce,skill_revolve,skill_chase,skill_break,skill_suppress,skill_finale</t>
        </is>
      </c>
      <c r="V119" s="442" t="inlineStr">
        <is>
          <t>trait_combo_mastery</t>
        </is>
      </c>
      <c r="W119" s="457">
        <f>XLOOKUP($D119&amp;"|"&amp;$E119&amp;"|"&amp;$F119,'PET_STAT_RULES'!$A$5:$A$88,'PET_STAT_RULES'!$E$5:$E$88)</f>
        <v/>
      </c>
      <c r="X119" s="385" t="inlineStr">
        <is>
          <t>hero_001</t>
        </is>
      </c>
      <c r="Y119" s="386" t="inlineStr">
        <is>
          <t>playable</t>
        </is>
      </c>
      <c r="Z119" s="386" t="inlineStr">
        <is>
          <t>aquatic, tool, vehicle, tech</t>
        </is>
      </c>
      <c r="AA119" s="386" t="inlineStr">
        <is>
          <t>damage, shield</t>
        </is>
      </c>
    </row>
    <row r="120">
      <c r="A120" s="38" t="inlineStr">
        <is>
          <t>pal_119</t>
        </is>
      </c>
      <c r="B120" s="38" t="inlineStr">
        <is>
          <t>黑月狐姬</t>
        </is>
      </c>
      <c r="C120" s="38" t="inlineStr">
        <is>
          <t>水</t>
        </is>
      </c>
      <c r="D120" s="265" t="inlineStr">
        <is>
          <t>白银</t>
        </is>
      </c>
      <c r="E120" s="38" t="inlineStr">
        <is>
          <t>机动</t>
        </is>
      </c>
      <c r="F120" s="38" t="inlineStr">
        <is>
          <t>一格</t>
        </is>
      </c>
      <c r="G120" s="38" t="inlineStr">
        <is>
          <t>bz_van_119</t>
        </is>
      </c>
      <c r="H120" s="38" t="inlineStr">
        <is>
          <t>elem_火, elem_雷, elem_冰, elem_地, role_召唤, role_坦克, role_控制, role_治疗, special_merchant, role_抗压承伤</t>
        </is>
      </c>
      <c r="I120" s="38" t="n">
        <v>10</v>
      </c>
      <c r="J120" s="456">
        <f>XLOOKUP($D120&amp;"|"&amp;$E120&amp;"|"&amp;$F120,'PET_STAT_RULES'!$A$5:$A$88,'PET_STAT_RULES'!$C$5:$C$88)</f>
        <v/>
      </c>
      <c r="K120" s="456">
        <f>XLOOKUP($D120&amp;"|"&amp;$E120&amp;"|"&amp;$F120,'PET_STAT_RULES'!$A$5:$A$88,'PET_STAT_RULES'!$D$5:$D$88)</f>
        <v/>
      </c>
      <c r="L120" s="456">
        <f>XLOOKUP($D120&amp;"|"&amp;$E120&amp;"|"&amp;$F120,'PET_STAT_RULES'!$A$5:$A$88,'PET_STAT_RULES'!$F$5:$F$88)</f>
        <v/>
      </c>
      <c r="M120" s="456">
        <f>XLOOKUP($D120&amp;"|"&amp;$E120&amp;"|"&amp;$F120,'PET_STAT_RULES'!$A$5:$A$88,'PET_STAT_RULES'!$G$5:$G$88)</f>
        <v/>
      </c>
      <c r="N120" s="38" t="n">
        <v>2</v>
      </c>
      <c r="O120" s="38" t="inlineStr">
        <is>
          <t>none</t>
        </is>
      </c>
      <c r="P120" s="38" t="inlineStr">
        <is>
          <t>08 形状08</t>
        </is>
      </c>
      <c r="Q120" s="38" t="inlineStr">
        <is>
          <t>Turbo</t>
        </is>
      </c>
      <c r="R120" s="38" t="inlineStr">
        <is>
          <t>item confirmed；来源=Suppressor；攻击2格；仅保留来源商人/训练师关系。</t>
        </is>
      </c>
      <c r="S120" s="38" t="n">
        <v>5</v>
      </c>
      <c r="T120" s="38" t="n">
        <v>2</v>
      </c>
      <c r="U120" s="442" t="inlineStr">
        <is>
          <t>skill_vanguard,skill_flank,skill_pierce,skill_revolve,skill_chase,skill_break,skill_suppress,skill_finale</t>
        </is>
      </c>
      <c r="V120" s="442" t="inlineStr">
        <is>
          <t>trait_relentless</t>
        </is>
      </c>
      <c r="W120" s="457">
        <f>XLOOKUP($D120&amp;"|"&amp;$E120&amp;"|"&amp;$F120,'PET_STAT_RULES'!$A$5:$A$88,'PET_STAT_RULES'!$E$5:$E$88)</f>
        <v/>
      </c>
      <c r="X120" s="385" t="inlineStr">
        <is>
          <t>hero_001</t>
        </is>
      </c>
      <c r="Y120" s="386" t="inlineStr">
        <is>
          <t>playable</t>
        </is>
      </c>
      <c r="Z120" s="386" t="inlineStr">
        <is>
          <t>tech, cooldown</t>
        </is>
      </c>
      <c r="AA120" s="386" t="inlineStr">
        <is>
          <t>damage</t>
        </is>
      </c>
    </row>
    <row r="121">
      <c r="A121" s="38" t="inlineStr">
        <is>
          <t>pal_120</t>
        </is>
      </c>
      <c r="B121" s="38" t="inlineStr">
        <is>
          <t>火云鹏王</t>
        </is>
      </c>
      <c r="C121" s="38" t="inlineStr">
        <is>
          <t>水、雷</t>
        </is>
      </c>
      <c r="D121" s="262" t="inlineStr">
        <is>
          <t>黄金</t>
        </is>
      </c>
      <c r="E121" s="38" t="inlineStr">
        <is>
          <t>治疗</t>
        </is>
      </c>
      <c r="F121" s="38" t="inlineStr">
        <is>
          <t>两格</t>
        </is>
      </c>
      <c r="G121" s="38" t="inlineStr">
        <is>
          <t>bz_van_120</t>
        </is>
      </c>
      <c r="H121" s="38" t="inlineStr">
        <is>
          <t>night_base, elem_水, elem_雷, elem_冰, elem_无, role_坦克, role_控制, tier_pT1, tier_pT3, role_重甲抗压</t>
        </is>
      </c>
      <c r="I121" s="38" t="n">
        <v>10</v>
      </c>
      <c r="J121" s="456">
        <f>XLOOKUP($D121&amp;"|"&amp;$E121&amp;"|"&amp;$F121,'PET_STAT_RULES'!$A$5:$A$88,'PET_STAT_RULES'!$C$5:$C$88)</f>
        <v/>
      </c>
      <c r="K121" s="456">
        <f>XLOOKUP($D121&amp;"|"&amp;$E121&amp;"|"&amp;$F121,'PET_STAT_RULES'!$A$5:$A$88,'PET_STAT_RULES'!$D$5:$D$88)</f>
        <v/>
      </c>
      <c r="L121" s="456">
        <f>XLOOKUP($D121&amp;"|"&amp;$E121&amp;"|"&amp;$F121,'PET_STAT_RULES'!$A$5:$A$88,'PET_STAT_RULES'!$F$5:$F$88)</f>
        <v/>
      </c>
      <c r="M121" s="456">
        <f>XLOOKUP($D121&amp;"|"&amp;$E121&amp;"|"&amp;$F121,'PET_STAT_RULES'!$A$5:$A$88,'PET_STAT_RULES'!$G$5:$G$88)</f>
        <v/>
      </c>
      <c r="N121" s="38" t="n">
        <v>2</v>
      </c>
      <c r="O121" s="38" t="inlineStr">
        <is>
          <t>mech_shield_regen</t>
        </is>
      </c>
      <c r="P121" s="38" t="inlineStr">
        <is>
          <t>05 形状05</t>
        </is>
      </c>
      <c r="Q121" s="38" t="inlineStr">
        <is>
          <t>Restorative</t>
        </is>
      </c>
      <c r="R121" s="38" t="inlineStr">
        <is>
          <t>item confirmed；来源=Swash Buckle；攻击2格；仅保留来源商人/训练师关系。</t>
        </is>
      </c>
      <c r="S121" s="38" t="n">
        <v>3</v>
      </c>
      <c r="T121" s="38" t="n">
        <v>2</v>
      </c>
      <c r="U121" s="442" t="inlineStr">
        <is>
          <t>skill_vanguard,skill_flank,skill_pierce,skill_revolve,skill_chase,skill_break,skill_suppress,skill_finale</t>
        </is>
      </c>
      <c r="V121" s="442" t="inlineStr">
        <is>
          <t>trait_element_affinity</t>
        </is>
      </c>
      <c r="W121" s="457">
        <f>XLOOKUP($D121&amp;"|"&amp;$E121&amp;"|"&amp;$F121,'PET_STAT_RULES'!$A$5:$A$88,'PET_STAT_RULES'!$E$5:$E$88)</f>
        <v/>
      </c>
      <c r="X121" s="385" t="inlineStr">
        <is>
          <t>hero_001</t>
        </is>
      </c>
      <c r="Y121" s="386" t="inlineStr">
        <is>
          <t>playable</t>
        </is>
      </c>
      <c r="Z121" s="386" t="inlineStr">
        <is>
          <t>apparel, crit</t>
        </is>
      </c>
      <c r="AA121" s="386" t="inlineStr">
        <is>
          <t>damage, heal, shield</t>
        </is>
      </c>
    </row>
    <row r="122">
      <c r="A122" s="38" t="inlineStr">
        <is>
          <t>pal_121</t>
        </is>
      </c>
      <c r="B122" s="38" t="inlineStr">
        <is>
          <t>雷泽龙王</t>
        </is>
      </c>
      <c r="C122" s="38" t="inlineStr">
        <is>
          <t>暗</t>
        </is>
      </c>
      <c r="D122" s="259" t="inlineStr">
        <is>
          <t>青铜</t>
        </is>
      </c>
      <c r="E122" s="38" t="inlineStr">
        <is>
          <t>输出</t>
        </is>
      </c>
      <c r="F122" s="38" t="inlineStr">
        <is>
          <t>一格</t>
        </is>
      </c>
      <c r="G122" s="38" t="inlineStr">
        <is>
          <t>bz_van_121</t>
        </is>
      </c>
      <c r="H122" s="38" t="inlineStr">
        <is>
          <t>night_base, elem_火, elem_雷, elem_地, elem_暗, role_召唤, role_坦克, role_控制, role_治疗, role_经济</t>
        </is>
      </c>
      <c r="I122" s="38" t="n">
        <v>10</v>
      </c>
      <c r="J122" s="456">
        <f>XLOOKUP($D122&amp;"|"&amp;$E122&amp;"|"&amp;$F122,'PET_STAT_RULES'!$A$5:$A$88,'PET_STAT_RULES'!$C$5:$C$88)</f>
        <v/>
      </c>
      <c r="K122" s="456">
        <f>XLOOKUP($D122&amp;"|"&amp;$E122&amp;"|"&amp;$F122,'PET_STAT_RULES'!$A$5:$A$88,'PET_STAT_RULES'!$D$5:$D$88)</f>
        <v/>
      </c>
      <c r="L122" s="456">
        <f>XLOOKUP($D122&amp;"|"&amp;$E122&amp;"|"&amp;$F122,'PET_STAT_RULES'!$A$5:$A$88,'PET_STAT_RULES'!$F$5:$F$88)</f>
        <v/>
      </c>
      <c r="M122" s="456">
        <f>XLOOKUP($D122&amp;"|"&amp;$E122&amp;"|"&amp;$F122,'PET_STAT_RULES'!$A$5:$A$88,'PET_STAT_RULES'!$G$5:$G$88)</f>
        <v/>
      </c>
      <c r="N122" s="38" t="n">
        <v>2</v>
      </c>
      <c r="O122" s="38" t="inlineStr">
        <is>
          <t>mech_grow_atk_each_round</t>
        </is>
      </c>
      <c r="P122" s="38" t="inlineStr">
        <is>
          <t>10 形状10</t>
        </is>
      </c>
      <c r="Q122" s="38" t="inlineStr">
        <is>
          <t>Deadly</t>
        </is>
      </c>
      <c r="R122" s="38" t="inlineStr">
        <is>
          <t>item confirmed；来源=Switchblade；攻击2格；仅保留来源商人/训练师关系。</t>
        </is>
      </c>
      <c r="S122" s="38" t="n">
        <v>3</v>
      </c>
      <c r="T122" s="38" t="n">
        <v>1</v>
      </c>
      <c r="U122" s="442" t="inlineStr">
        <is>
          <t>skill_vanguard,skill_flank,skill_pierce,skill_revolve,skill_chase,skill_break,skill_suppress,skill_finale</t>
        </is>
      </c>
      <c r="V122" s="442" t="inlineStr">
        <is>
          <t>trait_relentless</t>
        </is>
      </c>
      <c r="W122" s="457">
        <f>XLOOKUP($D122&amp;"|"&amp;$E122&amp;"|"&amp;$F122,'PET_STAT_RULES'!$A$5:$A$88,'PET_STAT_RULES'!$E$5:$E$88)</f>
        <v/>
      </c>
      <c r="X122" s="385" t="inlineStr">
        <is>
          <t>hero_001</t>
        </is>
      </c>
      <c r="Y122" s="386" t="inlineStr">
        <is>
          <t>playable</t>
        </is>
      </c>
      <c r="Z122" s="386" t="inlineStr">
        <is>
          <t>weapon, damage</t>
        </is>
      </c>
      <c r="AA122" s="386" t="str"/>
    </row>
    <row r="123">
      <c r="A123" s="38" t="inlineStr">
        <is>
          <t>pal_122</t>
        </is>
      </c>
      <c r="B123" s="38" t="inlineStr">
        <is>
          <t>玄羽雕尊</t>
        </is>
      </c>
      <c r="C123" s="38" t="inlineStr">
        <is>
          <t>水、雷</t>
        </is>
      </c>
      <c r="D123" s="262" t="inlineStr">
        <is>
          <t>黄金</t>
        </is>
      </c>
      <c r="E123" s="38" t="inlineStr">
        <is>
          <t>治疗</t>
        </is>
      </c>
      <c r="F123" s="38" t="inlineStr">
        <is>
          <t>三格</t>
        </is>
      </c>
      <c r="G123" s="38" t="inlineStr">
        <is>
          <t>bz_van_122</t>
        </is>
      </c>
      <c r="H123" s="38" t="inlineStr">
        <is>
          <t>night_base, elem_水, elem_雷, elem_冰, elem_地, role_坦克, role_控制, role_治疗, role_机动, role_风系铺场</t>
        </is>
      </c>
      <c r="I123" s="38" t="n">
        <v>10</v>
      </c>
      <c r="J123" s="456">
        <f>XLOOKUP($D123&amp;"|"&amp;$E123&amp;"|"&amp;$F123,'PET_STAT_RULES'!$A$5:$A$88,'PET_STAT_RULES'!$C$5:$C$88)</f>
        <v/>
      </c>
      <c r="K123" s="456">
        <f>XLOOKUP($D123&amp;"|"&amp;$E123&amp;"|"&amp;$F123,'PET_STAT_RULES'!$A$5:$A$88,'PET_STAT_RULES'!$D$5:$D$88)</f>
        <v/>
      </c>
      <c r="L123" s="456">
        <f>XLOOKUP($D123&amp;"|"&amp;$E123&amp;"|"&amp;$F123,'PET_STAT_RULES'!$A$5:$A$88,'PET_STAT_RULES'!$F$5:$F$88)</f>
        <v/>
      </c>
      <c r="M123" s="456">
        <f>XLOOKUP($D123&amp;"|"&amp;$E123&amp;"|"&amp;$F123,'PET_STAT_RULES'!$A$5:$A$88,'PET_STAT_RULES'!$G$5:$G$88)</f>
        <v/>
      </c>
      <c r="N123" s="38" t="n">
        <v>2</v>
      </c>
      <c r="O123" s="38" t="inlineStr">
        <is>
          <t>mech_shield_regen</t>
        </is>
      </c>
      <c r="P123" s="38" t="inlineStr">
        <is>
          <t>05 形状05</t>
        </is>
      </c>
      <c r="Q123" s="38" t="inlineStr">
        <is>
          <t>Restorative</t>
        </is>
      </c>
      <c r="R123" s="38" t="inlineStr">
        <is>
          <t>item confirmed；来源=The Boulder；攻击2格；仅保留来源商人/训练师关系。</t>
        </is>
      </c>
      <c r="S123" s="38" t="n">
        <v>2</v>
      </c>
      <c r="T123" s="38" t="n">
        <v>2</v>
      </c>
      <c r="U123" s="442" t="inlineStr">
        <is>
          <t>skill_vanguard,skill_flank,skill_pierce,skill_revolve,skill_chase,skill_break,skill_suppress,skill_finale</t>
        </is>
      </c>
      <c r="V123" s="442" t="inlineStr">
        <is>
          <t>trait_element_affinity</t>
        </is>
      </c>
      <c r="W123" s="457">
        <f>XLOOKUP($D123&amp;"|"&amp;$E123&amp;"|"&amp;$F123,'PET_STAT_RULES'!$A$5:$A$88,'PET_STAT_RULES'!$E$5:$E$88)</f>
        <v/>
      </c>
      <c r="X123" s="385" t="inlineStr">
        <is>
          <t>hero_001</t>
        </is>
      </c>
      <c r="Y123" s="386" t="inlineStr">
        <is>
          <t>playable</t>
        </is>
      </c>
      <c r="Z123" s="386" t="inlineStr">
        <is>
          <t>weapon, relic, trap, damage, ammo</t>
        </is>
      </c>
      <c r="AA123" s="386" t="str"/>
    </row>
    <row r="124">
      <c r="A124" s="38" t="inlineStr">
        <is>
          <t>pal_123</t>
        </is>
      </c>
      <c r="B124" s="38" t="inlineStr">
        <is>
          <t>白象护法</t>
        </is>
      </c>
      <c r="C124" s="38" t="inlineStr">
        <is>
          <t>雷</t>
        </is>
      </c>
      <c r="D124" s="262" t="inlineStr">
        <is>
          <t>黄金</t>
        </is>
      </c>
      <c r="E124" s="38" t="inlineStr">
        <is>
          <t>输出</t>
        </is>
      </c>
      <c r="F124" s="38" t="inlineStr">
        <is>
          <t>一格</t>
        </is>
      </c>
      <c r="G124" s="38" t="inlineStr">
        <is>
          <t>bz_van_123</t>
        </is>
      </c>
      <c r="H124" s="38" t="inlineStr">
        <is>
          <t>night_base, elem_火, elem_雷, elem_地, role_召唤, role_坦克, role_控制, role_治疗, role_机动, tier_pT1</t>
        </is>
      </c>
      <c r="I124" s="38" t="n">
        <v>10</v>
      </c>
      <c r="J124" s="456">
        <f>XLOOKUP($D124&amp;"|"&amp;$E124&amp;"|"&amp;$F124,'PET_STAT_RULES'!$A$5:$A$88,'PET_STAT_RULES'!$C$5:$C$88)</f>
        <v/>
      </c>
      <c r="K124" s="456">
        <f>XLOOKUP($D124&amp;"|"&amp;$E124&amp;"|"&amp;$F124,'PET_STAT_RULES'!$A$5:$A$88,'PET_STAT_RULES'!$D$5:$D$88)</f>
        <v/>
      </c>
      <c r="L124" s="456">
        <f>XLOOKUP($D124&amp;"|"&amp;$E124&amp;"|"&amp;$F124,'PET_STAT_RULES'!$A$5:$A$88,'PET_STAT_RULES'!$F$5:$F$88)</f>
        <v/>
      </c>
      <c r="M124" s="456">
        <f>XLOOKUP($D124&amp;"|"&amp;$E124&amp;"|"&amp;$F124,'PET_STAT_RULES'!$A$5:$A$88,'PET_STAT_RULES'!$G$5:$G$88)</f>
        <v/>
      </c>
      <c r="N124" s="38" t="n">
        <v>3</v>
      </c>
      <c r="O124" s="38" t="inlineStr">
        <is>
          <t>mech_grow_atk_each_round</t>
        </is>
      </c>
      <c r="P124" s="38" t="inlineStr">
        <is>
          <t>13 形状13</t>
        </is>
      </c>
      <c r="Q124" s="38" t="inlineStr">
        <is>
          <t>Deadly</t>
        </is>
      </c>
      <c r="R124" s="38" t="inlineStr">
        <is>
          <t>item confirmed；来源=Throwing Knives；攻击3格；仅保留来源商人/训练师关系。</t>
        </is>
      </c>
      <c r="S124" s="38" t="n">
        <v>3</v>
      </c>
      <c r="T124" s="38" t="n">
        <v>2</v>
      </c>
      <c r="U124" s="442" t="inlineStr">
        <is>
          <t>skill_vanguard,skill_flank,skill_pierce,skill_revolve,skill_chase,skill_break,skill_suppress,skill_finale</t>
        </is>
      </c>
      <c r="V124" s="442" t="inlineStr">
        <is>
          <t>trait_relentless</t>
        </is>
      </c>
      <c r="W124" s="457">
        <f>XLOOKUP($D124&amp;"|"&amp;$E124&amp;"|"&amp;$F124,'PET_STAT_RULES'!$A$5:$A$88,'PET_STAT_RULES'!$E$5:$E$88)</f>
        <v/>
      </c>
      <c r="X124" s="385" t="inlineStr">
        <is>
          <t>hero_001</t>
        </is>
      </c>
      <c r="Y124" s="386" t="inlineStr">
        <is>
          <t>playable</t>
        </is>
      </c>
      <c r="Z124" s="386" t="inlineStr">
        <is>
          <t>weapon, damage, ammo</t>
        </is>
      </c>
      <c r="AA124" s="386" t="inlineStr">
        <is>
          <t>crit</t>
        </is>
      </c>
    </row>
    <row r="125">
      <c r="A125" s="38" t="inlineStr">
        <is>
          <t>pal_124</t>
        </is>
      </c>
      <c r="B125" s="38" t="inlineStr">
        <is>
          <t>混世魔猿</t>
        </is>
      </c>
      <c r="C125" s="38" t="inlineStr">
        <is>
          <t>雷</t>
        </is>
      </c>
      <c r="D125" s="259" t="inlineStr">
        <is>
          <t>青铜</t>
        </is>
      </c>
      <c r="E125" s="38" t="inlineStr">
        <is>
          <t>输出</t>
        </is>
      </c>
      <c r="F125" s="38" t="inlineStr">
        <is>
          <t>一格</t>
        </is>
      </c>
      <c r="G125" s="38" t="inlineStr">
        <is>
          <t>bz_van_124</t>
        </is>
      </c>
      <c r="H125" s="38" t="inlineStr">
        <is>
          <t>elite_high</t>
        </is>
      </c>
      <c r="I125" s="38" t="n">
        <v>1</v>
      </c>
      <c r="J125" s="456">
        <f>XLOOKUP($D125&amp;"|"&amp;$E125&amp;"|"&amp;$F125,'PET_STAT_RULES'!$A$5:$A$88,'PET_STAT_RULES'!$C$5:$C$88)</f>
        <v/>
      </c>
      <c r="K125" s="456">
        <f>XLOOKUP($D125&amp;"|"&amp;$E125&amp;"|"&amp;$F125,'PET_STAT_RULES'!$A$5:$A$88,'PET_STAT_RULES'!$D$5:$D$88)</f>
        <v/>
      </c>
      <c r="L125" s="456">
        <f>XLOOKUP($D125&amp;"|"&amp;$E125&amp;"|"&amp;$F125,'PET_STAT_RULES'!$A$5:$A$88,'PET_STAT_RULES'!$F$5:$F$88)</f>
        <v/>
      </c>
      <c r="M125" s="456">
        <f>XLOOKUP($D125&amp;"|"&amp;$E125&amp;"|"&amp;$F125,'PET_STAT_RULES'!$A$5:$A$88,'PET_STAT_RULES'!$G$5:$G$88)</f>
        <v/>
      </c>
      <c r="N125" s="38" t="n">
        <v>1</v>
      </c>
      <c r="O125" s="38" t="inlineStr">
        <is>
          <t>mech_grow_atk_each_round</t>
        </is>
      </c>
      <c r="P125" s="38" t="inlineStr">
        <is>
          <t>04 形状04</t>
        </is>
      </c>
      <c r="Q125" s="38" t="inlineStr">
        <is>
          <t>Deadly</t>
        </is>
      </c>
      <c r="R125" s="38" t="inlineStr">
        <is>
          <t>item confirmed；来源=Tiny Cutlass；攻击1格；仅保留来源商人/训练师关系。</t>
        </is>
      </c>
      <c r="S125" s="38" t="n">
        <v>3</v>
      </c>
      <c r="T125" s="38" t="n">
        <v>1</v>
      </c>
      <c r="U125" s="442" t="inlineStr">
        <is>
          <t>skill_vanguard,skill_flank,skill_pierce,skill_revolve,skill_chase,skill_break,skill_suppress,skill_finale</t>
        </is>
      </c>
      <c r="V125" s="442" t="inlineStr">
        <is>
          <t>trait_relentless</t>
        </is>
      </c>
      <c r="W125" s="457">
        <f>XLOOKUP($D125&amp;"|"&amp;$E125&amp;"|"&amp;$F125,'PET_STAT_RULES'!$A$5:$A$88,'PET_STAT_RULES'!$E$5:$E$88)</f>
        <v/>
      </c>
      <c r="X125" s="385" t="inlineStr">
        <is>
          <t>hero_001</t>
        </is>
      </c>
      <c r="Y125" s="386" t="inlineStr">
        <is>
          <t>playable</t>
        </is>
      </c>
      <c r="Z125" s="386" t="inlineStr">
        <is>
          <t>weapon, damage</t>
        </is>
      </c>
      <c r="AA125" s="386" t="inlineStr">
        <is>
          <t>crit</t>
        </is>
      </c>
    </row>
    <row r="126">
      <c r="A126" s="38" t="inlineStr">
        <is>
          <t>pal_125</t>
        </is>
      </c>
      <c r="B126" s="38" t="inlineStr">
        <is>
          <t>寒狮妖王</t>
        </is>
      </c>
      <c r="C126" s="38" t="inlineStr">
        <is>
          <t>水、雷</t>
        </is>
      </c>
      <c r="D126" s="265" t="inlineStr">
        <is>
          <t>白银</t>
        </is>
      </c>
      <c r="E126" s="38" t="inlineStr">
        <is>
          <t>输出</t>
        </is>
      </c>
      <c r="F126" s="38" t="inlineStr">
        <is>
          <t>两格</t>
        </is>
      </c>
      <c r="G126" s="38" t="inlineStr">
        <is>
          <t>bz_van_125</t>
        </is>
      </c>
      <c r="H126" s="38" t="inlineStr">
        <is>
          <t>night_base, elem_水, elem_雷, elem_无, role_召唤, role_坦克, role_控制, role_输出, role_机动, role_抗压承伤</t>
        </is>
      </c>
      <c r="I126" s="38" t="n">
        <v>10</v>
      </c>
      <c r="J126" s="456">
        <f>XLOOKUP($D126&amp;"|"&amp;$E126&amp;"|"&amp;$F126,'PET_STAT_RULES'!$A$5:$A$88,'PET_STAT_RULES'!$C$5:$C$88)</f>
        <v/>
      </c>
      <c r="K126" s="456">
        <f>XLOOKUP($D126&amp;"|"&amp;$E126&amp;"|"&amp;$F126,'PET_STAT_RULES'!$A$5:$A$88,'PET_STAT_RULES'!$D$5:$D$88)</f>
        <v/>
      </c>
      <c r="L126" s="456">
        <f>XLOOKUP($D126&amp;"|"&amp;$E126&amp;"|"&amp;$F126,'PET_STAT_RULES'!$A$5:$A$88,'PET_STAT_RULES'!$F$5:$F$88)</f>
        <v/>
      </c>
      <c r="M126" s="456">
        <f>XLOOKUP($D126&amp;"|"&amp;$E126&amp;"|"&amp;$F126,'PET_STAT_RULES'!$A$5:$A$88,'PET_STAT_RULES'!$G$5:$G$88)</f>
        <v/>
      </c>
      <c r="N126" s="38" t="n">
        <v>2</v>
      </c>
      <c r="O126" s="38" t="inlineStr">
        <is>
          <t>mech_grow_atk_each_round</t>
        </is>
      </c>
      <c r="P126" s="38" t="inlineStr">
        <is>
          <t>05 形状05</t>
        </is>
      </c>
      <c r="Q126" s="38" t="inlineStr">
        <is>
          <t>Deadly</t>
        </is>
      </c>
      <c r="R126" s="38" t="inlineStr">
        <is>
          <t>item confirmed；来源=Torpedo；攻击2格；仅保留来源商人/训练师关系。</t>
        </is>
      </c>
      <c r="S126" s="38" t="n">
        <v>3</v>
      </c>
      <c r="T126" s="38" t="n">
        <v>2</v>
      </c>
      <c r="U126" s="442" t="inlineStr">
        <is>
          <t>skill_vanguard,skill_flank,skill_pierce,skill_revolve,skill_chase,skill_break,skill_suppress,skill_finale</t>
        </is>
      </c>
      <c r="V126" s="442" t="inlineStr">
        <is>
          <t>trait_relentless</t>
        </is>
      </c>
      <c r="W126" s="457">
        <f>XLOOKUP($D126&amp;"|"&amp;$E126&amp;"|"&amp;$F126,'PET_STAT_RULES'!$A$5:$A$88,'PET_STAT_RULES'!$E$5:$E$88)</f>
        <v/>
      </c>
      <c r="X126" s="385" t="inlineStr">
        <is>
          <t>hero_001</t>
        </is>
      </c>
      <c r="Y126" s="386" t="inlineStr">
        <is>
          <t>playable</t>
        </is>
      </c>
      <c r="Z126" s="386" t="inlineStr">
        <is>
          <t>aquatic, weapon, tech, damage, ammo</t>
        </is>
      </c>
      <c r="AA126" s="386" t="str"/>
    </row>
    <row r="127">
      <c r="A127" s="38" t="inlineStr">
        <is>
          <t>pal_126</t>
        </is>
      </c>
      <c r="B127" s="38" t="inlineStr">
        <is>
          <t>幽冥獒王</t>
        </is>
      </c>
      <c r="C127" s="38" t="inlineStr">
        <is>
          <t>水、雷</t>
        </is>
      </c>
      <c r="D127" s="262" t="inlineStr">
        <is>
          <t>黄金</t>
        </is>
      </c>
      <c r="E127" s="38" t="inlineStr">
        <is>
          <t>机动</t>
        </is>
      </c>
      <c r="F127" s="38" t="inlineStr">
        <is>
          <t>三格</t>
        </is>
      </c>
      <c r="G127" s="38" t="inlineStr">
        <is>
          <t>bz_van_126</t>
        </is>
      </c>
      <c r="H127" s="38" t="inlineStr">
        <is>
          <t>night_base, elem_火, elem_水, elem_雷, role_坦克, role_控制, role_输出, special_merchant, elite_high, role_机动压制</t>
        </is>
      </c>
      <c r="I127" s="38" t="n">
        <v>10</v>
      </c>
      <c r="J127" s="456">
        <f>XLOOKUP($D127&amp;"|"&amp;$E127&amp;"|"&amp;$F127,'PET_STAT_RULES'!$A$5:$A$88,'PET_STAT_RULES'!$C$5:$C$88)</f>
        <v/>
      </c>
      <c r="K127" s="456">
        <f>XLOOKUP($D127&amp;"|"&amp;$E127&amp;"|"&amp;$F127,'PET_STAT_RULES'!$A$5:$A$88,'PET_STAT_RULES'!$D$5:$D$88)</f>
        <v/>
      </c>
      <c r="L127" s="456">
        <f>XLOOKUP($D127&amp;"|"&amp;$E127&amp;"|"&amp;$F127,'PET_STAT_RULES'!$A$5:$A$88,'PET_STAT_RULES'!$F$5:$F$88)</f>
        <v/>
      </c>
      <c r="M127" s="456">
        <f>XLOOKUP($D127&amp;"|"&amp;$E127&amp;"|"&amp;$F127,'PET_STAT_RULES'!$A$5:$A$88,'PET_STAT_RULES'!$G$5:$G$88)</f>
        <v/>
      </c>
      <c r="N127" s="38" t="n">
        <v>2</v>
      </c>
      <c r="O127" s="38" t="inlineStr">
        <is>
          <t>none</t>
        </is>
      </c>
      <c r="P127" s="38" t="inlineStr">
        <is>
          <t>10 形状10</t>
        </is>
      </c>
      <c r="Q127" s="38" t="inlineStr">
        <is>
          <t>Turbo</t>
        </is>
      </c>
      <c r="R127" s="38" t="inlineStr">
        <is>
          <t>item confirmed；来源=Tortuga；攻击2格；仅保留来源商人/训练师关系。</t>
        </is>
      </c>
      <c r="S127" s="38" t="n">
        <v>5</v>
      </c>
      <c r="T127" s="38" t="n">
        <v>2</v>
      </c>
      <c r="U127" s="442" t="inlineStr">
        <is>
          <t>skill_vanguard,skill_flank,skill_pierce,skill_revolve,skill_chase,skill_break,skill_suppress,skill_finale</t>
        </is>
      </c>
      <c r="V127" s="442" t="inlineStr">
        <is>
          <t>trait_relentless</t>
        </is>
      </c>
      <c r="W127" s="457">
        <f>XLOOKUP($D127&amp;"|"&amp;$E127&amp;"|"&amp;$F127,'PET_STAT_RULES'!$A$5:$A$88,'PET_STAT_RULES'!$E$5:$E$88)</f>
        <v/>
      </c>
      <c r="X127" s="385" t="inlineStr">
        <is>
          <t>hero_001</t>
        </is>
      </c>
      <c r="Y127" s="386" t="inlineStr">
        <is>
          <t>playable</t>
        </is>
      </c>
      <c r="Z127" s="386" t="inlineStr">
        <is>
          <t>aquatic, friend, vehicle, weapon, damage, haste</t>
        </is>
      </c>
      <c r="AA127" s="386" t="str"/>
    </row>
    <row r="128">
      <c r="A128" s="38" t="inlineStr">
        <is>
          <t>pal_127</t>
        </is>
      </c>
      <c r="B128" s="38" t="inlineStr">
        <is>
          <t>九天龙君</t>
        </is>
      </c>
      <c r="C128" s="38" t="inlineStr">
        <is>
          <t>火、雷</t>
        </is>
      </c>
      <c r="D128" s="265" t="inlineStr">
        <is>
          <t>白银</t>
        </is>
      </c>
      <c r="E128" s="38" t="inlineStr">
        <is>
          <t>机动</t>
        </is>
      </c>
      <c r="F128" s="38" t="inlineStr">
        <is>
          <t>三格</t>
        </is>
      </c>
      <c r="G128" s="38" t="inlineStr">
        <is>
          <t>bz_van_127</t>
        </is>
      </c>
      <c r="H128" s="38" t="inlineStr">
        <is>
          <t>night_base, elem_水, elem_雷, elem_地, role_坦克, role_控制, special_merchant, elite_high, tier_pT2, role_风系铺场</t>
        </is>
      </c>
      <c r="I128" s="38" t="n">
        <v>10</v>
      </c>
      <c r="J128" s="456">
        <f>XLOOKUP($D128&amp;"|"&amp;$E128&amp;"|"&amp;$F128,'PET_STAT_RULES'!$A$5:$A$88,'PET_STAT_RULES'!$C$5:$C$88)</f>
        <v/>
      </c>
      <c r="K128" s="456">
        <f>XLOOKUP($D128&amp;"|"&amp;$E128&amp;"|"&amp;$F128,'PET_STAT_RULES'!$A$5:$A$88,'PET_STAT_RULES'!$D$5:$D$88)</f>
        <v/>
      </c>
      <c r="L128" s="456">
        <f>XLOOKUP($D128&amp;"|"&amp;$E128&amp;"|"&amp;$F128,'PET_STAT_RULES'!$A$5:$A$88,'PET_STAT_RULES'!$F$5:$F$88)</f>
        <v/>
      </c>
      <c r="M128" s="456">
        <f>XLOOKUP($D128&amp;"|"&amp;$E128&amp;"|"&amp;$F128,'PET_STAT_RULES'!$A$5:$A$88,'PET_STAT_RULES'!$G$5:$G$88)</f>
        <v/>
      </c>
      <c r="N128" s="38" t="n">
        <v>2</v>
      </c>
      <c r="O128" s="38" t="inlineStr">
        <is>
          <t>mech_fire_ignite_bonus</t>
        </is>
      </c>
      <c r="P128" s="38" t="inlineStr">
        <is>
          <t>10 形状10</t>
        </is>
      </c>
      <c r="Q128" s="38" t="inlineStr">
        <is>
          <t>Fiery</t>
        </is>
      </c>
      <c r="R128" s="38" t="inlineStr">
        <is>
          <t>item confirmed；来源=Trebuchet；攻击2格；仅保留来源商人/训练师关系。</t>
        </is>
      </c>
      <c r="S128" s="38" t="n">
        <v>5</v>
      </c>
      <c r="T128" s="38" t="n">
        <v>2</v>
      </c>
      <c r="U128" s="442" t="inlineStr">
        <is>
          <t>skill_vanguard,skill_flank,skill_pierce,skill_revolve,skill_chase,skill_break,skill_suppress,skill_finale</t>
        </is>
      </c>
      <c r="V128" s="442" t="inlineStr">
        <is>
          <t>trait_relentless</t>
        </is>
      </c>
      <c r="W128" s="457">
        <f>XLOOKUP($D128&amp;"|"&amp;$E128&amp;"|"&amp;$F128,'PET_STAT_RULES'!$A$5:$A$88,'PET_STAT_RULES'!$E$5:$E$88)</f>
        <v/>
      </c>
      <c r="X128" s="385" t="inlineStr">
        <is>
          <t>hero_001</t>
        </is>
      </c>
      <c r="Y128" s="386" t="inlineStr">
        <is>
          <t>playable</t>
        </is>
      </c>
      <c r="Z128" s="386" t="inlineStr">
        <is>
          <t>weapon, burn, damage</t>
        </is>
      </c>
      <c r="AA128" s="386" t="inlineStr">
        <is>
          <t>haste</t>
        </is>
      </c>
    </row>
    <row r="129">
      <c r="A129" s="38" t="inlineStr">
        <is>
          <t>pal_128</t>
        </is>
      </c>
      <c r="B129" s="38" t="inlineStr">
        <is>
          <t>星貂王</t>
        </is>
      </c>
      <c r="C129" s="38" t="inlineStr">
        <is>
          <t>无</t>
        </is>
      </c>
      <c r="D129" s="262" t="inlineStr">
        <is>
          <t>黄金</t>
        </is>
      </c>
      <c r="E129" s="38" t="inlineStr">
        <is>
          <t>控制</t>
        </is>
      </c>
      <c r="F129" s="38" t="inlineStr">
        <is>
          <t>两格</t>
        </is>
      </c>
      <c r="G129" s="38" t="inlineStr">
        <is>
          <t>bz_van_128</t>
        </is>
      </c>
      <c r="H129" s="38" t="inlineStr">
        <is>
          <t>elem_水, elem_雷, elem_冰, elem_无, role_召唤, role_坦克, role_控制, role_治疗, special_merchant, role_召唤铺场</t>
        </is>
      </c>
      <c r="I129" s="38" t="n">
        <v>10</v>
      </c>
      <c r="J129" s="456">
        <f>XLOOKUP($D129&amp;"|"&amp;$E129&amp;"|"&amp;$F129,'PET_STAT_RULES'!$A$5:$A$88,'PET_STAT_RULES'!$C$5:$C$88)</f>
        <v/>
      </c>
      <c r="K129" s="456">
        <f>XLOOKUP($D129&amp;"|"&amp;$E129&amp;"|"&amp;$F129,'PET_STAT_RULES'!$A$5:$A$88,'PET_STAT_RULES'!$D$5:$D$88)</f>
        <v/>
      </c>
      <c r="L129" s="456">
        <f>XLOOKUP($D129&amp;"|"&amp;$E129&amp;"|"&amp;$F129,'PET_STAT_RULES'!$A$5:$A$88,'PET_STAT_RULES'!$F$5:$F$88)</f>
        <v/>
      </c>
      <c r="M129" s="456">
        <f>XLOOKUP($D129&amp;"|"&amp;$E129&amp;"|"&amp;$F129,'PET_STAT_RULES'!$A$5:$A$88,'PET_STAT_RULES'!$G$5:$G$88)</f>
        <v/>
      </c>
      <c r="N129" s="38" t="n">
        <v>2</v>
      </c>
      <c r="O129" s="38" t="inlineStr">
        <is>
          <t>mech_counter_damage</t>
        </is>
      </c>
      <c r="P129" s="38" t="inlineStr">
        <is>
          <t>12 形状12</t>
        </is>
      </c>
      <c r="Q129" s="38" t="inlineStr">
        <is>
          <t>Icy</t>
        </is>
      </c>
      <c r="R129" s="38" t="inlineStr">
        <is>
          <t>item confirmed；来源=Tripwire；攻击2格；仅保留来源商人/训练师关系。</t>
        </is>
      </c>
      <c r="S129" s="38" t="n">
        <v>4</v>
      </c>
      <c r="T129" s="38" t="n">
        <v>2</v>
      </c>
      <c r="U129" s="442" t="inlineStr">
        <is>
          <t>skill_vanguard,skill_flank,skill_pierce,skill_revolve,skill_chase,skill_break,skill_suppress,skill_finale</t>
        </is>
      </c>
      <c r="V129" s="442" t="inlineStr">
        <is>
          <t>trait_element_affinity</t>
        </is>
      </c>
      <c r="W129" s="457">
        <f>XLOOKUP($D129&amp;"|"&amp;$E129&amp;"|"&amp;$F129,'PET_STAT_RULES'!$A$5:$A$88,'PET_STAT_RULES'!$E$5:$E$88)</f>
        <v/>
      </c>
      <c r="X129" s="385" t="inlineStr">
        <is>
          <t>hero_001</t>
        </is>
      </c>
      <c r="Y129" s="386" t="inlineStr">
        <is>
          <t>playable</t>
        </is>
      </c>
      <c r="Z129" s="386" t="inlineStr">
        <is>
          <t>trap, slow</t>
        </is>
      </c>
      <c r="AA129" s="386" t="str"/>
    </row>
    <row r="130">
      <c r="A130" s="38" t="inlineStr">
        <is>
          <t>pal_129</t>
        </is>
      </c>
      <c r="B130" s="38" t="inlineStr">
        <is>
          <t>渊鹤王</t>
        </is>
      </c>
      <c r="C130" s="38" t="inlineStr">
        <is>
          <t>水</t>
        </is>
      </c>
      <c r="D130" s="262" t="inlineStr">
        <is>
          <t>黄金</t>
        </is>
      </c>
      <c r="E130" s="38" t="inlineStr">
        <is>
          <t>治疗</t>
        </is>
      </c>
      <c r="F130" s="38" t="inlineStr">
        <is>
          <t>三格</t>
        </is>
      </c>
      <c r="G130" s="38" t="inlineStr">
        <is>
          <t>bz_van_129</t>
        </is>
      </c>
      <c r="H130" s="38" t="inlineStr">
        <is>
          <t>night_base, elem_水, elem_雷, elem_冰, elem_地, role_坦克, role_控制, role_输出, special_merchant, role_召唤铺场</t>
        </is>
      </c>
      <c r="I130" s="38" t="n">
        <v>10</v>
      </c>
      <c r="J130" s="456">
        <f>XLOOKUP($D130&amp;"|"&amp;$E130&amp;"|"&amp;$F130,'PET_STAT_RULES'!$A$5:$A$88,'PET_STAT_RULES'!$C$5:$C$88)</f>
        <v/>
      </c>
      <c r="K130" s="456">
        <f>XLOOKUP($D130&amp;"|"&amp;$E130&amp;"|"&amp;$F130,'PET_STAT_RULES'!$A$5:$A$88,'PET_STAT_RULES'!$D$5:$D$88)</f>
        <v/>
      </c>
      <c r="L130" s="456">
        <f>XLOOKUP($D130&amp;"|"&amp;$E130&amp;"|"&amp;$F130,'PET_STAT_RULES'!$A$5:$A$88,'PET_STAT_RULES'!$F$5:$F$88)</f>
        <v/>
      </c>
      <c r="M130" s="456">
        <f>XLOOKUP($D130&amp;"|"&amp;$E130&amp;"|"&amp;$F130,'PET_STAT_RULES'!$A$5:$A$88,'PET_STAT_RULES'!$G$5:$G$88)</f>
        <v/>
      </c>
      <c r="N130" s="38" t="n">
        <v>2</v>
      </c>
      <c r="O130" s="38" t="inlineStr">
        <is>
          <t>mech_shield_regen</t>
        </is>
      </c>
      <c r="P130" s="38" t="inlineStr">
        <is>
          <t>06 形状06</t>
        </is>
      </c>
      <c r="Q130" s="38" t="inlineStr">
        <is>
          <t>Icy</t>
        </is>
      </c>
      <c r="R130" s="38" t="inlineStr">
        <is>
          <t>item confirmed；来源=Tropical Island；攻击2格；仅保留来源商人/训练师关系。</t>
        </is>
      </c>
      <c r="S130" s="38" t="n">
        <v>2</v>
      </c>
      <c r="T130" s="38" t="n">
        <v>2</v>
      </c>
      <c r="U130" s="442" t="inlineStr">
        <is>
          <t>skill_vanguard,skill_flank,skill_pierce,skill_revolve,skill_chase,skill_break,skill_suppress,skill_finale</t>
        </is>
      </c>
      <c r="V130" s="442" t="inlineStr">
        <is>
          <t>trait_element_affinity</t>
        </is>
      </c>
      <c r="W130" s="457">
        <f>XLOOKUP($D130&amp;"|"&amp;$E130&amp;"|"&amp;$F130,'PET_STAT_RULES'!$A$5:$A$88,'PET_STAT_RULES'!$E$5:$E$88)</f>
        <v/>
      </c>
      <c r="X130" s="385" t="inlineStr">
        <is>
          <t>hero_001</t>
        </is>
      </c>
      <c r="Y130" s="386" t="inlineStr">
        <is>
          <t>playable</t>
        </is>
      </c>
      <c r="Z130" s="386" t="inlineStr">
        <is>
          <t>property, aquatic, regen</t>
        </is>
      </c>
      <c r="AA130" s="386" t="inlineStr">
        <is>
          <t>slow</t>
        </is>
      </c>
    </row>
    <row r="131">
      <c r="A131" s="38" t="inlineStr">
        <is>
          <t>pal_130</t>
        </is>
      </c>
      <c r="B131" s="38" t="inlineStr">
        <is>
          <t>潮甲君</t>
        </is>
      </c>
      <c r="C131" s="38" t="inlineStr">
        <is>
          <t>水、雷</t>
        </is>
      </c>
      <c r="D131" s="262" t="inlineStr">
        <is>
          <t>黄金</t>
        </is>
      </c>
      <c r="E131" s="38" t="inlineStr">
        <is>
          <t>坦克</t>
        </is>
      </c>
      <c r="F131" s="38" t="inlineStr">
        <is>
          <t>两格</t>
        </is>
      </c>
      <c r="G131" s="38" t="inlineStr">
        <is>
          <t>bz_van_130</t>
        </is>
      </c>
      <c r="H131" s="38" t="inlineStr">
        <is>
          <t>elem_水, elem_雷, elem_冰, elem_龙, elem_无, role_召唤, role_坦克, role_控制, role_输出, tier_pT3</t>
        </is>
      </c>
      <c r="I131" s="38" t="n">
        <v>10</v>
      </c>
      <c r="J131" s="456">
        <f>XLOOKUP($D131&amp;"|"&amp;$E131&amp;"|"&amp;$F131,'PET_STAT_RULES'!$A$5:$A$88,'PET_STAT_RULES'!$C$5:$C$88)</f>
        <v/>
      </c>
      <c r="K131" s="456">
        <f>XLOOKUP($D131&amp;"|"&amp;$E131&amp;"|"&amp;$F131,'PET_STAT_RULES'!$A$5:$A$88,'PET_STAT_RULES'!$D$5:$D$88)</f>
        <v/>
      </c>
      <c r="L131" s="456">
        <f>XLOOKUP($D131&amp;"|"&amp;$E131&amp;"|"&amp;$F131,'PET_STAT_RULES'!$A$5:$A$88,'PET_STAT_RULES'!$F$5:$F$88)</f>
        <v/>
      </c>
      <c r="M131" s="456">
        <f>XLOOKUP($D131&amp;"|"&amp;$E131&amp;"|"&amp;$F131,'PET_STAT_RULES'!$A$5:$A$88,'PET_STAT_RULES'!$G$5:$G$88)</f>
        <v/>
      </c>
      <c r="N131" s="38" t="n">
        <v>2</v>
      </c>
      <c r="O131" s="38" t="inlineStr">
        <is>
          <t>mech_shield_flat</t>
        </is>
      </c>
      <c r="P131" s="38" t="inlineStr">
        <is>
          <t>05 形状05</t>
        </is>
      </c>
      <c r="Q131" s="38" t="inlineStr">
        <is>
          <t>Turbo</t>
        </is>
      </c>
      <c r="R131" s="38" t="inlineStr">
        <is>
          <t>item confirmed；来源=Turtle Shell；攻击2格；仅保留来源商人/训练师关系。</t>
        </is>
      </c>
      <c r="S131" s="38" t="n">
        <v>3</v>
      </c>
      <c r="T131" s="38" t="n">
        <v>2</v>
      </c>
      <c r="U131" s="442" t="inlineStr">
        <is>
          <t>skill_vanguard,skill_flank,skill_pierce,skill_revolve,skill_chase,skill_break,skill_suppress,skill_finale</t>
        </is>
      </c>
      <c r="V131" s="442" t="inlineStr">
        <is>
          <t>trait_combo_mastery</t>
        </is>
      </c>
      <c r="W131" s="457">
        <f>XLOOKUP($D131&amp;"|"&amp;$E131&amp;"|"&amp;$F131,'PET_STAT_RULES'!$A$5:$A$88,'PET_STAT_RULES'!$E$5:$E$88)</f>
        <v/>
      </c>
      <c r="X131" s="385" t="inlineStr">
        <is>
          <t>hero_001</t>
        </is>
      </c>
      <c r="Y131" s="386" t="inlineStr">
        <is>
          <t>playable</t>
        </is>
      </c>
      <c r="Z131" s="386" t="inlineStr">
        <is>
          <t>aquatic, shield</t>
        </is>
      </c>
      <c r="AA131" s="386" t="str"/>
    </row>
    <row r="132">
      <c r="A132" s="38" t="inlineStr">
        <is>
          <t>pal_131</t>
        </is>
      </c>
      <c r="B132" s="38" t="inlineStr">
        <is>
          <t>碧蜂妖</t>
        </is>
      </c>
      <c r="C132" s="38" t="inlineStr">
        <is>
          <t>水、雷</t>
        </is>
      </c>
      <c r="D132" s="265" t="inlineStr">
        <is>
          <t>白银</t>
        </is>
      </c>
      <c r="E132" s="38" t="inlineStr">
        <is>
          <t>召唤</t>
        </is>
      </c>
      <c r="F132" s="38" t="inlineStr">
        <is>
          <t>一格</t>
        </is>
      </c>
      <c r="G132" s="38" t="inlineStr">
        <is>
          <t>bz_van_131</t>
        </is>
      </c>
      <c r="H132" s="38" t="inlineStr">
        <is>
          <t>night_base, elem_火, elem_雷, elem_地, role_召唤, role_坦克, role_控制, role_输出, tier_pT1, role_机动压制</t>
        </is>
      </c>
      <c r="I132" s="38" t="n">
        <v>10</v>
      </c>
      <c r="J132" s="456">
        <f>XLOOKUP($D132&amp;"|"&amp;$E132&amp;"|"&amp;$F132,'PET_STAT_RULES'!$A$5:$A$88,'PET_STAT_RULES'!$C$5:$C$88)</f>
        <v/>
      </c>
      <c r="K132" s="456">
        <f>XLOOKUP($D132&amp;"|"&amp;$E132&amp;"|"&amp;$F132,'PET_STAT_RULES'!$A$5:$A$88,'PET_STAT_RULES'!$D$5:$D$88)</f>
        <v/>
      </c>
      <c r="L132" s="456">
        <f>XLOOKUP($D132&amp;"|"&amp;$E132&amp;"|"&amp;$F132,'PET_STAT_RULES'!$A$5:$A$88,'PET_STAT_RULES'!$F$5:$F$88)</f>
        <v/>
      </c>
      <c r="M132" s="456">
        <f>XLOOKUP($D132&amp;"|"&amp;$E132&amp;"|"&amp;$F132,'PET_STAT_RULES'!$A$5:$A$88,'PET_STAT_RULES'!$G$5:$G$88)</f>
        <v/>
      </c>
      <c r="N132" s="38" t="n">
        <v>2</v>
      </c>
      <c r="O132" s="38" t="inlineStr">
        <is>
          <t>mech_grow_shield_each_round</t>
        </is>
      </c>
      <c r="P132" s="38" t="inlineStr">
        <is>
          <t>07 形状07</t>
        </is>
      </c>
      <c r="Q132" s="38" t="inlineStr">
        <is>
          <t>Deadly</t>
        </is>
      </c>
      <c r="R132" s="38" t="inlineStr">
        <is>
          <t>item confirmed；来源=Vampire Squid；攻击2格；仅保留来源商人/训练师关系。</t>
        </is>
      </c>
      <c r="S132" s="38" t="n">
        <v>3</v>
      </c>
      <c r="T132" s="38" t="n">
        <v>2</v>
      </c>
      <c r="U132" s="442" t="inlineStr">
        <is>
          <t>skill_vanguard,skill_flank,skill_pierce,skill_revolve,skill_chase,skill_break,skill_suppress,skill_finale</t>
        </is>
      </c>
      <c r="V132" s="442" t="inlineStr">
        <is>
          <t>trait_combo_resonance</t>
        </is>
      </c>
      <c r="W132" s="457">
        <f>XLOOKUP($D132&amp;"|"&amp;$E132&amp;"|"&amp;$F132,'PET_STAT_RULES'!$A$5:$A$88,'PET_STAT_RULES'!$E$5:$E$88)</f>
        <v/>
      </c>
      <c r="X132" s="385" t="inlineStr">
        <is>
          <t>hero_001</t>
        </is>
      </c>
      <c r="Y132" s="386" t="inlineStr">
        <is>
          <t>playable</t>
        </is>
      </c>
      <c r="Z132" s="386" t="inlineStr">
        <is>
          <t>aquatic, weapon, friend, damage</t>
        </is>
      </c>
      <c r="AA132" s="386" t="inlineStr">
        <is>
          <t>crit</t>
        </is>
      </c>
    </row>
    <row r="133">
      <c r="A133" s="38" t="inlineStr">
        <is>
          <t>pal_132</t>
        </is>
      </c>
      <c r="B133" s="38" t="inlineStr">
        <is>
          <t>烬隼童</t>
        </is>
      </c>
      <c r="C133" s="38" t="inlineStr">
        <is>
          <t>火、水</t>
        </is>
      </c>
      <c r="D133" s="259" t="inlineStr">
        <is>
          <t>青铜</t>
        </is>
      </c>
      <c r="E133" s="38" t="inlineStr">
        <is>
          <t>输出</t>
        </is>
      </c>
      <c r="F133" s="38" t="inlineStr">
        <is>
          <t>两格</t>
        </is>
      </c>
      <c r="G133" s="38" t="inlineStr">
        <is>
          <t>bz_van_132</t>
        </is>
      </c>
      <c r="H133" s="38" t="inlineStr">
        <is>
          <t>elem_水, elem_雷, elem_冰, elem_无, role_召唤, role_坦克, role_控制, role_治疗, role_输出, tier_pT2</t>
        </is>
      </c>
      <c r="I133" s="38" t="n">
        <v>10</v>
      </c>
      <c r="J133" s="456">
        <f>XLOOKUP($D133&amp;"|"&amp;$E133&amp;"|"&amp;$F133,'PET_STAT_RULES'!$A$5:$A$88,'PET_STAT_RULES'!$C$5:$C$88)</f>
        <v/>
      </c>
      <c r="K133" s="456">
        <f>XLOOKUP($D133&amp;"|"&amp;$E133&amp;"|"&amp;$F133,'PET_STAT_RULES'!$A$5:$A$88,'PET_STAT_RULES'!$D$5:$D$88)</f>
        <v/>
      </c>
      <c r="L133" s="456">
        <f>XLOOKUP($D133&amp;"|"&amp;$E133&amp;"|"&amp;$F133,'PET_STAT_RULES'!$A$5:$A$88,'PET_STAT_RULES'!$F$5:$F$88)</f>
        <v/>
      </c>
      <c r="M133" s="456">
        <f>XLOOKUP($D133&amp;"|"&amp;$E133&amp;"|"&amp;$F133,'PET_STAT_RULES'!$A$5:$A$88,'PET_STAT_RULES'!$G$5:$G$88)</f>
        <v/>
      </c>
      <c r="N133" s="38" t="n">
        <v>1</v>
      </c>
      <c r="O133" s="38" t="inlineStr">
        <is>
          <t>mech_fire_ignite_bonus</t>
        </is>
      </c>
      <c r="P133" s="38" t="inlineStr">
        <is>
          <t>02 形状02</t>
        </is>
      </c>
      <c r="Q133" s="38" t="inlineStr">
        <is>
          <t>Fiery</t>
        </is>
      </c>
      <c r="R133" s="38" t="inlineStr">
        <is>
          <t>item confirmed；来源=Volcanic Vents；攻击1格；仅保留来源商人/训练师关系。</t>
        </is>
      </c>
      <c r="S133" s="38" t="n">
        <v>3</v>
      </c>
      <c r="T133" s="38" t="n">
        <v>1</v>
      </c>
      <c r="U133" s="442" t="inlineStr">
        <is>
          <t>skill_vanguard,skill_flank,skill_pierce,skill_revolve,skill_chase,skill_break,skill_suppress,skill_finale</t>
        </is>
      </c>
      <c r="V133" s="442" t="inlineStr">
        <is>
          <t>trait_relentless</t>
        </is>
      </c>
      <c r="W133" s="457">
        <f>XLOOKUP($D133&amp;"|"&amp;$E133&amp;"|"&amp;$F133,'PET_STAT_RULES'!$A$5:$A$88,'PET_STAT_RULES'!$E$5:$E$88)</f>
        <v/>
      </c>
      <c r="X133" s="385" t="inlineStr">
        <is>
          <t>hero_001</t>
        </is>
      </c>
      <c r="Y133" s="386" t="inlineStr">
        <is>
          <t>playable</t>
        </is>
      </c>
      <c r="Z133" s="386" t="inlineStr">
        <is>
          <t>aquatic, burn</t>
        </is>
      </c>
      <c r="AA133" s="386" t="str"/>
    </row>
    <row r="134">
      <c r="A134" s="38" t="inlineStr">
        <is>
          <t>pal_133</t>
        </is>
      </c>
      <c r="B134" s="38" t="inlineStr">
        <is>
          <t>雷貉卫</t>
        </is>
      </c>
      <c r="C134" s="38" t="inlineStr">
        <is>
          <t>雷</t>
        </is>
      </c>
      <c r="D134" s="265" t="inlineStr">
        <is>
          <t>白银</t>
        </is>
      </c>
      <c r="E134" s="38" t="inlineStr">
        <is>
          <t>经济</t>
        </is>
      </c>
      <c r="F134" s="38" t="inlineStr">
        <is>
          <t>两格</t>
        </is>
      </c>
      <c r="G134" s="38" t="inlineStr">
        <is>
          <t>bz_van_133</t>
        </is>
      </c>
      <c r="H134" s="38" t="inlineStr">
        <is>
          <t>elem_水, elem_雷, elem_冰, elem_无, role_召唤, role_坦克, role_控制, role_治疗, role_经济, tier_pT1</t>
        </is>
      </c>
      <c r="I134" s="38" t="n">
        <v>10</v>
      </c>
      <c r="J134" s="456">
        <f>XLOOKUP($D134&amp;"|"&amp;$E134&amp;"|"&amp;$F134,'PET_STAT_RULES'!$A$5:$A$88,'PET_STAT_RULES'!$C$5:$C$88)</f>
        <v/>
      </c>
      <c r="K134" s="456">
        <f>XLOOKUP($D134&amp;"|"&amp;$E134&amp;"|"&amp;$F134,'PET_STAT_RULES'!$A$5:$A$88,'PET_STAT_RULES'!$D$5:$D$88)</f>
        <v/>
      </c>
      <c r="L134" s="456">
        <f>XLOOKUP($D134&amp;"|"&amp;$E134&amp;"|"&amp;$F134,'PET_STAT_RULES'!$A$5:$A$88,'PET_STAT_RULES'!$F$5:$F$88)</f>
        <v/>
      </c>
      <c r="M134" s="456">
        <f>XLOOKUP($D134&amp;"|"&amp;$E134&amp;"|"&amp;$F134,'PET_STAT_RULES'!$A$5:$A$88,'PET_STAT_RULES'!$G$5:$G$88)</f>
        <v/>
      </c>
      <c r="N134" s="38" t="n">
        <v>2</v>
      </c>
      <c r="O134" s="38" t="inlineStr">
        <is>
          <t>none</t>
        </is>
      </c>
      <c r="P134" s="38" t="inlineStr">
        <is>
          <t>05 形状05</t>
        </is>
      </c>
      <c r="Q134" s="38" t="inlineStr">
        <is>
          <t>Deadly</t>
        </is>
      </c>
      <c r="R134" s="38" t="inlineStr">
        <is>
          <t>item confirmed；来源=Wanted Poster；攻击2格；仅保留来源商人/训练师关系。</t>
        </is>
      </c>
      <c r="S134" s="38" t="n">
        <v>3</v>
      </c>
      <c r="T134" s="38" t="n">
        <v>2</v>
      </c>
      <c r="U134" s="442" t="inlineStr">
        <is>
          <t>skill_vanguard,skill_flank,skill_pierce,skill_revolve,skill_chase,skill_break,skill_suppress,skill_finale</t>
        </is>
      </c>
      <c r="V134" s="442" t="inlineStr">
        <is>
          <t>trait_combo_resonance</t>
        </is>
      </c>
      <c r="W134" s="457">
        <f>XLOOKUP($D134&amp;"|"&amp;$E134&amp;"|"&amp;$F134,'PET_STAT_RULES'!$A$5:$A$88,'PET_STAT_RULES'!$E$5:$E$88)</f>
        <v/>
      </c>
      <c r="X134" s="385" t="inlineStr">
        <is>
          <t>hero_001</t>
        </is>
      </c>
      <c r="Y134" s="386" t="inlineStr">
        <is>
          <t>playable</t>
        </is>
      </c>
      <c r="Z134" s="386" t="inlineStr">
        <is>
          <t>crit, experience</t>
        </is>
      </c>
      <c r="AA134" s="386" t="str"/>
    </row>
    <row r="135">
      <c r="A135" s="38" t="inlineStr">
        <is>
          <t>pal_134</t>
        </is>
      </c>
      <c r="B135" s="38" t="inlineStr">
        <is>
          <t>沧雀卫</t>
        </is>
      </c>
      <c r="C135" s="38" t="inlineStr">
        <is>
          <t>水、雷</t>
        </is>
      </c>
      <c r="D135" s="265" t="inlineStr">
        <is>
          <t>白银</t>
        </is>
      </c>
      <c r="E135" s="38" t="inlineStr">
        <is>
          <t>机动</t>
        </is>
      </c>
      <c r="F135" s="38" t="inlineStr">
        <is>
          <t>三格</t>
        </is>
      </c>
      <c r="G135" s="38" t="inlineStr">
        <is>
          <t>bz_van_134</t>
        </is>
      </c>
      <c r="H135" s="38" t="inlineStr">
        <is>
          <t>elem_水, elem_雷, elem_冰, elem_地, elem_暗, role_坦克, role_控制, role_输出, special_merchant, elite_high</t>
        </is>
      </c>
      <c r="I135" s="38" t="n">
        <v>10</v>
      </c>
      <c r="J135" s="456">
        <f>XLOOKUP($D135&amp;"|"&amp;$E135&amp;"|"&amp;$F135,'PET_STAT_RULES'!$A$5:$A$88,'PET_STAT_RULES'!$C$5:$C$88)</f>
        <v/>
      </c>
      <c r="K135" s="456">
        <f>XLOOKUP($D135&amp;"|"&amp;$E135&amp;"|"&amp;$F135,'PET_STAT_RULES'!$A$5:$A$88,'PET_STAT_RULES'!$D$5:$D$88)</f>
        <v/>
      </c>
      <c r="L135" s="456">
        <f>XLOOKUP($D135&amp;"|"&amp;$E135&amp;"|"&amp;$F135,'PET_STAT_RULES'!$A$5:$A$88,'PET_STAT_RULES'!$F$5:$F$88)</f>
        <v/>
      </c>
      <c r="M135" s="456">
        <f>XLOOKUP($D135&amp;"|"&amp;$E135&amp;"|"&amp;$F135,'PET_STAT_RULES'!$A$5:$A$88,'PET_STAT_RULES'!$G$5:$G$88)</f>
        <v/>
      </c>
      <c r="N135" s="38" t="n">
        <v>2</v>
      </c>
      <c r="O135" s="38" t="inlineStr">
        <is>
          <t>none</t>
        </is>
      </c>
      <c r="P135" s="38" t="inlineStr">
        <is>
          <t>11 形状11</t>
        </is>
      </c>
      <c r="Q135" s="38" t="inlineStr">
        <is>
          <t>Turbo</t>
        </is>
      </c>
      <c r="R135" s="38" t="inlineStr">
        <is>
          <t>item confirmed；来源=Water Wheel；攻击2格；仅保留来源商人/训练师关系。</t>
        </is>
      </c>
      <c r="S135" s="38" t="n">
        <v>5</v>
      </c>
      <c r="T135" s="38" t="n">
        <v>2</v>
      </c>
      <c r="U135" s="442" t="inlineStr">
        <is>
          <t>skill_vanguard,skill_flank,skill_pierce,skill_revolve,skill_chase,skill_break,skill_suppress,skill_finale</t>
        </is>
      </c>
      <c r="V135" s="442" t="inlineStr">
        <is>
          <t>trait_relentless</t>
        </is>
      </c>
      <c r="W135" s="457">
        <f>XLOOKUP($D135&amp;"|"&amp;$E135&amp;"|"&amp;$F135,'PET_STAT_RULES'!$A$5:$A$88,'PET_STAT_RULES'!$E$5:$E$88)</f>
        <v/>
      </c>
      <c r="X135" s="385" t="inlineStr">
        <is>
          <t>hero_001</t>
        </is>
      </c>
      <c r="Y135" s="386" t="inlineStr">
        <is>
          <t>playable</t>
        </is>
      </c>
      <c r="Z135" s="386" t="inlineStr">
        <is>
          <t>aquatic, property, haste</t>
        </is>
      </c>
      <c r="AA135" s="386" t="str"/>
    </row>
    <row r="136">
      <c r="A136" s="38" t="inlineStr">
        <is>
          <t>pal_135</t>
        </is>
      </c>
      <c r="B136" s="38" t="inlineStr">
        <is>
          <t>赤蝎精</t>
        </is>
      </c>
      <c r="C136" s="38" t="inlineStr">
        <is>
          <t>火、冰</t>
        </is>
      </c>
      <c r="D136" s="265" t="inlineStr">
        <is>
          <t>白银</t>
        </is>
      </c>
      <c r="E136" s="38" t="inlineStr">
        <is>
          <t>控制</t>
        </is>
      </c>
      <c r="F136" s="38" t="inlineStr">
        <is>
          <t>两格</t>
        </is>
      </c>
      <c r="G136" s="38" t="inlineStr">
        <is>
          <t>bz_van_135</t>
        </is>
      </c>
      <c r="H136" s="38" t="inlineStr">
        <is>
          <t>elem_水, elem_雷, elem_冰, role_坦克, role_控制, special_merchant, tier_pT2, role_召唤铺场, role_风系牵制, role_火系压制</t>
        </is>
      </c>
      <c r="I136" s="38" t="n">
        <v>10</v>
      </c>
      <c r="J136" s="456">
        <f>XLOOKUP($D136&amp;"|"&amp;$E136&amp;"|"&amp;$F136,'PET_STAT_RULES'!$A$5:$A$88,'PET_STAT_RULES'!$C$5:$C$88)</f>
        <v/>
      </c>
      <c r="K136" s="456">
        <f>XLOOKUP($D136&amp;"|"&amp;$E136&amp;"|"&amp;$F136,'PET_STAT_RULES'!$A$5:$A$88,'PET_STAT_RULES'!$D$5:$D$88)</f>
        <v/>
      </c>
      <c r="L136" s="456">
        <f>XLOOKUP($D136&amp;"|"&amp;$E136&amp;"|"&amp;$F136,'PET_STAT_RULES'!$A$5:$A$88,'PET_STAT_RULES'!$F$5:$F$88)</f>
        <v/>
      </c>
      <c r="M136" s="456">
        <f>XLOOKUP($D136&amp;"|"&amp;$E136&amp;"|"&amp;$F136,'PET_STAT_RULES'!$A$5:$A$88,'PET_STAT_RULES'!$G$5:$G$88)</f>
        <v/>
      </c>
      <c r="N136" s="38" t="n">
        <v>2</v>
      </c>
      <c r="O136" s="38" t="inlineStr">
        <is>
          <t>mech_fire_ignite_bonus</t>
        </is>
      </c>
      <c r="P136" s="38" t="inlineStr">
        <is>
          <t>11 形状11</t>
        </is>
      </c>
      <c r="Q136" s="38" t="inlineStr">
        <is>
          <t>Fiery</t>
        </is>
      </c>
      <c r="R136" s="38" t="inlineStr">
        <is>
          <t>item confirmed；来源=Weather Glass；攻击2格；仅保留来源商人/训练师关系。</t>
        </is>
      </c>
      <c r="S136" s="38" t="n">
        <v>4</v>
      </c>
      <c r="T136" s="38" t="n">
        <v>2</v>
      </c>
      <c r="U136" s="442" t="inlineStr">
        <is>
          <t>skill_vanguard,skill_flank,skill_pierce,skill_revolve,skill_chase,skill_break,skill_suppress,skill_finale</t>
        </is>
      </c>
      <c r="V136" s="442" t="inlineStr">
        <is>
          <t>trait_element_affinity</t>
        </is>
      </c>
      <c r="W136" s="457">
        <f>XLOOKUP($D136&amp;"|"&amp;$E136&amp;"|"&amp;$F136,'PET_STAT_RULES'!$A$5:$A$88,'PET_STAT_RULES'!$E$5:$E$88)</f>
        <v/>
      </c>
      <c r="X136" s="385" t="inlineStr">
        <is>
          <t>hero_001</t>
        </is>
      </c>
      <c r="Y136" s="386" t="inlineStr">
        <is>
          <t>playable</t>
        </is>
      </c>
      <c r="Z136" s="386" t="inlineStr">
        <is>
          <t>tool, burn, poison</t>
        </is>
      </c>
      <c r="AA136" s="386" t="inlineStr">
        <is>
          <t>slow, freeze</t>
        </is>
      </c>
    </row>
    <row r="137">
      <c r="A137" s="38" t="inlineStr">
        <is>
          <t>pal_136</t>
        </is>
      </c>
      <c r="B137" s="38" t="inlineStr">
        <is>
          <t>沧熊童</t>
        </is>
      </c>
      <c r="C137" s="38" t="inlineStr">
        <is>
          <t>水、地</t>
        </is>
      </c>
      <c r="D137" s="259" t="inlineStr">
        <is>
          <t>青铜</t>
        </is>
      </c>
      <c r="E137" s="38" t="inlineStr">
        <is>
          <t>坦克</t>
        </is>
      </c>
      <c r="F137" s="38" t="inlineStr">
        <is>
          <t>两格</t>
        </is>
      </c>
      <c r="G137" s="38" t="inlineStr">
        <is>
          <t>bz_van_136</t>
        </is>
      </c>
      <c r="H137" s="38" t="inlineStr">
        <is>
          <t>elem_水, elem_雷, elem_冰, elem_无, role_坦克, role_控制, role_输出, tier_pT3, role_抗压承伤, role_重甲抗压</t>
        </is>
      </c>
      <c r="I137" s="38" t="n">
        <v>10</v>
      </c>
      <c r="J137" s="456">
        <f>XLOOKUP($D137&amp;"|"&amp;$E137&amp;"|"&amp;$F137,'PET_STAT_RULES'!$A$5:$A$88,'PET_STAT_RULES'!$C$5:$C$88)</f>
        <v/>
      </c>
      <c r="K137" s="456">
        <f>XLOOKUP($D137&amp;"|"&amp;$E137&amp;"|"&amp;$F137,'PET_STAT_RULES'!$A$5:$A$88,'PET_STAT_RULES'!$D$5:$D$88)</f>
        <v/>
      </c>
      <c r="L137" s="456">
        <f>XLOOKUP($D137&amp;"|"&amp;$E137&amp;"|"&amp;$F137,'PET_STAT_RULES'!$A$5:$A$88,'PET_STAT_RULES'!$F$5:$F$88)</f>
        <v/>
      </c>
      <c r="M137" s="456">
        <f>XLOOKUP($D137&amp;"|"&amp;$E137&amp;"|"&amp;$F137,'PET_STAT_RULES'!$A$5:$A$88,'PET_STAT_RULES'!$G$5:$G$88)</f>
        <v/>
      </c>
      <c r="N137" s="38" t="n">
        <v>1</v>
      </c>
      <c r="O137" s="38" t="inlineStr">
        <is>
          <t>mech_shield_regen</t>
        </is>
      </c>
      <c r="P137" s="38" t="inlineStr">
        <is>
          <t>03 形状03</t>
        </is>
      </c>
      <c r="Q137" s="38" t="inlineStr">
        <is>
          <t>Turbo</t>
        </is>
      </c>
      <c r="R137" s="38" t="inlineStr">
        <is>
          <t>item confirmed；来源=Wetware；攻击1格；仅保留来源商人/训练师关系。</t>
        </is>
      </c>
      <c r="S137" s="38" t="n">
        <v>3</v>
      </c>
      <c r="T137" s="38" t="n">
        <v>1</v>
      </c>
      <c r="U137" s="442" t="inlineStr">
        <is>
          <t>skill_vanguard,skill_flank,skill_pierce,skill_revolve,skill_chase,skill_break,skill_suppress,skill_finale</t>
        </is>
      </c>
      <c r="V137" s="442" t="inlineStr">
        <is>
          <t>trait_combo_mastery</t>
        </is>
      </c>
      <c r="W137" s="457">
        <f>XLOOKUP($D137&amp;"|"&amp;$E137&amp;"|"&amp;$F137,'PET_STAT_RULES'!$A$5:$A$88,'PET_STAT_RULES'!$E$5:$E$88)</f>
        <v/>
      </c>
      <c r="X137" s="385" t="inlineStr">
        <is>
          <t>hero_001</t>
        </is>
      </c>
      <c r="Y137" s="386" t="inlineStr">
        <is>
          <t>playable</t>
        </is>
      </c>
      <c r="Z137" s="386" t="inlineStr">
        <is>
          <t>aquatic, apparel, tech, shield</t>
        </is>
      </c>
      <c r="AA137" s="386" t="inlineStr">
        <is>
          <t>tech, damage</t>
        </is>
      </c>
    </row>
    <row r="138">
      <c r="A138" s="38" t="inlineStr">
        <is>
          <t>pal_137</t>
        </is>
      </c>
      <c r="B138" s="38" t="inlineStr">
        <is>
          <t>雪貂童</t>
        </is>
      </c>
      <c r="C138" s="38" t="inlineStr">
        <is>
          <t>冰、草</t>
        </is>
      </c>
      <c r="D138" s="259" t="inlineStr">
        <is>
          <t>青铜</t>
        </is>
      </c>
      <c r="E138" s="38" t="inlineStr">
        <is>
          <t>控制</t>
        </is>
      </c>
      <c r="F138" s="38" t="inlineStr">
        <is>
          <t>一格</t>
        </is>
      </c>
      <c r="G138" s="38" t="inlineStr">
        <is>
          <t>bz_van_137</t>
        </is>
      </c>
      <c r="H138" s="38" t="inlineStr">
        <is>
          <t>elem_火, elem_雷, elem_冰, elem_地, role_坦克, role_控制, role_输出, role_机动压制, role_风系牵制, role_火系压制</t>
        </is>
      </c>
      <c r="I138" s="38" t="n">
        <v>10</v>
      </c>
      <c r="J138" s="456">
        <f>XLOOKUP($D138&amp;"|"&amp;$E138&amp;"|"&amp;$F138,'PET_STAT_RULES'!$A$5:$A$88,'PET_STAT_RULES'!$C$5:$C$88)</f>
        <v/>
      </c>
      <c r="K138" s="456">
        <f>XLOOKUP($D138&amp;"|"&amp;$E138&amp;"|"&amp;$F138,'PET_STAT_RULES'!$A$5:$A$88,'PET_STAT_RULES'!$D$5:$D$88)</f>
        <v/>
      </c>
      <c r="L138" s="456">
        <f>XLOOKUP($D138&amp;"|"&amp;$E138&amp;"|"&amp;$F138,'PET_STAT_RULES'!$A$5:$A$88,'PET_STAT_RULES'!$F$5:$F$88)</f>
        <v/>
      </c>
      <c r="M138" s="456">
        <f>XLOOKUP($D138&amp;"|"&amp;$E138&amp;"|"&amp;$F138,'PET_STAT_RULES'!$A$5:$A$88,'PET_STAT_RULES'!$G$5:$G$88)</f>
        <v/>
      </c>
      <c r="N138" s="38" t="n">
        <v>2</v>
      </c>
      <c r="O138" s="38" t="inlineStr">
        <is>
          <t>mech_counter_damage</t>
        </is>
      </c>
      <c r="P138" s="38" t="inlineStr">
        <is>
          <t>10 形状10</t>
        </is>
      </c>
      <c r="Q138" s="38" t="inlineStr">
        <is>
          <t>Icy</t>
        </is>
      </c>
      <c r="R138" s="38" t="inlineStr">
        <is>
          <t>item confirmed；来源=Yeti Crab；攻击2格；仅保留来源商人/训练师关系。</t>
        </is>
      </c>
      <c r="S138" s="38" t="n">
        <v>4</v>
      </c>
      <c r="T138" s="38" t="n">
        <v>1</v>
      </c>
      <c r="U138" s="442" t="inlineStr">
        <is>
          <t>skill_vanguard,skill_flank,skill_pierce,skill_revolve,skill_chase,skill_break,skill_suppress,skill_finale</t>
        </is>
      </c>
      <c r="V138" s="442" t="inlineStr">
        <is>
          <t>trait_element_affinity</t>
        </is>
      </c>
      <c r="W138" s="457">
        <f>XLOOKUP($D138&amp;"|"&amp;$E138&amp;"|"&amp;$F138,'PET_STAT_RULES'!$A$5:$A$88,'PET_STAT_RULES'!$E$5:$E$88)</f>
        <v/>
      </c>
      <c r="X138" s="385" t="inlineStr">
        <is>
          <t>hero_001</t>
        </is>
      </c>
      <c r="Y138" s="386" t="inlineStr">
        <is>
          <t>playable</t>
        </is>
      </c>
      <c r="Z138" s="386" t="inlineStr">
        <is>
          <t>aquatic, friend, freeze</t>
        </is>
      </c>
      <c r="AA138" s="386" t="inlineStr">
        <is>
          <t>poison</t>
        </is>
      </c>
    </row>
    <row r="139">
      <c r="A139" s="38" t="inlineStr">
        <is>
          <t>pal_138</t>
        </is>
      </c>
      <c r="B139" s="38" t="inlineStr">
        <is>
          <t>烬蜂童</t>
        </is>
      </c>
      <c r="C139" s="38" t="inlineStr">
        <is>
          <t>火、水</t>
        </is>
      </c>
      <c r="D139" s="259" t="inlineStr">
        <is>
          <t>青铜</t>
        </is>
      </c>
      <c r="E139" s="38" t="inlineStr">
        <is>
          <t>机动</t>
        </is>
      </c>
      <c r="F139" s="38" t="inlineStr">
        <is>
          <t>一格</t>
        </is>
      </c>
      <c r="G139" s="38" t="inlineStr">
        <is>
          <t>bz_van_138</t>
        </is>
      </c>
      <c r="H139" s="38" t="inlineStr">
        <is>
          <t>night_base, elem_火, elem_雷, role_坦克, role_控制, role_输出, special_merchant, elite_high, tier_pT2, role_机动压制</t>
        </is>
      </c>
      <c r="I139" s="38" t="n">
        <v>10</v>
      </c>
      <c r="J139" s="456">
        <f>XLOOKUP($D139&amp;"|"&amp;$E139&amp;"|"&amp;$F139,'PET_STAT_RULES'!$A$5:$A$88,'PET_STAT_RULES'!$C$5:$C$88)</f>
        <v/>
      </c>
      <c r="K139" s="456">
        <f>XLOOKUP($D139&amp;"|"&amp;$E139&amp;"|"&amp;$F139,'PET_STAT_RULES'!$A$5:$A$88,'PET_STAT_RULES'!$D$5:$D$88)</f>
        <v/>
      </c>
      <c r="L139" s="456">
        <f>XLOOKUP($D139&amp;"|"&amp;$E139&amp;"|"&amp;$F139,'PET_STAT_RULES'!$A$5:$A$88,'PET_STAT_RULES'!$F$5:$F$88)</f>
        <v/>
      </c>
      <c r="M139" s="456">
        <f>XLOOKUP($D139&amp;"|"&amp;$E139&amp;"|"&amp;$F139,'PET_STAT_RULES'!$A$5:$A$88,'PET_STAT_RULES'!$G$5:$G$88)</f>
        <v/>
      </c>
      <c r="N139" s="38" t="n">
        <v>2</v>
      </c>
      <c r="O139" s="38" t="inlineStr">
        <is>
          <t>mech_fire_ignite_bonus</t>
        </is>
      </c>
      <c r="P139" s="38" t="inlineStr">
        <is>
          <t>12 形状12</t>
        </is>
      </c>
      <c r="Q139" s="38" t="inlineStr">
        <is>
          <t>Fiery</t>
        </is>
      </c>
      <c r="R139" s="38" t="inlineStr">
        <is>
          <t>item confirmed；来源=Zoarcid；攻击2格；仅保留来源商人/训练师关系。</t>
        </is>
      </c>
      <c r="S139" s="38" t="n">
        <v>5</v>
      </c>
      <c r="T139" s="38" t="n">
        <v>1</v>
      </c>
      <c r="U139" s="442" t="inlineStr">
        <is>
          <t>skill_vanguard,skill_flank,skill_pierce,skill_revolve,skill_chase,skill_break,skill_suppress,skill_finale</t>
        </is>
      </c>
      <c r="V139" s="442" t="inlineStr">
        <is>
          <t>trait_relentless</t>
        </is>
      </c>
      <c r="W139" s="457">
        <f>XLOOKUP($D139&amp;"|"&amp;$E139&amp;"|"&amp;$F139,'PET_STAT_RULES'!$A$5:$A$88,'PET_STAT_RULES'!$E$5:$E$88)</f>
        <v/>
      </c>
      <c r="X139" s="385" t="inlineStr">
        <is>
          <t>hero_001</t>
        </is>
      </c>
      <c r="Y139" s="386" t="inlineStr">
        <is>
          <t>playable</t>
        </is>
      </c>
      <c r="Z139" s="386" t="inlineStr">
        <is>
          <t>aquatic, weapon, friend, damage, haste</t>
        </is>
      </c>
      <c r="AA139" s="386" t="inlineStr">
        <is>
          <t>burn</t>
        </is>
      </c>
    </row>
    <row r="140">
      <c r="A140" s="38" t="inlineStr">
        <is>
          <t>pal_139</t>
        </is>
      </c>
      <c r="B140" s="38" t="inlineStr">
        <is>
          <t>雷鲭王</t>
        </is>
      </c>
      <c r="C140" s="38" t="inlineStr">
        <is>
          <t>雷</t>
        </is>
      </c>
      <c r="D140" s="262" t="inlineStr">
        <is>
          <t>黄金</t>
        </is>
      </c>
      <c r="E140" s="38" t="inlineStr">
        <is>
          <t>机动</t>
        </is>
      </c>
      <c r="F140" s="38" t="inlineStr">
        <is>
          <t>两格</t>
        </is>
      </c>
      <c r="G140" s="38" t="inlineStr">
        <is>
          <t>bz_van_139</t>
        </is>
      </c>
      <c r="H140" s="38" t="inlineStr">
        <is>
          <t>elem_水, elem_龙, elem_无, role_召唤, special_merchant</t>
        </is>
      </c>
      <c r="I140" s="38" t="n">
        <v>5</v>
      </c>
      <c r="J140" s="456">
        <f>XLOOKUP($D140&amp;"|"&amp;$E140&amp;"|"&amp;$F140,'PET_STAT_RULES'!$A$5:$A$88,'PET_STAT_RULES'!$C$5:$C$88)</f>
        <v/>
      </c>
      <c r="K140" s="456">
        <f>XLOOKUP($D140&amp;"|"&amp;$E140&amp;"|"&amp;$F140,'PET_STAT_RULES'!$A$5:$A$88,'PET_STAT_RULES'!$D$5:$D$88)</f>
        <v/>
      </c>
      <c r="L140" s="456">
        <f>XLOOKUP($D140&amp;"|"&amp;$E140&amp;"|"&amp;$F140,'PET_STAT_RULES'!$A$5:$A$88,'PET_STAT_RULES'!$F$5:$F$88)</f>
        <v/>
      </c>
      <c r="M140" s="456">
        <f>XLOOKUP($D140&amp;"|"&amp;$E140&amp;"|"&amp;$F140,'PET_STAT_RULES'!$A$5:$A$88,'PET_STAT_RULES'!$G$5:$G$88)</f>
        <v/>
      </c>
      <c r="N140" s="38" t="n">
        <v>2</v>
      </c>
      <c r="O140" s="38" t="inlineStr">
        <is>
          <t>none</t>
        </is>
      </c>
      <c r="P140" s="38" t="inlineStr">
        <is>
          <t>11 形状11</t>
        </is>
      </c>
      <c r="Q140" s="38" t="inlineStr">
        <is>
          <t>Turbo</t>
        </is>
      </c>
      <c r="R140" s="38" t="inlineStr">
        <is>
          <t>skill confirmed；来源=Alacrity；攻击2格；仅保留来源商人/训练师关系。</t>
        </is>
      </c>
      <c r="S140" s="38" t="n">
        <v>5</v>
      </c>
      <c r="T140" s="38" t="n">
        <v>2</v>
      </c>
      <c r="U140" s="442" t="inlineStr">
        <is>
          <t>skill_vanguard,skill_flank,skill_pierce,skill_revolve,skill_chase,skill_break,skill_suppress,skill_finale</t>
        </is>
      </c>
      <c r="V140" s="442" t="inlineStr">
        <is>
          <t>trait_relentless</t>
        </is>
      </c>
      <c r="W140" s="457">
        <f>XLOOKUP($D140&amp;"|"&amp;$E140&amp;"|"&amp;$F140,'PET_STAT_RULES'!$A$5:$A$88,'PET_STAT_RULES'!$E$5:$E$88)</f>
        <v/>
      </c>
      <c r="X140" s="385" t="str"/>
      <c r="Y140" s="386" t="inlineStr">
        <is>
          <t>reserved</t>
        </is>
      </c>
      <c r="Z140" s="386" t="str"/>
      <c r="AA140" s="386" t="str"/>
    </row>
    <row r="141">
      <c r="A141" s="38" t="inlineStr">
        <is>
          <t>pal_140</t>
        </is>
      </c>
      <c r="B141" s="38" t="inlineStr">
        <is>
          <t>冥雀卫</t>
        </is>
      </c>
      <c r="C141" s="38" t="inlineStr">
        <is>
          <t>暗</t>
        </is>
      </c>
      <c r="D141" s="265" t="inlineStr">
        <is>
          <t>白银</t>
        </is>
      </c>
      <c r="E141" s="38" t="inlineStr">
        <is>
          <t>经济</t>
        </is>
      </c>
      <c r="F141" s="38" t="inlineStr">
        <is>
          <t>两格</t>
        </is>
      </c>
      <c r="G141" s="38" t="inlineStr">
        <is>
          <t>bz_van_140</t>
        </is>
      </c>
      <c r="H141" s="38" t="inlineStr">
        <is>
          <t>elem_水, elem_雷, elem_龙, elem_无</t>
        </is>
      </c>
      <c r="I141" s="38" t="n">
        <v>4</v>
      </c>
      <c r="J141" s="456">
        <f>XLOOKUP($D141&amp;"|"&amp;$E141&amp;"|"&amp;$F141,'PET_STAT_RULES'!$A$5:$A$88,'PET_STAT_RULES'!$C$5:$C$88)</f>
        <v/>
      </c>
      <c r="K141" s="456">
        <f>XLOOKUP($D141&amp;"|"&amp;$E141&amp;"|"&amp;$F141,'PET_STAT_RULES'!$A$5:$A$88,'PET_STAT_RULES'!$D$5:$D$88)</f>
        <v/>
      </c>
      <c r="L141" s="456">
        <f>XLOOKUP($D141&amp;"|"&amp;$E141&amp;"|"&amp;$F141,'PET_STAT_RULES'!$A$5:$A$88,'PET_STAT_RULES'!$F$5:$F$88)</f>
        <v/>
      </c>
      <c r="M141" s="456">
        <f>XLOOKUP($D141&amp;"|"&amp;$E141&amp;"|"&amp;$F141,'PET_STAT_RULES'!$A$5:$A$88,'PET_STAT_RULES'!$G$5:$G$88)</f>
        <v/>
      </c>
      <c r="N141" s="38" t="n">
        <v>2</v>
      </c>
      <c r="O141" s="38" t="inlineStr">
        <is>
          <t>none</t>
        </is>
      </c>
      <c r="P141" s="38" t="inlineStr">
        <is>
          <t>09 形状09</t>
        </is>
      </c>
      <c r="Q141" s="38" t="inlineStr">
        <is>
          <t>Golden</t>
        </is>
      </c>
      <c r="R141" s="38" t="inlineStr">
        <is>
          <t>skill confirmed；来源=Arbitrage；攻击2格；仅保留来源商人/训练师关系。</t>
        </is>
      </c>
      <c r="S141" s="38" t="n">
        <v>3</v>
      </c>
      <c r="T141" s="38" t="n">
        <v>2</v>
      </c>
      <c r="U141" s="442" t="inlineStr">
        <is>
          <t>skill_vanguard,skill_flank,skill_pierce,skill_revolve,skill_chase,skill_break,skill_suppress,skill_finale</t>
        </is>
      </c>
      <c r="V141" s="442" t="inlineStr">
        <is>
          <t>trait_combo_resonance</t>
        </is>
      </c>
      <c r="W141" s="457">
        <f>XLOOKUP($D141&amp;"|"&amp;$E141&amp;"|"&amp;$F141,'PET_STAT_RULES'!$A$5:$A$88,'PET_STAT_RULES'!$E$5:$E$88)</f>
        <v/>
      </c>
      <c r="X141" s="385" t="str"/>
      <c r="Y141" s="386" t="inlineStr">
        <is>
          <t>reserved</t>
        </is>
      </c>
      <c r="Z141" s="386" t="str"/>
      <c r="AA141" s="386" t="str"/>
    </row>
    <row r="142">
      <c r="A142" s="38" t="inlineStr">
        <is>
          <t>pal_141</t>
        </is>
      </c>
      <c r="B142" s="38" t="inlineStr">
        <is>
          <t>沧鸾仔</t>
        </is>
      </c>
      <c r="C142" s="38" t="inlineStr">
        <is>
          <t>水、地</t>
        </is>
      </c>
      <c r="D142" s="259" t="inlineStr">
        <is>
          <t>青铜</t>
        </is>
      </c>
      <c r="E142" s="38" t="inlineStr">
        <is>
          <t>治疗</t>
        </is>
      </c>
      <c r="F142" s="38" t="inlineStr">
        <is>
          <t>两格</t>
        </is>
      </c>
      <c r="G142" s="38" t="inlineStr">
        <is>
          <t>bz_van_141</t>
        </is>
      </c>
      <c r="H142" s="38" t="inlineStr">
        <is>
          <t>elem_水, elem_雷, elem_龙, elem_无, role_坦克, tier_pT2</t>
        </is>
      </c>
      <c r="I142" s="38" t="n">
        <v>6</v>
      </c>
      <c r="J142" s="456">
        <f>XLOOKUP($D142&amp;"|"&amp;$E142&amp;"|"&amp;$F142,'PET_STAT_RULES'!$A$5:$A$88,'PET_STAT_RULES'!$C$5:$C$88)</f>
        <v/>
      </c>
      <c r="K142" s="456">
        <f>XLOOKUP($D142&amp;"|"&amp;$E142&amp;"|"&amp;$F142,'PET_STAT_RULES'!$A$5:$A$88,'PET_STAT_RULES'!$D$5:$D$88)</f>
        <v/>
      </c>
      <c r="L142" s="456">
        <f>XLOOKUP($D142&amp;"|"&amp;$E142&amp;"|"&amp;$F142,'PET_STAT_RULES'!$A$5:$A$88,'PET_STAT_RULES'!$F$5:$F$88)</f>
        <v/>
      </c>
      <c r="M142" s="456">
        <f>XLOOKUP($D142&amp;"|"&amp;$E142&amp;"|"&amp;$F142,'PET_STAT_RULES'!$A$5:$A$88,'PET_STAT_RULES'!$G$5:$G$88)</f>
        <v/>
      </c>
      <c r="N142" s="38" t="n">
        <v>1</v>
      </c>
      <c r="O142" s="38" t="inlineStr">
        <is>
          <t>mech_shield_regen</t>
        </is>
      </c>
      <c r="P142" s="38" t="inlineStr">
        <is>
          <t>01 形状01</t>
        </is>
      </c>
      <c r="Q142" s="38" t="inlineStr">
        <is>
          <t>Restorative</t>
        </is>
      </c>
      <c r="R142" s="38" t="inlineStr">
        <is>
          <t>skill confirmed；来源=Arms Dealer；攻击1格；仅保留来源商人/训练师关系。</t>
        </is>
      </c>
      <c r="S142" s="38" t="n">
        <v>3</v>
      </c>
      <c r="T142" s="38" t="n">
        <v>1</v>
      </c>
      <c r="U142" s="442" t="inlineStr">
        <is>
          <t>skill_vanguard,skill_flank,skill_pierce,skill_revolve,skill_chase,skill_break,skill_suppress,skill_finale</t>
        </is>
      </c>
      <c r="V142" s="442" t="inlineStr">
        <is>
          <t>trait_element_affinity</t>
        </is>
      </c>
      <c r="W142" s="457">
        <f>XLOOKUP($D142&amp;"|"&amp;$E142&amp;"|"&amp;$F142,'PET_STAT_RULES'!$A$5:$A$88,'PET_STAT_RULES'!$E$5:$E$88)</f>
        <v/>
      </c>
      <c r="X142" s="385" t="str"/>
      <c r="Y142" s="386" t="inlineStr">
        <is>
          <t>reserved</t>
        </is>
      </c>
      <c r="Z142" s="386" t="str"/>
      <c r="AA142" s="386" t="str"/>
    </row>
    <row r="143">
      <c r="A143" s="38" t="inlineStr">
        <is>
          <t>pal_142</t>
        </is>
      </c>
      <c r="B143" s="38" t="inlineStr">
        <is>
          <t>霆螳灵</t>
        </is>
      </c>
      <c r="C143" s="38" t="inlineStr">
        <is>
          <t>雷</t>
        </is>
      </c>
      <c r="D143" s="259" t="inlineStr">
        <is>
          <t>青铜</t>
        </is>
      </c>
      <c r="E143" s="38" t="inlineStr">
        <is>
          <t>输出</t>
        </is>
      </c>
      <c r="F143" s="38" t="inlineStr">
        <is>
          <t>两格</t>
        </is>
      </c>
      <c r="G143" s="38" t="inlineStr">
        <is>
          <t>bz_van_142</t>
        </is>
      </c>
      <c r="H143" s="38" t="inlineStr">
        <is>
          <t>elem_水, elem_雷, elem_龙, elem_无, role_召唤</t>
        </is>
      </c>
      <c r="I143" s="38" t="n">
        <v>5</v>
      </c>
      <c r="J143" s="456">
        <f>XLOOKUP($D143&amp;"|"&amp;$E143&amp;"|"&amp;$F143,'PET_STAT_RULES'!$A$5:$A$88,'PET_STAT_RULES'!$C$5:$C$88)</f>
        <v/>
      </c>
      <c r="K143" s="456">
        <f>XLOOKUP($D143&amp;"|"&amp;$E143&amp;"|"&amp;$F143,'PET_STAT_RULES'!$A$5:$A$88,'PET_STAT_RULES'!$D$5:$D$88)</f>
        <v/>
      </c>
      <c r="L143" s="456">
        <f>XLOOKUP($D143&amp;"|"&amp;$E143&amp;"|"&amp;$F143,'PET_STAT_RULES'!$A$5:$A$88,'PET_STAT_RULES'!$F$5:$F$88)</f>
        <v/>
      </c>
      <c r="M143" s="456">
        <f>XLOOKUP($D143&amp;"|"&amp;$E143&amp;"|"&amp;$F143,'PET_STAT_RULES'!$A$5:$A$88,'PET_STAT_RULES'!$G$5:$G$88)</f>
        <v/>
      </c>
      <c r="N143" s="38" t="n">
        <v>1</v>
      </c>
      <c r="O143" s="38" t="inlineStr">
        <is>
          <t>mech_grow_atk_each_round</t>
        </is>
      </c>
      <c r="P143" s="38" t="inlineStr">
        <is>
          <t>04 形状04</t>
        </is>
      </c>
      <c r="Q143" s="38" t="inlineStr">
        <is>
          <t>Deadly</t>
        </is>
      </c>
      <c r="R143" s="38" t="inlineStr">
        <is>
          <t>skill confirmed；来源=Artillery Spotter；攻击1格；仅保留来源商人/训练师关系。</t>
        </is>
      </c>
      <c r="S143" s="38" t="n">
        <v>3</v>
      </c>
      <c r="T143" s="38" t="n">
        <v>1</v>
      </c>
      <c r="U143" s="442" t="inlineStr">
        <is>
          <t>skill_vanguard,skill_flank,skill_pierce,skill_revolve,skill_chase,skill_break,skill_suppress,skill_finale</t>
        </is>
      </c>
      <c r="V143" s="442" t="inlineStr">
        <is>
          <t>trait_relentless</t>
        </is>
      </c>
      <c r="W143" s="457">
        <f>XLOOKUP($D143&amp;"|"&amp;$E143&amp;"|"&amp;$F143,'PET_STAT_RULES'!$A$5:$A$88,'PET_STAT_RULES'!$E$5:$E$88)</f>
        <v/>
      </c>
      <c r="X143" s="385" t="str"/>
      <c r="Y143" s="386" t="inlineStr">
        <is>
          <t>reserved</t>
        </is>
      </c>
      <c r="Z143" s="386" t="str"/>
      <c r="AA143" s="386" t="str"/>
    </row>
    <row r="144">
      <c r="A144" s="38" t="inlineStr">
        <is>
          <t>pal_143</t>
        </is>
      </c>
      <c r="B144" s="38" t="inlineStr">
        <is>
          <t>山熊卫</t>
        </is>
      </c>
      <c r="C144" s="38" t="inlineStr">
        <is>
          <t>地、龙</t>
        </is>
      </c>
      <c r="D144" s="265" t="inlineStr">
        <is>
          <t>白银</t>
        </is>
      </c>
      <c r="E144" s="38" t="inlineStr">
        <is>
          <t>坦克</t>
        </is>
      </c>
      <c r="F144" s="38" t="inlineStr">
        <is>
          <t>两格</t>
        </is>
      </c>
      <c r="G144" s="38" t="inlineStr">
        <is>
          <t>bz_van_143</t>
        </is>
      </c>
      <c r="H144" s="38" t="inlineStr">
        <is>
          <t>elem_水, elem_雷, elem_龙, elem_无, role_召唤铺场</t>
        </is>
      </c>
      <c r="I144" s="38" t="n">
        <v>5</v>
      </c>
      <c r="J144" s="456">
        <f>XLOOKUP($D144&amp;"|"&amp;$E144&amp;"|"&amp;$F144,'PET_STAT_RULES'!$A$5:$A$88,'PET_STAT_RULES'!$C$5:$C$88)</f>
        <v/>
      </c>
      <c r="K144" s="456">
        <f>XLOOKUP($D144&amp;"|"&amp;$E144&amp;"|"&amp;$F144,'PET_STAT_RULES'!$A$5:$A$88,'PET_STAT_RULES'!$D$5:$D$88)</f>
        <v/>
      </c>
      <c r="L144" s="456">
        <f>XLOOKUP($D144&amp;"|"&amp;$E144&amp;"|"&amp;$F144,'PET_STAT_RULES'!$A$5:$A$88,'PET_STAT_RULES'!$F$5:$F$88)</f>
        <v/>
      </c>
      <c r="M144" s="456">
        <f>XLOOKUP($D144&amp;"|"&amp;$E144&amp;"|"&amp;$F144,'PET_STAT_RULES'!$A$5:$A$88,'PET_STAT_RULES'!$G$5:$G$88)</f>
        <v/>
      </c>
      <c r="N144" s="38" t="n">
        <v>2</v>
      </c>
      <c r="O144" s="38" t="inlineStr">
        <is>
          <t>mech_shield_regen</t>
        </is>
      </c>
      <c r="P144" s="38" t="inlineStr">
        <is>
          <t>07 形状07</t>
        </is>
      </c>
      <c r="Q144" s="38" t="inlineStr">
        <is>
          <t>Shielded</t>
        </is>
      </c>
      <c r="R144" s="38" t="inlineStr">
        <is>
          <t>skill confirmed；来源=Balanced Friendship；攻击2格；仅保留来源商人/训练师关系。</t>
        </is>
      </c>
      <c r="S144" s="38" t="n">
        <v>3</v>
      </c>
      <c r="T144" s="38" t="n">
        <v>2</v>
      </c>
      <c r="U144" s="442" t="inlineStr">
        <is>
          <t>skill_vanguard,skill_flank,skill_pierce,skill_revolve,skill_chase,skill_break,skill_suppress,skill_finale</t>
        </is>
      </c>
      <c r="V144" s="442" t="inlineStr">
        <is>
          <t>trait_combo_mastery</t>
        </is>
      </c>
      <c r="W144" s="457">
        <f>XLOOKUP($D144&amp;"|"&amp;$E144&amp;"|"&amp;$F144,'PET_STAT_RULES'!$A$5:$A$88,'PET_STAT_RULES'!$E$5:$E$88)</f>
        <v/>
      </c>
      <c r="X144" s="385" t="str"/>
      <c r="Y144" s="386" t="inlineStr">
        <is>
          <t>reserved</t>
        </is>
      </c>
      <c r="Z144" s="386" t="str"/>
      <c r="AA144" s="386" t="str"/>
    </row>
    <row r="145">
      <c r="A145" s="38" t="inlineStr">
        <is>
          <t>pal_144</t>
        </is>
      </c>
      <c r="B145" s="38" t="inlineStr">
        <is>
          <t>沧燕侯</t>
        </is>
      </c>
      <c r="C145" s="38" t="inlineStr">
        <is>
          <t>水</t>
        </is>
      </c>
      <c r="D145" s="262" t="inlineStr">
        <is>
          <t>黄金</t>
        </is>
      </c>
      <c r="E145" s="38" t="inlineStr">
        <is>
          <t>机动</t>
        </is>
      </c>
      <c r="F145" s="38" t="inlineStr">
        <is>
          <t>两格</t>
        </is>
      </c>
      <c r="G145" s="38" t="inlineStr">
        <is>
          <t>bz_van_144</t>
        </is>
      </c>
      <c r="H145" s="38" t="inlineStr">
        <is>
          <t>elem_水, elem_地, elem_龙, elem_无</t>
        </is>
      </c>
      <c r="I145" s="38" t="n">
        <v>4</v>
      </c>
      <c r="J145" s="456">
        <f>XLOOKUP($D145&amp;"|"&amp;$E145&amp;"|"&amp;$F145,'PET_STAT_RULES'!$A$5:$A$88,'PET_STAT_RULES'!$C$5:$C$88)</f>
        <v/>
      </c>
      <c r="K145" s="456">
        <f>XLOOKUP($D145&amp;"|"&amp;$E145&amp;"|"&amp;$F145,'PET_STAT_RULES'!$A$5:$A$88,'PET_STAT_RULES'!$D$5:$D$88)</f>
        <v/>
      </c>
      <c r="L145" s="456">
        <f>XLOOKUP($D145&amp;"|"&amp;$E145&amp;"|"&amp;$F145,'PET_STAT_RULES'!$A$5:$A$88,'PET_STAT_RULES'!$F$5:$F$88)</f>
        <v/>
      </c>
      <c r="M145" s="456">
        <f>XLOOKUP($D145&amp;"|"&amp;$E145&amp;"|"&amp;$F145,'PET_STAT_RULES'!$A$5:$A$88,'PET_STAT_RULES'!$G$5:$G$88)</f>
        <v/>
      </c>
      <c r="N145" s="38" t="n">
        <v>2</v>
      </c>
      <c r="O145" s="38" t="inlineStr">
        <is>
          <t>none</t>
        </is>
      </c>
      <c r="P145" s="38" t="inlineStr">
        <is>
          <t>05 形状05</t>
        </is>
      </c>
      <c r="Q145" s="38" t="inlineStr">
        <is>
          <t>Turbo</t>
        </is>
      </c>
      <c r="R145" s="38" t="inlineStr">
        <is>
          <t>skill confirmed；来源=Barnacle Crusted；攻击2格；仅保留来源商人/训练师关系。</t>
        </is>
      </c>
      <c r="S145" s="38" t="n">
        <v>5</v>
      </c>
      <c r="T145" s="38" t="n">
        <v>2</v>
      </c>
      <c r="U145" s="442" t="inlineStr">
        <is>
          <t>skill_vanguard,skill_flank,skill_pierce,skill_revolve,skill_chase,skill_break,skill_suppress,skill_finale</t>
        </is>
      </c>
      <c r="V145" s="442" t="inlineStr">
        <is>
          <t>trait_relentless</t>
        </is>
      </c>
      <c r="W145" s="457">
        <f>XLOOKUP($D145&amp;"|"&amp;$E145&amp;"|"&amp;$F145,'PET_STAT_RULES'!$A$5:$A$88,'PET_STAT_RULES'!$E$5:$E$88)</f>
        <v/>
      </c>
      <c r="X145" s="385" t="str"/>
      <c r="Y145" s="386" t="inlineStr">
        <is>
          <t>reserved</t>
        </is>
      </c>
      <c r="Z145" s="386" t="str"/>
      <c r="AA145" s="386" t="str"/>
    </row>
    <row r="146">
      <c r="A146" s="38" t="inlineStr">
        <is>
          <t>pal_145</t>
        </is>
      </c>
      <c r="B146" s="38" t="inlineStr">
        <is>
          <t>螭蜂妖</t>
        </is>
      </c>
      <c r="C146" s="38" t="inlineStr">
        <is>
          <t>龙</t>
        </is>
      </c>
      <c r="D146" s="265" t="inlineStr">
        <is>
          <t>白银</t>
        </is>
      </c>
      <c r="E146" s="38" t="inlineStr">
        <is>
          <t>召唤</t>
        </is>
      </c>
      <c r="F146" s="38" t="inlineStr">
        <is>
          <t>两格</t>
        </is>
      </c>
      <c r="G146" s="38" t="inlineStr">
        <is>
          <t>bz_van_145</t>
        </is>
      </c>
      <c r="H146" s="38" t="inlineStr">
        <is>
          <t>elem_水, elem_雷, elem_龙, elem_无</t>
        </is>
      </c>
      <c r="I146" s="38" t="n">
        <v>4</v>
      </c>
      <c r="J146" s="456">
        <f>XLOOKUP($D146&amp;"|"&amp;$E146&amp;"|"&amp;$F146,'PET_STAT_RULES'!$A$5:$A$88,'PET_STAT_RULES'!$C$5:$C$88)</f>
        <v/>
      </c>
      <c r="K146" s="456">
        <f>XLOOKUP($D146&amp;"|"&amp;$E146&amp;"|"&amp;$F146,'PET_STAT_RULES'!$A$5:$A$88,'PET_STAT_RULES'!$D$5:$D$88)</f>
        <v/>
      </c>
      <c r="L146" s="456">
        <f>XLOOKUP($D146&amp;"|"&amp;$E146&amp;"|"&amp;$F146,'PET_STAT_RULES'!$A$5:$A$88,'PET_STAT_RULES'!$F$5:$F$88)</f>
        <v/>
      </c>
      <c r="M146" s="456">
        <f>XLOOKUP($D146&amp;"|"&amp;$E146&amp;"|"&amp;$F146,'PET_STAT_RULES'!$A$5:$A$88,'PET_STAT_RULES'!$G$5:$G$88)</f>
        <v/>
      </c>
      <c r="N146" s="38" t="n">
        <v>2</v>
      </c>
      <c r="O146" s="38" t="inlineStr">
        <is>
          <t>mech_grow_shield_each_round</t>
        </is>
      </c>
      <c r="P146" s="38" t="inlineStr">
        <is>
          <t>10 形状10</t>
        </is>
      </c>
      <c r="Q146" s="38" t="inlineStr">
        <is>
          <t>Deadly</t>
        </is>
      </c>
      <c r="R146" s="38" t="inlineStr">
        <is>
          <t>skill confirmed；来源=Beautiful Friendship；攻击2格；仅保留来源商人/训练师关系。</t>
        </is>
      </c>
      <c r="S146" s="38" t="n">
        <v>3</v>
      </c>
      <c r="T146" s="38" t="n">
        <v>2</v>
      </c>
      <c r="U146" s="442" t="inlineStr">
        <is>
          <t>skill_vanguard,skill_flank,skill_pierce,skill_revolve,skill_chase,skill_break,skill_suppress,skill_finale</t>
        </is>
      </c>
      <c r="V146" s="442" t="inlineStr">
        <is>
          <t>trait_combo_resonance</t>
        </is>
      </c>
      <c r="W146" s="457">
        <f>XLOOKUP($D146&amp;"|"&amp;$E146&amp;"|"&amp;$F146,'PET_STAT_RULES'!$A$5:$A$88,'PET_STAT_RULES'!$E$5:$E$88)</f>
        <v/>
      </c>
      <c r="X146" s="385" t="str"/>
      <c r="Y146" s="386" t="inlineStr">
        <is>
          <t>reserved</t>
        </is>
      </c>
      <c r="Z146" s="386" t="str"/>
      <c r="AA146" s="386" t="str"/>
    </row>
    <row r="147">
      <c r="A147" s="38" t="inlineStr">
        <is>
          <t>pal_146</t>
        </is>
      </c>
      <c r="B147" s="38" t="inlineStr">
        <is>
          <t>沧鲤将</t>
        </is>
      </c>
      <c r="C147" s="38" t="inlineStr">
        <is>
          <t>水、地</t>
        </is>
      </c>
      <c r="D147" s="265" t="inlineStr">
        <is>
          <t>白银</t>
        </is>
      </c>
      <c r="E147" s="38" t="inlineStr">
        <is>
          <t>治疗</t>
        </is>
      </c>
      <c r="F147" s="38" t="inlineStr">
        <is>
          <t>两格</t>
        </is>
      </c>
      <c r="G147" s="38" t="inlineStr">
        <is>
          <t>bz_van_146</t>
        </is>
      </c>
      <c r="H147" s="38" t="inlineStr">
        <is>
          <t>elem_水, elem_雷, elem_地, elem_龙, elem_无, role_坦克</t>
        </is>
      </c>
      <c r="I147" s="38" t="n">
        <v>6</v>
      </c>
      <c r="J147" s="456">
        <f>XLOOKUP($D147&amp;"|"&amp;$E147&amp;"|"&amp;$F147,'PET_STAT_RULES'!$A$5:$A$88,'PET_STAT_RULES'!$C$5:$C$88)</f>
        <v/>
      </c>
      <c r="K147" s="456">
        <f>XLOOKUP($D147&amp;"|"&amp;$E147&amp;"|"&amp;$F147,'PET_STAT_RULES'!$A$5:$A$88,'PET_STAT_RULES'!$D$5:$D$88)</f>
        <v/>
      </c>
      <c r="L147" s="456">
        <f>XLOOKUP($D147&amp;"|"&amp;$E147&amp;"|"&amp;$F147,'PET_STAT_RULES'!$A$5:$A$88,'PET_STAT_RULES'!$F$5:$F$88)</f>
        <v/>
      </c>
      <c r="M147" s="456">
        <f>XLOOKUP($D147&amp;"|"&amp;$E147&amp;"|"&amp;$F147,'PET_STAT_RULES'!$A$5:$A$88,'PET_STAT_RULES'!$G$5:$G$88)</f>
        <v/>
      </c>
      <c r="N147" s="38" t="n">
        <v>2</v>
      </c>
      <c r="O147" s="38" t="inlineStr">
        <is>
          <t>mech_shield_regen</t>
        </is>
      </c>
      <c r="P147" s="38" t="inlineStr">
        <is>
          <t>11 形状11</t>
        </is>
      </c>
      <c r="Q147" s="38" t="inlineStr">
        <is>
          <t>Turbo</t>
        </is>
      </c>
      <c r="R147" s="38" t="inlineStr">
        <is>
          <t>skill confirmed；来源=Berserker；攻击2格；仅保留来源商人/训练师关系。</t>
        </is>
      </c>
      <c r="S147" s="38" t="n">
        <v>3</v>
      </c>
      <c r="T147" s="38" t="n">
        <v>2</v>
      </c>
      <c r="U147" s="442" t="inlineStr">
        <is>
          <t>skill_vanguard,skill_flank,skill_pierce,skill_revolve,skill_chase,skill_break,skill_suppress,skill_finale</t>
        </is>
      </c>
      <c r="V147" s="442" t="inlineStr">
        <is>
          <t>trait_element_affinity</t>
        </is>
      </c>
      <c r="W147" s="457">
        <f>XLOOKUP($D147&amp;"|"&amp;$E147&amp;"|"&amp;$F147,'PET_STAT_RULES'!$A$5:$A$88,'PET_STAT_RULES'!$E$5:$E$88)</f>
        <v/>
      </c>
      <c r="X147" s="385" t="str"/>
      <c r="Y147" s="386" t="inlineStr">
        <is>
          <t>reserved</t>
        </is>
      </c>
      <c r="Z147" s="386" t="str"/>
      <c r="AA147" s="386" t="str"/>
    </row>
    <row r="148">
      <c r="A148" s="38" t="inlineStr">
        <is>
          <t>pal_147</t>
        </is>
      </c>
      <c r="B148" s="38" t="inlineStr">
        <is>
          <t>沙狮神</t>
        </is>
      </c>
      <c r="C148" s="38" t="inlineStr">
        <is>
          <t>地</t>
        </is>
      </c>
      <c r="D148" s="268" t="inlineStr">
        <is>
          <t>钻石</t>
        </is>
      </c>
      <c r="E148" s="38" t="inlineStr">
        <is>
          <t>输出</t>
        </is>
      </c>
      <c r="F148" s="38" t="inlineStr">
        <is>
          <t>两格</t>
        </is>
      </c>
      <c r="G148" s="38" t="inlineStr">
        <is>
          <t>bz_van_147</t>
        </is>
      </c>
      <c r="H148" s="38" t="inlineStr">
        <is>
          <t>elem_水, elem_龙, role_坦克</t>
        </is>
      </c>
      <c r="I148" s="38" t="n">
        <v>3</v>
      </c>
      <c r="J148" s="456">
        <f>XLOOKUP($D148&amp;"|"&amp;$E148&amp;"|"&amp;$F148,'PET_STAT_RULES'!$A$5:$A$88,'PET_STAT_RULES'!$C$5:$C$88)</f>
        <v/>
      </c>
      <c r="K148" s="456">
        <f>XLOOKUP($D148&amp;"|"&amp;$E148&amp;"|"&amp;$F148,'PET_STAT_RULES'!$A$5:$A$88,'PET_STAT_RULES'!$D$5:$D$88)</f>
        <v/>
      </c>
      <c r="L148" s="456">
        <f>XLOOKUP($D148&amp;"|"&amp;$E148&amp;"|"&amp;$F148,'PET_STAT_RULES'!$A$5:$A$88,'PET_STAT_RULES'!$F$5:$F$88)</f>
        <v/>
      </c>
      <c r="M148" s="456">
        <f>XLOOKUP($D148&amp;"|"&amp;$E148&amp;"|"&amp;$F148,'PET_STAT_RULES'!$A$5:$A$88,'PET_STAT_RULES'!$G$5:$G$88)</f>
        <v/>
      </c>
      <c r="N148" s="38" t="n">
        <v>3</v>
      </c>
      <c r="O148" s="38" t="inlineStr">
        <is>
          <t>mech_grow_atk_each_round</t>
        </is>
      </c>
      <c r="P148" s="38" t="inlineStr">
        <is>
          <t>18 形状18</t>
        </is>
      </c>
      <c r="Q148" s="38" t="inlineStr">
        <is>
          <t>Deadly</t>
        </is>
      </c>
      <c r="R148" s="38" t="inlineStr">
        <is>
          <t>skill confirmed；来源=Big Guns；攻击3格；仅保留来源商人/训练师关系。</t>
        </is>
      </c>
      <c r="S148" s="38" t="n">
        <v>3</v>
      </c>
      <c r="T148" s="38" t="n">
        <v>3</v>
      </c>
      <c r="U148" s="442" t="inlineStr">
        <is>
          <t>skill_vanguard,skill_flank,skill_pierce,skill_revolve,skill_chase,skill_break,skill_suppress,skill_finale</t>
        </is>
      </c>
      <c r="V148" s="442" t="inlineStr">
        <is>
          <t>trait_relentless</t>
        </is>
      </c>
      <c r="W148" s="457">
        <f>XLOOKUP($D148&amp;"|"&amp;$E148&amp;"|"&amp;$F148,'PET_STAT_RULES'!$A$5:$A$88,'PET_STAT_RULES'!$E$5:$E$88)</f>
        <v/>
      </c>
      <c r="X148" s="385" t="str"/>
      <c r="Y148" s="386" t="inlineStr">
        <is>
          <t>reserved</t>
        </is>
      </c>
      <c r="Z148" s="386" t="str"/>
      <c r="AA148" s="386" t="str"/>
    </row>
    <row r="149">
      <c r="A149" s="38" t="inlineStr">
        <is>
          <t>pal_148</t>
        </is>
      </c>
      <c r="B149" s="38" t="inlineStr">
        <is>
          <t>震狼君</t>
        </is>
      </c>
      <c r="C149" s="38" t="inlineStr">
        <is>
          <t>雷</t>
        </is>
      </c>
      <c r="D149" s="262" t="inlineStr">
        <is>
          <t>黄金</t>
        </is>
      </c>
      <c r="E149" s="38" t="inlineStr">
        <is>
          <t>输出</t>
        </is>
      </c>
      <c r="F149" s="38" t="inlineStr">
        <is>
          <t>两格</t>
        </is>
      </c>
      <c r="G149" s="38" t="inlineStr">
        <is>
          <t>bz_van_148</t>
        </is>
      </c>
      <c r="H149" s="38" t="inlineStr">
        <is>
          <t>elem_水, elem_龙, elem_无, role_召唤</t>
        </is>
      </c>
      <c r="I149" s="38" t="n">
        <v>4</v>
      </c>
      <c r="J149" s="456">
        <f>XLOOKUP($D149&amp;"|"&amp;$E149&amp;"|"&amp;$F149,'PET_STAT_RULES'!$A$5:$A$88,'PET_STAT_RULES'!$C$5:$C$88)</f>
        <v/>
      </c>
      <c r="K149" s="456">
        <f>XLOOKUP($D149&amp;"|"&amp;$E149&amp;"|"&amp;$F149,'PET_STAT_RULES'!$A$5:$A$88,'PET_STAT_RULES'!$D$5:$D$88)</f>
        <v/>
      </c>
      <c r="L149" s="456">
        <f>XLOOKUP($D149&amp;"|"&amp;$E149&amp;"|"&amp;$F149,'PET_STAT_RULES'!$A$5:$A$88,'PET_STAT_RULES'!$F$5:$F$88)</f>
        <v/>
      </c>
      <c r="M149" s="456">
        <f>XLOOKUP($D149&amp;"|"&amp;$E149&amp;"|"&amp;$F149,'PET_STAT_RULES'!$A$5:$A$88,'PET_STAT_RULES'!$G$5:$G$88)</f>
        <v/>
      </c>
      <c r="N149" s="38" t="n">
        <v>3</v>
      </c>
      <c r="O149" s="38" t="inlineStr">
        <is>
          <t>mech_grow_atk_each_round</t>
        </is>
      </c>
      <c r="P149" s="38" t="inlineStr">
        <is>
          <t>16 形状16</t>
        </is>
      </c>
      <c r="Q149" s="38" t="inlineStr">
        <is>
          <t>Deadly</t>
        </is>
      </c>
      <c r="R149" s="38" t="inlineStr">
        <is>
          <t>skill confirmed；来源=Big Numbers；攻击3格；仅保留来源商人/训练师关系。</t>
        </is>
      </c>
      <c r="S149" s="38" t="n">
        <v>3</v>
      </c>
      <c r="T149" s="38" t="n">
        <v>2</v>
      </c>
      <c r="U149" s="442" t="inlineStr">
        <is>
          <t>skill_vanguard,skill_flank,skill_pierce,skill_revolve,skill_chase,skill_break,skill_suppress,skill_finale</t>
        </is>
      </c>
      <c r="V149" s="442" t="inlineStr">
        <is>
          <t>trait_relentless</t>
        </is>
      </c>
      <c r="W149" s="457">
        <f>XLOOKUP($D149&amp;"|"&amp;$E149&amp;"|"&amp;$F149,'PET_STAT_RULES'!$A$5:$A$88,'PET_STAT_RULES'!$E$5:$E$88)</f>
        <v/>
      </c>
      <c r="X149" s="385" t="str"/>
      <c r="Y149" s="386" t="inlineStr">
        <is>
          <t>reserved</t>
        </is>
      </c>
      <c r="Z149" s="386" t="str"/>
      <c r="AA149" s="386" t="str"/>
    </row>
    <row r="150">
      <c r="A150" s="38" t="inlineStr">
        <is>
          <t>pal_149</t>
        </is>
      </c>
      <c r="B150" s="38" t="inlineStr">
        <is>
          <t>渊鹿妖</t>
        </is>
      </c>
      <c r="C150" s="38" t="inlineStr">
        <is>
          <t>水、雷</t>
        </is>
      </c>
      <c r="D150" s="265" t="inlineStr">
        <is>
          <t>白银</t>
        </is>
      </c>
      <c r="E150" s="38" t="inlineStr">
        <is>
          <t>治疗</t>
        </is>
      </c>
      <c r="F150" s="38" t="inlineStr">
        <is>
          <t>两格</t>
        </is>
      </c>
      <c r="G150" s="38" t="inlineStr">
        <is>
          <t>bz_van_149</t>
        </is>
      </c>
      <c r="H150" s="38" t="inlineStr">
        <is>
          <t>elem_水, elem_雷, elem_龙, elem_无, special_merchant</t>
        </is>
      </c>
      <c r="I150" s="38" t="n">
        <v>5</v>
      </c>
      <c r="J150" s="456">
        <f>XLOOKUP($D150&amp;"|"&amp;$E150&amp;"|"&amp;$F150,'PET_STAT_RULES'!$A$5:$A$88,'PET_STAT_RULES'!$C$5:$C$88)</f>
        <v/>
      </c>
      <c r="K150" s="456">
        <f>XLOOKUP($D150&amp;"|"&amp;$E150&amp;"|"&amp;$F150,'PET_STAT_RULES'!$A$5:$A$88,'PET_STAT_RULES'!$D$5:$D$88)</f>
        <v/>
      </c>
      <c r="L150" s="456">
        <f>XLOOKUP($D150&amp;"|"&amp;$E150&amp;"|"&amp;$F150,'PET_STAT_RULES'!$A$5:$A$88,'PET_STAT_RULES'!$F$5:$F$88)</f>
        <v/>
      </c>
      <c r="M150" s="456">
        <f>XLOOKUP($D150&amp;"|"&amp;$E150&amp;"|"&amp;$F150,'PET_STAT_RULES'!$A$5:$A$88,'PET_STAT_RULES'!$G$5:$G$88)</f>
        <v/>
      </c>
      <c r="N150" s="38" t="n">
        <v>3</v>
      </c>
      <c r="O150" s="38" t="inlineStr">
        <is>
          <t>mech_shield_regen</t>
        </is>
      </c>
      <c r="P150" s="38" t="inlineStr">
        <is>
          <t>16 形状16</t>
        </is>
      </c>
      <c r="Q150" s="38" t="inlineStr">
        <is>
          <t>Turbo</t>
        </is>
      </c>
      <c r="R150" s="38" t="inlineStr">
        <is>
          <t>skill confirmed；来源=Bloodhound；攻击3格；仅保留来源商人/训练师关系。</t>
        </is>
      </c>
      <c r="S150" s="38" t="n">
        <v>3</v>
      </c>
      <c r="T150" s="38" t="n">
        <v>2</v>
      </c>
      <c r="U150" s="442" t="inlineStr">
        <is>
          <t>skill_vanguard,skill_flank,skill_pierce,skill_revolve,skill_chase,skill_break,skill_suppress,skill_finale</t>
        </is>
      </c>
      <c r="V150" s="442" t="inlineStr">
        <is>
          <t>trait_element_affinity</t>
        </is>
      </c>
      <c r="W150" s="457">
        <f>XLOOKUP($D150&amp;"|"&amp;$E150&amp;"|"&amp;$F150,'PET_STAT_RULES'!$A$5:$A$88,'PET_STAT_RULES'!$E$5:$E$88)</f>
        <v/>
      </c>
      <c r="X150" s="385" t="str"/>
      <c r="Y150" s="386" t="inlineStr">
        <is>
          <t>reserved</t>
        </is>
      </c>
      <c r="Z150" s="386" t="str"/>
      <c r="AA150" s="386" t="str"/>
    </row>
    <row r="151">
      <c r="A151" s="38" t="inlineStr">
        <is>
          <t>pal_150</t>
        </is>
      </c>
      <c r="B151" s="38" t="inlineStr">
        <is>
          <t>汐蝶卫</t>
        </is>
      </c>
      <c r="C151" s="38" t="inlineStr">
        <is>
          <t>水、地</t>
        </is>
      </c>
      <c r="D151" s="265" t="inlineStr">
        <is>
          <t>白银</t>
        </is>
      </c>
      <c r="E151" s="38" t="inlineStr">
        <is>
          <t>治疗</t>
        </is>
      </c>
      <c r="F151" s="38" t="inlineStr">
        <is>
          <t>两格</t>
        </is>
      </c>
      <c r="G151" s="38" t="inlineStr">
        <is>
          <t>bz_van_150</t>
        </is>
      </c>
      <c r="H151" s="38" t="inlineStr">
        <is>
          <t>elem_水, elem_雷, elem_龙, elem_无, special_merchant</t>
        </is>
      </c>
      <c r="I151" s="38" t="n">
        <v>5</v>
      </c>
      <c r="J151" s="456">
        <f>XLOOKUP($D151&amp;"|"&amp;$E151&amp;"|"&amp;$F151,'PET_STAT_RULES'!$A$5:$A$88,'PET_STAT_RULES'!$C$5:$C$88)</f>
        <v/>
      </c>
      <c r="K151" s="456">
        <f>XLOOKUP($D151&amp;"|"&amp;$E151&amp;"|"&amp;$F151,'PET_STAT_RULES'!$A$5:$A$88,'PET_STAT_RULES'!$D$5:$D$88)</f>
        <v/>
      </c>
      <c r="L151" s="456">
        <f>XLOOKUP($D151&amp;"|"&amp;$E151&amp;"|"&amp;$F151,'PET_STAT_RULES'!$A$5:$A$88,'PET_STAT_RULES'!$F$5:$F$88)</f>
        <v/>
      </c>
      <c r="M151" s="456">
        <f>XLOOKUP($D151&amp;"|"&amp;$E151&amp;"|"&amp;$F151,'PET_STAT_RULES'!$A$5:$A$88,'PET_STAT_RULES'!$G$5:$G$88)</f>
        <v/>
      </c>
      <c r="N151" s="38" t="n">
        <v>3</v>
      </c>
      <c r="O151" s="38" t="inlineStr">
        <is>
          <t>mech_shield_regen</t>
        </is>
      </c>
      <c r="P151" s="38" t="inlineStr">
        <is>
          <t>16 形状16</t>
        </is>
      </c>
      <c r="Q151" s="38" t="inlineStr">
        <is>
          <t>Turbo</t>
        </is>
      </c>
      <c r="R151" s="38" t="inlineStr">
        <is>
          <t>skill confirmed；来源=Bold Under Pressure；攻击3格；仅保留来源商人/训练师关系。</t>
        </is>
      </c>
      <c r="S151" s="38" t="n">
        <v>3</v>
      </c>
      <c r="T151" s="38" t="n">
        <v>2</v>
      </c>
      <c r="U151" s="442" t="inlineStr">
        <is>
          <t>skill_vanguard,skill_flank,skill_pierce,skill_revolve,skill_chase,skill_break,skill_suppress,skill_finale</t>
        </is>
      </c>
      <c r="V151" s="442" t="inlineStr">
        <is>
          <t>trait_element_affinity</t>
        </is>
      </c>
      <c r="W151" s="457">
        <f>XLOOKUP($D151&amp;"|"&amp;$E151&amp;"|"&amp;$F151,'PET_STAT_RULES'!$A$5:$A$88,'PET_STAT_RULES'!$E$5:$E$88)</f>
        <v/>
      </c>
      <c r="X151" s="385" t="str"/>
      <c r="Y151" s="386" t="inlineStr">
        <is>
          <t>reserved</t>
        </is>
      </c>
      <c r="Z151" s="386" t="str"/>
      <c r="AA151" s="386" t="str"/>
    </row>
    <row r="152">
      <c r="A152" s="38" t="inlineStr">
        <is>
          <t>pal_151</t>
        </is>
      </c>
      <c r="B152" s="38" t="inlineStr">
        <is>
          <t>电鹰君</t>
        </is>
      </c>
      <c r="C152" s="38" t="inlineStr">
        <is>
          <t>雷</t>
        </is>
      </c>
      <c r="D152" s="262" t="inlineStr">
        <is>
          <t>黄金</t>
        </is>
      </c>
      <c r="E152" s="38" t="inlineStr">
        <is>
          <t>输出</t>
        </is>
      </c>
      <c r="F152" s="38" t="inlineStr">
        <is>
          <t>两格</t>
        </is>
      </c>
      <c r="G152" s="38" t="inlineStr">
        <is>
          <t>bz_van_151</t>
        </is>
      </c>
      <c r="H152" s="38" t="inlineStr">
        <is>
          <t>elem_水, elem_龙, elem_无, role_召唤</t>
        </is>
      </c>
      <c r="I152" s="38" t="n">
        <v>4</v>
      </c>
      <c r="J152" s="456">
        <f>XLOOKUP($D152&amp;"|"&amp;$E152&amp;"|"&amp;$F152,'PET_STAT_RULES'!$A$5:$A$88,'PET_STAT_RULES'!$C$5:$C$88)</f>
        <v/>
      </c>
      <c r="K152" s="456">
        <f>XLOOKUP($D152&amp;"|"&amp;$E152&amp;"|"&amp;$F152,'PET_STAT_RULES'!$A$5:$A$88,'PET_STAT_RULES'!$D$5:$D$88)</f>
        <v/>
      </c>
      <c r="L152" s="456">
        <f>XLOOKUP($D152&amp;"|"&amp;$E152&amp;"|"&amp;$F152,'PET_STAT_RULES'!$A$5:$A$88,'PET_STAT_RULES'!$F$5:$F$88)</f>
        <v/>
      </c>
      <c r="M152" s="456">
        <f>XLOOKUP($D152&amp;"|"&amp;$E152&amp;"|"&amp;$F152,'PET_STAT_RULES'!$A$5:$A$88,'PET_STAT_RULES'!$G$5:$G$88)</f>
        <v/>
      </c>
      <c r="N152" s="38" t="n">
        <v>3</v>
      </c>
      <c r="O152" s="38" t="inlineStr">
        <is>
          <t>mech_grow_atk_each_round</t>
        </is>
      </c>
      <c r="P152" s="38" t="inlineStr">
        <is>
          <t>15 形状15</t>
        </is>
      </c>
      <c r="Q152" s="38" t="inlineStr">
        <is>
          <t>Deadly</t>
        </is>
      </c>
      <c r="R152" s="38" t="inlineStr">
        <is>
          <t>skill confirmed；来源=Building Crescendo；攻击3格；仅保留来源商人/训练师关系。</t>
        </is>
      </c>
      <c r="S152" s="38" t="n">
        <v>3</v>
      </c>
      <c r="T152" s="38" t="n">
        <v>2</v>
      </c>
      <c r="U152" s="442" t="inlineStr">
        <is>
          <t>skill_vanguard,skill_flank,skill_pierce,skill_revolve,skill_chase,skill_break,skill_suppress,skill_finale</t>
        </is>
      </c>
      <c r="V152" s="442" t="inlineStr">
        <is>
          <t>trait_relentless</t>
        </is>
      </c>
      <c r="W152" s="457">
        <f>XLOOKUP($D152&amp;"|"&amp;$E152&amp;"|"&amp;$F152,'PET_STAT_RULES'!$A$5:$A$88,'PET_STAT_RULES'!$E$5:$E$88)</f>
        <v/>
      </c>
      <c r="X152" s="385" t="str"/>
      <c r="Y152" s="386" t="inlineStr">
        <is>
          <t>reserved</t>
        </is>
      </c>
      <c r="Z152" s="386" t="str"/>
      <c r="AA152" s="386" t="str"/>
    </row>
    <row r="153">
      <c r="A153" s="38" t="inlineStr">
        <is>
          <t>pal_152</t>
        </is>
      </c>
      <c r="B153" s="38" t="inlineStr">
        <is>
          <t>鸣鳗王</t>
        </is>
      </c>
      <c r="C153" s="38" t="inlineStr">
        <is>
          <t>雷</t>
        </is>
      </c>
      <c r="D153" s="262" t="inlineStr">
        <is>
          <t>黄金</t>
        </is>
      </c>
      <c r="E153" s="38" t="inlineStr">
        <is>
          <t>控制</t>
        </is>
      </c>
      <c r="F153" s="38" t="inlineStr">
        <is>
          <t>两格</t>
        </is>
      </c>
      <c r="G153" s="38" t="inlineStr">
        <is>
          <t>bz_van_152</t>
        </is>
      </c>
      <c r="H153" s="38" t="inlineStr">
        <is>
          <t>elem_水, elem_地, elem_龙, elem_无, role_经济, tier_pT1</t>
        </is>
      </c>
      <c r="I153" s="38" t="n">
        <v>6</v>
      </c>
      <c r="J153" s="456">
        <f>XLOOKUP($D153&amp;"|"&amp;$E153&amp;"|"&amp;$F153,'PET_STAT_RULES'!$A$5:$A$88,'PET_STAT_RULES'!$C$5:$C$88)</f>
        <v/>
      </c>
      <c r="K153" s="456">
        <f>XLOOKUP($D153&amp;"|"&amp;$E153&amp;"|"&amp;$F153,'PET_STAT_RULES'!$A$5:$A$88,'PET_STAT_RULES'!$D$5:$D$88)</f>
        <v/>
      </c>
      <c r="L153" s="456">
        <f>XLOOKUP($D153&amp;"|"&amp;$E153&amp;"|"&amp;$F153,'PET_STAT_RULES'!$A$5:$A$88,'PET_STAT_RULES'!$F$5:$F$88)</f>
        <v/>
      </c>
      <c r="M153" s="456">
        <f>XLOOKUP($D153&amp;"|"&amp;$E153&amp;"|"&amp;$F153,'PET_STAT_RULES'!$A$5:$A$88,'PET_STAT_RULES'!$G$5:$G$88)</f>
        <v/>
      </c>
      <c r="N153" s="38" t="n">
        <v>2</v>
      </c>
      <c r="O153" s="38" t="inlineStr">
        <is>
          <t>mech_counter_damage</t>
        </is>
      </c>
      <c r="P153" s="38" t="inlineStr">
        <is>
          <t>10 形状10</t>
        </is>
      </c>
      <c r="Q153" s="38" t="inlineStr">
        <is>
          <t>Icy</t>
        </is>
      </c>
      <c r="R153" s="38" t="inlineStr">
        <is>
          <t>skill confirmed；来源=Bullet Time；攻击2格；仅保留来源商人/训练师关系。</t>
        </is>
      </c>
      <c r="S153" s="38" t="n">
        <v>4</v>
      </c>
      <c r="T153" s="38" t="n">
        <v>2</v>
      </c>
      <c r="U153" s="442" t="inlineStr">
        <is>
          <t>skill_vanguard,skill_flank,skill_pierce,skill_revolve,skill_chase,skill_break,skill_suppress,skill_finale</t>
        </is>
      </c>
      <c r="V153" s="442" t="inlineStr">
        <is>
          <t>trait_element_affinity</t>
        </is>
      </c>
      <c r="W153" s="457">
        <f>XLOOKUP($D153&amp;"|"&amp;$E153&amp;"|"&amp;$F153,'PET_STAT_RULES'!$A$5:$A$88,'PET_STAT_RULES'!$E$5:$E$88)</f>
        <v/>
      </c>
      <c r="X153" s="385" t="str"/>
      <c r="Y153" s="386" t="inlineStr">
        <is>
          <t>reserved</t>
        </is>
      </c>
      <c r="Z153" s="386" t="str"/>
      <c r="AA153" s="386" t="str"/>
    </row>
    <row r="154">
      <c r="A154" s="38" t="inlineStr">
        <is>
          <t>pal_153</t>
        </is>
      </c>
      <c r="B154" s="38" t="inlineStr">
        <is>
          <t>震狐卫</t>
        </is>
      </c>
      <c r="C154" s="38" t="inlineStr">
        <is>
          <t>雷</t>
        </is>
      </c>
      <c r="D154" s="265" t="inlineStr">
        <is>
          <t>白银</t>
        </is>
      </c>
      <c r="E154" s="38" t="inlineStr">
        <is>
          <t>机动</t>
        </is>
      </c>
      <c r="F154" s="38" t="inlineStr">
        <is>
          <t>两格</t>
        </is>
      </c>
      <c r="G154" s="38" t="inlineStr">
        <is>
          <t>bz_van_153</t>
        </is>
      </c>
      <c r="H154" s="38" t="inlineStr">
        <is>
          <t>elem_水, elem_雷, elem_龙, elem_无, special_merchant</t>
        </is>
      </c>
      <c r="I154" s="38" t="n">
        <v>5</v>
      </c>
      <c r="J154" s="456">
        <f>XLOOKUP($D154&amp;"|"&amp;$E154&amp;"|"&amp;$F154,'PET_STAT_RULES'!$A$5:$A$88,'PET_STAT_RULES'!$C$5:$C$88)</f>
        <v/>
      </c>
      <c r="K154" s="456">
        <f>XLOOKUP($D154&amp;"|"&amp;$E154&amp;"|"&amp;$F154,'PET_STAT_RULES'!$A$5:$A$88,'PET_STAT_RULES'!$D$5:$D$88)</f>
        <v/>
      </c>
      <c r="L154" s="456">
        <f>XLOOKUP($D154&amp;"|"&amp;$E154&amp;"|"&amp;$F154,'PET_STAT_RULES'!$A$5:$A$88,'PET_STAT_RULES'!$F$5:$F$88)</f>
        <v/>
      </c>
      <c r="M154" s="456">
        <f>XLOOKUP($D154&amp;"|"&amp;$E154&amp;"|"&amp;$F154,'PET_STAT_RULES'!$A$5:$A$88,'PET_STAT_RULES'!$G$5:$G$88)</f>
        <v/>
      </c>
      <c r="N154" s="38" t="n">
        <v>3</v>
      </c>
      <c r="O154" s="38" t="inlineStr">
        <is>
          <t>none</t>
        </is>
      </c>
      <c r="P154" s="38" t="inlineStr">
        <is>
          <t>18 形状18</t>
        </is>
      </c>
      <c r="Q154" s="38" t="inlineStr">
        <is>
          <t>Turbo</t>
        </is>
      </c>
      <c r="R154" s="38" t="inlineStr">
        <is>
          <t>skill confirmed；来源=Captain's Charge；攻击3格；仅保留来源商人/训练师关系。</t>
        </is>
      </c>
      <c r="S154" s="38" t="n">
        <v>5</v>
      </c>
      <c r="T154" s="38" t="n">
        <v>2</v>
      </c>
      <c r="U154" s="442" t="inlineStr">
        <is>
          <t>skill_vanguard,skill_flank,skill_pierce,skill_revolve,skill_chase,skill_break,skill_suppress,skill_finale</t>
        </is>
      </c>
      <c r="V154" s="442" t="inlineStr">
        <is>
          <t>trait_relentless</t>
        </is>
      </c>
      <c r="W154" s="457">
        <f>XLOOKUP($D154&amp;"|"&amp;$E154&amp;"|"&amp;$F154,'PET_STAT_RULES'!$A$5:$A$88,'PET_STAT_RULES'!$E$5:$E$88)</f>
        <v/>
      </c>
      <c r="X154" s="385" t="str"/>
      <c r="Y154" s="386" t="inlineStr">
        <is>
          <t>reserved</t>
        </is>
      </c>
      <c r="Z154" s="386" t="str"/>
      <c r="AA154" s="386" t="str"/>
    </row>
    <row r="155">
      <c r="A155" s="38" t="inlineStr">
        <is>
          <t>pal_154</t>
        </is>
      </c>
      <c r="B155" s="38" t="inlineStr">
        <is>
          <t>朱蛛将</t>
        </is>
      </c>
      <c r="C155" s="38" t="inlineStr">
        <is>
          <t>火、草</t>
        </is>
      </c>
      <c r="D155" s="265" t="inlineStr">
        <is>
          <t>白银</t>
        </is>
      </c>
      <c r="E155" s="38" t="inlineStr">
        <is>
          <t>控制</t>
        </is>
      </c>
      <c r="F155" s="38" t="inlineStr">
        <is>
          <t>两格</t>
        </is>
      </c>
      <c r="G155" s="38" t="inlineStr">
        <is>
          <t>bz_van_154</t>
        </is>
      </c>
      <c r="H155" s="38" t="inlineStr">
        <is>
          <t>elem_水, elem_雷, elem_龙, elem_无, role_治疗, role_输出</t>
        </is>
      </c>
      <c r="I155" s="38" t="n">
        <v>6</v>
      </c>
      <c r="J155" s="456">
        <f>XLOOKUP($D155&amp;"|"&amp;$E155&amp;"|"&amp;$F155,'PET_STAT_RULES'!$A$5:$A$88,'PET_STAT_RULES'!$C$5:$C$88)</f>
        <v/>
      </c>
      <c r="K155" s="456">
        <f>XLOOKUP($D155&amp;"|"&amp;$E155&amp;"|"&amp;$F155,'PET_STAT_RULES'!$A$5:$A$88,'PET_STAT_RULES'!$D$5:$D$88)</f>
        <v/>
      </c>
      <c r="L155" s="456">
        <f>XLOOKUP($D155&amp;"|"&amp;$E155&amp;"|"&amp;$F155,'PET_STAT_RULES'!$A$5:$A$88,'PET_STAT_RULES'!$F$5:$F$88)</f>
        <v/>
      </c>
      <c r="M155" s="456">
        <f>XLOOKUP($D155&amp;"|"&amp;$E155&amp;"|"&amp;$F155,'PET_STAT_RULES'!$A$5:$A$88,'PET_STAT_RULES'!$G$5:$G$88)</f>
        <v/>
      </c>
      <c r="N155" s="38" t="n">
        <v>2</v>
      </c>
      <c r="O155" s="38" t="inlineStr">
        <is>
          <t>mech_fire_ignite_bonus</t>
        </is>
      </c>
      <c r="P155" s="38" t="inlineStr">
        <is>
          <t>05 形状05</t>
        </is>
      </c>
      <c r="Q155" s="38" t="inlineStr">
        <is>
          <t>Fiery</t>
        </is>
      </c>
      <c r="R155" s="38" t="inlineStr">
        <is>
          <t>skill confirmed；来源=Chemical Fire；攻击2格；仅保留来源商人/训练师关系。</t>
        </is>
      </c>
      <c r="S155" s="38" t="n">
        <v>4</v>
      </c>
      <c r="T155" s="38" t="n">
        <v>2</v>
      </c>
      <c r="U155" s="442" t="inlineStr">
        <is>
          <t>skill_vanguard,skill_flank,skill_pierce,skill_revolve,skill_chase,skill_break,skill_suppress,skill_finale</t>
        </is>
      </c>
      <c r="V155" s="442" t="inlineStr">
        <is>
          <t>trait_element_affinity</t>
        </is>
      </c>
      <c r="W155" s="457">
        <f>XLOOKUP($D155&amp;"|"&amp;$E155&amp;"|"&amp;$F155,'PET_STAT_RULES'!$A$5:$A$88,'PET_STAT_RULES'!$E$5:$E$88)</f>
        <v/>
      </c>
      <c r="X155" s="385" t="str"/>
      <c r="Y155" s="386" t="inlineStr">
        <is>
          <t>reserved</t>
        </is>
      </c>
      <c r="Z155" s="386" t="str"/>
      <c r="AA155" s="386" t="str"/>
    </row>
    <row r="156">
      <c r="A156" s="38" t="inlineStr">
        <is>
          <t>pal_155</t>
        </is>
      </c>
      <c r="B156" s="38" t="inlineStr">
        <is>
          <t>沧鲤祖</t>
        </is>
      </c>
      <c r="C156" s="38" t="inlineStr">
        <is>
          <t>水</t>
        </is>
      </c>
      <c r="D156" s="268" t="inlineStr">
        <is>
          <t>钻石</t>
        </is>
      </c>
      <c r="E156" s="38" t="inlineStr">
        <is>
          <t>治疗</t>
        </is>
      </c>
      <c r="F156" s="38" t="inlineStr">
        <is>
          <t>两格</t>
        </is>
      </c>
      <c r="G156" s="38" t="inlineStr">
        <is>
          <t>bz_van_155</t>
        </is>
      </c>
      <c r="H156" s="38" t="inlineStr">
        <is>
          <t>elem_水, elem_龙, role_坦克</t>
        </is>
      </c>
      <c r="I156" s="38" t="n">
        <v>3</v>
      </c>
      <c r="J156" s="456">
        <f>XLOOKUP($D156&amp;"|"&amp;$E156&amp;"|"&amp;$F156,'PET_STAT_RULES'!$A$5:$A$88,'PET_STAT_RULES'!$C$5:$C$88)</f>
        <v/>
      </c>
      <c r="K156" s="456">
        <f>XLOOKUP($D156&amp;"|"&amp;$E156&amp;"|"&amp;$F156,'PET_STAT_RULES'!$A$5:$A$88,'PET_STAT_RULES'!$D$5:$D$88)</f>
        <v/>
      </c>
      <c r="L156" s="456">
        <f>XLOOKUP($D156&amp;"|"&amp;$E156&amp;"|"&amp;$F156,'PET_STAT_RULES'!$A$5:$A$88,'PET_STAT_RULES'!$F$5:$F$88)</f>
        <v/>
      </c>
      <c r="M156" s="456">
        <f>XLOOKUP($D156&amp;"|"&amp;$E156&amp;"|"&amp;$F156,'PET_STAT_RULES'!$A$5:$A$88,'PET_STAT_RULES'!$G$5:$G$88)</f>
        <v/>
      </c>
      <c r="N156" s="38" t="n">
        <v>2</v>
      </c>
      <c r="O156" s="38" t="inlineStr">
        <is>
          <t>mech_shield_regen</t>
        </is>
      </c>
      <c r="P156" s="38" t="inlineStr">
        <is>
          <t>07 形状07</t>
        </is>
      </c>
      <c r="Q156" s="38" t="inlineStr">
        <is>
          <t>Deadly</t>
        </is>
      </c>
      <c r="R156" s="38" t="inlineStr">
        <is>
          <t>skill confirmed；来源=Circle of Life；攻击2格；仅保留来源商人/训练师关系。</t>
        </is>
      </c>
      <c r="S156" s="38" t="n">
        <v>3</v>
      </c>
      <c r="T156" s="38" t="n">
        <v>3</v>
      </c>
      <c r="U156" s="442" t="inlineStr">
        <is>
          <t>skill_vanguard,skill_flank,skill_pierce,skill_revolve,skill_chase,skill_break,skill_suppress,skill_finale</t>
        </is>
      </c>
      <c r="V156" s="442" t="inlineStr">
        <is>
          <t>trait_element_affinity</t>
        </is>
      </c>
      <c r="W156" s="457">
        <f>XLOOKUP($D156&amp;"|"&amp;$E156&amp;"|"&amp;$F156,'PET_STAT_RULES'!$A$5:$A$88,'PET_STAT_RULES'!$E$5:$E$88)</f>
        <v/>
      </c>
      <c r="X156" s="385" t="str"/>
      <c r="Y156" s="386" t="inlineStr">
        <is>
          <t>reserved</t>
        </is>
      </c>
      <c r="Z156" s="386" t="str"/>
      <c r="AA156" s="386" t="str"/>
    </row>
    <row r="157">
      <c r="A157" s="38" t="inlineStr">
        <is>
          <t>pal_156</t>
        </is>
      </c>
      <c r="B157" s="38" t="inlineStr">
        <is>
          <t>角马王</t>
        </is>
      </c>
      <c r="C157" s="38" t="inlineStr">
        <is>
          <t>龙</t>
        </is>
      </c>
      <c r="D157" s="262" t="inlineStr">
        <is>
          <t>黄金</t>
        </is>
      </c>
      <c r="E157" s="38" t="inlineStr">
        <is>
          <t>机动</t>
        </is>
      </c>
      <c r="F157" s="38" t="inlineStr">
        <is>
          <t>两格</t>
        </is>
      </c>
      <c r="G157" s="38" t="inlineStr">
        <is>
          <t>bz_van_156</t>
        </is>
      </c>
      <c r="H157" s="38" t="inlineStr">
        <is>
          <t>elem_水, elem_龙, elem_无</t>
        </is>
      </c>
      <c r="I157" s="38" t="n">
        <v>3</v>
      </c>
      <c r="J157" s="456">
        <f>XLOOKUP($D157&amp;"|"&amp;$E157&amp;"|"&amp;$F157,'PET_STAT_RULES'!$A$5:$A$88,'PET_STAT_RULES'!$C$5:$C$88)</f>
        <v/>
      </c>
      <c r="K157" s="456">
        <f>XLOOKUP($D157&amp;"|"&amp;$E157&amp;"|"&amp;$F157,'PET_STAT_RULES'!$A$5:$A$88,'PET_STAT_RULES'!$D$5:$D$88)</f>
        <v/>
      </c>
      <c r="L157" s="456">
        <f>XLOOKUP($D157&amp;"|"&amp;$E157&amp;"|"&amp;$F157,'PET_STAT_RULES'!$A$5:$A$88,'PET_STAT_RULES'!$F$5:$F$88)</f>
        <v/>
      </c>
      <c r="M157" s="456">
        <f>XLOOKUP($D157&amp;"|"&amp;$E157&amp;"|"&amp;$F157,'PET_STAT_RULES'!$A$5:$A$88,'PET_STAT_RULES'!$G$5:$G$88)</f>
        <v/>
      </c>
      <c r="N157" s="38" t="n">
        <v>2</v>
      </c>
      <c r="O157" s="38" t="inlineStr">
        <is>
          <t>none</t>
        </is>
      </c>
      <c r="P157" s="38" t="inlineStr">
        <is>
          <t>12 形状12</t>
        </is>
      </c>
      <c r="Q157" s="38" t="inlineStr">
        <is>
          <t>Turbo</t>
        </is>
      </c>
      <c r="R157" s="38" t="inlineStr">
        <is>
          <t>skill confirmed；来源=Command Ship；攻击2格；仅保留来源商人/训练师关系。</t>
        </is>
      </c>
      <c r="S157" s="38" t="n">
        <v>5</v>
      </c>
      <c r="T157" s="38" t="n">
        <v>2</v>
      </c>
      <c r="U157" s="442" t="inlineStr">
        <is>
          <t>skill_vanguard,skill_flank,skill_pierce,skill_revolve,skill_chase,skill_break,skill_suppress,skill_finale</t>
        </is>
      </c>
      <c r="V157" s="442" t="inlineStr">
        <is>
          <t>trait_relentless</t>
        </is>
      </c>
      <c r="W157" s="457">
        <f>XLOOKUP($D157&amp;"|"&amp;$E157&amp;"|"&amp;$F157,'PET_STAT_RULES'!$A$5:$A$88,'PET_STAT_RULES'!$E$5:$E$88)</f>
        <v/>
      </c>
      <c r="X157" s="385" t="str"/>
      <c r="Y157" s="386" t="inlineStr">
        <is>
          <t>reserved</t>
        </is>
      </c>
      <c r="Z157" s="386" t="str"/>
      <c r="AA157" s="386" t="str"/>
    </row>
    <row r="158">
      <c r="A158" s="38" t="inlineStr">
        <is>
          <t>pal_157</t>
        </is>
      </c>
      <c r="B158" s="38" t="inlineStr">
        <is>
          <t>焰鹰妖</t>
        </is>
      </c>
      <c r="C158" s="38" t="inlineStr">
        <is>
          <t>火</t>
        </is>
      </c>
      <c r="D158" s="265" t="inlineStr">
        <is>
          <t>白银</t>
        </is>
      </c>
      <c r="E158" s="38" t="inlineStr">
        <is>
          <t>输出</t>
        </is>
      </c>
      <c r="F158" s="38" t="inlineStr">
        <is>
          <t>两格</t>
        </is>
      </c>
      <c r="G158" s="38" t="inlineStr">
        <is>
          <t>bz_van_157</t>
        </is>
      </c>
      <c r="H158" s="38" t="inlineStr">
        <is>
          <t>elem_水, elem_雷, elem_龙, elem_无, role_治疗</t>
        </is>
      </c>
      <c r="I158" s="38" t="n">
        <v>5</v>
      </c>
      <c r="J158" s="456">
        <f>XLOOKUP($D158&amp;"|"&amp;$E158&amp;"|"&amp;$F158,'PET_STAT_RULES'!$A$5:$A$88,'PET_STAT_RULES'!$C$5:$C$88)</f>
        <v/>
      </c>
      <c r="K158" s="456">
        <f>XLOOKUP($D158&amp;"|"&amp;$E158&amp;"|"&amp;$F158,'PET_STAT_RULES'!$A$5:$A$88,'PET_STAT_RULES'!$D$5:$D$88)</f>
        <v/>
      </c>
      <c r="L158" s="456">
        <f>XLOOKUP($D158&amp;"|"&amp;$E158&amp;"|"&amp;$F158,'PET_STAT_RULES'!$A$5:$A$88,'PET_STAT_RULES'!$F$5:$F$88)</f>
        <v/>
      </c>
      <c r="M158" s="456">
        <f>XLOOKUP($D158&amp;"|"&amp;$E158&amp;"|"&amp;$F158,'PET_STAT_RULES'!$A$5:$A$88,'PET_STAT_RULES'!$G$5:$G$88)</f>
        <v/>
      </c>
      <c r="N158" s="38" t="n">
        <v>2</v>
      </c>
      <c r="O158" s="38" t="inlineStr">
        <is>
          <t>mech_fire_ignite_bonus</t>
        </is>
      </c>
      <c r="P158" s="38" t="inlineStr">
        <is>
          <t>11 形状11</t>
        </is>
      </c>
      <c r="Q158" s="38" t="inlineStr">
        <is>
          <t>Fiery</t>
        </is>
      </c>
      <c r="R158" s="38" t="inlineStr">
        <is>
          <t>skill confirmed；来源=Conflagration；攻击2格；仅保留来源商人/训练师关系。</t>
        </is>
      </c>
      <c r="S158" s="38" t="n">
        <v>3</v>
      </c>
      <c r="T158" s="38" t="n">
        <v>2</v>
      </c>
      <c r="U158" s="442" t="inlineStr">
        <is>
          <t>skill_vanguard,skill_flank,skill_pierce,skill_revolve,skill_chase,skill_break,skill_suppress,skill_finale</t>
        </is>
      </c>
      <c r="V158" s="442" t="inlineStr">
        <is>
          <t>trait_relentless</t>
        </is>
      </c>
      <c r="W158" s="457">
        <f>XLOOKUP($D158&amp;"|"&amp;$E158&amp;"|"&amp;$F158,'PET_STAT_RULES'!$A$5:$A$88,'PET_STAT_RULES'!$E$5:$E$88)</f>
        <v/>
      </c>
      <c r="X158" s="385" t="str"/>
      <c r="Y158" s="386" t="inlineStr">
        <is>
          <t>reserved</t>
        </is>
      </c>
      <c r="Z158" s="386" t="str"/>
      <c r="AA158" s="386" t="str"/>
    </row>
    <row r="159">
      <c r="A159" s="38" t="inlineStr">
        <is>
          <t>pal_158</t>
        </is>
      </c>
      <c r="B159" s="38" t="inlineStr">
        <is>
          <t>澜蜂尊</t>
        </is>
      </c>
      <c r="C159" s="38" t="inlineStr">
        <is>
          <t>水</t>
        </is>
      </c>
      <c r="D159" s="262" t="inlineStr">
        <is>
          <t>黄金</t>
        </is>
      </c>
      <c r="E159" s="38" t="inlineStr">
        <is>
          <t>机动</t>
        </is>
      </c>
      <c r="F159" s="38" t="inlineStr">
        <is>
          <t>两格</t>
        </is>
      </c>
      <c r="G159" s="38" t="inlineStr">
        <is>
          <t>bz_van_158</t>
        </is>
      </c>
      <c r="H159" s="38" t="inlineStr">
        <is>
          <t>elem_水, elem_地, elem_龙, elem_无, role_坦克, special_merchant</t>
        </is>
      </c>
      <c r="I159" s="38" t="n">
        <v>6</v>
      </c>
      <c r="J159" s="456">
        <f>XLOOKUP($D159&amp;"|"&amp;$E159&amp;"|"&amp;$F159,'PET_STAT_RULES'!$A$5:$A$88,'PET_STAT_RULES'!$C$5:$C$88)</f>
        <v/>
      </c>
      <c r="K159" s="456">
        <f>XLOOKUP($D159&amp;"|"&amp;$E159&amp;"|"&amp;$F159,'PET_STAT_RULES'!$A$5:$A$88,'PET_STAT_RULES'!$D$5:$D$88)</f>
        <v/>
      </c>
      <c r="L159" s="456">
        <f>XLOOKUP($D159&amp;"|"&amp;$E159&amp;"|"&amp;$F159,'PET_STAT_RULES'!$A$5:$A$88,'PET_STAT_RULES'!$F$5:$F$88)</f>
        <v/>
      </c>
      <c r="M159" s="456">
        <f>XLOOKUP($D159&amp;"|"&amp;$E159&amp;"|"&amp;$F159,'PET_STAT_RULES'!$A$5:$A$88,'PET_STAT_RULES'!$G$5:$G$88)</f>
        <v/>
      </c>
      <c r="N159" s="38" t="n">
        <v>2</v>
      </c>
      <c r="O159" s="38" t="inlineStr">
        <is>
          <t>none</t>
        </is>
      </c>
      <c r="P159" s="38" t="inlineStr">
        <is>
          <t>12 形状12</t>
        </is>
      </c>
      <c r="Q159" s="38" t="inlineStr">
        <is>
          <t>Turbo</t>
        </is>
      </c>
      <c r="R159" s="38" t="inlineStr">
        <is>
          <t>skill confirmed；来源=Crashing Waves；攻击2格；仅保留来源商人/训练师关系。</t>
        </is>
      </c>
      <c r="S159" s="38" t="n">
        <v>5</v>
      </c>
      <c r="T159" s="38" t="n">
        <v>2</v>
      </c>
      <c r="U159" s="442" t="inlineStr">
        <is>
          <t>skill_vanguard,skill_flank,skill_pierce,skill_revolve,skill_chase,skill_break,skill_suppress,skill_finale</t>
        </is>
      </c>
      <c r="V159" s="442" t="inlineStr">
        <is>
          <t>trait_relentless</t>
        </is>
      </c>
      <c r="W159" s="457">
        <f>XLOOKUP($D159&amp;"|"&amp;$E159&amp;"|"&amp;$F159,'PET_STAT_RULES'!$A$5:$A$88,'PET_STAT_RULES'!$E$5:$E$88)</f>
        <v/>
      </c>
      <c r="X159" s="385" t="str"/>
      <c r="Y159" s="386" t="inlineStr">
        <is>
          <t>reserved</t>
        </is>
      </c>
      <c r="Z159" s="386" t="str"/>
      <c r="AA159" s="386" t="str"/>
    </row>
    <row r="160">
      <c r="A160" s="38" t="inlineStr">
        <is>
          <t>pal_159</t>
        </is>
      </c>
      <c r="B160" s="38" t="inlineStr">
        <is>
          <t>凝鳗卫</t>
        </is>
      </c>
      <c r="C160" s="38" t="inlineStr">
        <is>
          <t>冰</t>
        </is>
      </c>
      <c r="D160" s="265" t="inlineStr">
        <is>
          <t>白银</t>
        </is>
      </c>
      <c r="E160" s="38" t="inlineStr">
        <is>
          <t>控制</t>
        </is>
      </c>
      <c r="F160" s="38" t="inlineStr">
        <is>
          <t>两格</t>
        </is>
      </c>
      <c r="G160" s="38" t="inlineStr">
        <is>
          <t>bz_van_159</t>
        </is>
      </c>
      <c r="H160" s="38" t="inlineStr">
        <is>
          <t>elem_水, elem_雷, elem_龙, elem_无, role_控制, role_经济</t>
        </is>
      </c>
      <c r="I160" s="38" t="n">
        <v>6</v>
      </c>
      <c r="J160" s="456">
        <f>XLOOKUP($D160&amp;"|"&amp;$E160&amp;"|"&amp;$F160,'PET_STAT_RULES'!$A$5:$A$88,'PET_STAT_RULES'!$C$5:$C$88)</f>
        <v/>
      </c>
      <c r="K160" s="456">
        <f>XLOOKUP($D160&amp;"|"&amp;$E160&amp;"|"&amp;$F160,'PET_STAT_RULES'!$A$5:$A$88,'PET_STAT_RULES'!$D$5:$D$88)</f>
        <v/>
      </c>
      <c r="L160" s="456">
        <f>XLOOKUP($D160&amp;"|"&amp;$E160&amp;"|"&amp;$F160,'PET_STAT_RULES'!$A$5:$A$88,'PET_STAT_RULES'!$F$5:$F$88)</f>
        <v/>
      </c>
      <c r="M160" s="456">
        <f>XLOOKUP($D160&amp;"|"&amp;$E160&amp;"|"&amp;$F160,'PET_STAT_RULES'!$A$5:$A$88,'PET_STAT_RULES'!$G$5:$G$88)</f>
        <v/>
      </c>
      <c r="N160" s="38" t="n">
        <v>2</v>
      </c>
      <c r="O160" s="38" t="inlineStr">
        <is>
          <t>mech_counter_damage</t>
        </is>
      </c>
      <c r="P160" s="38" t="inlineStr">
        <is>
          <t>06 形状06</t>
        </is>
      </c>
      <c r="Q160" s="38" t="inlineStr">
        <is>
          <t>Icy</t>
        </is>
      </c>
      <c r="R160" s="38" t="inlineStr">
        <is>
          <t>skill confirmed；来源=Creeping Chill；攻击2格；仅保留来源商人/训练师关系。</t>
        </is>
      </c>
      <c r="S160" s="38" t="n">
        <v>4</v>
      </c>
      <c r="T160" s="38" t="n">
        <v>2</v>
      </c>
      <c r="U160" s="442" t="inlineStr">
        <is>
          <t>skill_vanguard,skill_flank,skill_pierce,skill_revolve,skill_chase,skill_break,skill_suppress,skill_finale</t>
        </is>
      </c>
      <c r="V160" s="442" t="inlineStr">
        <is>
          <t>trait_element_affinity</t>
        </is>
      </c>
      <c r="W160" s="457">
        <f>XLOOKUP($D160&amp;"|"&amp;$E160&amp;"|"&amp;$F160,'PET_STAT_RULES'!$A$5:$A$88,'PET_STAT_RULES'!$E$5:$E$88)</f>
        <v/>
      </c>
      <c r="X160" s="385" t="str"/>
      <c r="Y160" s="386" t="inlineStr">
        <is>
          <t>reserved</t>
        </is>
      </c>
      <c r="Z160" s="386" t="str"/>
      <c r="AA160" s="386" t="str"/>
    </row>
    <row r="161">
      <c r="A161" s="38" t="inlineStr">
        <is>
          <t>pal_160</t>
        </is>
      </c>
      <c r="B161" s="38" t="inlineStr">
        <is>
          <t>青鳗君</t>
        </is>
      </c>
      <c r="C161" s="38" t="inlineStr">
        <is>
          <t>草、雷</t>
        </is>
      </c>
      <c r="D161" s="262" t="inlineStr">
        <is>
          <t>黄金</t>
        </is>
      </c>
      <c r="E161" s="38" t="inlineStr">
        <is>
          <t>控制</t>
        </is>
      </c>
      <c r="F161" s="38" t="inlineStr">
        <is>
          <t>两格</t>
        </is>
      </c>
      <c r="G161" s="38" t="inlineStr">
        <is>
          <t>bz_van_160</t>
        </is>
      </c>
      <c r="H161" s="38" t="inlineStr">
        <is>
          <t>elem_水, elem_龙, elem_无, role_输出, role_经济, special_merchant</t>
        </is>
      </c>
      <c r="I161" s="38" t="n">
        <v>6</v>
      </c>
      <c r="J161" s="456">
        <f>XLOOKUP($D161&amp;"|"&amp;$E161&amp;"|"&amp;$F161,'PET_STAT_RULES'!$A$5:$A$88,'PET_STAT_RULES'!$C$5:$C$88)</f>
        <v/>
      </c>
      <c r="K161" s="456">
        <f>XLOOKUP($D161&amp;"|"&amp;$E161&amp;"|"&amp;$F161,'PET_STAT_RULES'!$A$5:$A$88,'PET_STAT_RULES'!$D$5:$D$88)</f>
        <v/>
      </c>
      <c r="L161" s="456">
        <f>XLOOKUP($D161&amp;"|"&amp;$E161&amp;"|"&amp;$F161,'PET_STAT_RULES'!$A$5:$A$88,'PET_STAT_RULES'!$F$5:$F$88)</f>
        <v/>
      </c>
      <c r="M161" s="456">
        <f>XLOOKUP($D161&amp;"|"&amp;$E161&amp;"|"&amp;$F161,'PET_STAT_RULES'!$A$5:$A$88,'PET_STAT_RULES'!$G$5:$G$88)</f>
        <v/>
      </c>
      <c r="N161" s="38" t="n">
        <v>2</v>
      </c>
      <c r="O161" s="38" t="inlineStr">
        <is>
          <t>mech_counter_damage</t>
        </is>
      </c>
      <c r="P161" s="38" t="inlineStr">
        <is>
          <t>09 形状09</t>
        </is>
      </c>
      <c r="Q161" s="38" t="inlineStr">
        <is>
          <t>Icy</t>
        </is>
      </c>
      <c r="R161" s="38" t="inlineStr">
        <is>
          <t>skill confirmed；来源=Creeping Toxins；攻击2格；仅保留来源商人/训练师关系。</t>
        </is>
      </c>
      <c r="S161" s="38" t="n">
        <v>4</v>
      </c>
      <c r="T161" s="38" t="n">
        <v>2</v>
      </c>
      <c r="U161" s="442" t="inlineStr">
        <is>
          <t>skill_vanguard,skill_flank,skill_pierce,skill_revolve,skill_chase,skill_break,skill_suppress,skill_finale</t>
        </is>
      </c>
      <c r="V161" s="442" t="inlineStr">
        <is>
          <t>trait_element_affinity</t>
        </is>
      </c>
      <c r="W161" s="457">
        <f>XLOOKUP($D161&amp;"|"&amp;$E161&amp;"|"&amp;$F161,'PET_STAT_RULES'!$A$5:$A$88,'PET_STAT_RULES'!$E$5:$E$88)</f>
        <v/>
      </c>
      <c r="X161" s="385" t="str"/>
      <c r="Y161" s="386" t="inlineStr">
        <is>
          <t>reserved</t>
        </is>
      </c>
      <c r="Z161" s="386" t="str"/>
      <c r="AA161" s="386" t="str"/>
    </row>
    <row r="162">
      <c r="A162" s="38" t="inlineStr">
        <is>
          <t>pal_161</t>
        </is>
      </c>
      <c r="B162" s="38" t="inlineStr">
        <is>
          <t>电鹰童</t>
        </is>
      </c>
      <c r="C162" s="38" t="inlineStr">
        <is>
          <t>雷</t>
        </is>
      </c>
      <c r="D162" s="259" t="inlineStr">
        <is>
          <t>青铜</t>
        </is>
      </c>
      <c r="E162" s="38" t="inlineStr">
        <is>
          <t>输出</t>
        </is>
      </c>
      <c r="F162" s="38" t="inlineStr">
        <is>
          <t>两格</t>
        </is>
      </c>
      <c r="G162" s="38" t="inlineStr">
        <is>
          <t>bz_van_161</t>
        </is>
      </c>
      <c r="H162" s="38" t="inlineStr">
        <is>
          <t>elem_水, elem_雷, elem_龙, elem_无, role_召唤, role_坦克</t>
        </is>
      </c>
      <c r="I162" s="38" t="n">
        <v>6</v>
      </c>
      <c r="J162" s="456">
        <f>XLOOKUP($D162&amp;"|"&amp;$E162&amp;"|"&amp;$F162,'PET_STAT_RULES'!$A$5:$A$88,'PET_STAT_RULES'!$C$5:$C$88)</f>
        <v/>
      </c>
      <c r="K162" s="456">
        <f>XLOOKUP($D162&amp;"|"&amp;$E162&amp;"|"&amp;$F162,'PET_STAT_RULES'!$A$5:$A$88,'PET_STAT_RULES'!$D$5:$D$88)</f>
        <v/>
      </c>
      <c r="L162" s="456">
        <f>XLOOKUP($D162&amp;"|"&amp;$E162&amp;"|"&amp;$F162,'PET_STAT_RULES'!$A$5:$A$88,'PET_STAT_RULES'!$F$5:$F$88)</f>
        <v/>
      </c>
      <c r="M162" s="456">
        <f>XLOOKUP($D162&amp;"|"&amp;$E162&amp;"|"&amp;$F162,'PET_STAT_RULES'!$A$5:$A$88,'PET_STAT_RULES'!$G$5:$G$88)</f>
        <v/>
      </c>
      <c r="N162" s="38" t="n">
        <v>1</v>
      </c>
      <c r="O162" s="38" t="inlineStr">
        <is>
          <t>mech_grow_atk_each_round</t>
        </is>
      </c>
      <c r="P162" s="38" t="inlineStr">
        <is>
          <t>01 形状01</t>
        </is>
      </c>
      <c r="Q162" s="38" t="inlineStr">
        <is>
          <t>Deadly</t>
        </is>
      </c>
      <c r="R162" s="38" t="inlineStr">
        <is>
          <t>skill confirmed；来源=Deadly Eye；攻击1格；仅保留来源商人/训练师关系。</t>
        </is>
      </c>
      <c r="S162" s="38" t="n">
        <v>3</v>
      </c>
      <c r="T162" s="38" t="n">
        <v>1</v>
      </c>
      <c r="U162" s="442" t="inlineStr">
        <is>
          <t>skill_vanguard,skill_flank,skill_pierce,skill_revolve,skill_chase,skill_break,skill_suppress,skill_finale</t>
        </is>
      </c>
      <c r="V162" s="442" t="inlineStr">
        <is>
          <t>trait_relentless</t>
        </is>
      </c>
      <c r="W162" s="457">
        <f>XLOOKUP($D162&amp;"|"&amp;$E162&amp;"|"&amp;$F162,'PET_STAT_RULES'!$A$5:$A$88,'PET_STAT_RULES'!$E$5:$E$88)</f>
        <v/>
      </c>
      <c r="X162" s="385" t="str"/>
      <c r="Y162" s="386" t="inlineStr">
        <is>
          <t>reserved</t>
        </is>
      </c>
      <c r="Z162" s="386" t="str"/>
      <c r="AA162" s="386" t="str"/>
    </row>
    <row r="163">
      <c r="A163" s="38" t="inlineStr">
        <is>
          <t>pal_162</t>
        </is>
      </c>
      <c r="B163" s="38" t="inlineStr">
        <is>
          <t>澜鲨童</t>
        </is>
      </c>
      <c r="C163" s="38" t="inlineStr">
        <is>
          <t>水</t>
        </is>
      </c>
      <c r="D163" s="259" t="inlineStr">
        <is>
          <t>青铜</t>
        </is>
      </c>
      <c r="E163" s="38" t="inlineStr">
        <is>
          <t>输出</t>
        </is>
      </c>
      <c r="F163" s="38" t="inlineStr">
        <is>
          <t>两格</t>
        </is>
      </c>
      <c r="G163" s="38" t="inlineStr">
        <is>
          <t>bz_van_162</t>
        </is>
      </c>
      <c r="H163" s="38" t="inlineStr">
        <is>
          <t>elem_水, elem_雷, elem_地, elem_龙, elem_无</t>
        </is>
      </c>
      <c r="I163" s="38" t="n">
        <v>5</v>
      </c>
      <c r="J163" s="456">
        <f>XLOOKUP($D163&amp;"|"&amp;$E163&amp;"|"&amp;$F163,'PET_STAT_RULES'!$A$5:$A$88,'PET_STAT_RULES'!$C$5:$C$88)</f>
        <v/>
      </c>
      <c r="K163" s="456">
        <f>XLOOKUP($D163&amp;"|"&amp;$E163&amp;"|"&amp;$F163,'PET_STAT_RULES'!$A$5:$A$88,'PET_STAT_RULES'!$D$5:$D$88)</f>
        <v/>
      </c>
      <c r="L163" s="456">
        <f>XLOOKUP($D163&amp;"|"&amp;$E163&amp;"|"&amp;$F163,'PET_STAT_RULES'!$A$5:$A$88,'PET_STAT_RULES'!$F$5:$F$88)</f>
        <v/>
      </c>
      <c r="M163" s="456">
        <f>XLOOKUP($D163&amp;"|"&amp;$E163&amp;"|"&amp;$F163,'PET_STAT_RULES'!$A$5:$A$88,'PET_STAT_RULES'!$G$5:$G$88)</f>
        <v/>
      </c>
      <c r="N163" s="38" t="n">
        <v>1</v>
      </c>
      <c r="O163" s="38" t="inlineStr">
        <is>
          <t>mech_grow_atk_each_round</t>
        </is>
      </c>
      <c r="P163" s="38" t="inlineStr">
        <is>
          <t>04 形状04</t>
        </is>
      </c>
      <c r="Q163" s="38" t="inlineStr">
        <is>
          <t>Deadly</t>
        </is>
      </c>
      <c r="R163" s="38" t="inlineStr">
        <is>
          <t>skill confirmed；来源=Deadly Waters；攻击1格；仅保留来源商人/训练师关系。</t>
        </is>
      </c>
      <c r="S163" s="38" t="n">
        <v>3</v>
      </c>
      <c r="T163" s="38" t="n">
        <v>1</v>
      </c>
      <c r="U163" s="442" t="inlineStr">
        <is>
          <t>skill_vanguard,skill_flank,skill_pierce,skill_revolve,skill_chase,skill_break,skill_suppress,skill_finale</t>
        </is>
      </c>
      <c r="V163" s="442" t="inlineStr">
        <is>
          <t>trait_relentless</t>
        </is>
      </c>
      <c r="W163" s="457">
        <f>XLOOKUP($D163&amp;"|"&amp;$E163&amp;"|"&amp;$F163,'PET_STAT_RULES'!$A$5:$A$88,'PET_STAT_RULES'!$E$5:$E$88)</f>
        <v/>
      </c>
      <c r="X163" s="385" t="str"/>
      <c r="Y163" s="386" t="inlineStr">
        <is>
          <t>reserved</t>
        </is>
      </c>
      <c r="Z163" s="386" t="str"/>
      <c r="AA163" s="386" t="str"/>
    </row>
    <row r="164">
      <c r="A164" s="38" t="inlineStr">
        <is>
          <t>pal_163</t>
        </is>
      </c>
      <c r="B164" s="38" t="inlineStr">
        <is>
          <t>石甲将</t>
        </is>
      </c>
      <c r="C164" s="38" t="inlineStr">
        <is>
          <t>地</t>
        </is>
      </c>
      <c r="D164" s="265" t="inlineStr">
        <is>
          <t>白银</t>
        </is>
      </c>
      <c r="E164" s="38" t="inlineStr">
        <is>
          <t>坦克</t>
        </is>
      </c>
      <c r="F164" s="38" t="inlineStr">
        <is>
          <t>两格</t>
        </is>
      </c>
      <c r="G164" s="38" t="inlineStr">
        <is>
          <t>bz_van_163</t>
        </is>
      </c>
      <c r="H164" s="38" t="inlineStr">
        <is>
          <t>elem_水, elem_雷, elem_龙, elem_无, role_坦克, role_召唤铺场</t>
        </is>
      </c>
      <c r="I164" s="38" t="n">
        <v>6</v>
      </c>
      <c r="J164" s="456">
        <f>XLOOKUP($D164&amp;"|"&amp;$E164&amp;"|"&amp;$F164,'PET_STAT_RULES'!$A$5:$A$88,'PET_STAT_RULES'!$C$5:$C$88)</f>
        <v/>
      </c>
      <c r="K164" s="456">
        <f>XLOOKUP($D164&amp;"|"&amp;$E164&amp;"|"&amp;$F164,'PET_STAT_RULES'!$A$5:$A$88,'PET_STAT_RULES'!$D$5:$D$88)</f>
        <v/>
      </c>
      <c r="L164" s="456">
        <f>XLOOKUP($D164&amp;"|"&amp;$E164&amp;"|"&amp;$F164,'PET_STAT_RULES'!$A$5:$A$88,'PET_STAT_RULES'!$F$5:$F$88)</f>
        <v/>
      </c>
      <c r="M164" s="456">
        <f>XLOOKUP($D164&amp;"|"&amp;$E164&amp;"|"&amp;$F164,'PET_STAT_RULES'!$A$5:$A$88,'PET_STAT_RULES'!$G$5:$G$88)</f>
        <v/>
      </c>
      <c r="N164" s="38" t="n">
        <v>2</v>
      </c>
      <c r="O164" s="38" t="inlineStr">
        <is>
          <t>mech_armor_flat</t>
        </is>
      </c>
      <c r="P164" s="38" t="inlineStr">
        <is>
          <t>10 形状10</t>
        </is>
      </c>
      <c r="Q164" s="38" t="inlineStr">
        <is>
          <t>Shielded</t>
        </is>
      </c>
      <c r="R164" s="38" t="inlineStr">
        <is>
          <t>skill confirmed；来源=Defensive Stance；攻击2格；仅保留来源商人/训练师关系。</t>
        </is>
      </c>
      <c r="S164" s="38" t="n">
        <v>3</v>
      </c>
      <c r="T164" s="38" t="n">
        <v>2</v>
      </c>
      <c r="U164" s="442" t="inlineStr">
        <is>
          <t>skill_vanguard,skill_flank,skill_pierce,skill_revolve,skill_chase,skill_break,skill_suppress,skill_finale</t>
        </is>
      </c>
      <c r="V164" s="442" t="inlineStr">
        <is>
          <t>trait_combo_mastery</t>
        </is>
      </c>
      <c r="W164" s="457">
        <f>XLOOKUP($D164&amp;"|"&amp;$E164&amp;"|"&amp;$F164,'PET_STAT_RULES'!$A$5:$A$88,'PET_STAT_RULES'!$E$5:$E$88)</f>
        <v/>
      </c>
      <c r="X164" s="385" t="str"/>
      <c r="Y164" s="386" t="inlineStr">
        <is>
          <t>reserved</t>
        </is>
      </c>
      <c r="Z164" s="386" t="str"/>
      <c r="AA164" s="386" t="str"/>
    </row>
    <row r="165">
      <c r="A165" s="38" t="inlineStr">
        <is>
          <t>pal_164</t>
        </is>
      </c>
      <c r="B165" s="38" t="inlineStr">
        <is>
          <t>朱蛛侯</t>
        </is>
      </c>
      <c r="C165" s="38" t="inlineStr">
        <is>
          <t>火、草</t>
        </is>
      </c>
      <c r="D165" s="262" t="inlineStr">
        <is>
          <t>黄金</t>
        </is>
      </c>
      <c r="E165" s="38" t="inlineStr">
        <is>
          <t>控制</t>
        </is>
      </c>
      <c r="F165" s="38" t="inlineStr">
        <is>
          <t>两格</t>
        </is>
      </c>
      <c r="G165" s="38" t="inlineStr">
        <is>
          <t>bz_van_164</t>
        </is>
      </c>
      <c r="H165" s="38" t="inlineStr">
        <is>
          <t>elem_水, elem_地, elem_龙, elem_无, role_治疗, role_输出</t>
        </is>
      </c>
      <c r="I165" s="38" t="n">
        <v>6</v>
      </c>
      <c r="J165" s="456">
        <f>XLOOKUP($D165&amp;"|"&amp;$E165&amp;"|"&amp;$F165,'PET_STAT_RULES'!$A$5:$A$88,'PET_STAT_RULES'!$C$5:$C$88)</f>
        <v/>
      </c>
      <c r="K165" s="456">
        <f>XLOOKUP($D165&amp;"|"&amp;$E165&amp;"|"&amp;$F165,'PET_STAT_RULES'!$A$5:$A$88,'PET_STAT_RULES'!$D$5:$D$88)</f>
        <v/>
      </c>
      <c r="L165" s="456">
        <f>XLOOKUP($D165&amp;"|"&amp;$E165&amp;"|"&amp;$F165,'PET_STAT_RULES'!$A$5:$A$88,'PET_STAT_RULES'!$F$5:$F$88)</f>
        <v/>
      </c>
      <c r="M165" s="456">
        <f>XLOOKUP($D165&amp;"|"&amp;$E165&amp;"|"&amp;$F165,'PET_STAT_RULES'!$A$5:$A$88,'PET_STAT_RULES'!$G$5:$G$88)</f>
        <v/>
      </c>
      <c r="N165" s="38" t="n">
        <v>2</v>
      </c>
      <c r="O165" s="38" t="inlineStr">
        <is>
          <t>mech_fire_ignite_bonus</t>
        </is>
      </c>
      <c r="P165" s="38" t="inlineStr">
        <is>
          <t>05 形状05</t>
        </is>
      </c>
      <c r="Q165" s="38" t="inlineStr">
        <is>
          <t>Fiery</t>
        </is>
      </c>
      <c r="R165" s="38" t="inlineStr">
        <is>
          <t>skill confirmed；来源=Denizens of the Deep；攻击2格；仅保留来源商人/训练师关系。</t>
        </is>
      </c>
      <c r="S165" s="38" t="n">
        <v>4</v>
      </c>
      <c r="T165" s="38" t="n">
        <v>2</v>
      </c>
      <c r="U165" s="442" t="inlineStr">
        <is>
          <t>skill_vanguard,skill_flank,skill_pierce,skill_revolve,skill_chase,skill_break,skill_suppress,skill_finale</t>
        </is>
      </c>
      <c r="V165" s="442" t="inlineStr">
        <is>
          <t>trait_element_affinity</t>
        </is>
      </c>
      <c r="W165" s="457">
        <f>XLOOKUP($D165&amp;"|"&amp;$E165&amp;"|"&amp;$F165,'PET_STAT_RULES'!$A$5:$A$88,'PET_STAT_RULES'!$E$5:$E$88)</f>
        <v/>
      </c>
      <c r="X165" s="385" t="str"/>
      <c r="Y165" s="386" t="inlineStr">
        <is>
          <t>reserved</t>
        </is>
      </c>
      <c r="Z165" s="386" t="str"/>
      <c r="AA165" s="386" t="str"/>
    </row>
    <row r="166">
      <c r="A166" s="38" t="inlineStr">
        <is>
          <t>pal_165</t>
        </is>
      </c>
      <c r="B166" s="38" t="inlineStr">
        <is>
          <t>渊猿王</t>
        </is>
      </c>
      <c r="C166" s="38" t="inlineStr">
        <is>
          <t>水、雷</t>
        </is>
      </c>
      <c r="D166" s="262" t="inlineStr">
        <is>
          <t>黄金</t>
        </is>
      </c>
      <c r="E166" s="38" t="inlineStr">
        <is>
          <t>机动</t>
        </is>
      </c>
      <c r="F166" s="38" t="inlineStr">
        <is>
          <t>两格</t>
        </is>
      </c>
      <c r="G166" s="38" t="inlineStr">
        <is>
          <t>bz_van_165</t>
        </is>
      </c>
      <c r="H166" s="38" t="inlineStr">
        <is>
          <t>elem_水, elem_地, elem_龙, elem_无, role_坦克, tier_pT1</t>
        </is>
      </c>
      <c r="I166" s="38" t="n">
        <v>6</v>
      </c>
      <c r="J166" s="456">
        <f>XLOOKUP($D166&amp;"|"&amp;$E166&amp;"|"&amp;$F166,'PET_STAT_RULES'!$A$5:$A$88,'PET_STAT_RULES'!$C$5:$C$88)</f>
        <v/>
      </c>
      <c r="K166" s="456">
        <f>XLOOKUP($D166&amp;"|"&amp;$E166&amp;"|"&amp;$F166,'PET_STAT_RULES'!$A$5:$A$88,'PET_STAT_RULES'!$D$5:$D$88)</f>
        <v/>
      </c>
      <c r="L166" s="456">
        <f>XLOOKUP($D166&amp;"|"&amp;$E166&amp;"|"&amp;$F166,'PET_STAT_RULES'!$A$5:$A$88,'PET_STAT_RULES'!$F$5:$F$88)</f>
        <v/>
      </c>
      <c r="M166" s="456">
        <f>XLOOKUP($D166&amp;"|"&amp;$E166&amp;"|"&amp;$F166,'PET_STAT_RULES'!$A$5:$A$88,'PET_STAT_RULES'!$G$5:$G$88)</f>
        <v/>
      </c>
      <c r="N166" s="38" t="n">
        <v>2</v>
      </c>
      <c r="O166" s="38" t="inlineStr">
        <is>
          <t>none</t>
        </is>
      </c>
      <c r="P166" s="38" t="inlineStr">
        <is>
          <t>06 形状06</t>
        </is>
      </c>
      <c r="Q166" s="38" t="inlineStr">
        <is>
          <t>Turbo</t>
        </is>
      </c>
      <c r="R166" s="38" t="inlineStr">
        <is>
          <t>skill confirmed；来源=Depth Charge；攻击2格；仅保留来源商人/训练师关系。</t>
        </is>
      </c>
      <c r="S166" s="38" t="n">
        <v>5</v>
      </c>
      <c r="T166" s="38" t="n">
        <v>2</v>
      </c>
      <c r="U166" s="442" t="inlineStr">
        <is>
          <t>skill_vanguard,skill_flank,skill_pierce,skill_revolve,skill_chase,skill_break,skill_suppress,skill_finale</t>
        </is>
      </c>
      <c r="V166" s="442" t="inlineStr">
        <is>
          <t>trait_relentless</t>
        </is>
      </c>
      <c r="W166" s="457">
        <f>XLOOKUP($D166&amp;"|"&amp;$E166&amp;"|"&amp;$F166,'PET_STAT_RULES'!$A$5:$A$88,'PET_STAT_RULES'!$E$5:$E$88)</f>
        <v/>
      </c>
      <c r="X166" s="385" t="str"/>
      <c r="Y166" s="386" t="inlineStr">
        <is>
          <t>reserved</t>
        </is>
      </c>
      <c r="Z166" s="386" t="str"/>
      <c r="AA166" s="386" t="str"/>
    </row>
    <row r="167">
      <c r="A167" s="38" t="inlineStr">
        <is>
          <t>pal_166</t>
        </is>
      </c>
      <c r="B167" s="38" t="inlineStr">
        <is>
          <t>焰蚌圣</t>
        </is>
      </c>
      <c r="C167" s="38" t="inlineStr">
        <is>
          <t>火、冰</t>
        </is>
      </c>
      <c r="D167" s="268" t="inlineStr">
        <is>
          <t>钻石</t>
        </is>
      </c>
      <c r="E167" s="38" t="inlineStr">
        <is>
          <t>治疗</t>
        </is>
      </c>
      <c r="F167" s="38" t="inlineStr">
        <is>
          <t>两格</t>
        </is>
      </c>
      <c r="G167" s="38" t="inlineStr">
        <is>
          <t>bz_van_166</t>
        </is>
      </c>
      <c r="H167" s="38" t="inlineStr">
        <is>
          <t>elem_水, elem_龙</t>
        </is>
      </c>
      <c r="I167" s="38" t="n">
        <v>2</v>
      </c>
      <c r="J167" s="456">
        <f>XLOOKUP($D167&amp;"|"&amp;$E167&amp;"|"&amp;$F167,'PET_STAT_RULES'!$A$5:$A$88,'PET_STAT_RULES'!$C$5:$C$88)</f>
        <v/>
      </c>
      <c r="K167" s="456">
        <f>XLOOKUP($D167&amp;"|"&amp;$E167&amp;"|"&amp;$F167,'PET_STAT_RULES'!$A$5:$A$88,'PET_STAT_RULES'!$D$5:$D$88)</f>
        <v/>
      </c>
      <c r="L167" s="456">
        <f>XLOOKUP($D167&amp;"|"&amp;$E167&amp;"|"&amp;$F167,'PET_STAT_RULES'!$A$5:$A$88,'PET_STAT_RULES'!$F$5:$F$88)</f>
        <v/>
      </c>
      <c r="M167" s="456">
        <f>XLOOKUP($D167&amp;"|"&amp;$E167&amp;"|"&amp;$F167,'PET_STAT_RULES'!$A$5:$A$88,'PET_STAT_RULES'!$G$5:$G$88)</f>
        <v/>
      </c>
      <c r="N167" s="38" t="n">
        <v>3</v>
      </c>
      <c r="O167" s="38" t="inlineStr">
        <is>
          <t>mech_fire_ignite_bonus</t>
        </is>
      </c>
      <c r="P167" s="38" t="inlineStr">
        <is>
          <t>14 形状14</t>
        </is>
      </c>
      <c r="Q167" s="38" t="inlineStr">
        <is>
          <t>Fiery</t>
        </is>
      </c>
      <c r="R167" s="38" t="inlineStr">
        <is>
          <t>skill confirmed；来源=Desperate Cleanse；攻击3格；仅保留来源商人/训练师关系。</t>
        </is>
      </c>
      <c r="S167" s="38" t="n">
        <v>3</v>
      </c>
      <c r="T167" s="38" t="n">
        <v>3</v>
      </c>
      <c r="U167" s="442" t="inlineStr">
        <is>
          <t>skill_vanguard,skill_flank,skill_pierce,skill_revolve,skill_chase,skill_break,skill_suppress,skill_finale</t>
        </is>
      </c>
      <c r="V167" s="442" t="inlineStr">
        <is>
          <t>trait_element_affinity</t>
        </is>
      </c>
      <c r="W167" s="457">
        <f>XLOOKUP($D167&amp;"|"&amp;$E167&amp;"|"&amp;$F167,'PET_STAT_RULES'!$A$5:$A$88,'PET_STAT_RULES'!$E$5:$E$88)</f>
        <v/>
      </c>
      <c r="X167" s="385" t="str"/>
      <c r="Y167" s="386" t="inlineStr">
        <is>
          <t>reserved</t>
        </is>
      </c>
      <c r="Z167" s="386" t="str"/>
      <c r="AA167" s="386" t="str"/>
    </row>
    <row r="168">
      <c r="A168" s="38" t="inlineStr">
        <is>
          <t>pal_167</t>
        </is>
      </c>
      <c r="B168" s="38" t="inlineStr">
        <is>
          <t>渊兔妖</t>
        </is>
      </c>
      <c r="C168" s="38" t="inlineStr">
        <is>
          <t>水、雷</t>
        </is>
      </c>
      <c r="D168" s="265" t="inlineStr">
        <is>
          <t>白银</t>
        </is>
      </c>
      <c r="E168" s="38" t="inlineStr">
        <is>
          <t>治疗</t>
        </is>
      </c>
      <c r="F168" s="38" t="inlineStr">
        <is>
          <t>两格</t>
        </is>
      </c>
      <c r="G168" s="38" t="inlineStr">
        <is>
          <t>bz_van_167</t>
        </is>
      </c>
      <c r="H168" s="38" t="inlineStr">
        <is>
          <t>elem_水, elem_雷, elem_龙, elem_无, role_召唤</t>
        </is>
      </c>
      <c r="I168" s="38" t="n">
        <v>5</v>
      </c>
      <c r="J168" s="456">
        <f>XLOOKUP($D168&amp;"|"&amp;$E168&amp;"|"&amp;$F168,'PET_STAT_RULES'!$A$5:$A$88,'PET_STAT_RULES'!$C$5:$C$88)</f>
        <v/>
      </c>
      <c r="K168" s="456">
        <f>XLOOKUP($D168&amp;"|"&amp;$E168&amp;"|"&amp;$F168,'PET_STAT_RULES'!$A$5:$A$88,'PET_STAT_RULES'!$D$5:$D$88)</f>
        <v/>
      </c>
      <c r="L168" s="456">
        <f>XLOOKUP($D168&amp;"|"&amp;$E168&amp;"|"&amp;$F168,'PET_STAT_RULES'!$A$5:$A$88,'PET_STAT_RULES'!$F$5:$F$88)</f>
        <v/>
      </c>
      <c r="M168" s="456">
        <f>XLOOKUP($D168&amp;"|"&amp;$E168&amp;"|"&amp;$F168,'PET_STAT_RULES'!$A$5:$A$88,'PET_STAT_RULES'!$G$5:$G$88)</f>
        <v/>
      </c>
      <c r="N168" s="38" t="n">
        <v>2</v>
      </c>
      <c r="O168" s="38" t="inlineStr">
        <is>
          <t>mech_shield_regen</t>
        </is>
      </c>
      <c r="P168" s="38" t="inlineStr">
        <is>
          <t>08 形状08</t>
        </is>
      </c>
      <c r="Q168" s="38" t="inlineStr">
        <is>
          <t>Restorative</t>
        </is>
      </c>
      <c r="R168" s="38" t="inlineStr">
        <is>
          <t>skill confirmed；来源=Desperate Strike；攻击2格；仅保留来源商人/训练师关系。</t>
        </is>
      </c>
      <c r="S168" s="38" t="n">
        <v>3</v>
      </c>
      <c r="T168" s="38" t="n">
        <v>2</v>
      </c>
      <c r="U168" s="442" t="inlineStr">
        <is>
          <t>skill_vanguard,skill_flank,skill_pierce,skill_revolve,skill_chase,skill_break,skill_suppress,skill_finale</t>
        </is>
      </c>
      <c r="V168" s="442" t="inlineStr">
        <is>
          <t>trait_element_affinity</t>
        </is>
      </c>
      <c r="W168" s="457">
        <f>XLOOKUP($D168&amp;"|"&amp;$E168&amp;"|"&amp;$F168,'PET_STAT_RULES'!$A$5:$A$88,'PET_STAT_RULES'!$E$5:$E$88)</f>
        <v/>
      </c>
      <c r="X168" s="385" t="str"/>
      <c r="Y168" s="386" t="inlineStr">
        <is>
          <t>reserved</t>
        </is>
      </c>
      <c r="Z168" s="386" t="str"/>
      <c r="AA168" s="386" t="str"/>
    </row>
    <row r="169">
      <c r="A169" s="38" t="inlineStr">
        <is>
          <t>pal_168</t>
        </is>
      </c>
      <c r="B169" s="38" t="inlineStr">
        <is>
          <t>澜兔祖</t>
        </is>
      </c>
      <c r="C169" s="38" t="inlineStr">
        <is>
          <t>水、地</t>
        </is>
      </c>
      <c r="D169" s="268" t="inlineStr">
        <is>
          <t>钻石</t>
        </is>
      </c>
      <c r="E169" s="38" t="inlineStr">
        <is>
          <t>治疗</t>
        </is>
      </c>
      <c r="F169" s="38" t="inlineStr">
        <is>
          <t>两格</t>
        </is>
      </c>
      <c r="G169" s="38" t="inlineStr">
        <is>
          <t>bz_van_168</t>
        </is>
      </c>
      <c r="H169" s="38" t="inlineStr">
        <is>
          <t>elem_水, elem_龙, role_坦克</t>
        </is>
      </c>
      <c r="I169" s="38" t="n">
        <v>3</v>
      </c>
      <c r="J169" s="456">
        <f>XLOOKUP($D169&amp;"|"&amp;$E169&amp;"|"&amp;$F169,'PET_STAT_RULES'!$A$5:$A$88,'PET_STAT_RULES'!$C$5:$C$88)</f>
        <v/>
      </c>
      <c r="K169" s="456">
        <f>XLOOKUP($D169&amp;"|"&amp;$E169&amp;"|"&amp;$F169,'PET_STAT_RULES'!$A$5:$A$88,'PET_STAT_RULES'!$D$5:$D$88)</f>
        <v/>
      </c>
      <c r="L169" s="456">
        <f>XLOOKUP($D169&amp;"|"&amp;$E169&amp;"|"&amp;$F169,'PET_STAT_RULES'!$A$5:$A$88,'PET_STAT_RULES'!$F$5:$F$88)</f>
        <v/>
      </c>
      <c r="M169" s="456">
        <f>XLOOKUP($D169&amp;"|"&amp;$E169&amp;"|"&amp;$F169,'PET_STAT_RULES'!$A$5:$A$88,'PET_STAT_RULES'!$G$5:$G$88)</f>
        <v/>
      </c>
      <c r="N169" s="38" t="n">
        <v>3</v>
      </c>
      <c r="O169" s="38" t="inlineStr">
        <is>
          <t>mech_shield_regen</t>
        </is>
      </c>
      <c r="P169" s="38" t="inlineStr">
        <is>
          <t>17 形状17</t>
        </is>
      </c>
      <c r="Q169" s="38" t="inlineStr">
        <is>
          <t>Restorative</t>
        </is>
      </c>
      <c r="R169" s="38" t="inlineStr">
        <is>
          <t>skill confirmed；来源=Double Down；攻击3格；仅保留来源商人/训练师关系。</t>
        </is>
      </c>
      <c r="S169" s="38" t="n">
        <v>3</v>
      </c>
      <c r="T169" s="38" t="n">
        <v>3</v>
      </c>
      <c r="U169" s="442" t="inlineStr">
        <is>
          <t>skill_vanguard,skill_flank,skill_pierce,skill_revolve,skill_chase,skill_break,skill_suppress,skill_finale</t>
        </is>
      </c>
      <c r="V169" s="442" t="inlineStr">
        <is>
          <t>trait_element_affinity</t>
        </is>
      </c>
      <c r="W169" s="457">
        <f>XLOOKUP($D169&amp;"|"&amp;$E169&amp;"|"&amp;$F169,'PET_STAT_RULES'!$A$5:$A$88,'PET_STAT_RULES'!$E$5:$E$88)</f>
        <v/>
      </c>
      <c r="X169" s="385" t="str"/>
      <c r="Y169" s="386" t="inlineStr">
        <is>
          <t>reserved</t>
        </is>
      </c>
      <c r="Z169" s="386" t="str"/>
      <c r="AA169" s="386" t="str"/>
    </row>
    <row r="170">
      <c r="A170" s="38" t="inlineStr">
        <is>
          <t>pal_169</t>
        </is>
      </c>
      <c r="B170" s="38" t="inlineStr">
        <is>
          <t>朱鹤将</t>
        </is>
      </c>
      <c r="C170" s="38" t="inlineStr">
        <is>
          <t>火、水</t>
        </is>
      </c>
      <c r="D170" s="265" t="inlineStr">
        <is>
          <t>白银</t>
        </is>
      </c>
      <c r="E170" s="38" t="inlineStr">
        <is>
          <t>治疗</t>
        </is>
      </c>
      <c r="F170" s="38" t="inlineStr">
        <is>
          <t>两格</t>
        </is>
      </c>
      <c r="G170" s="38" t="inlineStr">
        <is>
          <t>bz_van_169</t>
        </is>
      </c>
      <c r="H170" s="38" t="inlineStr">
        <is>
          <t>elem_水, elem_雷, elem_龙, elem_无, role_治疗</t>
        </is>
      </c>
      <c r="I170" s="38" t="n">
        <v>5</v>
      </c>
      <c r="J170" s="456">
        <f>XLOOKUP($D170&amp;"|"&amp;$E170&amp;"|"&amp;$F170,'PET_STAT_RULES'!$A$5:$A$88,'PET_STAT_RULES'!$C$5:$C$88)</f>
        <v/>
      </c>
      <c r="K170" s="456">
        <f>XLOOKUP($D170&amp;"|"&amp;$E170&amp;"|"&amp;$F170,'PET_STAT_RULES'!$A$5:$A$88,'PET_STAT_RULES'!$D$5:$D$88)</f>
        <v/>
      </c>
      <c r="L170" s="456">
        <f>XLOOKUP($D170&amp;"|"&amp;$E170&amp;"|"&amp;$F170,'PET_STAT_RULES'!$A$5:$A$88,'PET_STAT_RULES'!$F$5:$F$88)</f>
        <v/>
      </c>
      <c r="M170" s="456">
        <f>XLOOKUP($D170&amp;"|"&amp;$E170&amp;"|"&amp;$F170,'PET_STAT_RULES'!$A$5:$A$88,'PET_STAT_RULES'!$G$5:$G$88)</f>
        <v/>
      </c>
      <c r="N170" s="38" t="n">
        <v>3</v>
      </c>
      <c r="O170" s="38" t="inlineStr">
        <is>
          <t>mech_fire_ignite_bonus</t>
        </is>
      </c>
      <c r="P170" s="38" t="inlineStr">
        <is>
          <t>15 形状15</t>
        </is>
      </c>
      <c r="Q170" s="38" t="inlineStr">
        <is>
          <t>Fiery</t>
        </is>
      </c>
      <c r="R170" s="38" t="inlineStr">
        <is>
          <t>skill confirmed；来源=Emergency Burn；攻击3格；仅保留来源商人/训练师关系。</t>
        </is>
      </c>
      <c r="S170" s="38" t="n">
        <v>3</v>
      </c>
      <c r="T170" s="38" t="n">
        <v>2</v>
      </c>
      <c r="U170" s="442" t="inlineStr">
        <is>
          <t>skill_vanguard,skill_flank,skill_pierce,skill_revolve,skill_chase,skill_break,skill_suppress,skill_finale</t>
        </is>
      </c>
      <c r="V170" s="442" t="inlineStr">
        <is>
          <t>trait_element_affinity</t>
        </is>
      </c>
      <c r="W170" s="457">
        <f>XLOOKUP($D170&amp;"|"&amp;$E170&amp;"|"&amp;$F170,'PET_STAT_RULES'!$A$5:$A$88,'PET_STAT_RULES'!$E$5:$E$88)</f>
        <v/>
      </c>
      <c r="X170" s="385" t="str"/>
      <c r="Y170" s="386" t="inlineStr">
        <is>
          <t>reserved</t>
        </is>
      </c>
      <c r="Z170" s="386" t="str"/>
      <c r="AA170" s="386" t="str"/>
    </row>
    <row r="171">
      <c r="A171" s="38" t="inlineStr">
        <is>
          <t>pal_170</t>
        </is>
      </c>
      <c r="B171" s="38" t="inlineStr">
        <is>
          <t>青蝎卫</t>
        </is>
      </c>
      <c r="C171" s="38" t="inlineStr">
        <is>
          <t>草、雷</t>
        </is>
      </c>
      <c r="D171" s="265" t="inlineStr">
        <is>
          <t>白银</t>
        </is>
      </c>
      <c r="E171" s="38" t="inlineStr">
        <is>
          <t>控制</t>
        </is>
      </c>
      <c r="F171" s="38" t="inlineStr">
        <is>
          <t>两格</t>
        </is>
      </c>
      <c r="G171" s="38" t="inlineStr">
        <is>
          <t>bz_van_170</t>
        </is>
      </c>
      <c r="H171" s="38" t="inlineStr">
        <is>
          <t>elem_水, elem_雷, elem_龙, elem_无, role_召唤, role_输出</t>
        </is>
      </c>
      <c r="I171" s="38" t="n">
        <v>6</v>
      </c>
      <c r="J171" s="456">
        <f>XLOOKUP($D171&amp;"|"&amp;$E171&amp;"|"&amp;$F171,'PET_STAT_RULES'!$A$5:$A$88,'PET_STAT_RULES'!$C$5:$C$88)</f>
        <v/>
      </c>
      <c r="K171" s="456">
        <f>XLOOKUP($D171&amp;"|"&amp;$E171&amp;"|"&amp;$F171,'PET_STAT_RULES'!$A$5:$A$88,'PET_STAT_RULES'!$D$5:$D$88)</f>
        <v/>
      </c>
      <c r="L171" s="456">
        <f>XLOOKUP($D171&amp;"|"&amp;$E171&amp;"|"&amp;$F171,'PET_STAT_RULES'!$A$5:$A$88,'PET_STAT_RULES'!$F$5:$F$88)</f>
        <v/>
      </c>
      <c r="M171" s="456">
        <f>XLOOKUP($D171&amp;"|"&amp;$E171&amp;"|"&amp;$F171,'PET_STAT_RULES'!$A$5:$A$88,'PET_STAT_RULES'!$G$5:$G$88)</f>
        <v/>
      </c>
      <c r="N171" s="38" t="n">
        <v>2</v>
      </c>
      <c r="O171" s="38" t="inlineStr">
        <is>
          <t>mech_counter_damage</t>
        </is>
      </c>
      <c r="P171" s="38" t="inlineStr">
        <is>
          <t>09 形状09</t>
        </is>
      </c>
      <c r="Q171" s="38" t="inlineStr">
        <is>
          <t>Toxic</t>
        </is>
      </c>
      <c r="R171" s="38" t="inlineStr">
        <is>
          <t>skill confirmed；来源=Exposing Toxins；攻击2格；仅保留来源商人/训练师关系。</t>
        </is>
      </c>
      <c r="S171" s="38" t="n">
        <v>4</v>
      </c>
      <c r="T171" s="38" t="n">
        <v>2</v>
      </c>
      <c r="U171" s="442" t="inlineStr">
        <is>
          <t>skill_vanguard,skill_flank,skill_pierce,skill_revolve,skill_chase,skill_break,skill_suppress,skill_finale</t>
        </is>
      </c>
      <c r="V171" s="442" t="inlineStr">
        <is>
          <t>trait_element_affinity</t>
        </is>
      </c>
      <c r="W171" s="457">
        <f>XLOOKUP($D171&amp;"|"&amp;$E171&amp;"|"&amp;$F171,'PET_STAT_RULES'!$A$5:$A$88,'PET_STAT_RULES'!$E$5:$E$88)</f>
        <v/>
      </c>
      <c r="X171" s="385" t="str"/>
      <c r="Y171" s="386" t="inlineStr">
        <is>
          <t>reserved</t>
        </is>
      </c>
      <c r="Z171" s="386" t="str"/>
      <c r="AA171" s="386" t="str"/>
    </row>
    <row r="172">
      <c r="A172" s="38" t="inlineStr">
        <is>
          <t>pal_171</t>
        </is>
      </c>
      <c r="B172" s="38" t="inlineStr">
        <is>
          <t>赤狼童</t>
        </is>
      </c>
      <c r="C172" s="38" t="inlineStr">
        <is>
          <t>火</t>
        </is>
      </c>
      <c r="D172" s="259" t="inlineStr">
        <is>
          <t>青铜</t>
        </is>
      </c>
      <c r="E172" s="38" t="inlineStr">
        <is>
          <t>输出</t>
        </is>
      </c>
      <c r="F172" s="38" t="inlineStr">
        <is>
          <t>两格</t>
        </is>
      </c>
      <c r="G172" s="38" t="inlineStr">
        <is>
          <t>bz_van_171</t>
        </is>
      </c>
      <c r="H172" s="38" t="inlineStr">
        <is>
          <t>elem_水, elem_雷, elem_龙, elem_无, role_治疗</t>
        </is>
      </c>
      <c r="I172" s="38" t="n">
        <v>5</v>
      </c>
      <c r="J172" s="456">
        <f>XLOOKUP($D172&amp;"|"&amp;$E172&amp;"|"&amp;$F172,'PET_STAT_RULES'!$A$5:$A$88,'PET_STAT_RULES'!$C$5:$C$88)</f>
        <v/>
      </c>
      <c r="K172" s="456">
        <f>XLOOKUP($D172&amp;"|"&amp;$E172&amp;"|"&amp;$F172,'PET_STAT_RULES'!$A$5:$A$88,'PET_STAT_RULES'!$D$5:$D$88)</f>
        <v/>
      </c>
      <c r="L172" s="456">
        <f>XLOOKUP($D172&amp;"|"&amp;$E172&amp;"|"&amp;$F172,'PET_STAT_RULES'!$A$5:$A$88,'PET_STAT_RULES'!$F$5:$F$88)</f>
        <v/>
      </c>
      <c r="M172" s="456">
        <f>XLOOKUP($D172&amp;"|"&amp;$E172&amp;"|"&amp;$F172,'PET_STAT_RULES'!$A$5:$A$88,'PET_STAT_RULES'!$G$5:$G$88)</f>
        <v/>
      </c>
      <c r="N172" s="38" t="n">
        <v>1</v>
      </c>
      <c r="O172" s="38" t="inlineStr">
        <is>
          <t>mech_fire_ignite_bonus</t>
        </is>
      </c>
      <c r="P172" s="38" t="inlineStr">
        <is>
          <t>03 形状03</t>
        </is>
      </c>
      <c r="Q172" s="38" t="inlineStr">
        <is>
          <t>Fiery</t>
        </is>
      </c>
      <c r="R172" s="38" t="inlineStr">
        <is>
          <t>skill confirmed；来源=Fiery；攻击1格；仅保留来源商人/训练师关系。</t>
        </is>
      </c>
      <c r="S172" s="38" t="n">
        <v>3</v>
      </c>
      <c r="T172" s="38" t="n">
        <v>1</v>
      </c>
      <c r="U172" s="442" t="inlineStr">
        <is>
          <t>skill_vanguard,skill_flank,skill_pierce,skill_revolve,skill_chase,skill_break,skill_suppress,skill_finale</t>
        </is>
      </c>
      <c r="V172" s="442" t="inlineStr">
        <is>
          <t>trait_relentless</t>
        </is>
      </c>
      <c r="W172" s="457">
        <f>XLOOKUP($D172&amp;"|"&amp;$E172&amp;"|"&amp;$F172,'PET_STAT_RULES'!$A$5:$A$88,'PET_STAT_RULES'!$E$5:$E$88)</f>
        <v/>
      </c>
      <c r="X172" s="385" t="str"/>
      <c r="Y172" s="386" t="inlineStr">
        <is>
          <t>reserved</t>
        </is>
      </c>
      <c r="Z172" s="386" t="str"/>
      <c r="AA172" s="386" t="str"/>
    </row>
    <row r="173">
      <c r="A173" s="38" t="inlineStr">
        <is>
          <t>pal_172</t>
        </is>
      </c>
      <c r="B173" s="38" t="inlineStr">
        <is>
          <t>森蟒仔</t>
        </is>
      </c>
      <c r="C173" s="38" t="inlineStr">
        <is>
          <t>草</t>
        </is>
      </c>
      <c r="D173" s="259" t="inlineStr">
        <is>
          <t>青铜</t>
        </is>
      </c>
      <c r="E173" s="38" t="inlineStr">
        <is>
          <t>控制</t>
        </is>
      </c>
      <c r="F173" s="38" t="inlineStr">
        <is>
          <t>两格</t>
        </is>
      </c>
      <c r="G173" s="38" t="inlineStr">
        <is>
          <t>bz_van_172</t>
        </is>
      </c>
      <c r="H173" s="38" t="inlineStr">
        <is>
          <t>elem_水, elem_雷, elem_龙, elem_无, role_输出</t>
        </is>
      </c>
      <c r="I173" s="38" t="n">
        <v>5</v>
      </c>
      <c r="J173" s="456">
        <f>XLOOKUP($D173&amp;"|"&amp;$E173&amp;"|"&amp;$F173,'PET_STAT_RULES'!$A$5:$A$88,'PET_STAT_RULES'!$C$5:$C$88)</f>
        <v/>
      </c>
      <c r="K173" s="456">
        <f>XLOOKUP($D173&amp;"|"&amp;$E173&amp;"|"&amp;$F173,'PET_STAT_RULES'!$A$5:$A$88,'PET_STAT_RULES'!$D$5:$D$88)</f>
        <v/>
      </c>
      <c r="L173" s="456">
        <f>XLOOKUP($D173&amp;"|"&amp;$E173&amp;"|"&amp;$F173,'PET_STAT_RULES'!$A$5:$A$88,'PET_STAT_RULES'!$F$5:$F$88)</f>
        <v/>
      </c>
      <c r="M173" s="456">
        <f>XLOOKUP($D173&amp;"|"&amp;$E173&amp;"|"&amp;$F173,'PET_STAT_RULES'!$A$5:$A$88,'PET_STAT_RULES'!$G$5:$G$88)</f>
        <v/>
      </c>
      <c r="N173" s="38" t="n">
        <v>2</v>
      </c>
      <c r="O173" s="38" t="inlineStr">
        <is>
          <t>mech_counter_damage</t>
        </is>
      </c>
      <c r="P173" s="38" t="inlineStr">
        <is>
          <t>12 形状12</t>
        </is>
      </c>
      <c r="Q173" s="38" t="inlineStr">
        <is>
          <t>Toxic</t>
        </is>
      </c>
      <c r="R173" s="38" t="inlineStr">
        <is>
          <t>skill confirmed；来源=Final Dose；攻击2格；仅保留来源商人/训练师关系。</t>
        </is>
      </c>
      <c r="S173" s="38" t="n">
        <v>4</v>
      </c>
      <c r="T173" s="38" t="n">
        <v>1</v>
      </c>
      <c r="U173" s="442" t="inlineStr">
        <is>
          <t>skill_vanguard,skill_flank,skill_pierce,skill_revolve,skill_chase,skill_break,skill_suppress,skill_finale</t>
        </is>
      </c>
      <c r="V173" s="442" t="inlineStr">
        <is>
          <t>trait_element_affinity</t>
        </is>
      </c>
      <c r="W173" s="457">
        <f>XLOOKUP($D173&amp;"|"&amp;$E173&amp;"|"&amp;$F173,'PET_STAT_RULES'!$A$5:$A$88,'PET_STAT_RULES'!$E$5:$E$88)</f>
        <v/>
      </c>
      <c r="X173" s="385" t="str"/>
      <c r="Y173" s="386" t="inlineStr">
        <is>
          <t>reserved</t>
        </is>
      </c>
      <c r="Z173" s="386" t="str"/>
      <c r="AA173" s="386" t="str"/>
    </row>
    <row r="174">
      <c r="A174" s="38" t="inlineStr">
        <is>
          <t>pal_173</t>
        </is>
      </c>
      <c r="B174" s="38" t="inlineStr">
        <is>
          <t>燎鹰兽</t>
        </is>
      </c>
      <c r="C174" s="38" t="inlineStr">
        <is>
          <t>火</t>
        </is>
      </c>
      <c r="D174" s="259" t="inlineStr">
        <is>
          <t>青铜</t>
        </is>
      </c>
      <c r="E174" s="38" t="inlineStr">
        <is>
          <t>输出</t>
        </is>
      </c>
      <c r="F174" s="38" t="inlineStr">
        <is>
          <t>两格</t>
        </is>
      </c>
      <c r="G174" s="38" t="inlineStr">
        <is>
          <t>bz_van_173</t>
        </is>
      </c>
      <c r="H174" s="38" t="inlineStr">
        <is>
          <t>elem_水, elem_雷, elem_龙, elem_无, role_治疗</t>
        </is>
      </c>
      <c r="I174" s="38" t="n">
        <v>5</v>
      </c>
      <c r="J174" s="456">
        <f>XLOOKUP($D174&amp;"|"&amp;$E174&amp;"|"&amp;$F174,'PET_STAT_RULES'!$A$5:$A$88,'PET_STAT_RULES'!$C$5:$C$88)</f>
        <v/>
      </c>
      <c r="K174" s="456">
        <f>XLOOKUP($D174&amp;"|"&amp;$E174&amp;"|"&amp;$F174,'PET_STAT_RULES'!$A$5:$A$88,'PET_STAT_RULES'!$D$5:$D$88)</f>
        <v/>
      </c>
      <c r="L174" s="456">
        <f>XLOOKUP($D174&amp;"|"&amp;$E174&amp;"|"&amp;$F174,'PET_STAT_RULES'!$A$5:$A$88,'PET_STAT_RULES'!$F$5:$F$88)</f>
        <v/>
      </c>
      <c r="M174" s="456">
        <f>XLOOKUP($D174&amp;"|"&amp;$E174&amp;"|"&amp;$F174,'PET_STAT_RULES'!$A$5:$A$88,'PET_STAT_RULES'!$G$5:$G$88)</f>
        <v/>
      </c>
      <c r="N174" s="38" t="n">
        <v>1</v>
      </c>
      <c r="O174" s="38" t="inlineStr">
        <is>
          <t>mech_fire_ignite_bonus</t>
        </is>
      </c>
      <c r="P174" s="38" t="inlineStr">
        <is>
          <t>02 形状02</t>
        </is>
      </c>
      <c r="Q174" s="38" t="inlineStr">
        <is>
          <t>Fiery</t>
        </is>
      </c>
      <c r="R174" s="38" t="inlineStr">
        <is>
          <t>skill confirmed；来源=Final Flame；攻击1格；仅保留来源商人/训练师关系。</t>
        </is>
      </c>
      <c r="S174" s="38" t="n">
        <v>3</v>
      </c>
      <c r="T174" s="38" t="n">
        <v>1</v>
      </c>
      <c r="U174" s="442" t="inlineStr">
        <is>
          <t>skill_vanguard,skill_flank,skill_pierce,skill_revolve,skill_chase,skill_break,skill_suppress,skill_finale</t>
        </is>
      </c>
      <c r="V174" s="442" t="inlineStr">
        <is>
          <t>trait_relentless</t>
        </is>
      </c>
      <c r="W174" s="457">
        <f>XLOOKUP($D174&amp;"|"&amp;$E174&amp;"|"&amp;$F174,'PET_STAT_RULES'!$A$5:$A$88,'PET_STAT_RULES'!$E$5:$E$88)</f>
        <v/>
      </c>
      <c r="X174" s="385" t="str"/>
      <c r="Y174" s="386" t="inlineStr">
        <is>
          <t>reserved</t>
        </is>
      </c>
      <c r="Z174" s="386" t="str"/>
      <c r="AA174" s="386" t="str"/>
    </row>
    <row r="175">
      <c r="A175" s="38" t="inlineStr">
        <is>
          <t>pal_174</t>
        </is>
      </c>
      <c r="B175" s="38" t="inlineStr">
        <is>
          <t>焰狼将</t>
        </is>
      </c>
      <c r="C175" s="38" t="inlineStr">
        <is>
          <t>火</t>
        </is>
      </c>
      <c r="D175" s="265" t="inlineStr">
        <is>
          <t>白银</t>
        </is>
      </c>
      <c r="E175" s="38" t="inlineStr">
        <is>
          <t>输出</t>
        </is>
      </c>
      <c r="F175" s="38" t="inlineStr">
        <is>
          <t>两格</t>
        </is>
      </c>
      <c r="G175" s="38" t="inlineStr">
        <is>
          <t>bz_van_174</t>
        </is>
      </c>
      <c r="H175" s="38" t="inlineStr">
        <is>
          <t>elem_水, elem_雷, elem_龙, elem_无, role_治疗</t>
        </is>
      </c>
      <c r="I175" s="38" t="n">
        <v>5</v>
      </c>
      <c r="J175" s="456">
        <f>XLOOKUP($D175&amp;"|"&amp;$E175&amp;"|"&amp;$F175,'PET_STAT_RULES'!$A$5:$A$88,'PET_STAT_RULES'!$C$5:$C$88)</f>
        <v/>
      </c>
      <c r="K175" s="456">
        <f>XLOOKUP($D175&amp;"|"&amp;$E175&amp;"|"&amp;$F175,'PET_STAT_RULES'!$A$5:$A$88,'PET_STAT_RULES'!$D$5:$D$88)</f>
        <v/>
      </c>
      <c r="L175" s="456">
        <f>XLOOKUP($D175&amp;"|"&amp;$E175&amp;"|"&amp;$F175,'PET_STAT_RULES'!$A$5:$A$88,'PET_STAT_RULES'!$F$5:$F$88)</f>
        <v/>
      </c>
      <c r="M175" s="456">
        <f>XLOOKUP($D175&amp;"|"&amp;$E175&amp;"|"&amp;$F175,'PET_STAT_RULES'!$A$5:$A$88,'PET_STAT_RULES'!$G$5:$G$88)</f>
        <v/>
      </c>
      <c r="N175" s="38" t="n">
        <v>2</v>
      </c>
      <c r="O175" s="38" t="inlineStr">
        <is>
          <t>mech_fire_ignite_bonus</t>
        </is>
      </c>
      <c r="P175" s="38" t="inlineStr">
        <is>
          <t>09 形状09</t>
        </is>
      </c>
      <c r="Q175" s="38" t="inlineStr">
        <is>
          <t>Fiery</t>
        </is>
      </c>
      <c r="R175" s="38" t="inlineStr">
        <is>
          <t>skill confirmed；来源=First Flames；攻击2格；仅保留来源商人/训练师关系。</t>
        </is>
      </c>
      <c r="S175" s="38" t="n">
        <v>3</v>
      </c>
      <c r="T175" s="38" t="n">
        <v>2</v>
      </c>
      <c r="U175" s="442" t="inlineStr">
        <is>
          <t>skill_vanguard,skill_flank,skill_pierce,skill_revolve,skill_chase,skill_break,skill_suppress,skill_finale</t>
        </is>
      </c>
      <c r="V175" s="442" t="inlineStr">
        <is>
          <t>trait_relentless</t>
        </is>
      </c>
      <c r="W175" s="457">
        <f>XLOOKUP($D175&amp;"|"&amp;$E175&amp;"|"&amp;$F175,'PET_STAT_RULES'!$A$5:$A$88,'PET_STAT_RULES'!$E$5:$E$88)</f>
        <v/>
      </c>
      <c r="X175" s="385" t="str"/>
      <c r="Y175" s="386" t="inlineStr">
        <is>
          <t>reserved</t>
        </is>
      </c>
      <c r="Z175" s="386" t="str"/>
      <c r="AA175" s="386" t="str"/>
    </row>
    <row r="176">
      <c r="A176" s="38" t="inlineStr">
        <is>
          <t>pal_175</t>
        </is>
      </c>
      <c r="B176" s="38" t="inlineStr">
        <is>
          <t>电豹尊</t>
        </is>
      </c>
      <c r="C176" s="38" t="inlineStr">
        <is>
          <t>雷</t>
        </is>
      </c>
      <c r="D176" s="262" t="inlineStr">
        <is>
          <t>黄金</t>
        </is>
      </c>
      <c r="E176" s="38" t="inlineStr">
        <is>
          <t>输出</t>
        </is>
      </c>
      <c r="F176" s="38" t="inlineStr">
        <is>
          <t>两格</t>
        </is>
      </c>
      <c r="G176" s="38" t="inlineStr">
        <is>
          <t>bz_van_175</t>
        </is>
      </c>
      <c r="H176" s="38" t="inlineStr">
        <is>
          <t>elem_水, elem_龙, elem_无, role_召唤</t>
        </is>
      </c>
      <c r="I176" s="38" t="n">
        <v>4</v>
      </c>
      <c r="J176" s="456">
        <f>XLOOKUP($D176&amp;"|"&amp;$E176&amp;"|"&amp;$F176,'PET_STAT_RULES'!$A$5:$A$88,'PET_STAT_RULES'!$C$5:$C$88)</f>
        <v/>
      </c>
      <c r="K176" s="456">
        <f>XLOOKUP($D176&amp;"|"&amp;$E176&amp;"|"&amp;$F176,'PET_STAT_RULES'!$A$5:$A$88,'PET_STAT_RULES'!$D$5:$D$88)</f>
        <v/>
      </c>
      <c r="L176" s="456">
        <f>XLOOKUP($D176&amp;"|"&amp;$E176&amp;"|"&amp;$F176,'PET_STAT_RULES'!$A$5:$A$88,'PET_STAT_RULES'!$F$5:$F$88)</f>
        <v/>
      </c>
      <c r="M176" s="456">
        <f>XLOOKUP($D176&amp;"|"&amp;$E176&amp;"|"&amp;$F176,'PET_STAT_RULES'!$A$5:$A$88,'PET_STAT_RULES'!$G$5:$G$88)</f>
        <v/>
      </c>
      <c r="N176" s="38" t="n">
        <v>3</v>
      </c>
      <c r="O176" s="38" t="inlineStr">
        <is>
          <t>mech_grow_atk_each_round</t>
        </is>
      </c>
      <c r="P176" s="38" t="inlineStr">
        <is>
          <t>14 形状14</t>
        </is>
      </c>
      <c r="Q176" s="38" t="inlineStr">
        <is>
          <t>Deadly</t>
        </is>
      </c>
      <c r="R176" s="38" t="inlineStr">
        <is>
          <t>skill confirmed；来源=First Strike；攻击3格；仅保留来源商人/训练师关系。</t>
        </is>
      </c>
      <c r="S176" s="38" t="n">
        <v>3</v>
      </c>
      <c r="T176" s="38" t="n">
        <v>2</v>
      </c>
      <c r="U176" s="442" t="inlineStr">
        <is>
          <t>skill_vanguard,skill_flank,skill_pierce,skill_revolve,skill_chase,skill_break,skill_suppress,skill_finale</t>
        </is>
      </c>
      <c r="V176" s="442" t="inlineStr">
        <is>
          <t>trait_relentless</t>
        </is>
      </c>
      <c r="W176" s="457">
        <f>XLOOKUP($D176&amp;"|"&amp;$E176&amp;"|"&amp;$F176,'PET_STAT_RULES'!$A$5:$A$88,'PET_STAT_RULES'!$E$5:$E$88)</f>
        <v/>
      </c>
      <c r="X176" s="385" t="str"/>
      <c r="Y176" s="386" t="inlineStr">
        <is>
          <t>reserved</t>
        </is>
      </c>
      <c r="Z176" s="386" t="str"/>
      <c r="AA176" s="386" t="str"/>
    </row>
    <row r="177">
      <c r="A177" s="38" t="inlineStr">
        <is>
          <t>pal_176</t>
        </is>
      </c>
      <c r="B177" s="38" t="inlineStr">
        <is>
          <t>电螳精</t>
        </is>
      </c>
      <c r="C177" s="38" t="inlineStr">
        <is>
          <t>雷</t>
        </is>
      </c>
      <c r="D177" s="265" t="inlineStr">
        <is>
          <t>白银</t>
        </is>
      </c>
      <c r="E177" s="38" t="inlineStr">
        <is>
          <t>输出</t>
        </is>
      </c>
      <c r="F177" s="38" t="inlineStr">
        <is>
          <t>两格</t>
        </is>
      </c>
      <c r="G177" s="38" t="inlineStr">
        <is>
          <t>bz_van_176</t>
        </is>
      </c>
      <c r="H177" s="38" t="inlineStr">
        <is>
          <t>elem_水, elem_雷, elem_龙, elem_无, role_召唤</t>
        </is>
      </c>
      <c r="I177" s="38" t="n">
        <v>5</v>
      </c>
      <c r="J177" s="456">
        <f>XLOOKUP($D177&amp;"|"&amp;$E177&amp;"|"&amp;$F177,'PET_STAT_RULES'!$A$5:$A$88,'PET_STAT_RULES'!$C$5:$C$88)</f>
        <v/>
      </c>
      <c r="K177" s="456">
        <f>XLOOKUP($D177&amp;"|"&amp;$E177&amp;"|"&amp;$F177,'PET_STAT_RULES'!$A$5:$A$88,'PET_STAT_RULES'!$D$5:$D$88)</f>
        <v/>
      </c>
      <c r="L177" s="456">
        <f>XLOOKUP($D177&amp;"|"&amp;$E177&amp;"|"&amp;$F177,'PET_STAT_RULES'!$A$5:$A$88,'PET_STAT_RULES'!$F$5:$F$88)</f>
        <v/>
      </c>
      <c r="M177" s="456">
        <f>XLOOKUP($D177&amp;"|"&amp;$E177&amp;"|"&amp;$F177,'PET_STAT_RULES'!$A$5:$A$88,'PET_STAT_RULES'!$G$5:$G$88)</f>
        <v/>
      </c>
      <c r="N177" s="38" t="n">
        <v>2</v>
      </c>
      <c r="O177" s="38" t="inlineStr">
        <is>
          <t>mech_grow_atk_each_round</t>
        </is>
      </c>
      <c r="P177" s="38" t="inlineStr">
        <is>
          <t>09 形状09</t>
        </is>
      </c>
      <c r="Q177" s="38" t="inlineStr">
        <is>
          <t>Deadly</t>
        </is>
      </c>
      <c r="R177" s="38" t="inlineStr">
        <is>
          <t>skill confirmed；来源=Flanking Criticals；攻击2格；仅保留来源商人/训练师关系。</t>
        </is>
      </c>
      <c r="S177" s="38" t="n">
        <v>3</v>
      </c>
      <c r="T177" s="38" t="n">
        <v>2</v>
      </c>
      <c r="U177" s="442" t="inlineStr">
        <is>
          <t>skill_vanguard,skill_flank,skill_pierce,skill_revolve,skill_chase,skill_break,skill_suppress,skill_finale</t>
        </is>
      </c>
      <c r="V177" s="442" t="inlineStr">
        <is>
          <t>trait_relentless</t>
        </is>
      </c>
      <c r="W177" s="457">
        <f>XLOOKUP($D177&amp;"|"&amp;$E177&amp;"|"&amp;$F177,'PET_STAT_RULES'!$A$5:$A$88,'PET_STAT_RULES'!$E$5:$E$88)</f>
        <v/>
      </c>
      <c r="X177" s="385" t="str"/>
      <c r="Y177" s="386" t="inlineStr">
        <is>
          <t>reserved</t>
        </is>
      </c>
      <c r="Z177" s="386" t="str"/>
      <c r="AA177" s="386" t="str"/>
    </row>
    <row r="178">
      <c r="A178" s="38" t="inlineStr">
        <is>
          <t>pal_177</t>
        </is>
      </c>
      <c r="B178" s="38" t="inlineStr">
        <is>
          <t>霆狼卫</t>
        </is>
      </c>
      <c r="C178" s="38" t="inlineStr">
        <is>
          <t>雷</t>
        </is>
      </c>
      <c r="D178" s="265" t="inlineStr">
        <is>
          <t>白银</t>
        </is>
      </c>
      <c r="E178" s="38" t="inlineStr">
        <is>
          <t>输出</t>
        </is>
      </c>
      <c r="F178" s="38" t="inlineStr">
        <is>
          <t>两格</t>
        </is>
      </c>
      <c r="G178" s="38" t="inlineStr">
        <is>
          <t>bz_van_177</t>
        </is>
      </c>
      <c r="H178" s="38" t="inlineStr">
        <is>
          <t>elem_水, elem_雷, elem_龙, elem_无, role_召唤</t>
        </is>
      </c>
      <c r="I178" s="38" t="n">
        <v>5</v>
      </c>
      <c r="J178" s="456">
        <f>XLOOKUP($D178&amp;"|"&amp;$E178&amp;"|"&amp;$F178,'PET_STAT_RULES'!$A$5:$A$88,'PET_STAT_RULES'!$C$5:$C$88)</f>
        <v/>
      </c>
      <c r="K178" s="456">
        <f>XLOOKUP($D178&amp;"|"&amp;$E178&amp;"|"&amp;$F178,'PET_STAT_RULES'!$A$5:$A$88,'PET_STAT_RULES'!$D$5:$D$88)</f>
        <v/>
      </c>
      <c r="L178" s="456">
        <f>XLOOKUP($D178&amp;"|"&amp;$E178&amp;"|"&amp;$F178,'PET_STAT_RULES'!$A$5:$A$88,'PET_STAT_RULES'!$F$5:$F$88)</f>
        <v/>
      </c>
      <c r="M178" s="456">
        <f>XLOOKUP($D178&amp;"|"&amp;$E178&amp;"|"&amp;$F178,'PET_STAT_RULES'!$A$5:$A$88,'PET_STAT_RULES'!$G$5:$G$88)</f>
        <v/>
      </c>
      <c r="N178" s="38" t="n">
        <v>2</v>
      </c>
      <c r="O178" s="38" t="inlineStr">
        <is>
          <t>mech_grow_atk_each_round</t>
        </is>
      </c>
      <c r="P178" s="38" t="inlineStr">
        <is>
          <t>10 形状10</t>
        </is>
      </c>
      <c r="Q178" s="38" t="inlineStr">
        <is>
          <t>Deadly</t>
        </is>
      </c>
      <c r="R178" s="38" t="inlineStr">
        <is>
          <t>skill confirmed；来源=Flashy Mechanic；攻击2格；仅保留来源商人/训练师关系。</t>
        </is>
      </c>
      <c r="S178" s="38" t="n">
        <v>3</v>
      </c>
      <c r="T178" s="38" t="n">
        <v>2</v>
      </c>
      <c r="U178" s="442" t="inlineStr">
        <is>
          <t>skill_vanguard,skill_flank,skill_pierce,skill_revolve,skill_chase,skill_break,skill_suppress,skill_finale</t>
        </is>
      </c>
      <c r="V178" s="442" t="inlineStr">
        <is>
          <t>trait_relentless</t>
        </is>
      </c>
      <c r="W178" s="457">
        <f>XLOOKUP($D178&amp;"|"&amp;$E178&amp;"|"&amp;$F178,'PET_STAT_RULES'!$A$5:$A$88,'PET_STAT_RULES'!$E$5:$E$88)</f>
        <v/>
      </c>
      <c r="X178" s="385" t="str"/>
      <c r="Y178" s="386" t="inlineStr">
        <is>
          <t>reserved</t>
        </is>
      </c>
      <c r="Z178" s="386" t="str"/>
      <c r="AA178" s="386" t="str"/>
    </row>
    <row r="179">
      <c r="A179" s="38" t="inlineStr">
        <is>
          <t>pal_178</t>
        </is>
      </c>
      <c r="B179" s="38" t="inlineStr">
        <is>
          <t>闪鲲妖</t>
        </is>
      </c>
      <c r="C179" s="38" t="inlineStr">
        <is>
          <t>雷、龙</t>
        </is>
      </c>
      <c r="D179" s="265" t="inlineStr">
        <is>
          <t>白银</t>
        </is>
      </c>
      <c r="E179" s="38" t="inlineStr">
        <is>
          <t>召唤</t>
        </is>
      </c>
      <c r="F179" s="38" t="inlineStr">
        <is>
          <t>两格</t>
        </is>
      </c>
      <c r="G179" s="38" t="inlineStr">
        <is>
          <t>bz_van_178</t>
        </is>
      </c>
      <c r="H179" s="38" t="inlineStr">
        <is>
          <t>elem_水, elem_雷, elem_龙, elem_无, role_召唤</t>
        </is>
      </c>
      <c r="I179" s="38" t="n">
        <v>5</v>
      </c>
      <c r="J179" s="456">
        <f>XLOOKUP($D179&amp;"|"&amp;$E179&amp;"|"&amp;$F179,'PET_STAT_RULES'!$A$5:$A$88,'PET_STAT_RULES'!$C$5:$C$88)</f>
        <v/>
      </c>
      <c r="K179" s="456">
        <f>XLOOKUP($D179&amp;"|"&amp;$E179&amp;"|"&amp;$F179,'PET_STAT_RULES'!$A$5:$A$88,'PET_STAT_RULES'!$D$5:$D$88)</f>
        <v/>
      </c>
      <c r="L179" s="456">
        <f>XLOOKUP($D179&amp;"|"&amp;$E179&amp;"|"&amp;$F179,'PET_STAT_RULES'!$A$5:$A$88,'PET_STAT_RULES'!$F$5:$F$88)</f>
        <v/>
      </c>
      <c r="M179" s="456">
        <f>XLOOKUP($D179&amp;"|"&amp;$E179&amp;"|"&amp;$F179,'PET_STAT_RULES'!$A$5:$A$88,'PET_STAT_RULES'!$G$5:$G$88)</f>
        <v/>
      </c>
      <c r="N179" s="38" t="n">
        <v>2</v>
      </c>
      <c r="O179" s="38" t="inlineStr">
        <is>
          <t>mech_grow_shield_each_round</t>
        </is>
      </c>
      <c r="P179" s="38" t="inlineStr">
        <is>
          <t>08 形状08</t>
        </is>
      </c>
      <c r="Q179" s="38" t="inlineStr">
        <is>
          <t>Deadly</t>
        </is>
      </c>
      <c r="R179" s="38" t="inlineStr">
        <is>
          <t>skill confirmed；来源=Flashy Pilot；攻击2格；仅保留来源商人/训练师关系。</t>
        </is>
      </c>
      <c r="S179" s="38" t="n">
        <v>3</v>
      </c>
      <c r="T179" s="38" t="n">
        <v>2</v>
      </c>
      <c r="U179" s="442" t="inlineStr">
        <is>
          <t>skill_vanguard,skill_flank,skill_pierce,skill_revolve,skill_chase,skill_break,skill_suppress,skill_finale</t>
        </is>
      </c>
      <c r="V179" s="442" t="inlineStr">
        <is>
          <t>trait_combo_resonance</t>
        </is>
      </c>
      <c r="W179" s="457">
        <f>XLOOKUP($D179&amp;"|"&amp;$E179&amp;"|"&amp;$F179,'PET_STAT_RULES'!$A$5:$A$88,'PET_STAT_RULES'!$E$5:$E$88)</f>
        <v/>
      </c>
      <c r="X179" s="385" t="str"/>
      <c r="Y179" s="386" t="inlineStr">
        <is>
          <t>reserved</t>
        </is>
      </c>
      <c r="Z179" s="386" t="str"/>
      <c r="AA179" s="386" t="str"/>
    </row>
    <row r="180">
      <c r="A180" s="38" t="inlineStr">
        <is>
          <t>pal_179</t>
        </is>
      </c>
      <c r="B180" s="38" t="inlineStr">
        <is>
          <t>震鹰王</t>
        </is>
      </c>
      <c r="C180" s="38" t="inlineStr">
        <is>
          <t>雷</t>
        </is>
      </c>
      <c r="D180" s="262" t="inlineStr">
        <is>
          <t>黄金</t>
        </is>
      </c>
      <c r="E180" s="38" t="inlineStr">
        <is>
          <t>输出</t>
        </is>
      </c>
      <c r="F180" s="38" t="inlineStr">
        <is>
          <t>两格</t>
        </is>
      </c>
      <c r="G180" s="38" t="inlineStr">
        <is>
          <t>bz_van_179</t>
        </is>
      </c>
      <c r="H180" s="38" t="inlineStr">
        <is>
          <t>elem_水, elem_龙, elem_无, role_召唤, tier_pT1</t>
        </is>
      </c>
      <c r="I180" s="38" t="n">
        <v>5</v>
      </c>
      <c r="J180" s="456">
        <f>XLOOKUP($D180&amp;"|"&amp;$E180&amp;"|"&amp;$F180,'PET_STAT_RULES'!$A$5:$A$88,'PET_STAT_RULES'!$C$5:$C$88)</f>
        <v/>
      </c>
      <c r="K180" s="456">
        <f>XLOOKUP($D180&amp;"|"&amp;$E180&amp;"|"&amp;$F180,'PET_STAT_RULES'!$A$5:$A$88,'PET_STAT_RULES'!$D$5:$D$88)</f>
        <v/>
      </c>
      <c r="L180" s="456">
        <f>XLOOKUP($D180&amp;"|"&amp;$E180&amp;"|"&amp;$F180,'PET_STAT_RULES'!$A$5:$A$88,'PET_STAT_RULES'!$F$5:$F$88)</f>
        <v/>
      </c>
      <c r="M180" s="456">
        <f>XLOOKUP($D180&amp;"|"&amp;$E180&amp;"|"&amp;$F180,'PET_STAT_RULES'!$A$5:$A$88,'PET_STAT_RULES'!$G$5:$G$88)</f>
        <v/>
      </c>
      <c r="N180" s="38" t="n">
        <v>3</v>
      </c>
      <c r="O180" s="38" t="inlineStr">
        <is>
          <t>mech_grow_atk_each_round</t>
        </is>
      </c>
      <c r="P180" s="38" t="inlineStr">
        <is>
          <t>13 形状13</t>
        </is>
      </c>
      <c r="Q180" s="38" t="inlineStr">
        <is>
          <t>Deadly</t>
        </is>
      </c>
      <c r="R180" s="38" t="inlineStr">
        <is>
          <t>skill confirmed；来源=Flashy Reload；攻击3格；仅保留来源商人/训练师关系。</t>
        </is>
      </c>
      <c r="S180" s="38" t="n">
        <v>3</v>
      </c>
      <c r="T180" s="38" t="n">
        <v>2</v>
      </c>
      <c r="U180" s="442" t="inlineStr">
        <is>
          <t>skill_vanguard,skill_flank,skill_pierce,skill_revolve,skill_chase,skill_break,skill_suppress,skill_finale</t>
        </is>
      </c>
      <c r="V180" s="442" t="inlineStr">
        <is>
          <t>trait_relentless</t>
        </is>
      </c>
      <c r="W180" s="457">
        <f>XLOOKUP($D180&amp;"|"&amp;$E180&amp;"|"&amp;$F180,'PET_STAT_RULES'!$A$5:$A$88,'PET_STAT_RULES'!$E$5:$E$88)</f>
        <v/>
      </c>
      <c r="X180" s="385" t="str"/>
      <c r="Y180" s="386" t="inlineStr">
        <is>
          <t>reserved</t>
        </is>
      </c>
      <c r="Z180" s="386" t="str"/>
      <c r="AA180" s="386" t="str"/>
    </row>
    <row r="181">
      <c r="A181" s="38" t="inlineStr">
        <is>
          <t>pal_180</t>
        </is>
      </c>
      <c r="B181" s="38" t="inlineStr">
        <is>
          <t>鸣马王</t>
        </is>
      </c>
      <c r="C181" s="38" t="inlineStr">
        <is>
          <t>雷</t>
        </is>
      </c>
      <c r="D181" s="262" t="inlineStr">
        <is>
          <t>黄金</t>
        </is>
      </c>
      <c r="E181" s="38" t="inlineStr">
        <is>
          <t>机动</t>
        </is>
      </c>
      <c r="F181" s="38" t="inlineStr">
        <is>
          <t>两格</t>
        </is>
      </c>
      <c r="G181" s="38" t="inlineStr">
        <is>
          <t>bz_van_180</t>
        </is>
      </c>
      <c r="H181" s="38" t="inlineStr">
        <is>
          <t>elem_水, elem_地, elem_龙, elem_无, role_坦克, special_merchant</t>
        </is>
      </c>
      <c r="I181" s="38" t="n">
        <v>6</v>
      </c>
      <c r="J181" s="456">
        <f>XLOOKUP($D181&amp;"|"&amp;$E181&amp;"|"&amp;$F181,'PET_STAT_RULES'!$A$5:$A$88,'PET_STAT_RULES'!$C$5:$C$88)</f>
        <v/>
      </c>
      <c r="K181" s="456">
        <f>XLOOKUP($D181&amp;"|"&amp;$E181&amp;"|"&amp;$F181,'PET_STAT_RULES'!$A$5:$A$88,'PET_STAT_RULES'!$D$5:$D$88)</f>
        <v/>
      </c>
      <c r="L181" s="456">
        <f>XLOOKUP($D181&amp;"|"&amp;$E181&amp;"|"&amp;$F181,'PET_STAT_RULES'!$A$5:$A$88,'PET_STAT_RULES'!$F$5:$F$88)</f>
        <v/>
      </c>
      <c r="M181" s="456">
        <f>XLOOKUP($D181&amp;"|"&amp;$E181&amp;"|"&amp;$F181,'PET_STAT_RULES'!$A$5:$A$88,'PET_STAT_RULES'!$G$5:$G$88)</f>
        <v/>
      </c>
      <c r="N181" s="38" t="n">
        <v>2</v>
      </c>
      <c r="O181" s="38" t="inlineStr">
        <is>
          <t>none</t>
        </is>
      </c>
      <c r="P181" s="38" t="inlineStr">
        <is>
          <t>10 形状10</t>
        </is>
      </c>
      <c r="Q181" s="38" t="inlineStr">
        <is>
          <t>Turbo</t>
        </is>
      </c>
      <c r="R181" s="38" t="inlineStr">
        <is>
          <t>skill confirmed；来源=Flurry of Blows；攻击2格；仅保留来源商人/训练师关系。</t>
        </is>
      </c>
      <c r="S181" s="38" t="n">
        <v>5</v>
      </c>
      <c r="T181" s="38" t="n">
        <v>2</v>
      </c>
      <c r="U181" s="442" t="inlineStr">
        <is>
          <t>skill_vanguard,skill_flank,skill_pierce,skill_revolve,skill_chase,skill_break,skill_suppress,skill_finale</t>
        </is>
      </c>
      <c r="V181" s="442" t="inlineStr">
        <is>
          <t>trait_relentless</t>
        </is>
      </c>
      <c r="W181" s="457">
        <f>XLOOKUP($D181&amp;"|"&amp;$E181&amp;"|"&amp;$F181,'PET_STAT_RULES'!$A$5:$A$88,'PET_STAT_RULES'!$E$5:$E$88)</f>
        <v/>
      </c>
      <c r="X181" s="385" t="str"/>
      <c r="Y181" s="386" t="inlineStr">
        <is>
          <t>reserved</t>
        </is>
      </c>
      <c r="Z181" s="386" t="str"/>
      <c r="AA181" s="386" t="str"/>
    </row>
    <row r="182">
      <c r="A182" s="38" t="inlineStr">
        <is>
          <t>pal_181</t>
        </is>
      </c>
      <c r="B182" s="38" t="inlineStr">
        <is>
          <t>碧兔神</t>
        </is>
      </c>
      <c r="C182" s="38" t="inlineStr">
        <is>
          <t>水、雷</t>
        </is>
      </c>
      <c r="D182" s="268" t="inlineStr">
        <is>
          <t>钻石</t>
        </is>
      </c>
      <c r="E182" s="38" t="inlineStr">
        <is>
          <t>治疗</t>
        </is>
      </c>
      <c r="F182" s="38" t="inlineStr">
        <is>
          <t>两格</t>
        </is>
      </c>
      <c r="G182" s="38" t="inlineStr">
        <is>
          <t>bz_van_181</t>
        </is>
      </c>
      <c r="H182" s="38" t="inlineStr">
        <is>
          <t>elem_水, elem_地, elem_龙, role_召唤</t>
        </is>
      </c>
      <c r="I182" s="38" t="n">
        <v>4</v>
      </c>
      <c r="J182" s="456">
        <f>XLOOKUP($D182&amp;"|"&amp;$E182&amp;"|"&amp;$F182,'PET_STAT_RULES'!$A$5:$A$88,'PET_STAT_RULES'!$C$5:$C$88)</f>
        <v/>
      </c>
      <c r="K182" s="456">
        <f>XLOOKUP($D182&amp;"|"&amp;$E182&amp;"|"&amp;$F182,'PET_STAT_RULES'!$A$5:$A$88,'PET_STAT_RULES'!$D$5:$D$88)</f>
        <v/>
      </c>
      <c r="L182" s="456">
        <f>XLOOKUP($D182&amp;"|"&amp;$E182&amp;"|"&amp;$F182,'PET_STAT_RULES'!$A$5:$A$88,'PET_STAT_RULES'!$F$5:$F$88)</f>
        <v/>
      </c>
      <c r="M182" s="456">
        <f>XLOOKUP($D182&amp;"|"&amp;$E182&amp;"|"&amp;$F182,'PET_STAT_RULES'!$A$5:$A$88,'PET_STAT_RULES'!$G$5:$G$88)</f>
        <v/>
      </c>
      <c r="N182" s="38" t="n">
        <v>3</v>
      </c>
      <c r="O182" s="38" t="inlineStr">
        <is>
          <t>mech_shield_regen</t>
        </is>
      </c>
      <c r="P182" s="38" t="inlineStr">
        <is>
          <t>18 形状18</t>
        </is>
      </c>
      <c r="Q182" s="38" t="inlineStr">
        <is>
          <t>Restorative</t>
        </is>
      </c>
      <c r="R182" s="38" t="inlineStr">
        <is>
          <t>skill confirmed；来源=Focused Rage；攻击3格；仅保留来源商人/训练师关系。</t>
        </is>
      </c>
      <c r="S182" s="38" t="n">
        <v>3</v>
      </c>
      <c r="T182" s="38" t="n">
        <v>3</v>
      </c>
      <c r="U182" s="442" t="inlineStr">
        <is>
          <t>skill_vanguard,skill_flank,skill_pierce,skill_revolve,skill_chase,skill_break,skill_suppress,skill_finale</t>
        </is>
      </c>
      <c r="V182" s="442" t="inlineStr">
        <is>
          <t>trait_element_affinity</t>
        </is>
      </c>
      <c r="W182" s="457">
        <f>XLOOKUP($D182&amp;"|"&amp;$E182&amp;"|"&amp;$F182,'PET_STAT_RULES'!$A$5:$A$88,'PET_STAT_RULES'!$E$5:$E$88)</f>
        <v/>
      </c>
      <c r="X182" s="385" t="str"/>
      <c r="Y182" s="386" t="inlineStr">
        <is>
          <t>reserved</t>
        </is>
      </c>
      <c r="Z182" s="386" t="str"/>
      <c r="AA182" s="386" t="str"/>
    </row>
    <row r="183">
      <c r="A183" s="38" t="inlineStr">
        <is>
          <t>pal_182</t>
        </is>
      </c>
      <c r="B183" s="38" t="inlineStr">
        <is>
          <t>渊蚁皇</t>
        </is>
      </c>
      <c r="C183" s="38" t="inlineStr">
        <is>
          <t>水、龙</t>
        </is>
      </c>
      <c r="D183" s="268" t="inlineStr">
        <is>
          <t>钻石</t>
        </is>
      </c>
      <c r="E183" s="38" t="inlineStr">
        <is>
          <t>召唤</t>
        </is>
      </c>
      <c r="F183" s="38" t="inlineStr">
        <is>
          <t>两格</t>
        </is>
      </c>
      <c r="G183" s="38" t="inlineStr">
        <is>
          <t>bz_van_182</t>
        </is>
      </c>
      <c r="H183" s="38" t="inlineStr">
        <is>
          <t>elem_水, elem_地, elem_龙</t>
        </is>
      </c>
      <c r="I183" s="38" t="n">
        <v>3</v>
      </c>
      <c r="J183" s="456">
        <f>XLOOKUP($D183&amp;"|"&amp;$E183&amp;"|"&amp;$F183,'PET_STAT_RULES'!$A$5:$A$88,'PET_STAT_RULES'!$C$5:$C$88)</f>
        <v/>
      </c>
      <c r="K183" s="456">
        <f>XLOOKUP($D183&amp;"|"&amp;$E183&amp;"|"&amp;$F183,'PET_STAT_RULES'!$A$5:$A$88,'PET_STAT_RULES'!$D$5:$D$88)</f>
        <v/>
      </c>
      <c r="L183" s="456">
        <f>XLOOKUP($D183&amp;"|"&amp;$E183&amp;"|"&amp;$F183,'PET_STAT_RULES'!$A$5:$A$88,'PET_STAT_RULES'!$F$5:$F$88)</f>
        <v/>
      </c>
      <c r="M183" s="456">
        <f>XLOOKUP($D183&amp;"|"&amp;$E183&amp;"|"&amp;$F183,'PET_STAT_RULES'!$A$5:$A$88,'PET_STAT_RULES'!$G$5:$G$88)</f>
        <v/>
      </c>
      <c r="N183" s="38" t="n">
        <v>2</v>
      </c>
      <c r="O183" s="38" t="inlineStr">
        <is>
          <t>mech_grow_shield_each_round</t>
        </is>
      </c>
      <c r="P183" s="38" t="inlineStr">
        <is>
          <t>10 形状10</t>
        </is>
      </c>
      <c r="Q183" s="38" t="inlineStr">
        <is>
          <t>Radiant</t>
        </is>
      </c>
      <c r="R183" s="38" t="inlineStr">
        <is>
          <t>skill confirmed；来源=Friend of the Sea；攻击2格；仅保留来源商人/训练师关系。</t>
        </is>
      </c>
      <c r="S183" s="38" t="n">
        <v>3</v>
      </c>
      <c r="T183" s="38" t="n">
        <v>3</v>
      </c>
      <c r="U183" s="442" t="inlineStr">
        <is>
          <t>skill_vanguard,skill_flank,skill_pierce,skill_revolve,skill_chase,skill_break,skill_suppress,skill_finale</t>
        </is>
      </c>
      <c r="V183" s="442" t="inlineStr">
        <is>
          <t>trait_combo_resonance</t>
        </is>
      </c>
      <c r="W183" s="457">
        <f>XLOOKUP($D183&amp;"|"&amp;$E183&amp;"|"&amp;$F183,'PET_STAT_RULES'!$A$5:$A$88,'PET_STAT_RULES'!$E$5:$E$88)</f>
        <v/>
      </c>
      <c r="X183" s="385" t="str"/>
      <c r="Y183" s="386" t="inlineStr">
        <is>
          <t>reserved</t>
        </is>
      </c>
      <c r="Z183" s="386" t="str"/>
      <c r="AA183" s="386" t="str"/>
    </row>
    <row r="184">
      <c r="A184" s="38" t="inlineStr">
        <is>
          <t>pal_183</t>
        </is>
      </c>
      <c r="B184" s="38" t="inlineStr">
        <is>
          <t>垒牦灵</t>
        </is>
      </c>
      <c r="C184" s="38" t="inlineStr">
        <is>
          <t>地</t>
        </is>
      </c>
      <c r="D184" s="259" t="inlineStr">
        <is>
          <t>青铜</t>
        </is>
      </c>
      <c r="E184" s="38" t="inlineStr">
        <is>
          <t>坦克</t>
        </is>
      </c>
      <c r="F184" s="38" t="inlineStr">
        <is>
          <t>两格</t>
        </is>
      </c>
      <c r="G184" s="38" t="inlineStr">
        <is>
          <t>bz_van_183</t>
        </is>
      </c>
      <c r="H184" s="38" t="inlineStr">
        <is>
          <t>elem_水, elem_雷, elem_龙, elem_无, role_召唤铺场</t>
        </is>
      </c>
      <c r="I184" s="38" t="n">
        <v>5</v>
      </c>
      <c r="J184" s="456">
        <f>XLOOKUP($D184&amp;"|"&amp;$E184&amp;"|"&amp;$F184,'PET_STAT_RULES'!$A$5:$A$88,'PET_STAT_RULES'!$C$5:$C$88)</f>
        <v/>
      </c>
      <c r="K184" s="456">
        <f>XLOOKUP($D184&amp;"|"&amp;$E184&amp;"|"&amp;$F184,'PET_STAT_RULES'!$A$5:$A$88,'PET_STAT_RULES'!$D$5:$D$88)</f>
        <v/>
      </c>
      <c r="L184" s="456">
        <f>XLOOKUP($D184&amp;"|"&amp;$E184&amp;"|"&amp;$F184,'PET_STAT_RULES'!$A$5:$A$88,'PET_STAT_RULES'!$F$5:$F$88)</f>
        <v/>
      </c>
      <c r="M184" s="456">
        <f>XLOOKUP($D184&amp;"|"&amp;$E184&amp;"|"&amp;$F184,'PET_STAT_RULES'!$A$5:$A$88,'PET_STAT_RULES'!$G$5:$G$88)</f>
        <v/>
      </c>
      <c r="N184" s="38" t="n">
        <v>1</v>
      </c>
      <c r="O184" s="38" t="inlineStr">
        <is>
          <t>mech_shield_regen</t>
        </is>
      </c>
      <c r="P184" s="38" t="inlineStr">
        <is>
          <t>04 形状04</t>
        </is>
      </c>
      <c r="Q184" s="38" t="inlineStr">
        <is>
          <t>Shielded</t>
        </is>
      </c>
      <c r="R184" s="38" t="inlineStr">
        <is>
          <t>skill confirmed；来源=Frontal Shielding；攻击1格；仅保留来源商人/训练师关系。</t>
        </is>
      </c>
      <c r="S184" s="38" t="n">
        <v>3</v>
      </c>
      <c r="T184" s="38" t="n">
        <v>1</v>
      </c>
      <c r="U184" s="442" t="inlineStr">
        <is>
          <t>skill_vanguard,skill_flank,skill_pierce,skill_revolve,skill_chase,skill_break,skill_suppress,skill_finale</t>
        </is>
      </c>
      <c r="V184" s="442" t="inlineStr">
        <is>
          <t>trait_combo_mastery</t>
        </is>
      </c>
      <c r="W184" s="457">
        <f>XLOOKUP($D184&amp;"|"&amp;$E184&amp;"|"&amp;$F184,'PET_STAT_RULES'!$A$5:$A$88,'PET_STAT_RULES'!$E$5:$E$88)</f>
        <v/>
      </c>
      <c r="X184" s="385" t="str"/>
      <c r="Y184" s="386" t="inlineStr">
        <is>
          <t>reserved</t>
        </is>
      </c>
      <c r="Z184" s="386" t="str"/>
      <c r="AA184" s="386" t="str"/>
    </row>
    <row r="185">
      <c r="A185" s="38" t="inlineStr">
        <is>
          <t>pal_184</t>
        </is>
      </c>
      <c r="B185" s="38" t="inlineStr">
        <is>
          <t>雷鹰将</t>
        </is>
      </c>
      <c r="C185" s="38" t="inlineStr">
        <is>
          <t>雷</t>
        </is>
      </c>
      <c r="D185" s="265" t="inlineStr">
        <is>
          <t>白银</t>
        </is>
      </c>
      <c r="E185" s="38" t="inlineStr">
        <is>
          <t>输出</t>
        </is>
      </c>
      <c r="F185" s="38" t="inlineStr">
        <is>
          <t>两格</t>
        </is>
      </c>
      <c r="G185" s="38" t="inlineStr">
        <is>
          <t>bz_van_184</t>
        </is>
      </c>
      <c r="H185" s="38" t="inlineStr">
        <is>
          <t>elem_水, elem_雷, elem_龙, elem_无, role_坦克, tier_pT1</t>
        </is>
      </c>
      <c r="I185" s="38" t="n">
        <v>6</v>
      </c>
      <c r="J185" s="456">
        <f>XLOOKUP($D185&amp;"|"&amp;$E185&amp;"|"&amp;$F185,'PET_STAT_RULES'!$A$5:$A$88,'PET_STAT_RULES'!$C$5:$C$88)</f>
        <v/>
      </c>
      <c r="K185" s="456">
        <f>XLOOKUP($D185&amp;"|"&amp;$E185&amp;"|"&amp;$F185,'PET_STAT_RULES'!$A$5:$A$88,'PET_STAT_RULES'!$D$5:$D$88)</f>
        <v/>
      </c>
      <c r="L185" s="456">
        <f>XLOOKUP($D185&amp;"|"&amp;$E185&amp;"|"&amp;$F185,'PET_STAT_RULES'!$A$5:$A$88,'PET_STAT_RULES'!$F$5:$F$88)</f>
        <v/>
      </c>
      <c r="M185" s="456">
        <f>XLOOKUP($D185&amp;"|"&amp;$E185&amp;"|"&amp;$F185,'PET_STAT_RULES'!$A$5:$A$88,'PET_STAT_RULES'!$G$5:$G$88)</f>
        <v/>
      </c>
      <c r="N185" s="38" t="n">
        <v>2</v>
      </c>
      <c r="O185" s="38" t="inlineStr">
        <is>
          <t>mech_grow_atk_each_round</t>
        </is>
      </c>
      <c r="P185" s="38" t="inlineStr">
        <is>
          <t>05 形状05</t>
        </is>
      </c>
      <c r="Q185" s="38" t="inlineStr">
        <is>
          <t>Deadly</t>
        </is>
      </c>
      <c r="R185" s="38" t="inlineStr">
        <is>
          <t>skill confirmed；来源=Frontline Logistics；攻击2格；仅保留来源商人/训练师关系。</t>
        </is>
      </c>
      <c r="S185" s="38" t="n">
        <v>3</v>
      </c>
      <c r="T185" s="38" t="n">
        <v>2</v>
      </c>
      <c r="U185" s="442" t="inlineStr">
        <is>
          <t>skill_vanguard,skill_flank,skill_pierce,skill_revolve,skill_chase,skill_break,skill_suppress,skill_finale</t>
        </is>
      </c>
      <c r="V185" s="442" t="inlineStr">
        <is>
          <t>trait_relentless</t>
        </is>
      </c>
      <c r="W185" s="457">
        <f>XLOOKUP($D185&amp;"|"&amp;$E185&amp;"|"&amp;$F185,'PET_STAT_RULES'!$A$5:$A$88,'PET_STAT_RULES'!$E$5:$E$88)</f>
        <v/>
      </c>
      <c r="X185" s="385" t="str"/>
      <c r="Y185" s="386" t="inlineStr">
        <is>
          <t>reserved</t>
        </is>
      </c>
      <c r="Z185" s="386" t="str"/>
      <c r="AA185" s="386" t="str"/>
    </row>
    <row r="186">
      <c r="A186" s="38" t="inlineStr">
        <is>
          <t>pal_185</t>
        </is>
      </c>
      <c r="B186" s="38" t="inlineStr">
        <is>
          <t>烬鳗将</t>
        </is>
      </c>
      <c r="C186" s="38" t="inlineStr">
        <is>
          <t>火、冰</t>
        </is>
      </c>
      <c r="D186" s="265" t="inlineStr">
        <is>
          <t>白银</t>
        </is>
      </c>
      <c r="E186" s="38" t="inlineStr">
        <is>
          <t>控制</t>
        </is>
      </c>
      <c r="F186" s="38" t="inlineStr">
        <is>
          <t>两格</t>
        </is>
      </c>
      <c r="G186" s="38" t="inlineStr">
        <is>
          <t>bz_van_185</t>
        </is>
      </c>
      <c r="H186" s="38" t="inlineStr">
        <is>
          <t>elem_水, elem_雷, elem_龙, elem_无, role_控制, role_治疗</t>
        </is>
      </c>
      <c r="I186" s="38" t="n">
        <v>6</v>
      </c>
      <c r="J186" s="456">
        <f>XLOOKUP($D186&amp;"|"&amp;$E186&amp;"|"&amp;$F186,'PET_STAT_RULES'!$A$5:$A$88,'PET_STAT_RULES'!$C$5:$C$88)</f>
        <v/>
      </c>
      <c r="K186" s="456">
        <f>XLOOKUP($D186&amp;"|"&amp;$E186&amp;"|"&amp;$F186,'PET_STAT_RULES'!$A$5:$A$88,'PET_STAT_RULES'!$D$5:$D$88)</f>
        <v/>
      </c>
      <c r="L186" s="456">
        <f>XLOOKUP($D186&amp;"|"&amp;$E186&amp;"|"&amp;$F186,'PET_STAT_RULES'!$A$5:$A$88,'PET_STAT_RULES'!$F$5:$F$88)</f>
        <v/>
      </c>
      <c r="M186" s="456">
        <f>XLOOKUP($D186&amp;"|"&amp;$E186&amp;"|"&amp;$F186,'PET_STAT_RULES'!$A$5:$A$88,'PET_STAT_RULES'!$G$5:$G$88)</f>
        <v/>
      </c>
      <c r="N186" s="38" t="n">
        <v>2</v>
      </c>
      <c r="O186" s="38" t="inlineStr">
        <is>
          <t>mech_fire_ignite_bonus</t>
        </is>
      </c>
      <c r="P186" s="38" t="inlineStr">
        <is>
          <t>06 形状06</t>
        </is>
      </c>
      <c r="Q186" s="38" t="inlineStr">
        <is>
          <t>Fiery</t>
        </is>
      </c>
      <c r="R186" s="38" t="inlineStr">
        <is>
          <t>skill confirmed；来源=Frostfire；攻击2格；仅保留来源商人/训练师关系。</t>
        </is>
      </c>
      <c r="S186" s="38" t="n">
        <v>4</v>
      </c>
      <c r="T186" s="38" t="n">
        <v>2</v>
      </c>
      <c r="U186" s="442" t="inlineStr">
        <is>
          <t>skill_vanguard,skill_flank,skill_pierce,skill_revolve,skill_chase,skill_break,skill_suppress,skill_finale</t>
        </is>
      </c>
      <c r="V186" s="442" t="inlineStr">
        <is>
          <t>trait_element_affinity</t>
        </is>
      </c>
      <c r="W186" s="457">
        <f>XLOOKUP($D186&amp;"|"&amp;$E186&amp;"|"&amp;$F186,'PET_STAT_RULES'!$A$5:$A$88,'PET_STAT_RULES'!$E$5:$E$88)</f>
        <v/>
      </c>
      <c r="X186" s="385" t="str"/>
      <c r="Y186" s="386" t="inlineStr">
        <is>
          <t>reserved</t>
        </is>
      </c>
      <c r="Z186" s="386" t="str"/>
      <c r="AA186" s="386" t="str"/>
    </row>
    <row r="187">
      <c r="A187" s="38" t="inlineStr">
        <is>
          <t>pal_186</t>
        </is>
      </c>
      <c r="B187" s="38" t="inlineStr">
        <is>
          <t>角豹神</t>
        </is>
      </c>
      <c r="C187" s="38" t="inlineStr">
        <is>
          <t>龙</t>
        </is>
      </c>
      <c r="D187" s="268" t="inlineStr">
        <is>
          <t>钻石</t>
        </is>
      </c>
      <c r="E187" s="38" t="inlineStr">
        <is>
          <t>输出</t>
        </is>
      </c>
      <c r="F187" s="38" t="inlineStr">
        <is>
          <t>两格</t>
        </is>
      </c>
      <c r="G187" s="38" t="inlineStr">
        <is>
          <t>bz_van_186</t>
        </is>
      </c>
      <c r="H187" s="38" t="inlineStr">
        <is>
          <t>elem_水, elem_地, elem_龙, role_坦克</t>
        </is>
      </c>
      <c r="I187" s="38" t="n">
        <v>4</v>
      </c>
      <c r="J187" s="456">
        <f>XLOOKUP($D187&amp;"|"&amp;$E187&amp;"|"&amp;$F187,'PET_STAT_RULES'!$A$5:$A$88,'PET_STAT_RULES'!$C$5:$C$88)</f>
        <v/>
      </c>
      <c r="K187" s="456">
        <f>XLOOKUP($D187&amp;"|"&amp;$E187&amp;"|"&amp;$F187,'PET_STAT_RULES'!$A$5:$A$88,'PET_STAT_RULES'!$D$5:$D$88)</f>
        <v/>
      </c>
      <c r="L187" s="456">
        <f>XLOOKUP($D187&amp;"|"&amp;$E187&amp;"|"&amp;$F187,'PET_STAT_RULES'!$A$5:$A$88,'PET_STAT_RULES'!$F$5:$F$88)</f>
        <v/>
      </c>
      <c r="M187" s="456">
        <f>XLOOKUP($D187&amp;"|"&amp;$E187&amp;"|"&amp;$F187,'PET_STAT_RULES'!$A$5:$A$88,'PET_STAT_RULES'!$G$5:$G$88)</f>
        <v/>
      </c>
      <c r="N187" s="38" t="n">
        <v>3</v>
      </c>
      <c r="O187" s="38" t="inlineStr">
        <is>
          <t>mech_grow_atk_each_round</t>
        </is>
      </c>
      <c r="P187" s="38" t="inlineStr">
        <is>
          <t>19 形状19</t>
        </is>
      </c>
      <c r="Q187" s="38" t="inlineStr">
        <is>
          <t>Deadly</t>
        </is>
      </c>
      <c r="R187" s="38" t="inlineStr">
        <is>
          <t>skill confirmed；来源=Glass Cannon；攻击3格；仅保留来源商人/训练师关系。</t>
        </is>
      </c>
      <c r="S187" s="38" t="n">
        <v>3</v>
      </c>
      <c r="T187" s="38" t="n">
        <v>3</v>
      </c>
      <c r="U187" s="442" t="inlineStr">
        <is>
          <t>skill_vanguard,skill_flank,skill_pierce,skill_revolve,skill_chase,skill_break,skill_suppress,skill_finale</t>
        </is>
      </c>
      <c r="V187" s="442" t="inlineStr">
        <is>
          <t>trait_relentless</t>
        </is>
      </c>
      <c r="W187" s="457">
        <f>XLOOKUP($D187&amp;"|"&amp;$E187&amp;"|"&amp;$F187,'PET_STAT_RULES'!$A$5:$A$88,'PET_STAT_RULES'!$E$5:$E$88)</f>
        <v/>
      </c>
      <c r="X187" s="385" t="str"/>
      <c r="Y187" s="386" t="inlineStr">
        <is>
          <t>reserved</t>
        </is>
      </c>
      <c r="Z187" s="386" t="str"/>
      <c r="AA187" s="386" t="str"/>
    </row>
    <row r="188">
      <c r="A188" s="38" t="inlineStr">
        <is>
          <t>pal_187</t>
        </is>
      </c>
      <c r="B188" s="38" t="inlineStr">
        <is>
          <t>雷鹰卫</t>
        </is>
      </c>
      <c r="C188" s="38" t="inlineStr">
        <is>
          <t>雷</t>
        </is>
      </c>
      <c r="D188" s="265" t="inlineStr">
        <is>
          <t>白银</t>
        </is>
      </c>
      <c r="E188" s="38" t="inlineStr">
        <is>
          <t>输出</t>
        </is>
      </c>
      <c r="F188" s="38" t="inlineStr">
        <is>
          <t>两格</t>
        </is>
      </c>
      <c r="G188" s="38" t="inlineStr">
        <is>
          <t>bz_van_187</t>
        </is>
      </c>
      <c r="H188" s="38" t="inlineStr">
        <is>
          <t>elem_水, elem_雷, elem_龙, elem_无, tier_pT1</t>
        </is>
      </c>
      <c r="I188" s="38" t="n">
        <v>5</v>
      </c>
      <c r="J188" s="456">
        <f>XLOOKUP($D188&amp;"|"&amp;$E188&amp;"|"&amp;$F188,'PET_STAT_RULES'!$A$5:$A$88,'PET_STAT_RULES'!$C$5:$C$88)</f>
        <v/>
      </c>
      <c r="K188" s="456">
        <f>XLOOKUP($D188&amp;"|"&amp;$E188&amp;"|"&amp;$F188,'PET_STAT_RULES'!$A$5:$A$88,'PET_STAT_RULES'!$D$5:$D$88)</f>
        <v/>
      </c>
      <c r="L188" s="456">
        <f>XLOOKUP($D188&amp;"|"&amp;$E188&amp;"|"&amp;$F188,'PET_STAT_RULES'!$A$5:$A$88,'PET_STAT_RULES'!$F$5:$F$88)</f>
        <v/>
      </c>
      <c r="M188" s="456">
        <f>XLOOKUP($D188&amp;"|"&amp;$E188&amp;"|"&amp;$F188,'PET_STAT_RULES'!$A$5:$A$88,'PET_STAT_RULES'!$G$5:$G$88)</f>
        <v/>
      </c>
      <c r="N188" s="38" t="n">
        <v>2</v>
      </c>
      <c r="O188" s="38" t="inlineStr">
        <is>
          <t>mech_grow_atk_each_round</t>
        </is>
      </c>
      <c r="P188" s="38" t="inlineStr">
        <is>
          <t>07 形状07</t>
        </is>
      </c>
      <c r="Q188" s="38" t="inlineStr">
        <is>
          <t>Deadly</t>
        </is>
      </c>
      <c r="R188" s="38" t="inlineStr">
        <is>
          <t>skill confirmed；来源=Gunner；攻击2格；仅保留来源商人/训练师关系。</t>
        </is>
      </c>
      <c r="S188" s="38" t="n">
        <v>3</v>
      </c>
      <c r="T188" s="38" t="n">
        <v>2</v>
      </c>
      <c r="U188" s="442" t="inlineStr">
        <is>
          <t>skill_vanguard,skill_flank,skill_pierce,skill_revolve,skill_chase,skill_break,skill_suppress,skill_finale</t>
        </is>
      </c>
      <c r="V188" s="442" t="inlineStr">
        <is>
          <t>trait_relentless</t>
        </is>
      </c>
      <c r="W188" s="457">
        <f>XLOOKUP($D188&amp;"|"&amp;$E188&amp;"|"&amp;$F188,'PET_STAT_RULES'!$A$5:$A$88,'PET_STAT_RULES'!$E$5:$E$88)</f>
        <v/>
      </c>
      <c r="X188" s="385" t="str"/>
      <c r="Y188" s="386" t="inlineStr">
        <is>
          <t>reserved</t>
        </is>
      </c>
      <c r="Z188" s="386" t="str"/>
      <c r="AA188" s="386" t="str"/>
    </row>
    <row r="189">
      <c r="A189" s="38" t="inlineStr">
        <is>
          <t>pal_188</t>
        </is>
      </c>
      <c r="B189" s="38" t="inlineStr">
        <is>
          <t>岩獒精</t>
        </is>
      </c>
      <c r="C189" s="38" t="inlineStr">
        <is>
          <t>地</t>
        </is>
      </c>
      <c r="D189" s="265" t="inlineStr">
        <is>
          <t>白银</t>
        </is>
      </c>
      <c r="E189" s="38" t="inlineStr">
        <is>
          <t>坦克</t>
        </is>
      </c>
      <c r="F189" s="38" t="inlineStr">
        <is>
          <t>两格</t>
        </is>
      </c>
      <c r="G189" s="38" t="inlineStr">
        <is>
          <t>bz_van_188</t>
        </is>
      </c>
      <c r="H189" s="38" t="inlineStr">
        <is>
          <t>elem_水, elem_雷, elem_龙, elem_无, role_召唤铺场</t>
        </is>
      </c>
      <c r="I189" s="38" t="n">
        <v>5</v>
      </c>
      <c r="J189" s="456">
        <f>XLOOKUP($D189&amp;"|"&amp;$E189&amp;"|"&amp;$F189,'PET_STAT_RULES'!$A$5:$A$88,'PET_STAT_RULES'!$C$5:$C$88)</f>
        <v/>
      </c>
      <c r="K189" s="456">
        <f>XLOOKUP($D189&amp;"|"&amp;$E189&amp;"|"&amp;$F189,'PET_STAT_RULES'!$A$5:$A$88,'PET_STAT_RULES'!$D$5:$D$88)</f>
        <v/>
      </c>
      <c r="L189" s="456">
        <f>XLOOKUP($D189&amp;"|"&amp;$E189&amp;"|"&amp;$F189,'PET_STAT_RULES'!$A$5:$A$88,'PET_STAT_RULES'!$F$5:$F$88)</f>
        <v/>
      </c>
      <c r="M189" s="456">
        <f>XLOOKUP($D189&amp;"|"&amp;$E189&amp;"|"&amp;$F189,'PET_STAT_RULES'!$A$5:$A$88,'PET_STAT_RULES'!$G$5:$G$88)</f>
        <v/>
      </c>
      <c r="N189" s="38" t="n">
        <v>2</v>
      </c>
      <c r="O189" s="38" t="inlineStr">
        <is>
          <t>mech_shield_flat</t>
        </is>
      </c>
      <c r="P189" s="38" t="inlineStr">
        <is>
          <t>09 形状09</t>
        </is>
      </c>
      <c r="Q189" s="38" t="inlineStr">
        <is>
          <t>Shielded</t>
        </is>
      </c>
      <c r="R189" s="38" t="inlineStr">
        <is>
          <t>skill confirmed；来源=Hardened Shield；攻击2格；仅保留来源商人/训练师关系。</t>
        </is>
      </c>
      <c r="S189" s="38" t="n">
        <v>3</v>
      </c>
      <c r="T189" s="38" t="n">
        <v>2</v>
      </c>
      <c r="U189" s="442" t="inlineStr">
        <is>
          <t>skill_vanguard,skill_flank,skill_pierce,skill_revolve,skill_chase,skill_break,skill_suppress,skill_finale</t>
        </is>
      </c>
      <c r="V189" s="442" t="inlineStr">
        <is>
          <t>trait_combo_mastery</t>
        </is>
      </c>
      <c r="W189" s="457">
        <f>XLOOKUP($D189&amp;"|"&amp;$E189&amp;"|"&amp;$F189,'PET_STAT_RULES'!$A$5:$A$88,'PET_STAT_RULES'!$E$5:$E$88)</f>
        <v/>
      </c>
      <c r="X189" s="385" t="str"/>
      <c r="Y189" s="386" t="inlineStr">
        <is>
          <t>reserved</t>
        </is>
      </c>
      <c r="Z189" s="386" t="str"/>
      <c r="AA189" s="386" t="str"/>
    </row>
    <row r="190">
      <c r="A190" s="38" t="inlineStr">
        <is>
          <t>pal_189</t>
        </is>
      </c>
      <c r="B190" s="38" t="inlineStr">
        <is>
          <t>烬鹿祖</t>
        </is>
      </c>
      <c r="C190" s="38" t="inlineStr">
        <is>
          <t>火、草</t>
        </is>
      </c>
      <c r="D190" s="268" t="inlineStr">
        <is>
          <t>钻石</t>
        </is>
      </c>
      <c r="E190" s="38" t="inlineStr">
        <is>
          <t>治疗</t>
        </is>
      </c>
      <c r="F190" s="38" t="inlineStr">
        <is>
          <t>两格</t>
        </is>
      </c>
      <c r="G190" s="38" t="inlineStr">
        <is>
          <t>bz_van_189</t>
        </is>
      </c>
      <c r="H190" s="38" t="inlineStr">
        <is>
          <t>elem_水, elem_龙, tier_pT2</t>
        </is>
      </c>
      <c r="I190" s="38" t="n">
        <v>3</v>
      </c>
      <c r="J190" s="456">
        <f>XLOOKUP($D190&amp;"|"&amp;$E190&amp;"|"&amp;$F190,'PET_STAT_RULES'!$A$5:$A$88,'PET_STAT_RULES'!$C$5:$C$88)</f>
        <v/>
      </c>
      <c r="K190" s="456">
        <f>XLOOKUP($D190&amp;"|"&amp;$E190&amp;"|"&amp;$F190,'PET_STAT_RULES'!$A$5:$A$88,'PET_STAT_RULES'!$D$5:$D$88)</f>
        <v/>
      </c>
      <c r="L190" s="456">
        <f>XLOOKUP($D190&amp;"|"&amp;$E190&amp;"|"&amp;$F190,'PET_STAT_RULES'!$A$5:$A$88,'PET_STAT_RULES'!$F$5:$F$88)</f>
        <v/>
      </c>
      <c r="M190" s="456">
        <f>XLOOKUP($D190&amp;"|"&amp;$E190&amp;"|"&amp;$F190,'PET_STAT_RULES'!$A$5:$A$88,'PET_STAT_RULES'!$G$5:$G$88)</f>
        <v/>
      </c>
      <c r="N190" s="38" t="n">
        <v>3</v>
      </c>
      <c r="O190" s="38" t="inlineStr">
        <is>
          <t>mech_fire_ignite_bonus</t>
        </is>
      </c>
      <c r="P190" s="38" t="inlineStr">
        <is>
          <t>16 形状16</t>
        </is>
      </c>
      <c r="Q190" s="38" t="inlineStr">
        <is>
          <t>Fiery</t>
        </is>
      </c>
      <c r="R190" s="38" t="inlineStr">
        <is>
          <t>skill confirmed；来源=Healthy Heart；攻击3格；仅保留来源商人/训练师关系。</t>
        </is>
      </c>
      <c r="S190" s="38" t="n">
        <v>3</v>
      </c>
      <c r="T190" s="38" t="n">
        <v>3</v>
      </c>
      <c r="U190" s="442" t="inlineStr">
        <is>
          <t>skill_vanguard,skill_flank,skill_pierce,skill_revolve,skill_chase,skill_break,skill_suppress,skill_finale</t>
        </is>
      </c>
      <c r="V190" s="442" t="inlineStr">
        <is>
          <t>trait_element_affinity</t>
        </is>
      </c>
      <c r="W190" s="457">
        <f>XLOOKUP($D190&amp;"|"&amp;$E190&amp;"|"&amp;$F190,'PET_STAT_RULES'!$A$5:$A$88,'PET_STAT_RULES'!$E$5:$E$88)</f>
        <v/>
      </c>
      <c r="X190" s="385" t="str"/>
      <c r="Y190" s="386" t="inlineStr">
        <is>
          <t>reserved</t>
        </is>
      </c>
      <c r="Z190" s="386" t="str"/>
      <c r="AA190" s="386" t="str"/>
    </row>
    <row r="191">
      <c r="A191" s="38" t="inlineStr">
        <is>
          <t>pal_190</t>
        </is>
      </c>
      <c r="B191" s="38" t="inlineStr">
        <is>
          <t>潮鹤精</t>
        </is>
      </c>
      <c r="C191" s="38" t="inlineStr">
        <is>
          <t>水、地</t>
        </is>
      </c>
      <c r="D191" s="265" t="inlineStr">
        <is>
          <t>白银</t>
        </is>
      </c>
      <c r="E191" s="38" t="inlineStr">
        <is>
          <t>治疗</t>
        </is>
      </c>
      <c r="F191" s="38" t="inlineStr">
        <is>
          <t>两格</t>
        </is>
      </c>
      <c r="G191" s="38" t="inlineStr">
        <is>
          <t>bz_van_190</t>
        </is>
      </c>
      <c r="H191" s="38" t="inlineStr">
        <is>
          <t>elem_水, elem_雷, elem_龙, elem_无, special_merchant, tier_pT2</t>
        </is>
      </c>
      <c r="I191" s="38" t="n">
        <v>6</v>
      </c>
      <c r="J191" s="456">
        <f>XLOOKUP($D191&amp;"|"&amp;$E191&amp;"|"&amp;$F191,'PET_STAT_RULES'!$A$5:$A$88,'PET_STAT_RULES'!$C$5:$C$88)</f>
        <v/>
      </c>
      <c r="K191" s="456">
        <f>XLOOKUP($D191&amp;"|"&amp;$E191&amp;"|"&amp;$F191,'PET_STAT_RULES'!$A$5:$A$88,'PET_STAT_RULES'!$D$5:$D$88)</f>
        <v/>
      </c>
      <c r="L191" s="456">
        <f>XLOOKUP($D191&amp;"|"&amp;$E191&amp;"|"&amp;$F191,'PET_STAT_RULES'!$A$5:$A$88,'PET_STAT_RULES'!$F$5:$F$88)</f>
        <v/>
      </c>
      <c r="M191" s="456">
        <f>XLOOKUP($D191&amp;"|"&amp;$E191&amp;"|"&amp;$F191,'PET_STAT_RULES'!$A$5:$A$88,'PET_STAT_RULES'!$G$5:$G$88)</f>
        <v/>
      </c>
      <c r="N191" s="38" t="n">
        <v>2</v>
      </c>
      <c r="O191" s="38" t="inlineStr">
        <is>
          <t>mech_shield_regen</t>
        </is>
      </c>
      <c r="P191" s="38" t="inlineStr">
        <is>
          <t>11 形状11</t>
        </is>
      </c>
      <c r="Q191" s="38" t="inlineStr">
        <is>
          <t>Turbo</t>
        </is>
      </c>
      <c r="R191" s="38" t="inlineStr">
        <is>
          <t>skill confirmed；来源=Healthy Jolt；攻击2格；仅保留来源商人/训练师关系。</t>
        </is>
      </c>
      <c r="S191" s="38" t="n">
        <v>3</v>
      </c>
      <c r="T191" s="38" t="n">
        <v>2</v>
      </c>
      <c r="U191" s="442" t="inlineStr">
        <is>
          <t>skill_vanguard,skill_flank,skill_pierce,skill_revolve,skill_chase,skill_break,skill_suppress,skill_finale</t>
        </is>
      </c>
      <c r="V191" s="442" t="inlineStr">
        <is>
          <t>trait_element_affinity</t>
        </is>
      </c>
      <c r="W191" s="457">
        <f>XLOOKUP($D191&amp;"|"&amp;$E191&amp;"|"&amp;$F191,'PET_STAT_RULES'!$A$5:$A$88,'PET_STAT_RULES'!$E$5:$E$88)</f>
        <v/>
      </c>
      <c r="X191" s="385" t="str"/>
      <c r="Y191" s="386" t="inlineStr">
        <is>
          <t>reserved</t>
        </is>
      </c>
      <c r="Z191" s="386" t="str"/>
      <c r="AA191" s="386" t="str"/>
    </row>
    <row r="192">
      <c r="A192" s="38" t="inlineStr">
        <is>
          <t>pal_191</t>
        </is>
      </c>
      <c r="B192" s="38" t="inlineStr">
        <is>
          <t>焰豹将</t>
        </is>
      </c>
      <c r="C192" s="38" t="inlineStr">
        <is>
          <t>火、雷</t>
        </is>
      </c>
      <c r="D192" s="265" t="inlineStr">
        <is>
          <t>白银</t>
        </is>
      </c>
      <c r="E192" s="38" t="inlineStr">
        <is>
          <t>输出</t>
        </is>
      </c>
      <c r="F192" s="38" t="inlineStr">
        <is>
          <t>两格</t>
        </is>
      </c>
      <c r="G192" s="38" t="inlineStr">
        <is>
          <t>bz_van_191</t>
        </is>
      </c>
      <c r="H192" s="38" t="inlineStr">
        <is>
          <t>elem_水, elem_雷, elem_龙, elem_无, role_治疗, tier_pT1</t>
        </is>
      </c>
      <c r="I192" s="38" t="n">
        <v>6</v>
      </c>
      <c r="J192" s="456">
        <f>XLOOKUP($D192&amp;"|"&amp;$E192&amp;"|"&amp;$F192,'PET_STAT_RULES'!$A$5:$A$88,'PET_STAT_RULES'!$C$5:$C$88)</f>
        <v/>
      </c>
      <c r="K192" s="456">
        <f>XLOOKUP($D192&amp;"|"&amp;$E192&amp;"|"&amp;$F192,'PET_STAT_RULES'!$A$5:$A$88,'PET_STAT_RULES'!$D$5:$D$88)</f>
        <v/>
      </c>
      <c r="L192" s="456">
        <f>XLOOKUP($D192&amp;"|"&amp;$E192&amp;"|"&amp;$F192,'PET_STAT_RULES'!$A$5:$A$88,'PET_STAT_RULES'!$F$5:$F$88)</f>
        <v/>
      </c>
      <c r="M192" s="456">
        <f>XLOOKUP($D192&amp;"|"&amp;$E192&amp;"|"&amp;$F192,'PET_STAT_RULES'!$A$5:$A$88,'PET_STAT_RULES'!$G$5:$G$88)</f>
        <v/>
      </c>
      <c r="N192" s="38" t="n">
        <v>2</v>
      </c>
      <c r="O192" s="38" t="inlineStr">
        <is>
          <t>mech_fire_ignite_bonus</t>
        </is>
      </c>
      <c r="P192" s="38" t="inlineStr">
        <is>
          <t>11 形状11</t>
        </is>
      </c>
      <c r="Q192" s="38" t="inlineStr">
        <is>
          <t>Fiery</t>
        </is>
      </c>
      <c r="R192" s="38" t="inlineStr">
        <is>
          <t>skill confirmed；来源=Heated Shells；攻击2格；仅保留来源商人/训练师关系。</t>
        </is>
      </c>
      <c r="S192" s="38" t="n">
        <v>3</v>
      </c>
      <c r="T192" s="38" t="n">
        <v>2</v>
      </c>
      <c r="U192" s="442" t="inlineStr">
        <is>
          <t>skill_vanguard,skill_flank,skill_pierce,skill_revolve,skill_chase,skill_break,skill_suppress,skill_finale</t>
        </is>
      </c>
      <c r="V192" s="442" t="inlineStr">
        <is>
          <t>trait_relentless</t>
        </is>
      </c>
      <c r="W192" s="457">
        <f>XLOOKUP($D192&amp;"|"&amp;$E192&amp;"|"&amp;$F192,'PET_STAT_RULES'!$A$5:$A$88,'PET_STAT_RULES'!$E$5:$E$88)</f>
        <v/>
      </c>
      <c r="X192" s="385" t="str"/>
      <c r="Y192" s="386" t="inlineStr">
        <is>
          <t>reserved</t>
        </is>
      </c>
      <c r="Z192" s="386" t="str"/>
      <c r="AA192" s="386" t="str"/>
    </row>
    <row r="193">
      <c r="A193" s="38" t="inlineStr">
        <is>
          <t>pal_192</t>
        </is>
      </c>
      <c r="B193" s="38" t="inlineStr">
        <is>
          <t>赤鼋妖</t>
        </is>
      </c>
      <c r="C193" s="38" t="inlineStr">
        <is>
          <t>火、地</t>
        </is>
      </c>
      <c r="D193" s="265" t="inlineStr">
        <is>
          <t>白银</t>
        </is>
      </c>
      <c r="E193" s="38" t="inlineStr">
        <is>
          <t>坦克</t>
        </is>
      </c>
      <c r="F193" s="38" t="inlineStr">
        <is>
          <t>两格</t>
        </is>
      </c>
      <c r="G193" s="38" t="inlineStr">
        <is>
          <t>bz_van_192</t>
        </is>
      </c>
      <c r="H193" s="38" t="inlineStr">
        <is>
          <t>elem_水, elem_雷, elem_龙, elem_无, role_坦克</t>
        </is>
      </c>
      <c r="I193" s="38" t="n">
        <v>5</v>
      </c>
      <c r="J193" s="456">
        <f>XLOOKUP($D193&amp;"|"&amp;$E193&amp;"|"&amp;$F193,'PET_STAT_RULES'!$A$5:$A$88,'PET_STAT_RULES'!$C$5:$C$88)</f>
        <v/>
      </c>
      <c r="K193" s="456">
        <f>XLOOKUP($D193&amp;"|"&amp;$E193&amp;"|"&amp;$F193,'PET_STAT_RULES'!$A$5:$A$88,'PET_STAT_RULES'!$D$5:$D$88)</f>
        <v/>
      </c>
      <c r="L193" s="456">
        <f>XLOOKUP($D193&amp;"|"&amp;$E193&amp;"|"&amp;$F193,'PET_STAT_RULES'!$A$5:$A$88,'PET_STAT_RULES'!$F$5:$F$88)</f>
        <v/>
      </c>
      <c r="M193" s="456">
        <f>XLOOKUP($D193&amp;"|"&amp;$E193&amp;"|"&amp;$F193,'PET_STAT_RULES'!$A$5:$A$88,'PET_STAT_RULES'!$G$5:$G$88)</f>
        <v/>
      </c>
      <c r="N193" s="38" t="n">
        <v>2</v>
      </c>
      <c r="O193" s="38" t="inlineStr">
        <is>
          <t>mech_fire_ignite_bonus</t>
        </is>
      </c>
      <c r="P193" s="38" t="inlineStr">
        <is>
          <t>09 形状09</t>
        </is>
      </c>
      <c r="Q193" s="38" t="inlineStr">
        <is>
          <t>Fiery</t>
        </is>
      </c>
      <c r="R193" s="38" t="inlineStr">
        <is>
          <t>skill confirmed；来源=Heavy Firepower；攻击2格；仅保留来源商人/训练师关系。</t>
        </is>
      </c>
      <c r="S193" s="38" t="n">
        <v>3</v>
      </c>
      <c r="T193" s="38" t="n">
        <v>2</v>
      </c>
      <c r="U193" s="442" t="inlineStr">
        <is>
          <t>skill_vanguard,skill_flank,skill_pierce,skill_revolve,skill_chase,skill_break,skill_suppress,skill_finale</t>
        </is>
      </c>
      <c r="V193" s="442" t="inlineStr">
        <is>
          <t>trait_combo_mastery</t>
        </is>
      </c>
      <c r="W193" s="457">
        <f>XLOOKUP($D193&amp;"|"&amp;$E193&amp;"|"&amp;$F193,'PET_STAT_RULES'!$A$5:$A$88,'PET_STAT_RULES'!$E$5:$E$88)</f>
        <v/>
      </c>
      <c r="X193" s="385" t="str"/>
      <c r="Y193" s="386" t="inlineStr">
        <is>
          <t>reserved</t>
        </is>
      </c>
      <c r="Z193" s="386" t="str"/>
      <c r="AA193" s="386" t="str"/>
    </row>
    <row r="194">
      <c r="A194" s="38" t="inlineStr">
        <is>
          <t>pal_193</t>
        </is>
      </c>
      <c r="B194" s="38" t="inlineStr">
        <is>
          <t>雷狼卫</t>
        </is>
      </c>
      <c r="C194" s="38" t="inlineStr">
        <is>
          <t>雷</t>
        </is>
      </c>
      <c r="D194" s="265" t="inlineStr">
        <is>
          <t>白银</t>
        </is>
      </c>
      <c r="E194" s="38" t="inlineStr">
        <is>
          <t>输出</t>
        </is>
      </c>
      <c r="F194" s="38" t="inlineStr">
        <is>
          <t>两格</t>
        </is>
      </c>
      <c r="G194" s="38" t="inlineStr">
        <is>
          <t>bz_van_193</t>
        </is>
      </c>
      <c r="H194" s="38" t="inlineStr">
        <is>
          <t>elem_水, elem_雷, elem_龙, elem_无, role_召唤, role_坦克</t>
        </is>
      </c>
      <c r="I194" s="38" t="n">
        <v>6</v>
      </c>
      <c r="J194" s="456">
        <f>XLOOKUP($D194&amp;"|"&amp;$E194&amp;"|"&amp;$F194,'PET_STAT_RULES'!$A$5:$A$88,'PET_STAT_RULES'!$C$5:$C$88)</f>
        <v/>
      </c>
      <c r="K194" s="456">
        <f>XLOOKUP($D194&amp;"|"&amp;$E194&amp;"|"&amp;$F194,'PET_STAT_RULES'!$A$5:$A$88,'PET_STAT_RULES'!$D$5:$D$88)</f>
        <v/>
      </c>
      <c r="L194" s="456">
        <f>XLOOKUP($D194&amp;"|"&amp;$E194&amp;"|"&amp;$F194,'PET_STAT_RULES'!$A$5:$A$88,'PET_STAT_RULES'!$F$5:$F$88)</f>
        <v/>
      </c>
      <c r="M194" s="456">
        <f>XLOOKUP($D194&amp;"|"&amp;$E194&amp;"|"&amp;$F194,'PET_STAT_RULES'!$A$5:$A$88,'PET_STAT_RULES'!$G$5:$G$88)</f>
        <v/>
      </c>
      <c r="N194" s="38" t="n">
        <v>2</v>
      </c>
      <c r="O194" s="38" t="inlineStr">
        <is>
          <t>mech_grow_atk_each_round</t>
        </is>
      </c>
      <c r="P194" s="38" t="inlineStr">
        <is>
          <t>05 形状05</t>
        </is>
      </c>
      <c r="Q194" s="38" t="inlineStr">
        <is>
          <t>Deadly</t>
        </is>
      </c>
      <c r="R194" s="38" t="inlineStr">
        <is>
          <t>skill confirmed；来源=Honed Arsenal；攻击2格；仅保留来源商人/训练师关系。</t>
        </is>
      </c>
      <c r="S194" s="38" t="n">
        <v>3</v>
      </c>
      <c r="T194" s="38" t="n">
        <v>2</v>
      </c>
      <c r="U194" s="442" t="inlineStr">
        <is>
          <t>skill_vanguard,skill_flank,skill_pierce,skill_revolve,skill_chase,skill_break,skill_suppress,skill_finale</t>
        </is>
      </c>
      <c r="V194" s="442" t="inlineStr">
        <is>
          <t>trait_relentless</t>
        </is>
      </c>
      <c r="W194" s="457">
        <f>XLOOKUP($D194&amp;"|"&amp;$E194&amp;"|"&amp;$F194,'PET_STAT_RULES'!$A$5:$A$88,'PET_STAT_RULES'!$E$5:$E$88)</f>
        <v/>
      </c>
      <c r="X194" s="385" t="str"/>
      <c r="Y194" s="386" t="inlineStr">
        <is>
          <t>reserved</t>
        </is>
      </c>
      <c r="Z194" s="386" t="str"/>
      <c r="AA194" s="386" t="str"/>
    </row>
    <row r="195">
      <c r="A195" s="38" t="inlineStr">
        <is>
          <t>pal_194</t>
        </is>
      </c>
      <c r="B195" s="38" t="inlineStr">
        <is>
          <t>电虎侯</t>
        </is>
      </c>
      <c r="C195" s="38" t="inlineStr">
        <is>
          <t>雷</t>
        </is>
      </c>
      <c r="D195" s="262" t="inlineStr">
        <is>
          <t>黄金</t>
        </is>
      </c>
      <c r="E195" s="38" t="inlineStr">
        <is>
          <t>输出</t>
        </is>
      </c>
      <c r="F195" s="38" t="inlineStr">
        <is>
          <t>两格</t>
        </is>
      </c>
      <c r="G195" s="38" t="inlineStr">
        <is>
          <t>bz_van_194</t>
        </is>
      </c>
      <c r="H195" s="38" t="inlineStr">
        <is>
          <t>elem_水, elem_龙, elem_无, role_召唤</t>
        </is>
      </c>
      <c r="I195" s="38" t="n">
        <v>4</v>
      </c>
      <c r="J195" s="456">
        <f>XLOOKUP($D195&amp;"|"&amp;$E195&amp;"|"&amp;$F195,'PET_STAT_RULES'!$A$5:$A$88,'PET_STAT_RULES'!$C$5:$C$88)</f>
        <v/>
      </c>
      <c r="K195" s="456">
        <f>XLOOKUP($D195&amp;"|"&amp;$E195&amp;"|"&amp;$F195,'PET_STAT_RULES'!$A$5:$A$88,'PET_STAT_RULES'!$D$5:$D$88)</f>
        <v/>
      </c>
      <c r="L195" s="456">
        <f>XLOOKUP($D195&amp;"|"&amp;$E195&amp;"|"&amp;$F195,'PET_STAT_RULES'!$A$5:$A$88,'PET_STAT_RULES'!$F$5:$F$88)</f>
        <v/>
      </c>
      <c r="M195" s="456">
        <f>XLOOKUP($D195&amp;"|"&amp;$E195&amp;"|"&amp;$F195,'PET_STAT_RULES'!$A$5:$A$88,'PET_STAT_RULES'!$G$5:$G$88)</f>
        <v/>
      </c>
      <c r="N195" s="38" t="n">
        <v>3</v>
      </c>
      <c r="O195" s="38" t="inlineStr">
        <is>
          <t>mech_grow_atk_each_round</t>
        </is>
      </c>
      <c r="P195" s="38" t="inlineStr">
        <is>
          <t>13 形状13</t>
        </is>
      </c>
      <c r="Q195" s="38" t="inlineStr">
        <is>
          <t>Deadly</t>
        </is>
      </c>
      <c r="R195" s="38" t="inlineStr">
        <is>
          <t>skill confirmed；来源=Honed Strike；攻击3格；仅保留来源商人/训练师关系。</t>
        </is>
      </c>
      <c r="S195" s="38" t="n">
        <v>3</v>
      </c>
      <c r="T195" s="38" t="n">
        <v>2</v>
      </c>
      <c r="U195" s="442" t="inlineStr">
        <is>
          <t>skill_vanguard,skill_flank,skill_pierce,skill_revolve,skill_chase,skill_break,skill_suppress,skill_finale</t>
        </is>
      </c>
      <c r="V195" s="442" t="inlineStr">
        <is>
          <t>trait_relentless</t>
        </is>
      </c>
      <c r="W195" s="457">
        <f>XLOOKUP($D195&amp;"|"&amp;$E195&amp;"|"&amp;$F195,'PET_STAT_RULES'!$A$5:$A$88,'PET_STAT_RULES'!$E$5:$E$88)</f>
        <v/>
      </c>
      <c r="X195" s="385" t="str"/>
      <c r="Y195" s="386" t="inlineStr">
        <is>
          <t>reserved</t>
        </is>
      </c>
      <c r="Z195" s="386" t="str"/>
      <c r="AA195" s="386" t="str"/>
    </row>
    <row r="196">
      <c r="A196" s="38" t="inlineStr">
        <is>
          <t>pal_195</t>
        </is>
      </c>
      <c r="B196" s="38" t="inlineStr">
        <is>
          <t>燎狼将</t>
        </is>
      </c>
      <c r="C196" s="38" t="inlineStr">
        <is>
          <t>火</t>
        </is>
      </c>
      <c r="D196" s="265" t="inlineStr">
        <is>
          <t>白银</t>
        </is>
      </c>
      <c r="E196" s="38" t="inlineStr">
        <is>
          <t>输出</t>
        </is>
      </c>
      <c r="F196" s="38" t="inlineStr">
        <is>
          <t>两格</t>
        </is>
      </c>
      <c r="G196" s="38" t="inlineStr">
        <is>
          <t>bz_van_195</t>
        </is>
      </c>
      <c r="H196" s="38" t="inlineStr">
        <is>
          <t>elem_水, elem_雷, elem_龙, elem_无, role_治疗</t>
        </is>
      </c>
      <c r="I196" s="38" t="n">
        <v>5</v>
      </c>
      <c r="J196" s="456">
        <f>XLOOKUP($D196&amp;"|"&amp;$E196&amp;"|"&amp;$F196,'PET_STAT_RULES'!$A$5:$A$88,'PET_STAT_RULES'!$C$5:$C$88)</f>
        <v/>
      </c>
      <c r="K196" s="456">
        <f>XLOOKUP($D196&amp;"|"&amp;$E196&amp;"|"&amp;$F196,'PET_STAT_RULES'!$A$5:$A$88,'PET_STAT_RULES'!$D$5:$D$88)</f>
        <v/>
      </c>
      <c r="L196" s="456">
        <f>XLOOKUP($D196&amp;"|"&amp;$E196&amp;"|"&amp;$F196,'PET_STAT_RULES'!$A$5:$A$88,'PET_STAT_RULES'!$F$5:$F$88)</f>
        <v/>
      </c>
      <c r="M196" s="456">
        <f>XLOOKUP($D196&amp;"|"&amp;$E196&amp;"|"&amp;$F196,'PET_STAT_RULES'!$A$5:$A$88,'PET_STAT_RULES'!$G$5:$G$88)</f>
        <v/>
      </c>
      <c r="N196" s="38" t="n">
        <v>2</v>
      </c>
      <c r="O196" s="38" t="inlineStr">
        <is>
          <t>mech_fire_ignite_bonus</t>
        </is>
      </c>
      <c r="P196" s="38" t="inlineStr">
        <is>
          <t>08 形状08</t>
        </is>
      </c>
      <c r="Q196" s="38" t="inlineStr">
        <is>
          <t>Fiery</t>
        </is>
      </c>
      <c r="R196" s="38" t="inlineStr">
        <is>
          <t>skill confirmed；来源=Hot Spot；攻击2格；仅保留来源商人/训练师关系。</t>
        </is>
      </c>
      <c r="S196" s="38" t="n">
        <v>3</v>
      </c>
      <c r="T196" s="38" t="n">
        <v>2</v>
      </c>
      <c r="U196" s="442" t="inlineStr">
        <is>
          <t>skill_vanguard,skill_flank,skill_pierce,skill_revolve,skill_chase,skill_break,skill_suppress,skill_finale</t>
        </is>
      </c>
      <c r="V196" s="442" t="inlineStr">
        <is>
          <t>trait_relentless</t>
        </is>
      </c>
      <c r="W196" s="457">
        <f>XLOOKUP($D196&amp;"|"&amp;$E196&amp;"|"&amp;$F196,'PET_STAT_RULES'!$A$5:$A$88,'PET_STAT_RULES'!$E$5:$E$88)</f>
        <v/>
      </c>
      <c r="X196" s="385" t="str"/>
      <c r="Y196" s="386" t="inlineStr">
        <is>
          <t>reserved</t>
        </is>
      </c>
      <c r="Z196" s="386" t="str"/>
      <c r="AA196" s="386" t="str"/>
    </row>
    <row r="197">
      <c r="A197" s="38" t="inlineStr">
        <is>
          <t>pal_196</t>
        </is>
      </c>
      <c r="B197" s="38" t="inlineStr">
        <is>
          <t>凛鳗王</t>
        </is>
      </c>
      <c r="C197" s="38" t="inlineStr">
        <is>
          <t>冰、雷</t>
        </is>
      </c>
      <c r="D197" s="262" t="inlineStr">
        <is>
          <t>黄金</t>
        </is>
      </c>
      <c r="E197" s="38" t="inlineStr">
        <is>
          <t>控制</t>
        </is>
      </c>
      <c r="F197" s="38" t="inlineStr">
        <is>
          <t>两格</t>
        </is>
      </c>
      <c r="G197" s="38" t="inlineStr">
        <is>
          <t>bz_van_196</t>
        </is>
      </c>
      <c r="H197" s="38" t="inlineStr">
        <is>
          <t>elem_水, elem_地, elem_龙, elem_无, role_控制, tier_pT1</t>
        </is>
      </c>
      <c r="I197" s="38" t="n">
        <v>6</v>
      </c>
      <c r="J197" s="456">
        <f>XLOOKUP($D197&amp;"|"&amp;$E197&amp;"|"&amp;$F197,'PET_STAT_RULES'!$A$5:$A$88,'PET_STAT_RULES'!$C$5:$C$88)</f>
        <v/>
      </c>
      <c r="K197" s="456">
        <f>XLOOKUP($D197&amp;"|"&amp;$E197&amp;"|"&amp;$F197,'PET_STAT_RULES'!$A$5:$A$88,'PET_STAT_RULES'!$D$5:$D$88)</f>
        <v/>
      </c>
      <c r="L197" s="456">
        <f>XLOOKUP($D197&amp;"|"&amp;$E197&amp;"|"&amp;$F197,'PET_STAT_RULES'!$A$5:$A$88,'PET_STAT_RULES'!$F$5:$F$88)</f>
        <v/>
      </c>
      <c r="M197" s="456">
        <f>XLOOKUP($D197&amp;"|"&amp;$E197&amp;"|"&amp;$F197,'PET_STAT_RULES'!$A$5:$A$88,'PET_STAT_RULES'!$G$5:$G$88)</f>
        <v/>
      </c>
      <c r="N197" s="38" t="n">
        <v>2</v>
      </c>
      <c r="O197" s="38" t="inlineStr">
        <is>
          <t>mech_counter_damage</t>
        </is>
      </c>
      <c r="P197" s="38" t="inlineStr">
        <is>
          <t>09 形状09</t>
        </is>
      </c>
      <c r="Q197" s="38" t="inlineStr">
        <is>
          <t>Icy</t>
        </is>
      </c>
      <c r="R197" s="38" t="inlineStr">
        <is>
          <t>skill confirmed；来源=Ice Bullets；攻击2格；仅保留来源商人/训练师关系。</t>
        </is>
      </c>
      <c r="S197" s="38" t="n">
        <v>4</v>
      </c>
      <c r="T197" s="38" t="n">
        <v>2</v>
      </c>
      <c r="U197" s="442" t="inlineStr">
        <is>
          <t>skill_vanguard,skill_flank,skill_pierce,skill_revolve,skill_chase,skill_break,skill_suppress,skill_finale</t>
        </is>
      </c>
      <c r="V197" s="442" t="inlineStr">
        <is>
          <t>trait_element_affinity</t>
        </is>
      </c>
      <c r="W197" s="457">
        <f>XLOOKUP($D197&amp;"|"&amp;$E197&amp;"|"&amp;$F197,'PET_STAT_RULES'!$A$5:$A$88,'PET_STAT_RULES'!$E$5:$E$88)</f>
        <v/>
      </c>
      <c r="X197" s="385" t="str"/>
      <c r="Y197" s="386" t="inlineStr">
        <is>
          <t>reserved</t>
        </is>
      </c>
      <c r="Z197" s="386" t="str"/>
      <c r="AA197" s="386" t="str"/>
    </row>
    <row r="198">
      <c r="A198" s="38" t="inlineStr">
        <is>
          <t>pal_197</t>
        </is>
      </c>
      <c r="B198" s="38" t="inlineStr">
        <is>
          <t>寒狐祖</t>
        </is>
      </c>
      <c r="C198" s="38" t="inlineStr">
        <is>
          <t>冰</t>
        </is>
      </c>
      <c r="D198" s="268" t="inlineStr">
        <is>
          <t>钻石</t>
        </is>
      </c>
      <c r="E198" s="38" t="inlineStr">
        <is>
          <t>控制</t>
        </is>
      </c>
      <c r="F198" s="38" t="inlineStr">
        <is>
          <t>两格</t>
        </is>
      </c>
      <c r="G198" s="38" t="inlineStr">
        <is>
          <t>bz_van_197</t>
        </is>
      </c>
      <c r="H198" s="38" t="inlineStr">
        <is>
          <t>elem_水, elem_龙, role_坦克</t>
        </is>
      </c>
      <c r="I198" s="38" t="n">
        <v>3</v>
      </c>
      <c r="J198" s="456">
        <f>XLOOKUP($D198&amp;"|"&amp;$E198&amp;"|"&amp;$F198,'PET_STAT_RULES'!$A$5:$A$88,'PET_STAT_RULES'!$C$5:$C$88)</f>
        <v/>
      </c>
      <c r="K198" s="456">
        <f>XLOOKUP($D198&amp;"|"&amp;$E198&amp;"|"&amp;$F198,'PET_STAT_RULES'!$A$5:$A$88,'PET_STAT_RULES'!$D$5:$D$88)</f>
        <v/>
      </c>
      <c r="L198" s="456">
        <f>XLOOKUP($D198&amp;"|"&amp;$E198&amp;"|"&amp;$F198,'PET_STAT_RULES'!$A$5:$A$88,'PET_STAT_RULES'!$F$5:$F$88)</f>
        <v/>
      </c>
      <c r="M198" s="456">
        <f>XLOOKUP($D198&amp;"|"&amp;$E198&amp;"|"&amp;$F198,'PET_STAT_RULES'!$A$5:$A$88,'PET_STAT_RULES'!$G$5:$G$88)</f>
        <v/>
      </c>
      <c r="N198" s="38" t="n">
        <v>3</v>
      </c>
      <c r="O198" s="38" t="inlineStr">
        <is>
          <t>mech_counter_damage</t>
        </is>
      </c>
      <c r="P198" s="38" t="inlineStr">
        <is>
          <t>17 形状17</t>
        </is>
      </c>
      <c r="Q198" s="38" t="inlineStr">
        <is>
          <t>Icy</t>
        </is>
      </c>
      <c r="R198" s="38" t="inlineStr">
        <is>
          <t>skill confirmed；来源=Ice Smasher；攻击3格；仅保留来源商人/训练师关系。</t>
        </is>
      </c>
      <c r="S198" s="38" t="n">
        <v>4</v>
      </c>
      <c r="T198" s="38" t="n">
        <v>3</v>
      </c>
      <c r="U198" s="442" t="inlineStr">
        <is>
          <t>skill_vanguard,skill_flank,skill_pierce,skill_revolve,skill_chase,skill_break,skill_suppress,skill_finale</t>
        </is>
      </c>
      <c r="V198" s="442" t="inlineStr">
        <is>
          <t>trait_element_affinity</t>
        </is>
      </c>
      <c r="W198" s="457">
        <f>XLOOKUP($D198&amp;"|"&amp;$E198&amp;"|"&amp;$F198,'PET_STAT_RULES'!$A$5:$A$88,'PET_STAT_RULES'!$E$5:$E$88)</f>
        <v/>
      </c>
      <c r="X198" s="385" t="str"/>
      <c r="Y198" s="386" t="inlineStr">
        <is>
          <t>reserved</t>
        </is>
      </c>
      <c r="Z198" s="386" t="str"/>
      <c r="AA198" s="386" t="str"/>
    </row>
    <row r="199">
      <c r="A199" s="38" t="inlineStr">
        <is>
          <t>pal_198</t>
        </is>
      </c>
      <c r="B199" s="38" t="inlineStr">
        <is>
          <t>赤虎仔</t>
        </is>
      </c>
      <c r="C199" s="38" t="inlineStr">
        <is>
          <t>火</t>
        </is>
      </c>
      <c r="D199" s="259" t="inlineStr">
        <is>
          <t>青铜</t>
        </is>
      </c>
      <c r="E199" s="38" t="inlineStr">
        <is>
          <t>输出</t>
        </is>
      </c>
      <c r="F199" s="38" t="inlineStr">
        <is>
          <t>两格</t>
        </is>
      </c>
      <c r="G199" s="38" t="inlineStr">
        <is>
          <t>bz_van_198</t>
        </is>
      </c>
      <c r="H199" s="38" t="inlineStr">
        <is>
          <t>elem_水, elem_雷, elem_龙, elem_无, role_治疗</t>
        </is>
      </c>
      <c r="I199" s="38" t="n">
        <v>5</v>
      </c>
      <c r="J199" s="456">
        <f>XLOOKUP($D199&amp;"|"&amp;$E199&amp;"|"&amp;$F199,'PET_STAT_RULES'!$A$5:$A$88,'PET_STAT_RULES'!$C$5:$C$88)</f>
        <v/>
      </c>
      <c r="K199" s="456">
        <f>XLOOKUP($D199&amp;"|"&amp;$E199&amp;"|"&amp;$F199,'PET_STAT_RULES'!$A$5:$A$88,'PET_STAT_RULES'!$D$5:$D$88)</f>
        <v/>
      </c>
      <c r="L199" s="456">
        <f>XLOOKUP($D199&amp;"|"&amp;$E199&amp;"|"&amp;$F199,'PET_STAT_RULES'!$A$5:$A$88,'PET_STAT_RULES'!$F$5:$F$88)</f>
        <v/>
      </c>
      <c r="M199" s="456">
        <f>XLOOKUP($D199&amp;"|"&amp;$E199&amp;"|"&amp;$F199,'PET_STAT_RULES'!$A$5:$A$88,'PET_STAT_RULES'!$G$5:$G$88)</f>
        <v/>
      </c>
      <c r="N199" s="38" t="n">
        <v>1</v>
      </c>
      <c r="O199" s="38" t="inlineStr">
        <is>
          <t>mech_fire_ignite_bonus</t>
        </is>
      </c>
      <c r="P199" s="38" t="inlineStr">
        <is>
          <t>01 形状01</t>
        </is>
      </c>
      <c r="Q199" s="38" t="inlineStr">
        <is>
          <t>Fiery</t>
        </is>
      </c>
      <c r="R199" s="38" t="inlineStr">
        <is>
          <t>skill confirmed；来源=Immolating Spark；攻击1格；仅保留来源商人/训练师关系。</t>
        </is>
      </c>
      <c r="S199" s="38" t="n">
        <v>3</v>
      </c>
      <c r="T199" s="38" t="n">
        <v>1</v>
      </c>
      <c r="U199" s="442" t="inlineStr">
        <is>
          <t>skill_vanguard,skill_flank,skill_pierce,skill_revolve,skill_chase,skill_break,skill_suppress,skill_finale</t>
        </is>
      </c>
      <c r="V199" s="442" t="inlineStr">
        <is>
          <t>trait_relentless</t>
        </is>
      </c>
      <c r="W199" s="457">
        <f>XLOOKUP($D199&amp;"|"&amp;$E199&amp;"|"&amp;$F199,'PET_STAT_RULES'!$A$5:$A$88,'PET_STAT_RULES'!$E$5:$E$88)</f>
        <v/>
      </c>
      <c r="X199" s="385" t="str"/>
      <c r="Y199" s="386" t="inlineStr">
        <is>
          <t>reserved</t>
        </is>
      </c>
      <c r="Z199" s="386" t="str"/>
      <c r="AA199" s="386" t="str"/>
    </row>
    <row r="200">
      <c r="A200" s="38" t="inlineStr">
        <is>
          <t>pal_199</t>
        </is>
      </c>
      <c r="B200" s="38" t="inlineStr">
        <is>
          <t>藤貂仔</t>
        </is>
      </c>
      <c r="C200" s="38" t="inlineStr">
        <is>
          <t>草</t>
        </is>
      </c>
      <c r="D200" s="259" t="inlineStr">
        <is>
          <t>青铜</t>
        </is>
      </c>
      <c r="E200" s="38" t="inlineStr">
        <is>
          <t>控制</t>
        </is>
      </c>
      <c r="F200" s="38" t="inlineStr">
        <is>
          <t>两格</t>
        </is>
      </c>
      <c r="G200" s="38" t="inlineStr">
        <is>
          <t>bz_van_199</t>
        </is>
      </c>
      <c r="H200" s="38" t="inlineStr">
        <is>
          <t>elem_水, elem_雷, elem_龙, elem_无, role_输出</t>
        </is>
      </c>
      <c r="I200" s="38" t="n">
        <v>5</v>
      </c>
      <c r="J200" s="456">
        <f>XLOOKUP($D200&amp;"|"&amp;$E200&amp;"|"&amp;$F200,'PET_STAT_RULES'!$A$5:$A$88,'PET_STAT_RULES'!$C$5:$C$88)</f>
        <v/>
      </c>
      <c r="K200" s="456">
        <f>XLOOKUP($D200&amp;"|"&amp;$E200&amp;"|"&amp;$F200,'PET_STAT_RULES'!$A$5:$A$88,'PET_STAT_RULES'!$D$5:$D$88)</f>
        <v/>
      </c>
      <c r="L200" s="456">
        <f>XLOOKUP($D200&amp;"|"&amp;$E200&amp;"|"&amp;$F200,'PET_STAT_RULES'!$A$5:$A$88,'PET_STAT_RULES'!$F$5:$F$88)</f>
        <v/>
      </c>
      <c r="M200" s="456">
        <f>XLOOKUP($D200&amp;"|"&amp;$E200&amp;"|"&amp;$F200,'PET_STAT_RULES'!$A$5:$A$88,'PET_STAT_RULES'!$G$5:$G$88)</f>
        <v/>
      </c>
      <c r="N200" s="38" t="n">
        <v>2</v>
      </c>
      <c r="O200" s="38" t="inlineStr">
        <is>
          <t>mech_counter_damage</t>
        </is>
      </c>
      <c r="P200" s="38" t="inlineStr">
        <is>
          <t>06 形状06</t>
        </is>
      </c>
      <c r="Q200" s="38" t="inlineStr">
        <is>
          <t>Toxic</t>
        </is>
      </c>
      <c r="R200" s="38" t="inlineStr">
        <is>
          <t>skill confirmed；来源=Improved Toxins；攻击2格；仅保留来源商人/训练师关系。</t>
        </is>
      </c>
      <c r="S200" s="38" t="n">
        <v>4</v>
      </c>
      <c r="T200" s="38" t="n">
        <v>1</v>
      </c>
      <c r="U200" s="442" t="inlineStr">
        <is>
          <t>skill_vanguard,skill_flank,skill_pierce,skill_revolve,skill_chase,skill_break,skill_suppress,skill_finale</t>
        </is>
      </c>
      <c r="V200" s="442" t="inlineStr">
        <is>
          <t>trait_element_affinity</t>
        </is>
      </c>
      <c r="W200" s="457">
        <f>XLOOKUP($D200&amp;"|"&amp;$E200&amp;"|"&amp;$F200,'PET_STAT_RULES'!$A$5:$A$88,'PET_STAT_RULES'!$E$5:$E$88)</f>
        <v/>
      </c>
      <c r="X200" s="385" t="str"/>
      <c r="Y200" s="386" t="inlineStr">
        <is>
          <t>reserved</t>
        </is>
      </c>
      <c r="Z200" s="386" t="str"/>
      <c r="AA200" s="386" t="str"/>
    </row>
    <row r="201">
      <c r="A201" s="38" t="inlineStr">
        <is>
          <t>pal_200</t>
        </is>
      </c>
      <c r="B201" s="38" t="inlineStr">
        <is>
          <t>烬豹侯</t>
        </is>
      </c>
      <c r="C201" s="38" t="inlineStr">
        <is>
          <t>火、雷</t>
        </is>
      </c>
      <c r="D201" s="262" t="inlineStr">
        <is>
          <t>黄金</t>
        </is>
      </c>
      <c r="E201" s="38" t="inlineStr">
        <is>
          <t>输出</t>
        </is>
      </c>
      <c r="F201" s="38" t="inlineStr">
        <is>
          <t>两格</t>
        </is>
      </c>
      <c r="G201" s="38" t="inlineStr">
        <is>
          <t>bz_van_200</t>
        </is>
      </c>
      <c r="H201" s="38" t="inlineStr">
        <is>
          <t>elem_水, elem_龙, elem_无, role_召唤, role_治疗</t>
        </is>
      </c>
      <c r="I201" s="38" t="n">
        <v>5</v>
      </c>
      <c r="J201" s="456">
        <f>XLOOKUP($D201&amp;"|"&amp;$E201&amp;"|"&amp;$F201,'PET_STAT_RULES'!$A$5:$A$88,'PET_STAT_RULES'!$C$5:$C$88)</f>
        <v/>
      </c>
      <c r="K201" s="456">
        <f>XLOOKUP($D201&amp;"|"&amp;$E201&amp;"|"&amp;$F201,'PET_STAT_RULES'!$A$5:$A$88,'PET_STAT_RULES'!$D$5:$D$88)</f>
        <v/>
      </c>
      <c r="L201" s="456">
        <f>XLOOKUP($D201&amp;"|"&amp;$E201&amp;"|"&amp;$F201,'PET_STAT_RULES'!$A$5:$A$88,'PET_STAT_RULES'!$F$5:$F$88)</f>
        <v/>
      </c>
      <c r="M201" s="456">
        <f>XLOOKUP($D201&amp;"|"&amp;$E201&amp;"|"&amp;$F201,'PET_STAT_RULES'!$A$5:$A$88,'PET_STAT_RULES'!$G$5:$G$88)</f>
        <v/>
      </c>
      <c r="N201" s="38" t="n">
        <v>3</v>
      </c>
      <c r="O201" s="38" t="inlineStr">
        <is>
          <t>mech_fire_ignite_bonus</t>
        </is>
      </c>
      <c r="P201" s="38" t="inlineStr">
        <is>
          <t>13 形状13</t>
        </is>
      </c>
      <c r="Q201" s="38" t="inlineStr">
        <is>
          <t>Fiery</t>
        </is>
      </c>
      <c r="R201" s="38" t="inlineStr">
        <is>
          <t>skill confirmed；来源=Improvised Burn；攻击3格；仅保留来源商人/训练师关系。</t>
        </is>
      </c>
      <c r="S201" s="38" t="n">
        <v>3</v>
      </c>
      <c r="T201" s="38" t="n">
        <v>2</v>
      </c>
      <c r="U201" s="442" t="inlineStr">
        <is>
          <t>skill_vanguard,skill_flank,skill_pierce,skill_revolve,skill_chase,skill_break,skill_suppress,skill_finale</t>
        </is>
      </c>
      <c r="V201" s="442" t="inlineStr">
        <is>
          <t>trait_relentless</t>
        </is>
      </c>
      <c r="W201" s="457">
        <f>XLOOKUP($D201&amp;"|"&amp;$E201&amp;"|"&amp;$F201,'PET_STAT_RULES'!$A$5:$A$88,'PET_STAT_RULES'!$E$5:$E$88)</f>
        <v/>
      </c>
      <c r="X201" s="385" t="str"/>
      <c r="Y201" s="386" t="inlineStr">
        <is>
          <t>reserved</t>
        </is>
      </c>
      <c r="Z201" s="386" t="str"/>
      <c r="AA201" s="386" t="str"/>
    </row>
    <row r="202">
      <c r="A202" s="38" t="inlineStr">
        <is>
          <t>pal_201</t>
        </is>
      </c>
      <c r="B202" s="38" t="inlineStr">
        <is>
          <t>潮鸾卫</t>
        </is>
      </c>
      <c r="C202" s="38" t="inlineStr">
        <is>
          <t>水、雷</t>
        </is>
      </c>
      <c r="D202" s="265" t="inlineStr">
        <is>
          <t>白银</t>
        </is>
      </c>
      <c r="E202" s="38" t="inlineStr">
        <is>
          <t>治疗</t>
        </is>
      </c>
      <c r="F202" s="38" t="inlineStr">
        <is>
          <t>两格</t>
        </is>
      </c>
      <c r="G202" s="38" t="inlineStr">
        <is>
          <t>bz_van_201</t>
        </is>
      </c>
      <c r="H202" s="38" t="inlineStr">
        <is>
          <t>elem_水, elem_雷, elem_地, elem_龙, elem_无, role_召唤, tier_pT2</t>
        </is>
      </c>
      <c r="I202" s="38" t="n">
        <v>7</v>
      </c>
      <c r="J202" s="456">
        <f>XLOOKUP($D202&amp;"|"&amp;$E202&amp;"|"&amp;$F202,'PET_STAT_RULES'!$A$5:$A$88,'PET_STAT_RULES'!$C$5:$C$88)</f>
        <v/>
      </c>
      <c r="K202" s="456">
        <f>XLOOKUP($D202&amp;"|"&amp;$E202&amp;"|"&amp;$F202,'PET_STAT_RULES'!$A$5:$A$88,'PET_STAT_RULES'!$D$5:$D$88)</f>
        <v/>
      </c>
      <c r="L202" s="456">
        <f>XLOOKUP($D202&amp;"|"&amp;$E202&amp;"|"&amp;$F202,'PET_STAT_RULES'!$A$5:$A$88,'PET_STAT_RULES'!$F$5:$F$88)</f>
        <v/>
      </c>
      <c r="M202" s="456">
        <f>XLOOKUP($D202&amp;"|"&amp;$E202&amp;"|"&amp;$F202,'PET_STAT_RULES'!$A$5:$A$88,'PET_STAT_RULES'!$G$5:$G$88)</f>
        <v/>
      </c>
      <c r="N202" s="38" t="n">
        <v>2</v>
      </c>
      <c r="O202" s="38" t="inlineStr">
        <is>
          <t>mech_shield_regen</t>
        </is>
      </c>
      <c r="P202" s="38" t="inlineStr">
        <is>
          <t>07 形状07</t>
        </is>
      </c>
      <c r="Q202" s="38" t="inlineStr">
        <is>
          <t>Restorative</t>
        </is>
      </c>
      <c r="R202" s="38" t="inlineStr">
        <is>
          <t>skill confirmed；来源=Improvised Heal；攻击2格；仅保留来源商人/训练师关系。</t>
        </is>
      </c>
      <c r="S202" s="38" t="n">
        <v>3</v>
      </c>
      <c r="T202" s="38" t="n">
        <v>2</v>
      </c>
      <c r="U202" s="442" t="inlineStr">
        <is>
          <t>skill_vanguard,skill_flank,skill_pierce,skill_revolve,skill_chase,skill_break,skill_suppress,skill_finale</t>
        </is>
      </c>
      <c r="V202" s="442" t="inlineStr">
        <is>
          <t>trait_element_affinity</t>
        </is>
      </c>
      <c r="W202" s="457">
        <f>XLOOKUP($D202&amp;"|"&amp;$E202&amp;"|"&amp;$F202,'PET_STAT_RULES'!$A$5:$A$88,'PET_STAT_RULES'!$E$5:$E$88)</f>
        <v/>
      </c>
      <c r="X202" s="385" t="str"/>
      <c r="Y202" s="386" t="inlineStr">
        <is>
          <t>reserved</t>
        </is>
      </c>
      <c r="Z202" s="386" t="str"/>
      <c r="AA202" s="386" t="str"/>
    </row>
    <row r="203">
      <c r="A203" s="38" t="inlineStr">
        <is>
          <t>pal_202</t>
        </is>
      </c>
      <c r="B203" s="38" t="inlineStr">
        <is>
          <t>苔狐侯</t>
        </is>
      </c>
      <c r="C203" s="38" t="inlineStr">
        <is>
          <t>草、雷</t>
        </is>
      </c>
      <c r="D203" s="262" t="inlineStr">
        <is>
          <t>黄金</t>
        </is>
      </c>
      <c r="E203" s="38" t="inlineStr">
        <is>
          <t>控制</t>
        </is>
      </c>
      <c r="F203" s="38" t="inlineStr">
        <is>
          <t>两格</t>
        </is>
      </c>
      <c r="G203" s="38" t="inlineStr">
        <is>
          <t>bz_van_202</t>
        </is>
      </c>
      <c r="H203" s="38" t="inlineStr">
        <is>
          <t>elem_水, elem_龙, elem_无, role_召唤, role_输出</t>
        </is>
      </c>
      <c r="I203" s="38" t="n">
        <v>5</v>
      </c>
      <c r="J203" s="456">
        <f>XLOOKUP($D203&amp;"|"&amp;$E203&amp;"|"&amp;$F203,'PET_STAT_RULES'!$A$5:$A$88,'PET_STAT_RULES'!$C$5:$C$88)</f>
        <v/>
      </c>
      <c r="K203" s="456">
        <f>XLOOKUP($D203&amp;"|"&amp;$E203&amp;"|"&amp;$F203,'PET_STAT_RULES'!$A$5:$A$88,'PET_STAT_RULES'!$D$5:$D$88)</f>
        <v/>
      </c>
      <c r="L203" s="456">
        <f>XLOOKUP($D203&amp;"|"&amp;$E203&amp;"|"&amp;$F203,'PET_STAT_RULES'!$A$5:$A$88,'PET_STAT_RULES'!$F$5:$F$88)</f>
        <v/>
      </c>
      <c r="M203" s="456">
        <f>XLOOKUP($D203&amp;"|"&amp;$E203&amp;"|"&amp;$F203,'PET_STAT_RULES'!$A$5:$A$88,'PET_STAT_RULES'!$G$5:$G$88)</f>
        <v/>
      </c>
      <c r="N203" s="38" t="n">
        <v>2</v>
      </c>
      <c r="O203" s="38" t="inlineStr">
        <is>
          <t>mech_counter_damage</t>
        </is>
      </c>
      <c r="P203" s="38" t="inlineStr">
        <is>
          <t>05 形状05</t>
        </is>
      </c>
      <c r="Q203" s="38" t="inlineStr">
        <is>
          <t>Toxic</t>
        </is>
      </c>
      <c r="R203" s="38" t="inlineStr">
        <is>
          <t>skill confirmed；来源=Improvised Poison；攻击2格；仅保留来源商人/训练师关系。</t>
        </is>
      </c>
      <c r="S203" s="38" t="n">
        <v>4</v>
      </c>
      <c r="T203" s="38" t="n">
        <v>2</v>
      </c>
      <c r="U203" s="442" t="inlineStr">
        <is>
          <t>skill_vanguard,skill_flank,skill_pierce,skill_revolve,skill_chase,skill_break,skill_suppress,skill_finale</t>
        </is>
      </c>
      <c r="V203" s="442" t="inlineStr">
        <is>
          <t>trait_element_affinity</t>
        </is>
      </c>
      <c r="W203" s="457">
        <f>XLOOKUP($D203&amp;"|"&amp;$E203&amp;"|"&amp;$F203,'PET_STAT_RULES'!$A$5:$A$88,'PET_STAT_RULES'!$E$5:$E$88)</f>
        <v/>
      </c>
      <c r="X203" s="385" t="str"/>
      <c r="Y203" s="386" t="inlineStr">
        <is>
          <t>reserved</t>
        </is>
      </c>
      <c r="Z203" s="386" t="str"/>
      <c r="AA203" s="386" t="str"/>
    </row>
    <row r="204">
      <c r="A204" s="38" t="inlineStr">
        <is>
          <t>pal_203</t>
        </is>
      </c>
      <c r="B204" s="38" t="inlineStr">
        <is>
          <t>霆熊卫</t>
        </is>
      </c>
      <c r="C204" s="38" t="inlineStr">
        <is>
          <t>雷、地</t>
        </is>
      </c>
      <c r="D204" s="265" t="inlineStr">
        <is>
          <t>白银</t>
        </is>
      </c>
      <c r="E204" s="38" t="inlineStr">
        <is>
          <t>坦克</t>
        </is>
      </c>
      <c r="F204" s="38" t="inlineStr">
        <is>
          <t>两格</t>
        </is>
      </c>
      <c r="G204" s="38" t="inlineStr">
        <is>
          <t>bz_van_203</t>
        </is>
      </c>
      <c r="H204" s="38" t="inlineStr">
        <is>
          <t>elem_水, elem_雷, elem_龙, elem_无, role_召唤, role_召唤铺场</t>
        </is>
      </c>
      <c r="I204" s="38" t="n">
        <v>6</v>
      </c>
      <c r="J204" s="456">
        <f>XLOOKUP($D204&amp;"|"&amp;$E204&amp;"|"&amp;$F204,'PET_STAT_RULES'!$A$5:$A$88,'PET_STAT_RULES'!$C$5:$C$88)</f>
        <v/>
      </c>
      <c r="K204" s="456">
        <f>XLOOKUP($D204&amp;"|"&amp;$E204&amp;"|"&amp;$F204,'PET_STAT_RULES'!$A$5:$A$88,'PET_STAT_RULES'!$D$5:$D$88)</f>
        <v/>
      </c>
      <c r="L204" s="456">
        <f>XLOOKUP($D204&amp;"|"&amp;$E204&amp;"|"&amp;$F204,'PET_STAT_RULES'!$A$5:$A$88,'PET_STAT_RULES'!$F$5:$F$88)</f>
        <v/>
      </c>
      <c r="M204" s="456">
        <f>XLOOKUP($D204&amp;"|"&amp;$E204&amp;"|"&amp;$F204,'PET_STAT_RULES'!$A$5:$A$88,'PET_STAT_RULES'!$G$5:$G$88)</f>
        <v/>
      </c>
      <c r="N204" s="38" t="n">
        <v>2</v>
      </c>
      <c r="O204" s="38" t="inlineStr">
        <is>
          <t>mech_armor_flat</t>
        </is>
      </c>
      <c r="P204" s="38" t="inlineStr">
        <is>
          <t>08 形状08</t>
        </is>
      </c>
      <c r="Q204" s="38" t="inlineStr">
        <is>
          <t>Shielded</t>
        </is>
      </c>
      <c r="R204" s="38" t="inlineStr">
        <is>
          <t>skill confirmed；来源=Improvised Protection；攻击2格；仅保留来源商人/训练师关系。</t>
        </is>
      </c>
      <c r="S204" s="38" t="n">
        <v>3</v>
      </c>
      <c r="T204" s="38" t="n">
        <v>2</v>
      </c>
      <c r="U204" s="442" t="inlineStr">
        <is>
          <t>skill_vanguard,skill_flank,skill_pierce,skill_revolve,skill_chase,skill_break,skill_suppress,skill_finale</t>
        </is>
      </c>
      <c r="V204" s="442" t="inlineStr">
        <is>
          <t>trait_combo_mastery</t>
        </is>
      </c>
      <c r="W204" s="457">
        <f>XLOOKUP($D204&amp;"|"&amp;$E204&amp;"|"&amp;$F204,'PET_STAT_RULES'!$A$5:$A$88,'PET_STAT_RULES'!$E$5:$E$88)</f>
        <v/>
      </c>
      <c r="X204" s="385" t="str"/>
      <c r="Y204" s="386" t="inlineStr">
        <is>
          <t>reserved</t>
        </is>
      </c>
      <c r="Z204" s="386" t="str"/>
      <c r="AA204" s="386" t="str"/>
    </row>
    <row r="205">
      <c r="A205" s="38" t="inlineStr">
        <is>
          <t>pal_204</t>
        </is>
      </c>
      <c r="B205" s="38" t="inlineStr">
        <is>
          <t>闪鲨将</t>
        </is>
      </c>
      <c r="C205" s="38" t="inlineStr">
        <is>
          <t>雷</t>
        </is>
      </c>
      <c r="D205" s="265" t="inlineStr">
        <is>
          <t>白银</t>
        </is>
      </c>
      <c r="E205" s="38" t="inlineStr">
        <is>
          <t>输出</t>
        </is>
      </c>
      <c r="F205" s="38" t="inlineStr">
        <is>
          <t>两格</t>
        </is>
      </c>
      <c r="G205" s="38" t="inlineStr">
        <is>
          <t>bz_van_204</t>
        </is>
      </c>
      <c r="H205" s="38" t="inlineStr">
        <is>
          <t>elem_水, elem_雷, elem_龙, elem_无, role_召唤, role_坦克</t>
        </is>
      </c>
      <c r="I205" s="38" t="n">
        <v>6</v>
      </c>
      <c r="J205" s="456">
        <f>XLOOKUP($D205&amp;"|"&amp;$E205&amp;"|"&amp;$F205,'PET_STAT_RULES'!$A$5:$A$88,'PET_STAT_RULES'!$C$5:$C$88)</f>
        <v/>
      </c>
      <c r="K205" s="456">
        <f>XLOOKUP($D205&amp;"|"&amp;$E205&amp;"|"&amp;$F205,'PET_STAT_RULES'!$A$5:$A$88,'PET_STAT_RULES'!$D$5:$D$88)</f>
        <v/>
      </c>
      <c r="L205" s="456">
        <f>XLOOKUP($D205&amp;"|"&amp;$E205&amp;"|"&amp;$F205,'PET_STAT_RULES'!$A$5:$A$88,'PET_STAT_RULES'!$F$5:$F$88)</f>
        <v/>
      </c>
      <c r="M205" s="456">
        <f>XLOOKUP($D205&amp;"|"&amp;$E205&amp;"|"&amp;$F205,'PET_STAT_RULES'!$A$5:$A$88,'PET_STAT_RULES'!$G$5:$G$88)</f>
        <v/>
      </c>
      <c r="N205" s="38" t="n">
        <v>2</v>
      </c>
      <c r="O205" s="38" t="inlineStr">
        <is>
          <t>mech_grow_atk_each_round</t>
        </is>
      </c>
      <c r="P205" s="38" t="inlineStr">
        <is>
          <t>06 形状06</t>
        </is>
      </c>
      <c r="Q205" s="38" t="inlineStr">
        <is>
          <t>Deadly</t>
        </is>
      </c>
      <c r="R205" s="38" t="inlineStr">
        <is>
          <t>skill confirmed；来源=Improvised Weaponry；攻击2格；仅保留来源商人/训练师关系。</t>
        </is>
      </c>
      <c r="S205" s="38" t="n">
        <v>3</v>
      </c>
      <c r="T205" s="38" t="n">
        <v>2</v>
      </c>
      <c r="U205" s="442" t="inlineStr">
        <is>
          <t>skill_vanguard,skill_flank,skill_pierce,skill_revolve,skill_chase,skill_break,skill_suppress,skill_finale</t>
        </is>
      </c>
      <c r="V205" s="442" t="inlineStr">
        <is>
          <t>trait_relentless</t>
        </is>
      </c>
      <c r="W205" s="457">
        <f>XLOOKUP($D205&amp;"|"&amp;$E205&amp;"|"&amp;$F205,'PET_STAT_RULES'!$A$5:$A$88,'PET_STAT_RULES'!$E$5:$E$88)</f>
        <v/>
      </c>
      <c r="X205" s="385" t="str"/>
      <c r="Y205" s="386" t="inlineStr">
        <is>
          <t>reserved</t>
        </is>
      </c>
      <c r="Z205" s="386" t="str"/>
      <c r="AA205" s="386" t="str"/>
    </row>
    <row r="206">
      <c r="A206" s="38" t="inlineStr">
        <is>
          <t>pal_205</t>
        </is>
      </c>
      <c r="B206" s="38" t="inlineStr">
        <is>
          <t>雷隼卫</t>
        </is>
      </c>
      <c r="C206" s="38" t="inlineStr">
        <is>
          <t>雷</t>
        </is>
      </c>
      <c r="D206" s="265" t="inlineStr">
        <is>
          <t>白银</t>
        </is>
      </c>
      <c r="E206" s="38" t="inlineStr">
        <is>
          <t>输出</t>
        </is>
      </c>
      <c r="F206" s="38" t="inlineStr">
        <is>
          <t>两格</t>
        </is>
      </c>
      <c r="G206" s="38" t="inlineStr">
        <is>
          <t>bz_van_205</t>
        </is>
      </c>
      <c r="H206" s="38" t="inlineStr">
        <is>
          <t>elem_水, elem_雷, elem_地, elem_龙, elem_无, role_召唤</t>
        </is>
      </c>
      <c r="I206" s="38" t="n">
        <v>6</v>
      </c>
      <c r="J206" s="456">
        <f>XLOOKUP($D206&amp;"|"&amp;$E206&amp;"|"&amp;$F206,'PET_STAT_RULES'!$A$5:$A$88,'PET_STAT_RULES'!$C$5:$C$88)</f>
        <v/>
      </c>
      <c r="K206" s="456">
        <f>XLOOKUP($D206&amp;"|"&amp;$E206&amp;"|"&amp;$F206,'PET_STAT_RULES'!$A$5:$A$88,'PET_STAT_RULES'!$D$5:$D$88)</f>
        <v/>
      </c>
      <c r="L206" s="456">
        <f>XLOOKUP($D206&amp;"|"&amp;$E206&amp;"|"&amp;$F206,'PET_STAT_RULES'!$A$5:$A$88,'PET_STAT_RULES'!$F$5:$F$88)</f>
        <v/>
      </c>
      <c r="M206" s="456">
        <f>XLOOKUP($D206&amp;"|"&amp;$E206&amp;"|"&amp;$F206,'PET_STAT_RULES'!$A$5:$A$88,'PET_STAT_RULES'!$G$5:$G$88)</f>
        <v/>
      </c>
      <c r="N206" s="38" t="n">
        <v>2</v>
      </c>
      <c r="O206" s="38" t="inlineStr">
        <is>
          <t>mech_grow_atk_each_round</t>
        </is>
      </c>
      <c r="P206" s="38" t="inlineStr">
        <is>
          <t>11 形状11</t>
        </is>
      </c>
      <c r="Q206" s="38" t="inlineStr">
        <is>
          <t>Deadly</t>
        </is>
      </c>
      <c r="R206" s="38" t="inlineStr">
        <is>
          <t>skill confirmed；来源=Inexorable；攻击2格；仅保留来源商人/训练师关系。</t>
        </is>
      </c>
      <c r="S206" s="38" t="n">
        <v>3</v>
      </c>
      <c r="T206" s="38" t="n">
        <v>2</v>
      </c>
      <c r="U206" s="442" t="inlineStr">
        <is>
          <t>skill_vanguard,skill_flank,skill_pierce,skill_revolve,skill_chase,skill_break,skill_suppress,skill_finale</t>
        </is>
      </c>
      <c r="V206" s="442" t="inlineStr">
        <is>
          <t>trait_relentless</t>
        </is>
      </c>
      <c r="W206" s="457">
        <f>XLOOKUP($D206&amp;"|"&amp;$E206&amp;"|"&amp;$F206,'PET_STAT_RULES'!$A$5:$A$88,'PET_STAT_RULES'!$E$5:$E$88)</f>
        <v/>
      </c>
      <c r="X206" s="385" t="str"/>
      <c r="Y206" s="386" t="inlineStr">
        <is>
          <t>reserved</t>
        </is>
      </c>
      <c r="Z206" s="386" t="str"/>
      <c r="AA206" s="386" t="str"/>
    </row>
    <row r="207">
      <c r="A207" s="38" t="inlineStr">
        <is>
          <t>pal_206</t>
        </is>
      </c>
      <c r="B207" s="38" t="inlineStr">
        <is>
          <t>霜狐卫</t>
        </is>
      </c>
      <c r="C207" s="38" t="inlineStr">
        <is>
          <t>冰</t>
        </is>
      </c>
      <c r="D207" s="265" t="inlineStr">
        <is>
          <t>白银</t>
        </is>
      </c>
      <c r="E207" s="38" t="inlineStr">
        <is>
          <t>控制</t>
        </is>
      </c>
      <c r="F207" s="38" t="inlineStr">
        <is>
          <t>两格</t>
        </is>
      </c>
      <c r="G207" s="38" t="inlineStr">
        <is>
          <t>bz_van_206</t>
        </is>
      </c>
      <c r="H207" s="38" t="inlineStr">
        <is>
          <t>elem_水, elem_雷, elem_龙, elem_无, role_控制</t>
        </is>
      </c>
      <c r="I207" s="38" t="n">
        <v>5</v>
      </c>
      <c r="J207" s="456">
        <f>XLOOKUP($D207&amp;"|"&amp;$E207&amp;"|"&amp;$F207,'PET_STAT_RULES'!$A$5:$A$88,'PET_STAT_RULES'!$C$5:$C$88)</f>
        <v/>
      </c>
      <c r="K207" s="456">
        <f>XLOOKUP($D207&amp;"|"&amp;$E207&amp;"|"&amp;$F207,'PET_STAT_RULES'!$A$5:$A$88,'PET_STAT_RULES'!$D$5:$D$88)</f>
        <v/>
      </c>
      <c r="L207" s="456">
        <f>XLOOKUP($D207&amp;"|"&amp;$E207&amp;"|"&amp;$F207,'PET_STAT_RULES'!$A$5:$A$88,'PET_STAT_RULES'!$F$5:$F$88)</f>
        <v/>
      </c>
      <c r="M207" s="456">
        <f>XLOOKUP($D207&amp;"|"&amp;$E207&amp;"|"&amp;$F207,'PET_STAT_RULES'!$A$5:$A$88,'PET_STAT_RULES'!$G$5:$G$88)</f>
        <v/>
      </c>
      <c r="N207" s="38" t="n">
        <v>2</v>
      </c>
      <c r="O207" s="38" t="inlineStr">
        <is>
          <t>mech_counter_damage</t>
        </is>
      </c>
      <c r="P207" s="38" t="inlineStr">
        <is>
          <t>05 形状05</t>
        </is>
      </c>
      <c r="Q207" s="38" t="inlineStr">
        <is>
          <t>Icy</t>
        </is>
      </c>
      <c r="R207" s="38" t="inlineStr">
        <is>
          <t>skill confirmed；来源=Initial Chill；攻击2格；仅保留来源商人/训练师关系。</t>
        </is>
      </c>
      <c r="S207" s="38" t="n">
        <v>4</v>
      </c>
      <c r="T207" s="38" t="n">
        <v>2</v>
      </c>
      <c r="U207" s="442" t="inlineStr">
        <is>
          <t>skill_vanguard,skill_flank,skill_pierce,skill_revolve,skill_chase,skill_break,skill_suppress,skill_finale</t>
        </is>
      </c>
      <c r="V207" s="442" t="inlineStr">
        <is>
          <t>trait_element_affinity</t>
        </is>
      </c>
      <c r="W207" s="457">
        <f>XLOOKUP($D207&amp;"|"&amp;$E207&amp;"|"&amp;$F207,'PET_STAT_RULES'!$A$5:$A$88,'PET_STAT_RULES'!$E$5:$E$88)</f>
        <v/>
      </c>
      <c r="X207" s="385" t="str"/>
      <c r="Y207" s="386" t="inlineStr">
        <is>
          <t>reserved</t>
        </is>
      </c>
      <c r="Z207" s="386" t="str"/>
      <c r="AA207" s="386" t="str"/>
    </row>
    <row r="208">
      <c r="A208" s="38" t="inlineStr">
        <is>
          <t>pal_207</t>
        </is>
      </c>
      <c r="B208" s="38" t="inlineStr">
        <is>
          <t>森蛇童</t>
        </is>
      </c>
      <c r="C208" s="38" t="inlineStr">
        <is>
          <t>草</t>
        </is>
      </c>
      <c r="D208" s="259" t="inlineStr">
        <is>
          <t>青铜</t>
        </is>
      </c>
      <c r="E208" s="38" t="inlineStr">
        <is>
          <t>控制</t>
        </is>
      </c>
      <c r="F208" s="38" t="inlineStr">
        <is>
          <t>两格</t>
        </is>
      </c>
      <c r="G208" s="38" t="inlineStr">
        <is>
          <t>bz_van_207</t>
        </is>
      </c>
      <c r="H208" s="38" t="inlineStr">
        <is>
          <t>elem_水, elem_雷, elem_龙, elem_无, role_输出</t>
        </is>
      </c>
      <c r="I208" s="38" t="n">
        <v>5</v>
      </c>
      <c r="J208" s="456">
        <f>XLOOKUP($D208&amp;"|"&amp;$E208&amp;"|"&amp;$F208,'PET_STAT_RULES'!$A$5:$A$88,'PET_STAT_RULES'!$C$5:$C$88)</f>
        <v/>
      </c>
      <c r="K208" s="456">
        <f>XLOOKUP($D208&amp;"|"&amp;$E208&amp;"|"&amp;$F208,'PET_STAT_RULES'!$A$5:$A$88,'PET_STAT_RULES'!$D$5:$D$88)</f>
        <v/>
      </c>
      <c r="L208" s="456">
        <f>XLOOKUP($D208&amp;"|"&amp;$E208&amp;"|"&amp;$F208,'PET_STAT_RULES'!$A$5:$A$88,'PET_STAT_RULES'!$F$5:$F$88)</f>
        <v/>
      </c>
      <c r="M208" s="456">
        <f>XLOOKUP($D208&amp;"|"&amp;$E208&amp;"|"&amp;$F208,'PET_STAT_RULES'!$A$5:$A$88,'PET_STAT_RULES'!$G$5:$G$88)</f>
        <v/>
      </c>
      <c r="N208" s="38" t="n">
        <v>2</v>
      </c>
      <c r="O208" s="38" t="inlineStr">
        <is>
          <t>mech_counter_damage</t>
        </is>
      </c>
      <c r="P208" s="38" t="inlineStr">
        <is>
          <t>08 形状08</t>
        </is>
      </c>
      <c r="Q208" s="38" t="inlineStr">
        <is>
          <t>Toxic</t>
        </is>
      </c>
      <c r="R208" s="38" t="inlineStr">
        <is>
          <t>skill confirmed；来源=Initial Dose；攻击2格；仅保留来源商人/训练师关系。</t>
        </is>
      </c>
      <c r="S208" s="38" t="n">
        <v>4</v>
      </c>
      <c r="T208" s="38" t="n">
        <v>1</v>
      </c>
      <c r="U208" s="442" t="inlineStr">
        <is>
          <t>skill_vanguard,skill_flank,skill_pierce,skill_revolve,skill_chase,skill_break,skill_suppress,skill_finale</t>
        </is>
      </c>
      <c r="V208" s="442" t="inlineStr">
        <is>
          <t>trait_element_affinity</t>
        </is>
      </c>
      <c r="W208" s="457">
        <f>XLOOKUP($D208&amp;"|"&amp;$E208&amp;"|"&amp;$F208,'PET_STAT_RULES'!$A$5:$A$88,'PET_STAT_RULES'!$E$5:$E$88)</f>
        <v/>
      </c>
      <c r="X208" s="385" t="str"/>
      <c r="Y208" s="386" t="inlineStr">
        <is>
          <t>reserved</t>
        </is>
      </c>
      <c r="Z208" s="386" t="str"/>
      <c r="AA208" s="386" t="str"/>
    </row>
    <row r="209">
      <c r="A209" s="38" t="inlineStr">
        <is>
          <t>pal_208</t>
        </is>
      </c>
      <c r="B209" s="38" t="inlineStr">
        <is>
          <t>冰蛙将</t>
        </is>
      </c>
      <c r="C209" s="38" t="inlineStr">
        <is>
          <t>冰</t>
        </is>
      </c>
      <c r="D209" s="265" t="inlineStr">
        <is>
          <t>白银</t>
        </is>
      </c>
      <c r="E209" s="38" t="inlineStr">
        <is>
          <t>控制</t>
        </is>
      </c>
      <c r="F209" s="38" t="inlineStr">
        <is>
          <t>两格</t>
        </is>
      </c>
      <c r="G209" s="38" t="inlineStr">
        <is>
          <t>bz_van_208</t>
        </is>
      </c>
      <c r="H209" s="38" t="inlineStr">
        <is>
          <t>elem_水, elem_雷, elem_龙, elem_无, role_控制, special_merchant</t>
        </is>
      </c>
      <c r="I209" s="38" t="n">
        <v>6</v>
      </c>
      <c r="J209" s="456">
        <f>XLOOKUP($D209&amp;"|"&amp;$E209&amp;"|"&amp;$F209,'PET_STAT_RULES'!$A$5:$A$88,'PET_STAT_RULES'!$C$5:$C$88)</f>
        <v/>
      </c>
      <c r="K209" s="456">
        <f>XLOOKUP($D209&amp;"|"&amp;$E209&amp;"|"&amp;$F209,'PET_STAT_RULES'!$A$5:$A$88,'PET_STAT_RULES'!$D$5:$D$88)</f>
        <v/>
      </c>
      <c r="L209" s="456">
        <f>XLOOKUP($D209&amp;"|"&amp;$E209&amp;"|"&amp;$F209,'PET_STAT_RULES'!$A$5:$A$88,'PET_STAT_RULES'!$F$5:$F$88)</f>
        <v/>
      </c>
      <c r="M209" s="456">
        <f>XLOOKUP($D209&amp;"|"&amp;$E209&amp;"|"&amp;$F209,'PET_STAT_RULES'!$A$5:$A$88,'PET_STAT_RULES'!$G$5:$G$88)</f>
        <v/>
      </c>
      <c r="N209" s="38" t="n">
        <v>3</v>
      </c>
      <c r="O209" s="38" t="inlineStr">
        <is>
          <t>mech_counter_damage</t>
        </is>
      </c>
      <c r="P209" s="38" t="inlineStr">
        <is>
          <t>17 形状17</t>
        </is>
      </c>
      <c r="Q209" s="38" t="inlineStr">
        <is>
          <t>Icy</t>
        </is>
      </c>
      <c r="R209" s="38" t="inlineStr">
        <is>
          <t>skill confirmed；来源=Invigorating Cold；攻击3格；仅保留来源商人/训练师关系。</t>
        </is>
      </c>
      <c r="S209" s="38" t="n">
        <v>4</v>
      </c>
      <c r="T209" s="38" t="n">
        <v>2</v>
      </c>
      <c r="U209" s="442" t="inlineStr">
        <is>
          <t>skill_vanguard,skill_flank,skill_pierce,skill_revolve,skill_chase,skill_break,skill_suppress,skill_finale</t>
        </is>
      </c>
      <c r="V209" s="442" t="inlineStr">
        <is>
          <t>trait_element_affinity</t>
        </is>
      </c>
      <c r="W209" s="457">
        <f>XLOOKUP($D209&amp;"|"&amp;$E209&amp;"|"&amp;$F209,'PET_STAT_RULES'!$A$5:$A$88,'PET_STAT_RULES'!$E$5:$E$88)</f>
        <v/>
      </c>
      <c r="X209" s="385" t="str"/>
      <c r="Y209" s="386" t="inlineStr">
        <is>
          <t>reserved</t>
        </is>
      </c>
      <c r="Z209" s="386" t="str"/>
      <c r="AA209" s="386" t="str"/>
    </row>
    <row r="210">
      <c r="A210" s="38" t="inlineStr">
        <is>
          <t>pal_209</t>
        </is>
      </c>
      <c r="B210" s="38" t="inlineStr">
        <is>
          <t>夜貉精</t>
        </is>
      </c>
      <c r="C210" s="38" t="inlineStr">
        <is>
          <t>暗</t>
        </is>
      </c>
      <c r="D210" s="265" t="inlineStr">
        <is>
          <t>白银</t>
        </is>
      </c>
      <c r="E210" s="38" t="inlineStr">
        <is>
          <t>经济</t>
        </is>
      </c>
      <c r="F210" s="38" t="inlineStr">
        <is>
          <t>两格</t>
        </is>
      </c>
      <c r="G210" s="38" t="inlineStr">
        <is>
          <t>bz_van_209</t>
        </is>
      </c>
      <c r="H210" s="38" t="inlineStr">
        <is>
          <t>elem_水, elem_雷, elem_龙, elem_无, role_坦克</t>
        </is>
      </c>
      <c r="I210" s="38" t="n">
        <v>5</v>
      </c>
      <c r="J210" s="456">
        <f>XLOOKUP($D210&amp;"|"&amp;$E210&amp;"|"&amp;$F210,'PET_STAT_RULES'!$A$5:$A$88,'PET_STAT_RULES'!$C$5:$C$88)</f>
        <v/>
      </c>
      <c r="K210" s="456">
        <f>XLOOKUP($D210&amp;"|"&amp;$E210&amp;"|"&amp;$F210,'PET_STAT_RULES'!$A$5:$A$88,'PET_STAT_RULES'!$D$5:$D$88)</f>
        <v/>
      </c>
      <c r="L210" s="456">
        <f>XLOOKUP($D210&amp;"|"&amp;$E210&amp;"|"&amp;$F210,'PET_STAT_RULES'!$A$5:$A$88,'PET_STAT_RULES'!$F$5:$F$88)</f>
        <v/>
      </c>
      <c r="M210" s="456">
        <f>XLOOKUP($D210&amp;"|"&amp;$E210&amp;"|"&amp;$F210,'PET_STAT_RULES'!$A$5:$A$88,'PET_STAT_RULES'!$G$5:$G$88)</f>
        <v/>
      </c>
      <c r="N210" s="38" t="n">
        <v>2</v>
      </c>
      <c r="O210" s="38" t="inlineStr">
        <is>
          <t>none</t>
        </is>
      </c>
      <c r="P210" s="38" t="inlineStr">
        <is>
          <t>12 形状12</t>
        </is>
      </c>
      <c r="Q210" s="38" t="inlineStr">
        <is>
          <t>Golden</t>
        </is>
      </c>
      <c r="R210" s="38" t="inlineStr">
        <is>
          <t>skill confirmed；来源=Iron Sharpens Iron；攻击2格；仅保留来源商人/训练师关系。</t>
        </is>
      </c>
      <c r="S210" s="38" t="n">
        <v>3</v>
      </c>
      <c r="T210" s="38" t="n">
        <v>2</v>
      </c>
      <c r="U210" s="442" t="inlineStr">
        <is>
          <t>skill_vanguard,skill_flank,skill_pierce,skill_revolve,skill_chase,skill_break,skill_suppress,skill_finale</t>
        </is>
      </c>
      <c r="V210" s="442" t="inlineStr">
        <is>
          <t>trait_combo_resonance</t>
        </is>
      </c>
      <c r="W210" s="457">
        <f>XLOOKUP($D210&amp;"|"&amp;$E210&amp;"|"&amp;$F210,'PET_STAT_RULES'!$A$5:$A$88,'PET_STAT_RULES'!$E$5:$E$88)</f>
        <v/>
      </c>
      <c r="X210" s="385" t="str"/>
      <c r="Y210" s="386" t="inlineStr">
        <is>
          <t>reserved</t>
        </is>
      </c>
      <c r="Z210" s="386" t="str"/>
      <c r="AA210" s="386" t="str"/>
    </row>
    <row r="211">
      <c r="A211" s="38" t="inlineStr">
        <is>
          <t>pal_210</t>
        </is>
      </c>
      <c r="B211" s="38" t="inlineStr">
        <is>
          <t>震豹童</t>
        </is>
      </c>
      <c r="C211" s="38" t="inlineStr">
        <is>
          <t>雷</t>
        </is>
      </c>
      <c r="D211" s="259" t="inlineStr">
        <is>
          <t>青铜</t>
        </is>
      </c>
      <c r="E211" s="38" t="inlineStr">
        <is>
          <t>输出</t>
        </is>
      </c>
      <c r="F211" s="38" t="inlineStr">
        <is>
          <t>两格</t>
        </is>
      </c>
      <c r="G211" s="38" t="inlineStr">
        <is>
          <t>bz_van_210</t>
        </is>
      </c>
      <c r="H211" s="38" t="inlineStr">
        <is>
          <t>elem_水, elem_雷, elem_龙, elem_无, role_召唤</t>
        </is>
      </c>
      <c r="I211" s="38" t="n">
        <v>5</v>
      </c>
      <c r="J211" s="456">
        <f>XLOOKUP($D211&amp;"|"&amp;$E211&amp;"|"&amp;$F211,'PET_STAT_RULES'!$A$5:$A$88,'PET_STAT_RULES'!$C$5:$C$88)</f>
        <v/>
      </c>
      <c r="K211" s="456">
        <f>XLOOKUP($D211&amp;"|"&amp;$E211&amp;"|"&amp;$F211,'PET_STAT_RULES'!$A$5:$A$88,'PET_STAT_RULES'!$D$5:$D$88)</f>
        <v/>
      </c>
      <c r="L211" s="456">
        <f>XLOOKUP($D211&amp;"|"&amp;$E211&amp;"|"&amp;$F211,'PET_STAT_RULES'!$A$5:$A$88,'PET_STAT_RULES'!$F$5:$F$88)</f>
        <v/>
      </c>
      <c r="M211" s="456">
        <f>XLOOKUP($D211&amp;"|"&amp;$E211&amp;"|"&amp;$F211,'PET_STAT_RULES'!$A$5:$A$88,'PET_STAT_RULES'!$G$5:$G$88)</f>
        <v/>
      </c>
      <c r="N211" s="38" t="n">
        <v>1</v>
      </c>
      <c r="O211" s="38" t="inlineStr">
        <is>
          <t>mech_grow_atk_each_round</t>
        </is>
      </c>
      <c r="P211" s="38" t="inlineStr">
        <is>
          <t>03 形状03</t>
        </is>
      </c>
      <c r="Q211" s="38" t="inlineStr">
        <is>
          <t>Deadly</t>
        </is>
      </c>
      <c r="R211" s="38" t="inlineStr">
        <is>
          <t>skill confirmed；来源=Keen Eye；攻击1格；仅保留来源商人/训练师关系。</t>
        </is>
      </c>
      <c r="S211" s="38" t="n">
        <v>3</v>
      </c>
      <c r="T211" s="38" t="n">
        <v>1</v>
      </c>
      <c r="U211" s="442" t="inlineStr">
        <is>
          <t>skill_vanguard,skill_flank,skill_pierce,skill_revolve,skill_chase,skill_break,skill_suppress,skill_finale</t>
        </is>
      </c>
      <c r="V211" s="442" t="inlineStr">
        <is>
          <t>trait_relentless</t>
        </is>
      </c>
      <c r="W211" s="457">
        <f>XLOOKUP($D211&amp;"|"&amp;$E211&amp;"|"&amp;$F211,'PET_STAT_RULES'!$A$5:$A$88,'PET_STAT_RULES'!$E$5:$E$88)</f>
        <v/>
      </c>
      <c r="X211" s="385" t="str"/>
      <c r="Y211" s="386" t="inlineStr">
        <is>
          <t>reserved</t>
        </is>
      </c>
      <c r="Z211" s="386" t="str"/>
      <c r="AA211" s="386" t="str"/>
    </row>
    <row r="212">
      <c r="A212" s="38" t="inlineStr">
        <is>
          <t>pal_211</t>
        </is>
      </c>
      <c r="B212" s="38" t="inlineStr">
        <is>
          <t>夜雀皇</t>
        </is>
      </c>
      <c r="C212" s="38" t="inlineStr">
        <is>
          <t>暗</t>
        </is>
      </c>
      <c r="D212" s="268" t="inlineStr">
        <is>
          <t>钻石</t>
        </is>
      </c>
      <c r="E212" s="38" t="inlineStr">
        <is>
          <t>机动</t>
        </is>
      </c>
      <c r="F212" s="38" t="inlineStr">
        <is>
          <t>两格</t>
        </is>
      </c>
      <c r="G212" s="38" t="inlineStr">
        <is>
          <t>bz_van_211</t>
        </is>
      </c>
      <c r="H212" s="38" t="inlineStr">
        <is>
          <t>elem_水, elem_龙, role_坦克</t>
        </is>
      </c>
      <c r="I212" s="38" t="n">
        <v>3</v>
      </c>
      <c r="J212" s="456">
        <f>XLOOKUP($D212&amp;"|"&amp;$E212&amp;"|"&amp;$F212,'PET_STAT_RULES'!$A$5:$A$88,'PET_STAT_RULES'!$C$5:$C$88)</f>
        <v/>
      </c>
      <c r="K212" s="456">
        <f>XLOOKUP($D212&amp;"|"&amp;$E212&amp;"|"&amp;$F212,'PET_STAT_RULES'!$A$5:$A$88,'PET_STAT_RULES'!$D$5:$D$88)</f>
        <v/>
      </c>
      <c r="L212" s="456">
        <f>XLOOKUP($D212&amp;"|"&amp;$E212&amp;"|"&amp;$F212,'PET_STAT_RULES'!$A$5:$A$88,'PET_STAT_RULES'!$F$5:$F$88)</f>
        <v/>
      </c>
      <c r="M212" s="456">
        <f>XLOOKUP($D212&amp;"|"&amp;$E212&amp;"|"&amp;$F212,'PET_STAT_RULES'!$A$5:$A$88,'PET_STAT_RULES'!$G$5:$G$88)</f>
        <v/>
      </c>
      <c r="N212" s="38" t="n">
        <v>2</v>
      </c>
      <c r="O212" s="38" t="inlineStr">
        <is>
          <t>none</t>
        </is>
      </c>
      <c r="P212" s="38" t="inlineStr">
        <is>
          <t>10 形状10</t>
        </is>
      </c>
      <c r="Q212" s="38" t="inlineStr">
        <is>
          <t>Turbo</t>
        </is>
      </c>
      <c r="R212" s="38" t="inlineStr">
        <is>
          <t>skill confirmed；来源=Knife Tricks；攻击2格；仅保留来源商人/训练师关系。</t>
        </is>
      </c>
      <c r="S212" s="38" t="n">
        <v>5</v>
      </c>
      <c r="T212" s="38" t="n">
        <v>3</v>
      </c>
      <c r="U212" s="442" t="inlineStr">
        <is>
          <t>skill_vanguard,skill_flank,skill_pierce,skill_revolve,skill_chase,skill_break,skill_suppress,skill_finale</t>
        </is>
      </c>
      <c r="V212" s="442" t="inlineStr">
        <is>
          <t>trait_relentless</t>
        </is>
      </c>
      <c r="W212" s="457">
        <f>XLOOKUP($D212&amp;"|"&amp;$E212&amp;"|"&amp;$F212,'PET_STAT_RULES'!$A$5:$A$88,'PET_STAT_RULES'!$E$5:$E$88)</f>
        <v/>
      </c>
      <c r="X212" s="385" t="str"/>
      <c r="Y212" s="386" t="inlineStr">
        <is>
          <t>reserved</t>
        </is>
      </c>
      <c r="Z212" s="386" t="str"/>
      <c r="AA212" s="386" t="str"/>
    </row>
    <row r="213">
      <c r="A213" s="38" t="inlineStr">
        <is>
          <t>pal_212</t>
        </is>
      </c>
      <c r="B213" s="38" t="inlineStr">
        <is>
          <t>沧鹤妖</t>
        </is>
      </c>
      <c r="C213" s="38" t="inlineStr">
        <is>
          <t>水、地</t>
        </is>
      </c>
      <c r="D213" s="265" t="inlineStr">
        <is>
          <t>白银</t>
        </is>
      </c>
      <c r="E213" s="38" t="inlineStr">
        <is>
          <t>治疗</t>
        </is>
      </c>
      <c r="F213" s="38" t="inlineStr">
        <is>
          <t>两格</t>
        </is>
      </c>
      <c r="G213" s="38" t="inlineStr">
        <is>
          <t>bz_van_212</t>
        </is>
      </c>
      <c r="H213" s="38" t="inlineStr">
        <is>
          <t>elem_水, elem_雷, elem_龙, elem_无, tier_pT2</t>
        </is>
      </c>
      <c r="I213" s="38" t="n">
        <v>5</v>
      </c>
      <c r="J213" s="456">
        <f>XLOOKUP($D213&amp;"|"&amp;$E213&amp;"|"&amp;$F213,'PET_STAT_RULES'!$A$5:$A$88,'PET_STAT_RULES'!$C$5:$C$88)</f>
        <v/>
      </c>
      <c r="K213" s="456">
        <f>XLOOKUP($D213&amp;"|"&amp;$E213&amp;"|"&amp;$F213,'PET_STAT_RULES'!$A$5:$A$88,'PET_STAT_RULES'!$D$5:$D$88)</f>
        <v/>
      </c>
      <c r="L213" s="456">
        <f>XLOOKUP($D213&amp;"|"&amp;$E213&amp;"|"&amp;$F213,'PET_STAT_RULES'!$A$5:$A$88,'PET_STAT_RULES'!$F$5:$F$88)</f>
        <v/>
      </c>
      <c r="M213" s="456">
        <f>XLOOKUP($D213&amp;"|"&amp;$E213&amp;"|"&amp;$F213,'PET_STAT_RULES'!$A$5:$A$88,'PET_STAT_RULES'!$G$5:$G$88)</f>
        <v/>
      </c>
      <c r="N213" s="38" t="n">
        <v>2</v>
      </c>
      <c r="O213" s="38" t="inlineStr">
        <is>
          <t>mech_shield_regen</t>
        </is>
      </c>
      <c r="P213" s="38" t="inlineStr">
        <is>
          <t>07 形状07</t>
        </is>
      </c>
      <c r="Q213" s="38" t="inlineStr">
        <is>
          <t>Restorative</t>
        </is>
      </c>
      <c r="R213" s="38" t="inlineStr">
        <is>
          <t>skill confirmed；来源=Large Appetites；攻击2格；仅保留来源商人/训练师关系。</t>
        </is>
      </c>
      <c r="S213" s="38" t="n">
        <v>3</v>
      </c>
      <c r="T213" s="38" t="n">
        <v>2</v>
      </c>
      <c r="U213" s="442" t="inlineStr">
        <is>
          <t>skill_vanguard,skill_flank,skill_pierce,skill_revolve,skill_chase,skill_break,skill_suppress,skill_finale</t>
        </is>
      </c>
      <c r="V213" s="442" t="inlineStr">
        <is>
          <t>trait_element_affinity</t>
        </is>
      </c>
      <c r="W213" s="457">
        <f>XLOOKUP($D213&amp;"|"&amp;$E213&amp;"|"&amp;$F213,'PET_STAT_RULES'!$A$5:$A$88,'PET_STAT_RULES'!$E$5:$E$88)</f>
        <v/>
      </c>
      <c r="X213" s="385" t="str"/>
      <c r="Y213" s="386" t="inlineStr">
        <is>
          <t>reserved</t>
        </is>
      </c>
      <c r="Z213" s="386" t="str"/>
      <c r="AA213" s="386" t="str"/>
    </row>
    <row r="214">
      <c r="A214" s="38" t="inlineStr">
        <is>
          <t>pal_213</t>
        </is>
      </c>
      <c r="B214" s="38" t="inlineStr">
        <is>
          <t>震鹰童</t>
        </is>
      </c>
      <c r="C214" s="38" t="inlineStr">
        <is>
          <t>雷</t>
        </is>
      </c>
      <c r="D214" s="259" t="inlineStr">
        <is>
          <t>青铜</t>
        </is>
      </c>
      <c r="E214" s="38" t="inlineStr">
        <is>
          <t>输出</t>
        </is>
      </c>
      <c r="F214" s="38" t="inlineStr">
        <is>
          <t>两格</t>
        </is>
      </c>
      <c r="G214" s="38" t="inlineStr">
        <is>
          <t>bz_van_213</t>
        </is>
      </c>
      <c r="H214" s="38" t="inlineStr">
        <is>
          <t>elem_水, elem_雷, elem_龙, elem_无, role_召唤</t>
        </is>
      </c>
      <c r="I214" s="38" t="n">
        <v>5</v>
      </c>
      <c r="J214" s="456">
        <f>XLOOKUP($D214&amp;"|"&amp;$E214&amp;"|"&amp;$F214,'PET_STAT_RULES'!$A$5:$A$88,'PET_STAT_RULES'!$C$5:$C$88)</f>
        <v/>
      </c>
      <c r="K214" s="456">
        <f>XLOOKUP($D214&amp;"|"&amp;$E214&amp;"|"&amp;$F214,'PET_STAT_RULES'!$A$5:$A$88,'PET_STAT_RULES'!$D$5:$D$88)</f>
        <v/>
      </c>
      <c r="L214" s="456">
        <f>XLOOKUP($D214&amp;"|"&amp;$E214&amp;"|"&amp;$F214,'PET_STAT_RULES'!$A$5:$A$88,'PET_STAT_RULES'!$F$5:$F$88)</f>
        <v/>
      </c>
      <c r="M214" s="456">
        <f>XLOOKUP($D214&amp;"|"&amp;$E214&amp;"|"&amp;$F214,'PET_STAT_RULES'!$A$5:$A$88,'PET_STAT_RULES'!$G$5:$G$88)</f>
        <v/>
      </c>
      <c r="N214" s="38" t="n">
        <v>1</v>
      </c>
      <c r="O214" s="38" t="inlineStr">
        <is>
          <t>mech_grow_atk_each_round</t>
        </is>
      </c>
      <c r="P214" s="38" t="inlineStr">
        <is>
          <t>01 形状01</t>
        </is>
      </c>
      <c r="Q214" s="38" t="inlineStr">
        <is>
          <t>Deadly</t>
        </is>
      </c>
      <c r="R214" s="38" t="inlineStr">
        <is>
          <t>skill confirmed；来源=Left Eye；攻击1格；仅保留来源商人/训练师关系。</t>
        </is>
      </c>
      <c r="S214" s="38" t="n">
        <v>3</v>
      </c>
      <c r="T214" s="38" t="n">
        <v>1</v>
      </c>
      <c r="U214" s="442" t="inlineStr">
        <is>
          <t>skill_vanguard,skill_flank,skill_pierce,skill_revolve,skill_chase,skill_break,skill_suppress,skill_finale</t>
        </is>
      </c>
      <c r="V214" s="442" t="inlineStr">
        <is>
          <t>trait_relentless</t>
        </is>
      </c>
      <c r="W214" s="457">
        <f>XLOOKUP($D214&amp;"|"&amp;$E214&amp;"|"&amp;$F214,'PET_STAT_RULES'!$A$5:$A$88,'PET_STAT_RULES'!$E$5:$E$88)</f>
        <v/>
      </c>
      <c r="X214" s="385" t="str"/>
      <c r="Y214" s="386" t="inlineStr">
        <is>
          <t>reserved</t>
        </is>
      </c>
      <c r="Z214" s="386" t="str"/>
      <c r="AA214" s="386" t="str"/>
    </row>
    <row r="215">
      <c r="A215" s="38" t="inlineStr">
        <is>
          <t>pal_214</t>
        </is>
      </c>
      <c r="B215" s="38" t="inlineStr">
        <is>
          <t>角鲨兽</t>
        </is>
      </c>
      <c r="C215" s="38" t="inlineStr">
        <is>
          <t>龙</t>
        </is>
      </c>
      <c r="D215" s="259" t="inlineStr">
        <is>
          <t>青铜</t>
        </is>
      </c>
      <c r="E215" s="38" t="inlineStr">
        <is>
          <t>输出</t>
        </is>
      </c>
      <c r="F215" s="38" t="inlineStr">
        <is>
          <t>两格</t>
        </is>
      </c>
      <c r="G215" s="38" t="inlineStr">
        <is>
          <t>bz_van_214</t>
        </is>
      </c>
      <c r="H215" s="38" t="inlineStr">
        <is>
          <t>elem_水, elem_雷, elem_龙, elem_无, role_坦克</t>
        </is>
      </c>
      <c r="I215" s="38" t="n">
        <v>5</v>
      </c>
      <c r="J215" s="456">
        <f>XLOOKUP($D215&amp;"|"&amp;$E215&amp;"|"&amp;$F215,'PET_STAT_RULES'!$A$5:$A$88,'PET_STAT_RULES'!$C$5:$C$88)</f>
        <v/>
      </c>
      <c r="K215" s="456">
        <f>XLOOKUP($D215&amp;"|"&amp;$E215&amp;"|"&amp;$F215,'PET_STAT_RULES'!$A$5:$A$88,'PET_STAT_RULES'!$D$5:$D$88)</f>
        <v/>
      </c>
      <c r="L215" s="456">
        <f>XLOOKUP($D215&amp;"|"&amp;$E215&amp;"|"&amp;$F215,'PET_STAT_RULES'!$A$5:$A$88,'PET_STAT_RULES'!$F$5:$F$88)</f>
        <v/>
      </c>
      <c r="M215" s="456">
        <f>XLOOKUP($D215&amp;"|"&amp;$E215&amp;"|"&amp;$F215,'PET_STAT_RULES'!$A$5:$A$88,'PET_STAT_RULES'!$G$5:$G$88)</f>
        <v/>
      </c>
      <c r="N215" s="38" t="n">
        <v>1</v>
      </c>
      <c r="O215" s="38" t="inlineStr">
        <is>
          <t>mech_grow_atk_each_round</t>
        </is>
      </c>
      <c r="P215" s="38" t="inlineStr">
        <is>
          <t>04 形状04</t>
        </is>
      </c>
      <c r="Q215" s="38" t="inlineStr">
        <is>
          <t>Deadly</t>
        </is>
      </c>
      <c r="R215" s="38" t="inlineStr">
        <is>
          <t>skill confirmed；来源=Left-Handed；攻击1格；仅保留来源商人/训练师关系。</t>
        </is>
      </c>
      <c r="S215" s="38" t="n">
        <v>3</v>
      </c>
      <c r="T215" s="38" t="n">
        <v>1</v>
      </c>
      <c r="U215" s="442" t="inlineStr">
        <is>
          <t>skill_vanguard,skill_flank,skill_pierce,skill_revolve,skill_chase,skill_break,skill_suppress,skill_finale</t>
        </is>
      </c>
      <c r="V215" s="442" t="inlineStr">
        <is>
          <t>trait_relentless</t>
        </is>
      </c>
      <c r="W215" s="457">
        <f>XLOOKUP($D215&amp;"|"&amp;$E215&amp;"|"&amp;$F215,'PET_STAT_RULES'!$A$5:$A$88,'PET_STAT_RULES'!$E$5:$E$88)</f>
        <v/>
      </c>
      <c r="X215" s="385" t="str"/>
      <c r="Y215" s="386" t="inlineStr">
        <is>
          <t>reserved</t>
        </is>
      </c>
      <c r="Z215" s="386" t="str"/>
      <c r="AA215" s="386" t="str"/>
    </row>
    <row r="216">
      <c r="A216" s="38" t="inlineStr">
        <is>
          <t>pal_215</t>
        </is>
      </c>
      <c r="B216" s="38" t="inlineStr">
        <is>
          <t>角隼尊</t>
        </is>
      </c>
      <c r="C216" s="38" t="inlineStr">
        <is>
          <t>龙</t>
        </is>
      </c>
      <c r="D216" s="262" t="inlineStr">
        <is>
          <t>黄金</t>
        </is>
      </c>
      <c r="E216" s="38" t="inlineStr">
        <is>
          <t>机动</t>
        </is>
      </c>
      <c r="F216" s="38" t="inlineStr">
        <is>
          <t>两格</t>
        </is>
      </c>
      <c r="G216" s="38" t="inlineStr">
        <is>
          <t>bz_van_215</t>
        </is>
      </c>
      <c r="H216" s="38" t="inlineStr">
        <is>
          <t>elem_水, elem_龙, elem_无, special_merchant</t>
        </is>
      </c>
      <c r="I216" s="38" t="n">
        <v>4</v>
      </c>
      <c r="J216" s="456">
        <f>XLOOKUP($D216&amp;"|"&amp;$E216&amp;"|"&amp;$F216,'PET_STAT_RULES'!$A$5:$A$88,'PET_STAT_RULES'!$C$5:$C$88)</f>
        <v/>
      </c>
      <c r="K216" s="456">
        <f>XLOOKUP($D216&amp;"|"&amp;$E216&amp;"|"&amp;$F216,'PET_STAT_RULES'!$A$5:$A$88,'PET_STAT_RULES'!$D$5:$D$88)</f>
        <v/>
      </c>
      <c r="L216" s="456">
        <f>XLOOKUP($D216&amp;"|"&amp;$E216&amp;"|"&amp;$F216,'PET_STAT_RULES'!$A$5:$A$88,'PET_STAT_RULES'!$F$5:$F$88)</f>
        <v/>
      </c>
      <c r="M216" s="456">
        <f>XLOOKUP($D216&amp;"|"&amp;$E216&amp;"|"&amp;$F216,'PET_STAT_RULES'!$A$5:$A$88,'PET_STAT_RULES'!$G$5:$G$88)</f>
        <v/>
      </c>
      <c r="N216" s="38" t="n">
        <v>2</v>
      </c>
      <c r="O216" s="38" t="inlineStr">
        <is>
          <t>none</t>
        </is>
      </c>
      <c r="P216" s="38" t="inlineStr">
        <is>
          <t>12 形状12</t>
        </is>
      </c>
      <c r="Q216" s="38" t="inlineStr">
        <is>
          <t>Turbo</t>
        </is>
      </c>
      <c r="R216" s="38" t="inlineStr">
        <is>
          <t>skill confirmed；来源=Lefty Loosey；攻击2格；仅保留来源商人/训练师关系。</t>
        </is>
      </c>
      <c r="S216" s="38" t="n">
        <v>5</v>
      </c>
      <c r="T216" s="38" t="n">
        <v>2</v>
      </c>
      <c r="U216" s="442" t="inlineStr">
        <is>
          <t>skill_vanguard,skill_flank,skill_pierce,skill_revolve,skill_chase,skill_break,skill_suppress,skill_finale</t>
        </is>
      </c>
      <c r="V216" s="442" t="inlineStr">
        <is>
          <t>trait_relentless</t>
        </is>
      </c>
      <c r="W216" s="457">
        <f>XLOOKUP($D216&amp;"|"&amp;$E216&amp;"|"&amp;$F216,'PET_STAT_RULES'!$A$5:$A$88,'PET_STAT_RULES'!$E$5:$E$88)</f>
        <v/>
      </c>
      <c r="X216" s="385" t="str"/>
      <c r="Y216" s="386" t="inlineStr">
        <is>
          <t>reserved</t>
        </is>
      </c>
      <c r="Z216" s="386" t="str"/>
      <c r="AA216" s="386" t="str"/>
    </row>
    <row r="217">
      <c r="A217" s="38" t="inlineStr">
        <is>
          <t>pal_216</t>
        </is>
      </c>
      <c r="B217" s="38" t="inlineStr">
        <is>
          <t>霆鲭将</t>
        </is>
      </c>
      <c r="C217" s="38" t="inlineStr">
        <is>
          <t>雷</t>
        </is>
      </c>
      <c r="D217" s="265" t="inlineStr">
        <is>
          <t>白银</t>
        </is>
      </c>
      <c r="E217" s="38" t="inlineStr">
        <is>
          <t>机动</t>
        </is>
      </c>
      <c r="F217" s="38" t="inlineStr">
        <is>
          <t>两格</t>
        </is>
      </c>
      <c r="G217" s="38" t="inlineStr">
        <is>
          <t>bz_van_216</t>
        </is>
      </c>
      <c r="H217" s="38" t="inlineStr">
        <is>
          <t>elem_水, elem_雷, elem_龙, elem_无</t>
        </is>
      </c>
      <c r="I217" s="38" t="n">
        <v>4</v>
      </c>
      <c r="J217" s="456">
        <f>XLOOKUP($D217&amp;"|"&amp;$E217&amp;"|"&amp;$F217,'PET_STAT_RULES'!$A$5:$A$88,'PET_STAT_RULES'!$C$5:$C$88)</f>
        <v/>
      </c>
      <c r="K217" s="456">
        <f>XLOOKUP($D217&amp;"|"&amp;$E217&amp;"|"&amp;$F217,'PET_STAT_RULES'!$A$5:$A$88,'PET_STAT_RULES'!$D$5:$D$88)</f>
        <v/>
      </c>
      <c r="L217" s="456">
        <f>XLOOKUP($D217&amp;"|"&amp;$E217&amp;"|"&amp;$F217,'PET_STAT_RULES'!$A$5:$A$88,'PET_STAT_RULES'!$F$5:$F$88)</f>
        <v/>
      </c>
      <c r="M217" s="456">
        <f>XLOOKUP($D217&amp;"|"&amp;$E217&amp;"|"&amp;$F217,'PET_STAT_RULES'!$A$5:$A$88,'PET_STAT_RULES'!$G$5:$G$88)</f>
        <v/>
      </c>
      <c r="N217" s="38" t="n">
        <v>3</v>
      </c>
      <c r="O217" s="38" t="inlineStr">
        <is>
          <t>none</t>
        </is>
      </c>
      <c r="P217" s="38" t="inlineStr">
        <is>
          <t>16 形状16</t>
        </is>
      </c>
      <c r="Q217" s="38" t="inlineStr">
        <is>
          <t>Turbo</t>
        </is>
      </c>
      <c r="R217" s="38" t="inlineStr">
        <is>
          <t>skill confirmed；来源=Lethargy；攻击3格；仅保留来源商人/训练师关系。</t>
        </is>
      </c>
      <c r="S217" s="38" t="n">
        <v>5</v>
      </c>
      <c r="T217" s="38" t="n">
        <v>2</v>
      </c>
      <c r="U217" s="442" t="inlineStr">
        <is>
          <t>skill_vanguard,skill_flank,skill_pierce,skill_revolve,skill_chase,skill_break,skill_suppress,skill_finale</t>
        </is>
      </c>
      <c r="V217" s="442" t="inlineStr">
        <is>
          <t>trait_relentless</t>
        </is>
      </c>
      <c r="W217" s="457">
        <f>XLOOKUP($D217&amp;"|"&amp;$E217&amp;"|"&amp;$F217,'PET_STAT_RULES'!$A$5:$A$88,'PET_STAT_RULES'!$E$5:$E$88)</f>
        <v/>
      </c>
      <c r="X217" s="385" t="str"/>
      <c r="Y217" s="386" t="inlineStr">
        <is>
          <t>reserved</t>
        </is>
      </c>
      <c r="Z217" s="386" t="str"/>
      <c r="AA217" s="386" t="str"/>
    </row>
    <row r="218">
      <c r="A218" s="38" t="inlineStr">
        <is>
          <t>pal_217</t>
        </is>
      </c>
      <c r="B218" s="38" t="inlineStr">
        <is>
          <t>震雀将</t>
        </is>
      </c>
      <c r="C218" s="38" t="inlineStr">
        <is>
          <t>雷</t>
        </is>
      </c>
      <c r="D218" s="265" t="inlineStr">
        <is>
          <t>白银</t>
        </is>
      </c>
      <c r="E218" s="38" t="inlineStr">
        <is>
          <t>经济</t>
        </is>
      </c>
      <c r="F218" s="38" t="inlineStr">
        <is>
          <t>两格</t>
        </is>
      </c>
      <c r="G218" s="38" t="inlineStr">
        <is>
          <t>bz_van_217</t>
        </is>
      </c>
      <c r="H218" s="38" t="inlineStr">
        <is>
          <t>elem_水, elem_雷, elem_龙, elem_无, role_坦克</t>
        </is>
      </c>
      <c r="I218" s="38" t="n">
        <v>5</v>
      </c>
      <c r="J218" s="456">
        <f>XLOOKUP($D218&amp;"|"&amp;$E218&amp;"|"&amp;$F218,'PET_STAT_RULES'!$A$5:$A$88,'PET_STAT_RULES'!$C$5:$C$88)</f>
        <v/>
      </c>
      <c r="K218" s="456">
        <f>XLOOKUP($D218&amp;"|"&amp;$E218&amp;"|"&amp;$F218,'PET_STAT_RULES'!$A$5:$A$88,'PET_STAT_RULES'!$D$5:$D$88)</f>
        <v/>
      </c>
      <c r="L218" s="456">
        <f>XLOOKUP($D218&amp;"|"&amp;$E218&amp;"|"&amp;$F218,'PET_STAT_RULES'!$A$5:$A$88,'PET_STAT_RULES'!$F$5:$F$88)</f>
        <v/>
      </c>
      <c r="M218" s="456">
        <f>XLOOKUP($D218&amp;"|"&amp;$E218&amp;"|"&amp;$F218,'PET_STAT_RULES'!$A$5:$A$88,'PET_STAT_RULES'!$G$5:$G$88)</f>
        <v/>
      </c>
      <c r="N218" s="38" t="n">
        <v>2</v>
      </c>
      <c r="O218" s="38" t="inlineStr">
        <is>
          <t>none</t>
        </is>
      </c>
      <c r="P218" s="38" t="inlineStr">
        <is>
          <t>09 形状09</t>
        </is>
      </c>
      <c r="Q218" s="38" t="inlineStr">
        <is>
          <t>Golden</t>
        </is>
      </c>
      <c r="R218" s="38" t="inlineStr">
        <is>
          <t>skill confirmed；来源=Lifting；攻击2格；仅保留来源商人/训练师关系。</t>
        </is>
      </c>
      <c r="S218" s="38" t="n">
        <v>3</v>
      </c>
      <c r="T218" s="38" t="n">
        <v>2</v>
      </c>
      <c r="U218" s="442" t="inlineStr">
        <is>
          <t>skill_vanguard,skill_flank,skill_pierce,skill_revolve,skill_chase,skill_break,skill_suppress,skill_finale</t>
        </is>
      </c>
      <c r="V218" s="442" t="inlineStr">
        <is>
          <t>trait_combo_resonance</t>
        </is>
      </c>
      <c r="W218" s="457">
        <f>XLOOKUP($D218&amp;"|"&amp;$E218&amp;"|"&amp;$F218,'PET_STAT_RULES'!$A$5:$A$88,'PET_STAT_RULES'!$E$5:$E$88)</f>
        <v/>
      </c>
      <c r="X218" s="385" t="str"/>
      <c r="Y218" s="386" t="inlineStr">
        <is>
          <t>reserved</t>
        </is>
      </c>
      <c r="Z218" s="386" t="str"/>
      <c r="AA218" s="386" t="str"/>
    </row>
    <row r="219">
      <c r="A219" s="38" t="inlineStr">
        <is>
          <t>pal_218</t>
        </is>
      </c>
      <c r="B219" s="38" t="inlineStr">
        <is>
          <t>赤鹤皇</t>
        </is>
      </c>
      <c r="C219" s="38" t="inlineStr">
        <is>
          <t>火、水</t>
        </is>
      </c>
      <c r="D219" s="268" t="inlineStr">
        <is>
          <t>钻石</t>
        </is>
      </c>
      <c r="E219" s="38" t="inlineStr">
        <is>
          <t>治疗</t>
        </is>
      </c>
      <c r="F219" s="38" t="inlineStr">
        <is>
          <t>两格</t>
        </is>
      </c>
      <c r="G219" s="38" t="inlineStr">
        <is>
          <t>bz_van_218</t>
        </is>
      </c>
      <c r="H219" s="38" t="inlineStr">
        <is>
          <t>elem_水, elem_龙, role_治疗</t>
        </is>
      </c>
      <c r="I219" s="38" t="n">
        <v>3</v>
      </c>
      <c r="J219" s="456">
        <f>XLOOKUP($D219&amp;"|"&amp;$E219&amp;"|"&amp;$F219,'PET_STAT_RULES'!$A$5:$A$88,'PET_STAT_RULES'!$C$5:$C$88)</f>
        <v/>
      </c>
      <c r="K219" s="456">
        <f>XLOOKUP($D219&amp;"|"&amp;$E219&amp;"|"&amp;$F219,'PET_STAT_RULES'!$A$5:$A$88,'PET_STAT_RULES'!$D$5:$D$88)</f>
        <v/>
      </c>
      <c r="L219" s="456">
        <f>XLOOKUP($D219&amp;"|"&amp;$E219&amp;"|"&amp;$F219,'PET_STAT_RULES'!$A$5:$A$88,'PET_STAT_RULES'!$F$5:$F$88)</f>
        <v/>
      </c>
      <c r="M219" s="456">
        <f>XLOOKUP($D219&amp;"|"&amp;$E219&amp;"|"&amp;$F219,'PET_STAT_RULES'!$A$5:$A$88,'PET_STAT_RULES'!$G$5:$G$88)</f>
        <v/>
      </c>
      <c r="N219" s="38" t="n">
        <v>3</v>
      </c>
      <c r="O219" s="38" t="inlineStr">
        <is>
          <t>mech_fire_ignite_bonus</t>
        </is>
      </c>
      <c r="P219" s="38" t="inlineStr">
        <is>
          <t>17 形状17</t>
        </is>
      </c>
      <c r="Q219" s="38" t="inlineStr">
        <is>
          <t>Fiery</t>
        </is>
      </c>
      <c r="R219" s="38" t="inlineStr">
        <is>
          <t>skill confirmed；来源=Living Flame；攻击3格；仅保留来源商人/训练师关系。</t>
        </is>
      </c>
      <c r="S219" s="38" t="n">
        <v>3</v>
      </c>
      <c r="T219" s="38" t="n">
        <v>3</v>
      </c>
      <c r="U219" s="442" t="inlineStr">
        <is>
          <t>skill_vanguard,skill_flank,skill_pierce,skill_revolve,skill_chase,skill_break,skill_suppress,skill_finale</t>
        </is>
      </c>
      <c r="V219" s="442" t="inlineStr">
        <is>
          <t>trait_element_affinity</t>
        </is>
      </c>
      <c r="W219" s="457">
        <f>XLOOKUP($D219&amp;"|"&amp;$E219&amp;"|"&amp;$F219,'PET_STAT_RULES'!$A$5:$A$88,'PET_STAT_RULES'!$E$5:$E$88)</f>
        <v/>
      </c>
      <c r="X219" s="385" t="str"/>
      <c r="Y219" s="386" t="inlineStr">
        <is>
          <t>reserved</t>
        </is>
      </c>
      <c r="Z219" s="386" t="str"/>
      <c r="AA219" s="386" t="str"/>
    </row>
    <row r="220">
      <c r="A220" s="38" t="inlineStr">
        <is>
          <t>pal_219</t>
        </is>
      </c>
      <c r="B220" s="38" t="inlineStr">
        <is>
          <t>霆狼妖</t>
        </is>
      </c>
      <c r="C220" s="38" t="inlineStr">
        <is>
          <t>雷</t>
        </is>
      </c>
      <c r="D220" s="265" t="inlineStr">
        <is>
          <t>白银</t>
        </is>
      </c>
      <c r="E220" s="38" t="inlineStr">
        <is>
          <t>输出</t>
        </is>
      </c>
      <c r="F220" s="38" t="inlineStr">
        <is>
          <t>两格</t>
        </is>
      </c>
      <c r="G220" s="38" t="inlineStr">
        <is>
          <t>bz_van_219</t>
        </is>
      </c>
      <c r="H220" s="38" t="inlineStr">
        <is>
          <t>elem_水, elem_雷, elem_地, elem_龙, elem_无, tier_pT1</t>
        </is>
      </c>
      <c r="I220" s="38" t="n">
        <v>6</v>
      </c>
      <c r="J220" s="456">
        <f>XLOOKUP($D220&amp;"|"&amp;$E220&amp;"|"&amp;$F220,'PET_STAT_RULES'!$A$5:$A$88,'PET_STAT_RULES'!$C$5:$C$88)</f>
        <v/>
      </c>
      <c r="K220" s="456">
        <f>XLOOKUP($D220&amp;"|"&amp;$E220&amp;"|"&amp;$F220,'PET_STAT_RULES'!$A$5:$A$88,'PET_STAT_RULES'!$D$5:$D$88)</f>
        <v/>
      </c>
      <c r="L220" s="456">
        <f>XLOOKUP($D220&amp;"|"&amp;$E220&amp;"|"&amp;$F220,'PET_STAT_RULES'!$A$5:$A$88,'PET_STAT_RULES'!$F$5:$F$88)</f>
        <v/>
      </c>
      <c r="M220" s="456">
        <f>XLOOKUP($D220&amp;"|"&amp;$E220&amp;"|"&amp;$F220,'PET_STAT_RULES'!$A$5:$A$88,'PET_STAT_RULES'!$G$5:$G$88)</f>
        <v/>
      </c>
      <c r="N220" s="38" t="n">
        <v>2</v>
      </c>
      <c r="O220" s="38" t="inlineStr">
        <is>
          <t>mech_grow_atk_each_round</t>
        </is>
      </c>
      <c r="P220" s="38" t="inlineStr">
        <is>
          <t>08 形状08</t>
        </is>
      </c>
      <c r="Q220" s="38" t="inlineStr">
        <is>
          <t>Deadly</t>
        </is>
      </c>
      <c r="R220" s="38" t="inlineStr">
        <is>
          <t>skill confirmed；来源=Loaded Fury；攻击2格；仅保留来源商人/训练师关系。</t>
        </is>
      </c>
      <c r="S220" s="38" t="n">
        <v>3</v>
      </c>
      <c r="T220" s="38" t="n">
        <v>2</v>
      </c>
      <c r="U220" s="442" t="inlineStr">
        <is>
          <t>skill_vanguard,skill_flank,skill_pierce,skill_revolve,skill_chase,skill_break,skill_suppress,skill_finale</t>
        </is>
      </c>
      <c r="V220" s="442" t="inlineStr">
        <is>
          <t>trait_relentless</t>
        </is>
      </c>
      <c r="W220" s="457">
        <f>XLOOKUP($D220&amp;"|"&amp;$E220&amp;"|"&amp;$F220,'PET_STAT_RULES'!$A$5:$A$88,'PET_STAT_RULES'!$E$5:$E$88)</f>
        <v/>
      </c>
      <c r="X220" s="385" t="str"/>
      <c r="Y220" s="386" t="inlineStr">
        <is>
          <t>reserved</t>
        </is>
      </c>
      <c r="Z220" s="386" t="str"/>
      <c r="AA220" s="386" t="str"/>
    </row>
    <row r="221">
      <c r="A221" s="38" t="inlineStr">
        <is>
          <t>pal_220</t>
        </is>
      </c>
      <c r="B221" s="38" t="inlineStr">
        <is>
          <t>碧雀君</t>
        </is>
      </c>
      <c r="C221" s="38" t="inlineStr">
        <is>
          <t>水</t>
        </is>
      </c>
      <c r="D221" s="262" t="inlineStr">
        <is>
          <t>黄金</t>
        </is>
      </c>
      <c r="E221" s="38" t="inlineStr">
        <is>
          <t>机动</t>
        </is>
      </c>
      <c r="F221" s="38" t="inlineStr">
        <is>
          <t>两格</t>
        </is>
      </c>
      <c r="G221" s="38" t="inlineStr">
        <is>
          <t>bz_van_220</t>
        </is>
      </c>
      <c r="H221" s="38" t="inlineStr">
        <is>
          <t>elem_水, elem_地, elem_龙, elem_无</t>
        </is>
      </c>
      <c r="I221" s="38" t="n">
        <v>4</v>
      </c>
      <c r="J221" s="456">
        <f>XLOOKUP($D221&amp;"|"&amp;$E221&amp;"|"&amp;$F221,'PET_STAT_RULES'!$A$5:$A$88,'PET_STAT_RULES'!$C$5:$C$88)</f>
        <v/>
      </c>
      <c r="K221" s="456">
        <f>XLOOKUP($D221&amp;"|"&amp;$E221&amp;"|"&amp;$F221,'PET_STAT_RULES'!$A$5:$A$88,'PET_STAT_RULES'!$D$5:$D$88)</f>
        <v/>
      </c>
      <c r="L221" s="456">
        <f>XLOOKUP($D221&amp;"|"&amp;$E221&amp;"|"&amp;$F221,'PET_STAT_RULES'!$A$5:$A$88,'PET_STAT_RULES'!$F$5:$F$88)</f>
        <v/>
      </c>
      <c r="M221" s="456">
        <f>XLOOKUP($D221&amp;"|"&amp;$E221&amp;"|"&amp;$F221,'PET_STAT_RULES'!$A$5:$A$88,'PET_STAT_RULES'!$G$5:$G$88)</f>
        <v/>
      </c>
      <c r="N221" s="38" t="n">
        <v>2</v>
      </c>
      <c r="O221" s="38" t="inlineStr">
        <is>
          <t>none</t>
        </is>
      </c>
      <c r="P221" s="38" t="inlineStr">
        <is>
          <t>11 形状11</t>
        </is>
      </c>
      <c r="Q221" s="38" t="inlineStr">
        <is>
          <t>Turbo</t>
        </is>
      </c>
      <c r="R221" s="38" t="inlineStr">
        <is>
          <t>skill confirmed；来源=Master Diver；攻击2格；仅保留来源商人/训练师关系。</t>
        </is>
      </c>
      <c r="S221" s="38" t="n">
        <v>5</v>
      </c>
      <c r="T221" s="38" t="n">
        <v>2</v>
      </c>
      <c r="U221" s="442" t="inlineStr">
        <is>
          <t>skill_vanguard,skill_flank,skill_pierce,skill_revolve,skill_chase,skill_break,skill_suppress,skill_finale</t>
        </is>
      </c>
      <c r="V221" s="442" t="inlineStr">
        <is>
          <t>trait_relentless</t>
        </is>
      </c>
      <c r="W221" s="457">
        <f>XLOOKUP($D221&amp;"|"&amp;$E221&amp;"|"&amp;$F221,'PET_STAT_RULES'!$A$5:$A$88,'PET_STAT_RULES'!$E$5:$E$88)</f>
        <v/>
      </c>
      <c r="X221" s="385" t="str"/>
      <c r="Y221" s="386" t="inlineStr">
        <is>
          <t>reserved</t>
        </is>
      </c>
      <c r="Z221" s="386" t="str"/>
      <c r="AA221" s="386" t="str"/>
    </row>
    <row r="222">
      <c r="A222" s="38" t="inlineStr">
        <is>
          <t>pal_221</t>
        </is>
      </c>
      <c r="B222" s="38" t="inlineStr">
        <is>
          <t>霆虎神</t>
        </is>
      </c>
      <c r="C222" s="38" t="inlineStr">
        <is>
          <t>雷</t>
        </is>
      </c>
      <c r="D222" s="268" t="inlineStr">
        <is>
          <t>钻石</t>
        </is>
      </c>
      <c r="E222" s="38" t="inlineStr">
        <is>
          <t>输出</t>
        </is>
      </c>
      <c r="F222" s="38" t="inlineStr">
        <is>
          <t>两格</t>
        </is>
      </c>
      <c r="G222" s="38" t="inlineStr">
        <is>
          <t>bz_van_221</t>
        </is>
      </c>
      <c r="H222" s="38" t="inlineStr">
        <is>
          <t>elem_水, elem_地, elem_龙, role_坦克, tier_pT1</t>
        </is>
      </c>
      <c r="I222" s="38" t="n">
        <v>5</v>
      </c>
      <c r="J222" s="456">
        <f>XLOOKUP($D222&amp;"|"&amp;$E222&amp;"|"&amp;$F222,'PET_STAT_RULES'!$A$5:$A$88,'PET_STAT_RULES'!$C$5:$C$88)</f>
        <v/>
      </c>
      <c r="K222" s="456">
        <f>XLOOKUP($D222&amp;"|"&amp;$E222&amp;"|"&amp;$F222,'PET_STAT_RULES'!$A$5:$A$88,'PET_STAT_RULES'!$D$5:$D$88)</f>
        <v/>
      </c>
      <c r="L222" s="456">
        <f>XLOOKUP($D222&amp;"|"&amp;$E222&amp;"|"&amp;$F222,'PET_STAT_RULES'!$A$5:$A$88,'PET_STAT_RULES'!$F$5:$F$88)</f>
        <v/>
      </c>
      <c r="M222" s="456">
        <f>XLOOKUP($D222&amp;"|"&amp;$E222&amp;"|"&amp;$F222,'PET_STAT_RULES'!$A$5:$A$88,'PET_STAT_RULES'!$G$5:$G$88)</f>
        <v/>
      </c>
      <c r="N222" s="38" t="n">
        <v>3</v>
      </c>
      <c r="O222" s="38" t="inlineStr">
        <is>
          <t>mech_grow_atk_each_round</t>
        </is>
      </c>
      <c r="P222" s="38" t="inlineStr">
        <is>
          <t>14 形状14</t>
        </is>
      </c>
      <c r="Q222" s="38" t="inlineStr">
        <is>
          <t>Deadly</t>
        </is>
      </c>
      <c r="R222" s="38" t="inlineStr">
        <is>
          <t>skill confirmed；来源=Master Sniper；攻击3格；仅保留来源商人/训练师关系。</t>
        </is>
      </c>
      <c r="S222" s="38" t="n">
        <v>3</v>
      </c>
      <c r="T222" s="38" t="n">
        <v>3</v>
      </c>
      <c r="U222" s="442" t="inlineStr">
        <is>
          <t>skill_vanguard,skill_flank,skill_pierce,skill_revolve,skill_chase,skill_break,skill_suppress,skill_finale</t>
        </is>
      </c>
      <c r="V222" s="442" t="inlineStr">
        <is>
          <t>trait_relentless</t>
        </is>
      </c>
      <c r="W222" s="457">
        <f>XLOOKUP($D222&amp;"|"&amp;$E222&amp;"|"&amp;$F222,'PET_STAT_RULES'!$A$5:$A$88,'PET_STAT_RULES'!$E$5:$E$88)</f>
        <v/>
      </c>
      <c r="X222" s="385" t="str"/>
      <c r="Y222" s="386" t="inlineStr">
        <is>
          <t>reserved</t>
        </is>
      </c>
      <c r="Z222" s="386" t="str"/>
      <c r="AA222" s="386" t="str"/>
    </row>
    <row r="223">
      <c r="A223" s="38" t="inlineStr">
        <is>
          <t>pal_222</t>
        </is>
      </c>
      <c r="B223" s="38" t="inlineStr">
        <is>
          <t>雷猿王</t>
        </is>
      </c>
      <c r="C223" s="38" t="inlineStr">
        <is>
          <t>雷</t>
        </is>
      </c>
      <c r="D223" s="262" t="inlineStr">
        <is>
          <t>黄金</t>
        </is>
      </c>
      <c r="E223" s="38" t="inlineStr">
        <is>
          <t>机动</t>
        </is>
      </c>
      <c r="F223" s="38" t="inlineStr">
        <is>
          <t>两格</t>
        </is>
      </c>
      <c r="G223" s="38" t="inlineStr">
        <is>
          <t>bz_van_222</t>
        </is>
      </c>
      <c r="H223" s="38" t="inlineStr">
        <is>
          <t>elem_水, elem_龙, elem_无, role_坦克, special_merchant</t>
        </is>
      </c>
      <c r="I223" s="38" t="n">
        <v>5</v>
      </c>
      <c r="J223" s="456">
        <f>XLOOKUP($D223&amp;"|"&amp;$E223&amp;"|"&amp;$F223,'PET_STAT_RULES'!$A$5:$A$88,'PET_STAT_RULES'!$C$5:$C$88)</f>
        <v/>
      </c>
      <c r="K223" s="456">
        <f>XLOOKUP($D223&amp;"|"&amp;$E223&amp;"|"&amp;$F223,'PET_STAT_RULES'!$A$5:$A$88,'PET_STAT_RULES'!$D$5:$D$88)</f>
        <v/>
      </c>
      <c r="L223" s="456">
        <f>XLOOKUP($D223&amp;"|"&amp;$E223&amp;"|"&amp;$F223,'PET_STAT_RULES'!$A$5:$A$88,'PET_STAT_RULES'!$F$5:$F$88)</f>
        <v/>
      </c>
      <c r="M223" s="456">
        <f>XLOOKUP($D223&amp;"|"&amp;$E223&amp;"|"&amp;$F223,'PET_STAT_RULES'!$A$5:$A$88,'PET_STAT_RULES'!$G$5:$G$88)</f>
        <v/>
      </c>
      <c r="N223" s="38" t="n">
        <v>2</v>
      </c>
      <c r="O223" s="38" t="inlineStr">
        <is>
          <t>none</t>
        </is>
      </c>
      <c r="P223" s="38" t="inlineStr">
        <is>
          <t>11 形状11</t>
        </is>
      </c>
      <c r="Q223" s="38" t="inlineStr">
        <is>
          <t>Turbo</t>
        </is>
      </c>
      <c r="R223" s="38" t="inlineStr">
        <is>
          <t>skill confirmed；来源=Mixed Message；攻击2格；仅保留来源商人/训练师关系。</t>
        </is>
      </c>
      <c r="S223" s="38" t="n">
        <v>5</v>
      </c>
      <c r="T223" s="38" t="n">
        <v>2</v>
      </c>
      <c r="U223" s="442" t="inlineStr">
        <is>
          <t>skill_vanguard,skill_flank,skill_pierce,skill_revolve,skill_chase,skill_break,skill_suppress,skill_finale</t>
        </is>
      </c>
      <c r="V223" s="442" t="inlineStr">
        <is>
          <t>trait_relentless</t>
        </is>
      </c>
      <c r="W223" s="457">
        <f>XLOOKUP($D223&amp;"|"&amp;$E223&amp;"|"&amp;$F223,'PET_STAT_RULES'!$A$5:$A$88,'PET_STAT_RULES'!$E$5:$E$88)</f>
        <v/>
      </c>
      <c r="X223" s="385" t="str"/>
      <c r="Y223" s="386" t="inlineStr">
        <is>
          <t>reserved</t>
        </is>
      </c>
      <c r="Z223" s="386" t="str"/>
      <c r="AA223" s="386" t="str"/>
    </row>
    <row r="224">
      <c r="A224" s="38" t="inlineStr">
        <is>
          <t>pal_223</t>
        </is>
      </c>
      <c r="B224" s="38" t="inlineStr">
        <is>
          <t>燎蚌皇</t>
        </is>
      </c>
      <c r="C224" s="38" t="inlineStr">
        <is>
          <t>火、水</t>
        </is>
      </c>
      <c r="D224" s="268" t="inlineStr">
        <is>
          <t>钻石</t>
        </is>
      </c>
      <c r="E224" s="38" t="inlineStr">
        <is>
          <t>治疗</t>
        </is>
      </c>
      <c r="F224" s="38" t="inlineStr">
        <is>
          <t>两格</t>
        </is>
      </c>
      <c r="G224" s="38" t="inlineStr">
        <is>
          <t>bz_van_223</t>
        </is>
      </c>
      <c r="H224" s="38" t="inlineStr">
        <is>
          <t>elem_水, elem_龙, role_治疗, tier_pT2</t>
        </is>
      </c>
      <c r="I224" s="38" t="n">
        <v>4</v>
      </c>
      <c r="J224" s="456">
        <f>XLOOKUP($D224&amp;"|"&amp;$E224&amp;"|"&amp;$F224,'PET_STAT_RULES'!$A$5:$A$88,'PET_STAT_RULES'!$C$5:$C$88)</f>
        <v/>
      </c>
      <c r="K224" s="456">
        <f>XLOOKUP($D224&amp;"|"&amp;$E224&amp;"|"&amp;$F224,'PET_STAT_RULES'!$A$5:$A$88,'PET_STAT_RULES'!$D$5:$D$88)</f>
        <v/>
      </c>
      <c r="L224" s="456">
        <f>XLOOKUP($D224&amp;"|"&amp;$E224&amp;"|"&amp;$F224,'PET_STAT_RULES'!$A$5:$A$88,'PET_STAT_RULES'!$F$5:$F$88)</f>
        <v/>
      </c>
      <c r="M224" s="456">
        <f>XLOOKUP($D224&amp;"|"&amp;$E224&amp;"|"&amp;$F224,'PET_STAT_RULES'!$A$5:$A$88,'PET_STAT_RULES'!$G$5:$G$88)</f>
        <v/>
      </c>
      <c r="N224" s="38" t="n">
        <v>2</v>
      </c>
      <c r="O224" s="38" t="inlineStr">
        <is>
          <t>mech_fire_ignite_bonus</t>
        </is>
      </c>
      <c r="P224" s="38" t="inlineStr">
        <is>
          <t>10 形状10</t>
        </is>
      </c>
      <c r="Q224" s="38" t="inlineStr">
        <is>
          <t>Fiery</t>
        </is>
      </c>
      <c r="R224" s="38" t="inlineStr">
        <is>
          <t>skill confirmed；来源=Moth to a Flame；攻击2格；仅保留来源商人/训练师关系。</t>
        </is>
      </c>
      <c r="S224" s="38" t="n">
        <v>3</v>
      </c>
      <c r="T224" s="38" t="n">
        <v>3</v>
      </c>
      <c r="U224" s="442" t="inlineStr">
        <is>
          <t>skill_vanguard,skill_flank,skill_pierce,skill_revolve,skill_chase,skill_break,skill_suppress,skill_finale</t>
        </is>
      </c>
      <c r="V224" s="442" t="inlineStr">
        <is>
          <t>trait_element_affinity</t>
        </is>
      </c>
      <c r="W224" s="457">
        <f>XLOOKUP($D224&amp;"|"&amp;$E224&amp;"|"&amp;$F224,'PET_STAT_RULES'!$A$5:$A$88,'PET_STAT_RULES'!$E$5:$E$88)</f>
        <v/>
      </c>
      <c r="X224" s="385" t="str"/>
      <c r="Y224" s="386" t="inlineStr">
        <is>
          <t>reserved</t>
        </is>
      </c>
      <c r="Z224" s="386" t="str"/>
      <c r="AA224" s="386" t="str"/>
    </row>
    <row r="225">
      <c r="A225" s="38" t="inlineStr">
        <is>
          <t>pal_224</t>
        </is>
      </c>
      <c r="B225" s="38" t="inlineStr">
        <is>
          <t>夜蝎卫</t>
        </is>
      </c>
      <c r="C225" s="38" t="inlineStr">
        <is>
          <t>暗</t>
        </is>
      </c>
      <c r="D225" s="265" t="inlineStr">
        <is>
          <t>白银</t>
        </is>
      </c>
      <c r="E225" s="38" t="inlineStr">
        <is>
          <t>控制</t>
        </is>
      </c>
      <c r="F225" s="38" t="inlineStr">
        <is>
          <t>两格</t>
        </is>
      </c>
      <c r="G225" s="38" t="inlineStr">
        <is>
          <t>bz_van_224</t>
        </is>
      </c>
      <c r="H225" s="38" t="inlineStr">
        <is>
          <t>elem_水, elem_雷, elem_龙, elem_无, role_经济</t>
        </is>
      </c>
      <c r="I225" s="38" t="n">
        <v>5</v>
      </c>
      <c r="J225" s="456">
        <f>XLOOKUP($D225&amp;"|"&amp;$E225&amp;"|"&amp;$F225,'PET_STAT_RULES'!$A$5:$A$88,'PET_STAT_RULES'!$C$5:$C$88)</f>
        <v/>
      </c>
      <c r="K225" s="456">
        <f>XLOOKUP($D225&amp;"|"&amp;$E225&amp;"|"&amp;$F225,'PET_STAT_RULES'!$A$5:$A$88,'PET_STAT_RULES'!$D$5:$D$88)</f>
        <v/>
      </c>
      <c r="L225" s="456">
        <f>XLOOKUP($D225&amp;"|"&amp;$E225&amp;"|"&amp;$F225,'PET_STAT_RULES'!$A$5:$A$88,'PET_STAT_RULES'!$F$5:$F$88)</f>
        <v/>
      </c>
      <c r="M225" s="456">
        <f>XLOOKUP($D225&amp;"|"&amp;$E225&amp;"|"&amp;$F225,'PET_STAT_RULES'!$A$5:$A$88,'PET_STAT_RULES'!$G$5:$G$88)</f>
        <v/>
      </c>
      <c r="N225" s="38" t="n">
        <v>3</v>
      </c>
      <c r="O225" s="38" t="inlineStr">
        <is>
          <t>mech_counter_damage</t>
        </is>
      </c>
      <c r="P225" s="38" t="inlineStr">
        <is>
          <t>14 形状14</t>
        </is>
      </c>
      <c r="Q225" s="38" t="inlineStr">
        <is>
          <t>Icy</t>
        </is>
      </c>
      <c r="R225" s="38" t="inlineStr">
        <is>
          <t>skill confirmed；来源=Net Launcher；攻击3格；仅保留来源商人/训练师关系。</t>
        </is>
      </c>
      <c r="S225" s="38" t="n">
        <v>4</v>
      </c>
      <c r="T225" s="38" t="n">
        <v>2</v>
      </c>
      <c r="U225" s="442" t="inlineStr">
        <is>
          <t>skill_vanguard,skill_flank,skill_pierce,skill_revolve,skill_chase,skill_break,skill_suppress,skill_finale</t>
        </is>
      </c>
      <c r="V225" s="442" t="inlineStr">
        <is>
          <t>trait_element_affinity</t>
        </is>
      </c>
      <c r="W225" s="457">
        <f>XLOOKUP($D225&amp;"|"&amp;$E225&amp;"|"&amp;$F225,'PET_STAT_RULES'!$A$5:$A$88,'PET_STAT_RULES'!$E$5:$E$88)</f>
        <v/>
      </c>
      <c r="X225" s="385" t="str"/>
      <c r="Y225" s="386" t="inlineStr">
        <is>
          <t>reserved</t>
        </is>
      </c>
      <c r="Z225" s="386" t="str"/>
      <c r="AA225" s="386" t="str"/>
    </row>
    <row r="226">
      <c r="A226" s="38" t="inlineStr">
        <is>
          <t>pal_225</t>
        </is>
      </c>
      <c r="B226" s="38" t="inlineStr">
        <is>
          <t>星隼精</t>
        </is>
      </c>
      <c r="C226" s="38" t="inlineStr">
        <is>
          <t>无</t>
        </is>
      </c>
      <c r="D226" s="265" t="inlineStr">
        <is>
          <t>白银</t>
        </is>
      </c>
      <c r="E226" s="38" t="inlineStr">
        <is>
          <t>输出</t>
        </is>
      </c>
      <c r="F226" s="38" t="inlineStr">
        <is>
          <t>两格</t>
        </is>
      </c>
      <c r="G226" s="38" t="inlineStr">
        <is>
          <t>bz_van_225</t>
        </is>
      </c>
      <c r="H226" s="38" t="inlineStr">
        <is>
          <t>elem_水, elem_雷, elem_龙, elem_无, role_坦克</t>
        </is>
      </c>
      <c r="I226" s="38" t="n">
        <v>5</v>
      </c>
      <c r="J226" s="456">
        <f>XLOOKUP($D226&amp;"|"&amp;$E226&amp;"|"&amp;$F226,'PET_STAT_RULES'!$A$5:$A$88,'PET_STAT_RULES'!$C$5:$C$88)</f>
        <v/>
      </c>
      <c r="K226" s="456">
        <f>XLOOKUP($D226&amp;"|"&amp;$E226&amp;"|"&amp;$F226,'PET_STAT_RULES'!$A$5:$A$88,'PET_STAT_RULES'!$D$5:$D$88)</f>
        <v/>
      </c>
      <c r="L226" s="456">
        <f>XLOOKUP($D226&amp;"|"&amp;$E226&amp;"|"&amp;$F226,'PET_STAT_RULES'!$A$5:$A$88,'PET_STAT_RULES'!$F$5:$F$88)</f>
        <v/>
      </c>
      <c r="M226" s="456">
        <f>XLOOKUP($D226&amp;"|"&amp;$E226&amp;"|"&amp;$F226,'PET_STAT_RULES'!$A$5:$A$88,'PET_STAT_RULES'!$G$5:$G$88)</f>
        <v/>
      </c>
      <c r="N226" s="38" t="n">
        <v>3</v>
      </c>
      <c r="O226" s="38" t="inlineStr">
        <is>
          <t>mech_grow_atk_each_round</t>
        </is>
      </c>
      <c r="P226" s="38" t="inlineStr">
        <is>
          <t>17 形状17</t>
        </is>
      </c>
      <c r="Q226" s="38" t="inlineStr">
        <is>
          <t>Deadly</t>
        </is>
      </c>
      <c r="R226" s="38" t="inlineStr">
        <is>
          <t>skill confirmed；来源=Noisy Cricket；攻击3格；仅保留来源商人/训练师关系。</t>
        </is>
      </c>
      <c r="S226" s="38" t="n">
        <v>3</v>
      </c>
      <c r="T226" s="38" t="n">
        <v>2</v>
      </c>
      <c r="U226" s="442" t="inlineStr">
        <is>
          <t>skill_vanguard,skill_flank,skill_pierce,skill_revolve,skill_chase,skill_break,skill_suppress,skill_finale</t>
        </is>
      </c>
      <c r="V226" s="442" t="inlineStr">
        <is>
          <t>trait_relentless</t>
        </is>
      </c>
      <c r="W226" s="457">
        <f>XLOOKUP($D226&amp;"|"&amp;$E226&amp;"|"&amp;$F226,'PET_STAT_RULES'!$A$5:$A$88,'PET_STAT_RULES'!$E$5:$E$88)</f>
        <v/>
      </c>
      <c r="X226" s="385" t="str"/>
      <c r="Y226" s="386" t="inlineStr">
        <is>
          <t>reserved</t>
        </is>
      </c>
      <c r="Z226" s="386" t="str"/>
      <c r="AA226" s="386" t="str"/>
    </row>
    <row r="227">
      <c r="A227" s="38" t="inlineStr">
        <is>
          <t>pal_226</t>
        </is>
      </c>
      <c r="B227" s="38" t="inlineStr">
        <is>
          <t>潮雀妖</t>
        </is>
      </c>
      <c r="C227" s="38" t="inlineStr">
        <is>
          <t>水</t>
        </is>
      </c>
      <c r="D227" s="265" t="inlineStr">
        <is>
          <t>白银</t>
        </is>
      </c>
      <c r="E227" s="38" t="inlineStr">
        <is>
          <t>机动</t>
        </is>
      </c>
      <c r="F227" s="38" t="inlineStr">
        <is>
          <t>两格</t>
        </is>
      </c>
      <c r="G227" s="38" t="inlineStr">
        <is>
          <t>bz_van_226</t>
        </is>
      </c>
      <c r="H227" s="38" t="inlineStr">
        <is>
          <t>elem_水, elem_雷, elem_地, elem_龙, elem_无, special_merchant</t>
        </is>
      </c>
      <c r="I227" s="38" t="n">
        <v>6</v>
      </c>
      <c r="J227" s="456">
        <f>XLOOKUP($D227&amp;"|"&amp;$E227&amp;"|"&amp;$F227,'PET_STAT_RULES'!$A$5:$A$88,'PET_STAT_RULES'!$C$5:$C$88)</f>
        <v/>
      </c>
      <c r="K227" s="456">
        <f>XLOOKUP($D227&amp;"|"&amp;$E227&amp;"|"&amp;$F227,'PET_STAT_RULES'!$A$5:$A$88,'PET_STAT_RULES'!$D$5:$D$88)</f>
        <v/>
      </c>
      <c r="L227" s="456">
        <f>XLOOKUP($D227&amp;"|"&amp;$E227&amp;"|"&amp;$F227,'PET_STAT_RULES'!$A$5:$A$88,'PET_STAT_RULES'!$F$5:$F$88)</f>
        <v/>
      </c>
      <c r="M227" s="456">
        <f>XLOOKUP($D227&amp;"|"&amp;$E227&amp;"|"&amp;$F227,'PET_STAT_RULES'!$A$5:$A$88,'PET_STAT_RULES'!$G$5:$G$88)</f>
        <v/>
      </c>
      <c r="N227" s="38" t="n">
        <v>2</v>
      </c>
      <c r="O227" s="38" t="inlineStr">
        <is>
          <t>none</t>
        </is>
      </c>
      <c r="P227" s="38" t="inlineStr">
        <is>
          <t>11 形状11</t>
        </is>
      </c>
      <c r="Q227" s="38" t="inlineStr">
        <is>
          <t>Turbo</t>
        </is>
      </c>
      <c r="R227" s="38" t="inlineStr">
        <is>
          <t>skill confirmed；来源=Oceanic Rush；攻击2格；仅保留来源商人/训练师关系。</t>
        </is>
      </c>
      <c r="S227" s="38" t="n">
        <v>5</v>
      </c>
      <c r="T227" s="38" t="n">
        <v>2</v>
      </c>
      <c r="U227" s="442" t="inlineStr">
        <is>
          <t>skill_vanguard,skill_flank,skill_pierce,skill_revolve,skill_chase,skill_break,skill_suppress,skill_finale</t>
        </is>
      </c>
      <c r="V227" s="442" t="inlineStr">
        <is>
          <t>trait_relentless</t>
        </is>
      </c>
      <c r="W227" s="457">
        <f>XLOOKUP($D227&amp;"|"&amp;$E227&amp;"|"&amp;$F227,'PET_STAT_RULES'!$A$5:$A$88,'PET_STAT_RULES'!$E$5:$E$88)</f>
        <v/>
      </c>
      <c r="X227" s="385" t="str"/>
      <c r="Y227" s="386" t="inlineStr">
        <is>
          <t>reserved</t>
        </is>
      </c>
      <c r="Z227" s="386" t="str"/>
      <c r="AA227" s="386" t="str"/>
    </row>
    <row r="228">
      <c r="A228" s="38" t="inlineStr">
        <is>
          <t>pal_227</t>
        </is>
      </c>
      <c r="B228" s="38" t="inlineStr">
        <is>
          <t>蛟蛙侯</t>
        </is>
      </c>
      <c r="C228" s="38" t="inlineStr">
        <is>
          <t>龙</t>
        </is>
      </c>
      <c r="D228" s="262" t="inlineStr">
        <is>
          <t>黄金</t>
        </is>
      </c>
      <c r="E228" s="38" t="inlineStr">
        <is>
          <t>控制</t>
        </is>
      </c>
      <c r="F228" s="38" t="inlineStr">
        <is>
          <t>两格</t>
        </is>
      </c>
      <c r="G228" s="38" t="inlineStr">
        <is>
          <t>bz_van_227</t>
        </is>
      </c>
      <c r="H228" s="38" t="inlineStr">
        <is>
          <t>elem_水, elem_龙, elem_无, role_经济, special_merchant</t>
        </is>
      </c>
      <c r="I228" s="38" t="n">
        <v>5</v>
      </c>
      <c r="J228" s="456">
        <f>XLOOKUP($D228&amp;"|"&amp;$E228&amp;"|"&amp;$F228,'PET_STAT_RULES'!$A$5:$A$88,'PET_STAT_RULES'!$C$5:$C$88)</f>
        <v/>
      </c>
      <c r="K228" s="456">
        <f>XLOOKUP($D228&amp;"|"&amp;$E228&amp;"|"&amp;$F228,'PET_STAT_RULES'!$A$5:$A$88,'PET_STAT_RULES'!$D$5:$D$88)</f>
        <v/>
      </c>
      <c r="L228" s="456">
        <f>XLOOKUP($D228&amp;"|"&amp;$E228&amp;"|"&amp;$F228,'PET_STAT_RULES'!$A$5:$A$88,'PET_STAT_RULES'!$F$5:$F$88)</f>
        <v/>
      </c>
      <c r="M228" s="456">
        <f>XLOOKUP($D228&amp;"|"&amp;$E228&amp;"|"&amp;$F228,'PET_STAT_RULES'!$A$5:$A$88,'PET_STAT_RULES'!$G$5:$G$88)</f>
        <v/>
      </c>
      <c r="N228" s="38" t="n">
        <v>2</v>
      </c>
      <c r="O228" s="38" t="inlineStr">
        <is>
          <t>mech_counter_damage</t>
        </is>
      </c>
      <c r="P228" s="38" t="inlineStr">
        <is>
          <t>09 形状09</t>
        </is>
      </c>
      <c r="Q228" s="38" t="inlineStr">
        <is>
          <t>Icy</t>
        </is>
      </c>
      <c r="R228" s="38" t="inlineStr">
        <is>
          <t>skill confirmed；来源=Outmaneuver；攻击2格；仅保留来源商人/训练师关系。</t>
        </is>
      </c>
      <c r="S228" s="38" t="n">
        <v>4</v>
      </c>
      <c r="T228" s="38" t="n">
        <v>2</v>
      </c>
      <c r="U228" s="442" t="inlineStr">
        <is>
          <t>skill_vanguard,skill_flank,skill_pierce,skill_revolve,skill_chase,skill_break,skill_suppress,skill_finale</t>
        </is>
      </c>
      <c r="V228" s="442" t="inlineStr">
        <is>
          <t>trait_element_affinity</t>
        </is>
      </c>
      <c r="W228" s="457">
        <f>XLOOKUP($D228&amp;"|"&amp;$E228&amp;"|"&amp;$F228,'PET_STAT_RULES'!$A$5:$A$88,'PET_STAT_RULES'!$E$5:$E$88)</f>
        <v/>
      </c>
      <c r="X228" s="385" t="str"/>
      <c r="Y228" s="386" t="inlineStr">
        <is>
          <t>reserved</t>
        </is>
      </c>
      <c r="Z228" s="386" t="str"/>
      <c r="AA228" s="386" t="str"/>
    </row>
    <row r="229">
      <c r="A229" s="38" t="inlineStr">
        <is>
          <t>pal_228</t>
        </is>
      </c>
      <c r="B229" s="38" t="inlineStr">
        <is>
          <t>凛蝎卫</t>
        </is>
      </c>
      <c r="C229" s="38" t="inlineStr">
        <is>
          <t>冰、草</t>
        </is>
      </c>
      <c r="D229" s="265" t="inlineStr">
        <is>
          <t>白银</t>
        </is>
      </c>
      <c r="E229" s="38" t="inlineStr">
        <is>
          <t>控制</t>
        </is>
      </c>
      <c r="F229" s="38" t="inlineStr">
        <is>
          <t>两格</t>
        </is>
      </c>
      <c r="G229" s="38" t="inlineStr">
        <is>
          <t>bz_van_228</t>
        </is>
      </c>
      <c r="H229" s="38" t="inlineStr">
        <is>
          <t>elem_水, elem_雷, elem_龙, elem_无, role_控制, role_输出</t>
        </is>
      </c>
      <c r="I229" s="38" t="n">
        <v>6</v>
      </c>
      <c r="J229" s="456">
        <f>XLOOKUP($D229&amp;"|"&amp;$E229&amp;"|"&amp;$F229,'PET_STAT_RULES'!$A$5:$A$88,'PET_STAT_RULES'!$C$5:$C$88)</f>
        <v/>
      </c>
      <c r="K229" s="456">
        <f>XLOOKUP($D229&amp;"|"&amp;$E229&amp;"|"&amp;$F229,'PET_STAT_RULES'!$A$5:$A$88,'PET_STAT_RULES'!$D$5:$D$88)</f>
        <v/>
      </c>
      <c r="L229" s="456">
        <f>XLOOKUP($D229&amp;"|"&amp;$E229&amp;"|"&amp;$F229,'PET_STAT_RULES'!$A$5:$A$88,'PET_STAT_RULES'!$F$5:$F$88)</f>
        <v/>
      </c>
      <c r="M229" s="456">
        <f>XLOOKUP($D229&amp;"|"&amp;$E229&amp;"|"&amp;$F229,'PET_STAT_RULES'!$A$5:$A$88,'PET_STAT_RULES'!$G$5:$G$88)</f>
        <v/>
      </c>
      <c r="N229" s="38" t="n">
        <v>2</v>
      </c>
      <c r="O229" s="38" t="inlineStr">
        <is>
          <t>mech_counter_damage</t>
        </is>
      </c>
      <c r="P229" s="38" t="inlineStr">
        <is>
          <t>08 形状08</t>
        </is>
      </c>
      <c r="Q229" s="38" t="inlineStr">
        <is>
          <t>Icy</t>
        </is>
      </c>
      <c r="R229" s="38" t="inlineStr">
        <is>
          <t>skill confirmed；来源=Paralytic Poison；攻击2格；仅保留来源商人/训练师关系。</t>
        </is>
      </c>
      <c r="S229" s="38" t="n">
        <v>4</v>
      </c>
      <c r="T229" s="38" t="n">
        <v>2</v>
      </c>
      <c r="U229" s="442" t="inlineStr">
        <is>
          <t>skill_vanguard,skill_flank,skill_pierce,skill_revolve,skill_chase,skill_break,skill_suppress,skill_finale</t>
        </is>
      </c>
      <c r="V229" s="442" t="inlineStr">
        <is>
          <t>trait_element_affinity</t>
        </is>
      </c>
      <c r="W229" s="457">
        <f>XLOOKUP($D229&amp;"|"&amp;$E229&amp;"|"&amp;$F229,'PET_STAT_RULES'!$A$5:$A$88,'PET_STAT_RULES'!$E$5:$E$88)</f>
        <v/>
      </c>
      <c r="X229" s="385" t="str"/>
      <c r="Y229" s="386" t="inlineStr">
        <is>
          <t>reserved</t>
        </is>
      </c>
      <c r="Z229" s="386" t="str"/>
      <c r="AA229" s="386" t="str"/>
    </row>
    <row r="230">
      <c r="A230" s="38" t="inlineStr">
        <is>
          <t>pal_229</t>
        </is>
      </c>
      <c r="B230" s="38" t="inlineStr">
        <is>
          <t>闪狼侯</t>
        </is>
      </c>
      <c r="C230" s="38" t="inlineStr">
        <is>
          <t>雷</t>
        </is>
      </c>
      <c r="D230" s="262" t="inlineStr">
        <is>
          <t>黄金</t>
        </is>
      </c>
      <c r="E230" s="38" t="inlineStr">
        <is>
          <t>输出</t>
        </is>
      </c>
      <c r="F230" s="38" t="inlineStr">
        <is>
          <t>两格</t>
        </is>
      </c>
      <c r="G230" s="38" t="inlineStr">
        <is>
          <t>bz_van_229</t>
        </is>
      </c>
      <c r="H230" s="38" t="inlineStr">
        <is>
          <t>elem_水, elem_龙, elem_无, role_召唤, tier_pT1</t>
        </is>
      </c>
      <c r="I230" s="38" t="n">
        <v>5</v>
      </c>
      <c r="J230" s="456">
        <f>XLOOKUP($D230&amp;"|"&amp;$E230&amp;"|"&amp;$F230,'PET_STAT_RULES'!$A$5:$A$88,'PET_STAT_RULES'!$C$5:$C$88)</f>
        <v/>
      </c>
      <c r="K230" s="456">
        <f>XLOOKUP($D230&amp;"|"&amp;$E230&amp;"|"&amp;$F230,'PET_STAT_RULES'!$A$5:$A$88,'PET_STAT_RULES'!$D$5:$D$88)</f>
        <v/>
      </c>
      <c r="L230" s="456">
        <f>XLOOKUP($D230&amp;"|"&amp;$E230&amp;"|"&amp;$F230,'PET_STAT_RULES'!$A$5:$A$88,'PET_STAT_RULES'!$F$5:$F$88)</f>
        <v/>
      </c>
      <c r="M230" s="456">
        <f>XLOOKUP($D230&amp;"|"&amp;$E230&amp;"|"&amp;$F230,'PET_STAT_RULES'!$A$5:$A$88,'PET_STAT_RULES'!$G$5:$G$88)</f>
        <v/>
      </c>
      <c r="N230" s="38" t="n">
        <v>3</v>
      </c>
      <c r="O230" s="38" t="inlineStr">
        <is>
          <t>mech_grow_atk_each_round</t>
        </is>
      </c>
      <c r="P230" s="38" t="inlineStr">
        <is>
          <t>17 形状17</t>
        </is>
      </c>
      <c r="Q230" s="38" t="inlineStr">
        <is>
          <t>Deadly</t>
        </is>
      </c>
      <c r="R230" s="38" t="inlineStr">
        <is>
          <t>skill confirmed；来源=Parting Shot；攻击3格；仅保留来源商人/训练师关系。</t>
        </is>
      </c>
      <c r="S230" s="38" t="n">
        <v>3</v>
      </c>
      <c r="T230" s="38" t="n">
        <v>2</v>
      </c>
      <c r="U230" s="442" t="inlineStr">
        <is>
          <t>skill_vanguard,skill_flank,skill_pierce,skill_revolve,skill_chase,skill_break,skill_suppress,skill_finale</t>
        </is>
      </c>
      <c r="V230" s="442" t="inlineStr">
        <is>
          <t>trait_relentless</t>
        </is>
      </c>
      <c r="W230" s="457">
        <f>XLOOKUP($D230&amp;"|"&amp;$E230&amp;"|"&amp;$F230,'PET_STAT_RULES'!$A$5:$A$88,'PET_STAT_RULES'!$E$5:$E$88)</f>
        <v/>
      </c>
      <c r="X230" s="385" t="str"/>
      <c r="Y230" s="386" t="inlineStr">
        <is>
          <t>reserved</t>
        </is>
      </c>
      <c r="Z230" s="386" t="str"/>
      <c r="AA230" s="386" t="str"/>
    </row>
    <row r="231">
      <c r="A231" s="38" t="inlineStr">
        <is>
          <t>pal_230</t>
        </is>
      </c>
      <c r="B231" s="38" t="inlineStr">
        <is>
          <t>震隼灵</t>
        </is>
      </c>
      <c r="C231" s="38" t="inlineStr">
        <is>
          <t>雷</t>
        </is>
      </c>
      <c r="D231" s="259" t="inlineStr">
        <is>
          <t>青铜</t>
        </is>
      </c>
      <c r="E231" s="38" t="inlineStr">
        <is>
          <t>输出</t>
        </is>
      </c>
      <c r="F231" s="38" t="inlineStr">
        <is>
          <t>两格</t>
        </is>
      </c>
      <c r="G231" s="38" t="inlineStr">
        <is>
          <t>bz_van_230</t>
        </is>
      </c>
      <c r="H231" s="38" t="inlineStr">
        <is>
          <t>elem_水, elem_雷, elem_龙, elem_无, role_召唤</t>
        </is>
      </c>
      <c r="I231" s="38" t="n">
        <v>5</v>
      </c>
      <c r="J231" s="456">
        <f>XLOOKUP($D231&amp;"|"&amp;$E231&amp;"|"&amp;$F231,'PET_STAT_RULES'!$A$5:$A$88,'PET_STAT_RULES'!$C$5:$C$88)</f>
        <v/>
      </c>
      <c r="K231" s="456">
        <f>XLOOKUP($D231&amp;"|"&amp;$E231&amp;"|"&amp;$F231,'PET_STAT_RULES'!$A$5:$A$88,'PET_STAT_RULES'!$D$5:$D$88)</f>
        <v/>
      </c>
      <c r="L231" s="456">
        <f>XLOOKUP($D231&amp;"|"&amp;$E231&amp;"|"&amp;$F231,'PET_STAT_RULES'!$A$5:$A$88,'PET_STAT_RULES'!$F$5:$F$88)</f>
        <v/>
      </c>
      <c r="M231" s="456">
        <f>XLOOKUP($D231&amp;"|"&amp;$E231&amp;"|"&amp;$F231,'PET_STAT_RULES'!$A$5:$A$88,'PET_STAT_RULES'!$G$5:$G$88)</f>
        <v/>
      </c>
      <c r="N231" s="38" t="n">
        <v>1</v>
      </c>
      <c r="O231" s="38" t="inlineStr">
        <is>
          <t>mech_grow_atk_each_round</t>
        </is>
      </c>
      <c r="P231" s="38" t="inlineStr">
        <is>
          <t>01 形状01</t>
        </is>
      </c>
      <c r="Q231" s="38" t="inlineStr">
        <is>
          <t>Deadly</t>
        </is>
      </c>
      <c r="R231" s="38" t="inlineStr">
        <is>
          <t>skill confirmed；来源=Peaceful Eye；攻击1格；仅保留来源商人/训练师关系。</t>
        </is>
      </c>
      <c r="S231" s="38" t="n">
        <v>3</v>
      </c>
      <c r="T231" s="38" t="n">
        <v>1</v>
      </c>
      <c r="U231" s="442" t="inlineStr">
        <is>
          <t>skill_vanguard,skill_flank,skill_pierce,skill_revolve,skill_chase,skill_break,skill_suppress,skill_finale</t>
        </is>
      </c>
      <c r="V231" s="442" t="inlineStr">
        <is>
          <t>trait_relentless</t>
        </is>
      </c>
      <c r="W231" s="457">
        <f>XLOOKUP($D231&amp;"|"&amp;$E231&amp;"|"&amp;$F231,'PET_STAT_RULES'!$A$5:$A$88,'PET_STAT_RULES'!$E$5:$E$88)</f>
        <v/>
      </c>
      <c r="X231" s="385" t="str"/>
      <c r="Y231" s="386" t="inlineStr">
        <is>
          <t>reserved</t>
        </is>
      </c>
      <c r="Z231" s="386" t="str"/>
      <c r="AA231" s="386" t="str"/>
    </row>
    <row r="232">
      <c r="A232" s="38" t="inlineStr">
        <is>
          <t>pal_231</t>
        </is>
      </c>
      <c r="B232" s="38" t="inlineStr">
        <is>
          <t>苔蛛将</t>
        </is>
      </c>
      <c r="C232" s="38" t="inlineStr">
        <is>
          <t>草</t>
        </is>
      </c>
      <c r="D232" s="265" t="inlineStr">
        <is>
          <t>白银</t>
        </is>
      </c>
      <c r="E232" s="38" t="inlineStr">
        <is>
          <t>控制</t>
        </is>
      </c>
      <c r="F232" s="38" t="inlineStr">
        <is>
          <t>两格</t>
        </is>
      </c>
      <c r="G232" s="38" t="inlineStr">
        <is>
          <t>bz_van_231</t>
        </is>
      </c>
      <c r="H232" s="38" t="inlineStr">
        <is>
          <t>elem_水, elem_雷, elem_龙, elem_无, role_输出</t>
        </is>
      </c>
      <c r="I232" s="38" t="n">
        <v>5</v>
      </c>
      <c r="J232" s="456">
        <f>XLOOKUP($D232&amp;"|"&amp;$E232&amp;"|"&amp;$F232,'PET_STAT_RULES'!$A$5:$A$88,'PET_STAT_RULES'!$C$5:$C$88)</f>
        <v/>
      </c>
      <c r="K232" s="456">
        <f>XLOOKUP($D232&amp;"|"&amp;$E232&amp;"|"&amp;$F232,'PET_STAT_RULES'!$A$5:$A$88,'PET_STAT_RULES'!$D$5:$D$88)</f>
        <v/>
      </c>
      <c r="L232" s="456">
        <f>XLOOKUP($D232&amp;"|"&amp;$E232&amp;"|"&amp;$F232,'PET_STAT_RULES'!$A$5:$A$88,'PET_STAT_RULES'!$F$5:$F$88)</f>
        <v/>
      </c>
      <c r="M232" s="456">
        <f>XLOOKUP($D232&amp;"|"&amp;$E232&amp;"|"&amp;$F232,'PET_STAT_RULES'!$A$5:$A$88,'PET_STAT_RULES'!$G$5:$G$88)</f>
        <v/>
      </c>
      <c r="N232" s="38" t="n">
        <v>2</v>
      </c>
      <c r="O232" s="38" t="inlineStr">
        <is>
          <t>mech_counter_damage</t>
        </is>
      </c>
      <c r="P232" s="38" t="inlineStr">
        <is>
          <t>07 形状07</t>
        </is>
      </c>
      <c r="Q232" s="38" t="inlineStr">
        <is>
          <t>Toxic</t>
        </is>
      </c>
      <c r="R232" s="38" t="inlineStr">
        <is>
          <t>skill confirmed；来源=Poisonous Opener；攻击2格；仅保留来源商人/训练师关系。</t>
        </is>
      </c>
      <c r="S232" s="38" t="n">
        <v>4</v>
      </c>
      <c r="T232" s="38" t="n">
        <v>2</v>
      </c>
      <c r="U232" s="442" t="inlineStr">
        <is>
          <t>skill_vanguard,skill_flank,skill_pierce,skill_revolve,skill_chase,skill_break,skill_suppress,skill_finale</t>
        </is>
      </c>
      <c r="V232" s="442" t="inlineStr">
        <is>
          <t>trait_element_affinity</t>
        </is>
      </c>
      <c r="W232" s="457">
        <f>XLOOKUP($D232&amp;"|"&amp;$E232&amp;"|"&amp;$F232,'PET_STAT_RULES'!$A$5:$A$88,'PET_STAT_RULES'!$E$5:$E$88)</f>
        <v/>
      </c>
      <c r="X232" s="385" t="str"/>
      <c r="Y232" s="386" t="inlineStr">
        <is>
          <t>reserved</t>
        </is>
      </c>
      <c r="Z232" s="386" t="str"/>
      <c r="AA232" s="386" t="str"/>
    </row>
    <row r="233">
      <c r="A233" s="38" t="inlineStr">
        <is>
          <t>pal_232</t>
        </is>
      </c>
      <c r="B233" s="38" t="inlineStr">
        <is>
          <t>汐羊王</t>
        </is>
      </c>
      <c r="C233" s="38" t="inlineStr">
        <is>
          <t>水、雷</t>
        </is>
      </c>
      <c r="D233" s="262" t="inlineStr">
        <is>
          <t>黄金</t>
        </is>
      </c>
      <c r="E233" s="38" t="inlineStr">
        <is>
          <t>治疗</t>
        </is>
      </c>
      <c r="F233" s="38" t="inlineStr">
        <is>
          <t>两格</t>
        </is>
      </c>
      <c r="G233" s="38" t="inlineStr">
        <is>
          <t>bz_van_232</t>
        </is>
      </c>
      <c r="H233" s="38" t="inlineStr">
        <is>
          <t>elem_水, elem_龙, elem_无, role_召唤, role_坦克</t>
        </is>
      </c>
      <c r="I233" s="38" t="n">
        <v>5</v>
      </c>
      <c r="J233" s="456">
        <f>XLOOKUP($D233&amp;"|"&amp;$E233&amp;"|"&amp;$F233,'PET_STAT_RULES'!$A$5:$A$88,'PET_STAT_RULES'!$C$5:$C$88)</f>
        <v/>
      </c>
      <c r="K233" s="456">
        <f>XLOOKUP($D233&amp;"|"&amp;$E233&amp;"|"&amp;$F233,'PET_STAT_RULES'!$A$5:$A$88,'PET_STAT_RULES'!$D$5:$D$88)</f>
        <v/>
      </c>
      <c r="L233" s="456">
        <f>XLOOKUP($D233&amp;"|"&amp;$E233&amp;"|"&amp;$F233,'PET_STAT_RULES'!$A$5:$A$88,'PET_STAT_RULES'!$F$5:$F$88)</f>
        <v/>
      </c>
      <c r="M233" s="456">
        <f>XLOOKUP($D233&amp;"|"&amp;$E233&amp;"|"&amp;$F233,'PET_STAT_RULES'!$A$5:$A$88,'PET_STAT_RULES'!$G$5:$G$88)</f>
        <v/>
      </c>
      <c r="N233" s="38" t="n">
        <v>2</v>
      </c>
      <c r="O233" s="38" t="inlineStr">
        <is>
          <t>mech_shield_regen</t>
        </is>
      </c>
      <c r="P233" s="38" t="inlineStr">
        <is>
          <t>08 形状08</t>
        </is>
      </c>
      <c r="Q233" s="38" t="inlineStr">
        <is>
          <t>Deadly</t>
        </is>
      </c>
      <c r="R233" s="38" t="inlineStr">
        <is>
          <t>skill confirmed；来源=Quality over Quantity；攻击2格；仅保留来源商人/训练师关系。</t>
        </is>
      </c>
      <c r="S233" s="38" t="n">
        <v>3</v>
      </c>
      <c r="T233" s="38" t="n">
        <v>2</v>
      </c>
      <c r="U233" s="442" t="inlineStr">
        <is>
          <t>skill_vanguard,skill_flank,skill_pierce,skill_revolve,skill_chase,skill_break,skill_suppress,skill_finale</t>
        </is>
      </c>
      <c r="V233" s="442" t="inlineStr">
        <is>
          <t>trait_element_affinity</t>
        </is>
      </c>
      <c r="W233" s="457">
        <f>XLOOKUP($D233&amp;"|"&amp;$E233&amp;"|"&amp;$F233,'PET_STAT_RULES'!$A$5:$A$88,'PET_STAT_RULES'!$E$5:$E$88)</f>
        <v/>
      </c>
      <c r="X233" s="385" t="str"/>
      <c r="Y233" s="386" t="inlineStr">
        <is>
          <t>reserved</t>
        </is>
      </c>
      <c r="Z233" s="386" t="str"/>
      <c r="AA233" s="386" t="str"/>
    </row>
    <row r="234">
      <c r="A234" s="38" t="inlineStr">
        <is>
          <t>pal_233</t>
        </is>
      </c>
      <c r="B234" s="38" t="inlineStr">
        <is>
          <t>山象王</t>
        </is>
      </c>
      <c r="C234" s="38" t="inlineStr">
        <is>
          <t>地</t>
        </is>
      </c>
      <c r="D234" s="262" t="inlineStr">
        <is>
          <t>黄金</t>
        </is>
      </c>
      <c r="E234" s="38" t="inlineStr">
        <is>
          <t>坦克</t>
        </is>
      </c>
      <c r="F234" s="38" t="inlineStr">
        <is>
          <t>两格</t>
        </is>
      </c>
      <c r="G234" s="38" t="inlineStr">
        <is>
          <t>bz_van_233</t>
        </is>
      </c>
      <c r="H234" s="38" t="inlineStr">
        <is>
          <t>elem_水, elem_龙, elem_无, role_召唤铺场</t>
        </is>
      </c>
      <c r="I234" s="38" t="n">
        <v>4</v>
      </c>
      <c r="J234" s="456">
        <f>XLOOKUP($D234&amp;"|"&amp;$E234&amp;"|"&amp;$F234,'PET_STAT_RULES'!$A$5:$A$88,'PET_STAT_RULES'!$C$5:$C$88)</f>
        <v/>
      </c>
      <c r="K234" s="456">
        <f>XLOOKUP($D234&amp;"|"&amp;$E234&amp;"|"&amp;$F234,'PET_STAT_RULES'!$A$5:$A$88,'PET_STAT_RULES'!$D$5:$D$88)</f>
        <v/>
      </c>
      <c r="L234" s="456">
        <f>XLOOKUP($D234&amp;"|"&amp;$E234&amp;"|"&amp;$F234,'PET_STAT_RULES'!$A$5:$A$88,'PET_STAT_RULES'!$F$5:$F$88)</f>
        <v/>
      </c>
      <c r="M234" s="456">
        <f>XLOOKUP($D234&amp;"|"&amp;$E234&amp;"|"&amp;$F234,'PET_STAT_RULES'!$A$5:$A$88,'PET_STAT_RULES'!$G$5:$G$88)</f>
        <v/>
      </c>
      <c r="N234" s="38" t="n">
        <v>2</v>
      </c>
      <c r="O234" s="38" t="inlineStr">
        <is>
          <t>mech_shield_regen</t>
        </is>
      </c>
      <c r="P234" s="38" t="inlineStr">
        <is>
          <t>11 形状11</t>
        </is>
      </c>
      <c r="Q234" s="38" t="inlineStr">
        <is>
          <t>Turbo</t>
        </is>
      </c>
      <c r="R234" s="38" t="inlineStr">
        <is>
          <t>skill confirmed；来源=Quick Defenses；攻击2格；仅保留来源商人/训练师关系。</t>
        </is>
      </c>
      <c r="S234" s="38" t="n">
        <v>3</v>
      </c>
      <c r="T234" s="38" t="n">
        <v>2</v>
      </c>
      <c r="U234" s="442" t="inlineStr">
        <is>
          <t>skill_vanguard,skill_flank,skill_pierce,skill_revolve,skill_chase,skill_break,skill_suppress,skill_finale</t>
        </is>
      </c>
      <c r="V234" s="442" t="inlineStr">
        <is>
          <t>trait_combo_mastery</t>
        </is>
      </c>
      <c r="W234" s="457">
        <f>XLOOKUP($D234&amp;"|"&amp;$E234&amp;"|"&amp;$F234,'PET_STAT_RULES'!$A$5:$A$88,'PET_STAT_RULES'!$E$5:$E$88)</f>
        <v/>
      </c>
      <c r="X234" s="385" t="str"/>
      <c r="Y234" s="386" t="inlineStr">
        <is>
          <t>reserved</t>
        </is>
      </c>
      <c r="Z234" s="386" t="str"/>
      <c r="AA234" s="386" t="str"/>
    </row>
    <row r="235">
      <c r="A235" s="38" t="inlineStr">
        <is>
          <t>pal_234</t>
        </is>
      </c>
      <c r="B235" s="38" t="inlineStr">
        <is>
          <t>寒蟒卫</t>
        </is>
      </c>
      <c r="C235" s="38" t="inlineStr">
        <is>
          <t>冰</t>
        </is>
      </c>
      <c r="D235" s="265" t="inlineStr">
        <is>
          <t>白银</t>
        </is>
      </c>
      <c r="E235" s="38" t="inlineStr">
        <is>
          <t>控制</t>
        </is>
      </c>
      <c r="F235" s="38" t="inlineStr">
        <is>
          <t>两格</t>
        </is>
      </c>
      <c r="G235" s="38" t="inlineStr">
        <is>
          <t>bz_van_234</t>
        </is>
      </c>
      <c r="H235" s="38" t="inlineStr">
        <is>
          <t>elem_水, elem_雷, elem_龙, elem_无, role_控制, special_merchant</t>
        </is>
      </c>
      <c r="I235" s="38" t="n">
        <v>6</v>
      </c>
      <c r="J235" s="456">
        <f>XLOOKUP($D235&amp;"|"&amp;$E235&amp;"|"&amp;$F235,'PET_STAT_RULES'!$A$5:$A$88,'PET_STAT_RULES'!$C$5:$C$88)</f>
        <v/>
      </c>
      <c r="K235" s="456">
        <f>XLOOKUP($D235&amp;"|"&amp;$E235&amp;"|"&amp;$F235,'PET_STAT_RULES'!$A$5:$A$88,'PET_STAT_RULES'!$D$5:$D$88)</f>
        <v/>
      </c>
      <c r="L235" s="456">
        <f>XLOOKUP($D235&amp;"|"&amp;$E235&amp;"|"&amp;$F235,'PET_STAT_RULES'!$A$5:$A$88,'PET_STAT_RULES'!$F$5:$F$88)</f>
        <v/>
      </c>
      <c r="M235" s="456">
        <f>XLOOKUP($D235&amp;"|"&amp;$E235&amp;"|"&amp;$F235,'PET_STAT_RULES'!$A$5:$A$88,'PET_STAT_RULES'!$G$5:$G$88)</f>
        <v/>
      </c>
      <c r="N235" s="38" t="n">
        <v>2</v>
      </c>
      <c r="O235" s="38" t="inlineStr">
        <is>
          <t>mech_counter_damage</t>
        </is>
      </c>
      <c r="P235" s="38" t="inlineStr">
        <is>
          <t>09 形状09</t>
        </is>
      </c>
      <c r="Q235" s="38" t="inlineStr">
        <is>
          <t>Icy</t>
        </is>
      </c>
      <c r="R235" s="38" t="inlineStr">
        <is>
          <t>skill confirmed；来源=Quick Freeze；攻击2格；仅保留来源商人/训练师关系。</t>
        </is>
      </c>
      <c r="S235" s="38" t="n">
        <v>4</v>
      </c>
      <c r="T235" s="38" t="n">
        <v>2</v>
      </c>
      <c r="U235" s="442" t="inlineStr">
        <is>
          <t>skill_vanguard,skill_flank,skill_pierce,skill_revolve,skill_chase,skill_break,skill_suppress,skill_finale</t>
        </is>
      </c>
      <c r="V235" s="442" t="inlineStr">
        <is>
          <t>trait_element_affinity</t>
        </is>
      </c>
      <c r="W235" s="457">
        <f>XLOOKUP($D235&amp;"|"&amp;$E235&amp;"|"&amp;$F235,'PET_STAT_RULES'!$A$5:$A$88,'PET_STAT_RULES'!$E$5:$E$88)</f>
        <v/>
      </c>
      <c r="X235" s="385" t="str"/>
      <c r="Y235" s="386" t="inlineStr">
        <is>
          <t>reserved</t>
        </is>
      </c>
      <c r="Z235" s="386" t="str"/>
      <c r="AA235" s="386" t="str"/>
    </row>
    <row r="236">
      <c r="A236" s="38" t="inlineStr">
        <is>
          <t>pal_235</t>
        </is>
      </c>
      <c r="B236" s="38" t="inlineStr">
        <is>
          <t>朱鲭将</t>
        </is>
      </c>
      <c r="C236" s="38" t="inlineStr">
        <is>
          <t>火</t>
        </is>
      </c>
      <c r="D236" s="265" t="inlineStr">
        <is>
          <t>白银</t>
        </is>
      </c>
      <c r="E236" s="38" t="inlineStr">
        <is>
          <t>机动</t>
        </is>
      </c>
      <c r="F236" s="38" t="inlineStr">
        <is>
          <t>两格</t>
        </is>
      </c>
      <c r="G236" s="38" t="inlineStr">
        <is>
          <t>bz_van_235</t>
        </is>
      </c>
      <c r="H236" s="38" t="inlineStr">
        <is>
          <t>elem_水, elem_雷, elem_龙, elem_无, role_治疗, special_merchant</t>
        </is>
      </c>
      <c r="I236" s="38" t="n">
        <v>6</v>
      </c>
      <c r="J236" s="456">
        <f>XLOOKUP($D236&amp;"|"&amp;$E236&amp;"|"&amp;$F236,'PET_STAT_RULES'!$A$5:$A$88,'PET_STAT_RULES'!$C$5:$C$88)</f>
        <v/>
      </c>
      <c r="K236" s="456">
        <f>XLOOKUP($D236&amp;"|"&amp;$E236&amp;"|"&amp;$F236,'PET_STAT_RULES'!$A$5:$A$88,'PET_STAT_RULES'!$D$5:$D$88)</f>
        <v/>
      </c>
      <c r="L236" s="456">
        <f>XLOOKUP($D236&amp;"|"&amp;$E236&amp;"|"&amp;$F236,'PET_STAT_RULES'!$A$5:$A$88,'PET_STAT_RULES'!$F$5:$F$88)</f>
        <v/>
      </c>
      <c r="M236" s="456">
        <f>XLOOKUP($D236&amp;"|"&amp;$E236&amp;"|"&amp;$F236,'PET_STAT_RULES'!$A$5:$A$88,'PET_STAT_RULES'!$G$5:$G$88)</f>
        <v/>
      </c>
      <c r="N236" s="38" t="n">
        <v>2</v>
      </c>
      <c r="O236" s="38" t="inlineStr">
        <is>
          <t>mech_fire_ignite_bonus</t>
        </is>
      </c>
      <c r="P236" s="38" t="inlineStr">
        <is>
          <t>09 形状09</t>
        </is>
      </c>
      <c r="Q236" s="38" t="inlineStr">
        <is>
          <t>Fiery</t>
        </is>
      </c>
      <c r="R236" s="38" t="inlineStr">
        <is>
          <t>skill confirmed；来源=Quick Ignition；攻击2格；仅保留来源商人/训练师关系。</t>
        </is>
      </c>
      <c r="S236" s="38" t="n">
        <v>5</v>
      </c>
      <c r="T236" s="38" t="n">
        <v>2</v>
      </c>
      <c r="U236" s="442" t="inlineStr">
        <is>
          <t>skill_vanguard,skill_flank,skill_pierce,skill_revolve,skill_chase,skill_break,skill_suppress,skill_finale</t>
        </is>
      </c>
      <c r="V236" s="442" t="inlineStr">
        <is>
          <t>trait_relentless</t>
        </is>
      </c>
      <c r="W236" s="457">
        <f>XLOOKUP($D236&amp;"|"&amp;$E236&amp;"|"&amp;$F236,'PET_STAT_RULES'!$A$5:$A$88,'PET_STAT_RULES'!$E$5:$E$88)</f>
        <v/>
      </c>
      <c r="X236" s="385" t="str"/>
      <c r="Y236" s="386" t="inlineStr">
        <is>
          <t>reserved</t>
        </is>
      </c>
      <c r="Z236" s="386" t="str"/>
      <c r="AA236" s="386" t="str"/>
    </row>
    <row r="237">
      <c r="A237" s="38" t="inlineStr">
        <is>
          <t>pal_236</t>
        </is>
      </c>
      <c r="B237" s="38" t="inlineStr">
        <is>
          <t>寒鹰祖</t>
        </is>
      </c>
      <c r="C237" s="38" t="inlineStr">
        <is>
          <t>冰</t>
        </is>
      </c>
      <c r="D237" s="268" t="inlineStr">
        <is>
          <t>钻石</t>
        </is>
      </c>
      <c r="E237" s="38" t="inlineStr">
        <is>
          <t>输出</t>
        </is>
      </c>
      <c r="F237" s="38" t="inlineStr">
        <is>
          <t>两格</t>
        </is>
      </c>
      <c r="G237" s="38" t="inlineStr">
        <is>
          <t>bz_van_236</t>
        </is>
      </c>
      <c r="H237" s="38" t="inlineStr">
        <is>
          <t>elem_水, elem_龙</t>
        </is>
      </c>
      <c r="I237" s="38" t="n">
        <v>2</v>
      </c>
      <c r="J237" s="456">
        <f>XLOOKUP($D237&amp;"|"&amp;$E237&amp;"|"&amp;$F237,'PET_STAT_RULES'!$A$5:$A$88,'PET_STAT_RULES'!$C$5:$C$88)</f>
        <v/>
      </c>
      <c r="K237" s="456">
        <f>XLOOKUP($D237&amp;"|"&amp;$E237&amp;"|"&amp;$F237,'PET_STAT_RULES'!$A$5:$A$88,'PET_STAT_RULES'!$D$5:$D$88)</f>
        <v/>
      </c>
      <c r="L237" s="456">
        <f>XLOOKUP($D237&amp;"|"&amp;$E237&amp;"|"&amp;$F237,'PET_STAT_RULES'!$A$5:$A$88,'PET_STAT_RULES'!$F$5:$F$88)</f>
        <v/>
      </c>
      <c r="M237" s="456">
        <f>XLOOKUP($D237&amp;"|"&amp;$E237&amp;"|"&amp;$F237,'PET_STAT_RULES'!$A$5:$A$88,'PET_STAT_RULES'!$G$5:$G$88)</f>
        <v/>
      </c>
      <c r="N237" s="38" t="n">
        <v>3</v>
      </c>
      <c r="O237" s="38" t="inlineStr">
        <is>
          <t>mech_grow_atk_each_round</t>
        </is>
      </c>
      <c r="P237" s="38" t="inlineStr">
        <is>
          <t>15 形状15</t>
        </is>
      </c>
      <c r="Q237" s="38" t="inlineStr">
        <is>
          <t>Shiny</t>
        </is>
      </c>
      <c r="R237" s="38" t="inlineStr">
        <is>
          <t>skill confirmed；来源=Re-Tooled；攻击3格；仅保留来源商人/训练师关系。</t>
        </is>
      </c>
      <c r="S237" s="38" t="n">
        <v>3</v>
      </c>
      <c r="T237" s="38" t="n">
        <v>3</v>
      </c>
      <c r="U237" s="442" t="inlineStr">
        <is>
          <t>skill_vanguard,skill_flank,skill_pierce,skill_revolve,skill_chase,skill_break,skill_suppress,skill_finale</t>
        </is>
      </c>
      <c r="V237" s="442" t="inlineStr">
        <is>
          <t>trait_relentless</t>
        </is>
      </c>
      <c r="W237" s="457">
        <f>XLOOKUP($D237&amp;"|"&amp;$E237&amp;"|"&amp;$F237,'PET_STAT_RULES'!$A$5:$A$88,'PET_STAT_RULES'!$E$5:$E$88)</f>
        <v/>
      </c>
      <c r="X237" s="385" t="str"/>
      <c r="Y237" s="386" t="inlineStr">
        <is>
          <t>reserved</t>
        </is>
      </c>
      <c r="Z237" s="386" t="str"/>
      <c r="AA237" s="386" t="str"/>
    </row>
    <row r="238">
      <c r="A238" s="38" t="inlineStr">
        <is>
          <t>pal_237</t>
        </is>
      </c>
      <c r="B238" s="38" t="inlineStr">
        <is>
          <t>寒蝎尊</t>
        </is>
      </c>
      <c r="C238" s="38" t="inlineStr">
        <is>
          <t>冰、雷</t>
        </is>
      </c>
      <c r="D238" s="262" t="inlineStr">
        <is>
          <t>黄金</t>
        </is>
      </c>
      <c r="E238" s="38" t="inlineStr">
        <is>
          <t>控制</t>
        </is>
      </c>
      <c r="F238" s="38" t="inlineStr">
        <is>
          <t>两格</t>
        </is>
      </c>
      <c r="G238" s="38" t="inlineStr">
        <is>
          <t>bz_van_237</t>
        </is>
      </c>
      <c r="H238" s="38" t="inlineStr">
        <is>
          <t>elem_水, elem_龙, elem_无, role_召唤, role_控制</t>
        </is>
      </c>
      <c r="I238" s="38" t="n">
        <v>5</v>
      </c>
      <c r="J238" s="456">
        <f>XLOOKUP($D238&amp;"|"&amp;$E238&amp;"|"&amp;$F238,'PET_STAT_RULES'!$A$5:$A$88,'PET_STAT_RULES'!$C$5:$C$88)</f>
        <v/>
      </c>
      <c r="K238" s="456">
        <f>XLOOKUP($D238&amp;"|"&amp;$E238&amp;"|"&amp;$F238,'PET_STAT_RULES'!$A$5:$A$88,'PET_STAT_RULES'!$D$5:$D$88)</f>
        <v/>
      </c>
      <c r="L238" s="456">
        <f>XLOOKUP($D238&amp;"|"&amp;$E238&amp;"|"&amp;$F238,'PET_STAT_RULES'!$A$5:$A$88,'PET_STAT_RULES'!$F$5:$F$88)</f>
        <v/>
      </c>
      <c r="M238" s="456">
        <f>XLOOKUP($D238&amp;"|"&amp;$E238&amp;"|"&amp;$F238,'PET_STAT_RULES'!$A$5:$A$88,'PET_STAT_RULES'!$G$5:$G$88)</f>
        <v/>
      </c>
      <c r="N238" s="38" t="n">
        <v>2</v>
      </c>
      <c r="O238" s="38" t="inlineStr">
        <is>
          <t>mech_counter_damage</t>
        </is>
      </c>
      <c r="P238" s="38" t="inlineStr">
        <is>
          <t>07 形状07</t>
        </is>
      </c>
      <c r="Q238" s="38" t="inlineStr">
        <is>
          <t>Icy</t>
        </is>
      </c>
      <c r="R238" s="38" t="inlineStr">
        <is>
          <t>skill confirmed；来源=Reaching the Summit；攻击2格；仅保留来源商人/训练师关系。</t>
        </is>
      </c>
      <c r="S238" s="38" t="n">
        <v>4</v>
      </c>
      <c r="T238" s="38" t="n">
        <v>2</v>
      </c>
      <c r="U238" s="442" t="inlineStr">
        <is>
          <t>skill_vanguard,skill_flank,skill_pierce,skill_revolve,skill_chase,skill_break,skill_suppress,skill_finale</t>
        </is>
      </c>
      <c r="V238" s="442" t="inlineStr">
        <is>
          <t>trait_element_affinity</t>
        </is>
      </c>
      <c r="W238" s="457">
        <f>XLOOKUP($D238&amp;"|"&amp;$E238&amp;"|"&amp;$F238,'PET_STAT_RULES'!$A$5:$A$88,'PET_STAT_RULES'!$E$5:$E$88)</f>
        <v/>
      </c>
      <c r="X238" s="385" t="str"/>
      <c r="Y238" s="386" t="inlineStr">
        <is>
          <t>reserved</t>
        </is>
      </c>
      <c r="Z238" s="386" t="str"/>
      <c r="AA238" s="386" t="str"/>
    </row>
    <row r="239">
      <c r="A239" s="38" t="inlineStr">
        <is>
          <t>pal_238</t>
        </is>
      </c>
      <c r="B239" s="38" t="inlineStr">
        <is>
          <t>石甲兽</t>
        </is>
      </c>
      <c r="C239" s="38" t="inlineStr">
        <is>
          <t>地</t>
        </is>
      </c>
      <c r="D239" s="259" t="inlineStr">
        <is>
          <t>青铜</t>
        </is>
      </c>
      <c r="E239" s="38" t="inlineStr">
        <is>
          <t>坦克</t>
        </is>
      </c>
      <c r="F239" s="38" t="inlineStr">
        <is>
          <t>两格</t>
        </is>
      </c>
      <c r="G239" s="38" t="inlineStr">
        <is>
          <t>bz_van_238</t>
        </is>
      </c>
      <c r="H239" s="38" t="inlineStr">
        <is>
          <t>elem_水, elem_雷, elem_龙, elem_无, role_召唤铺场</t>
        </is>
      </c>
      <c r="I239" s="38" t="n">
        <v>5</v>
      </c>
      <c r="J239" s="456">
        <f>XLOOKUP($D239&amp;"|"&amp;$E239&amp;"|"&amp;$F239,'PET_STAT_RULES'!$A$5:$A$88,'PET_STAT_RULES'!$C$5:$C$88)</f>
        <v/>
      </c>
      <c r="K239" s="456">
        <f>XLOOKUP($D239&amp;"|"&amp;$E239&amp;"|"&amp;$F239,'PET_STAT_RULES'!$A$5:$A$88,'PET_STAT_RULES'!$D$5:$D$88)</f>
        <v/>
      </c>
      <c r="L239" s="456">
        <f>XLOOKUP($D239&amp;"|"&amp;$E239&amp;"|"&amp;$F239,'PET_STAT_RULES'!$A$5:$A$88,'PET_STAT_RULES'!$F$5:$F$88)</f>
        <v/>
      </c>
      <c r="M239" s="456">
        <f>XLOOKUP($D239&amp;"|"&amp;$E239&amp;"|"&amp;$F239,'PET_STAT_RULES'!$A$5:$A$88,'PET_STAT_RULES'!$G$5:$G$88)</f>
        <v/>
      </c>
      <c r="N239" s="38" t="n">
        <v>1</v>
      </c>
      <c r="O239" s="38" t="inlineStr">
        <is>
          <t>mech_armor_flat</t>
        </is>
      </c>
      <c r="P239" s="38" t="inlineStr">
        <is>
          <t>02 形状02</t>
        </is>
      </c>
      <c r="Q239" s="38" t="inlineStr">
        <is>
          <t>Shielded</t>
        </is>
      </c>
      <c r="R239" s="38" t="inlineStr">
        <is>
          <t>skill confirmed；来源=Rear Shielding；攻击1格；仅保留来源商人/训练师关系。</t>
        </is>
      </c>
      <c r="S239" s="38" t="n">
        <v>3</v>
      </c>
      <c r="T239" s="38" t="n">
        <v>1</v>
      </c>
      <c r="U239" s="442" t="inlineStr">
        <is>
          <t>skill_vanguard,skill_flank,skill_pierce,skill_revolve,skill_chase,skill_break,skill_suppress,skill_finale</t>
        </is>
      </c>
      <c r="V239" s="442" t="inlineStr">
        <is>
          <t>trait_combo_mastery</t>
        </is>
      </c>
      <c r="W239" s="457">
        <f>XLOOKUP($D239&amp;"|"&amp;$E239&amp;"|"&amp;$F239,'PET_STAT_RULES'!$A$5:$A$88,'PET_STAT_RULES'!$E$5:$E$88)</f>
        <v/>
      </c>
      <c r="X239" s="385" t="str"/>
      <c r="Y239" s="386" t="inlineStr">
        <is>
          <t>reserved</t>
        </is>
      </c>
      <c r="Z239" s="386" t="str"/>
      <c r="AA239" s="386" t="str"/>
    </row>
    <row r="240">
      <c r="A240" s="38" t="inlineStr">
        <is>
          <t>pal_239</t>
        </is>
      </c>
      <c r="B240" s="38" t="inlineStr">
        <is>
          <t>沧鹤神</t>
        </is>
      </c>
      <c r="C240" s="38" t="inlineStr">
        <is>
          <t>水、地</t>
        </is>
      </c>
      <c r="D240" s="268" t="inlineStr">
        <is>
          <t>钻石</t>
        </is>
      </c>
      <c r="E240" s="38" t="inlineStr">
        <is>
          <t>治疗</t>
        </is>
      </c>
      <c r="F240" s="38" t="inlineStr">
        <is>
          <t>两格</t>
        </is>
      </c>
      <c r="G240" s="38" t="inlineStr">
        <is>
          <t>bz_van_239</t>
        </is>
      </c>
      <c r="H240" s="38" t="inlineStr">
        <is>
          <t>elem_水, elem_地, elem_龙</t>
        </is>
      </c>
      <c r="I240" s="38" t="n">
        <v>3</v>
      </c>
      <c r="J240" s="456">
        <f>XLOOKUP($D240&amp;"|"&amp;$E240&amp;"|"&amp;$F240,'PET_STAT_RULES'!$A$5:$A$88,'PET_STAT_RULES'!$C$5:$C$88)</f>
        <v/>
      </c>
      <c r="K240" s="456">
        <f>XLOOKUP($D240&amp;"|"&amp;$E240&amp;"|"&amp;$F240,'PET_STAT_RULES'!$A$5:$A$88,'PET_STAT_RULES'!$D$5:$D$88)</f>
        <v/>
      </c>
      <c r="L240" s="456">
        <f>XLOOKUP($D240&amp;"|"&amp;$E240&amp;"|"&amp;$F240,'PET_STAT_RULES'!$A$5:$A$88,'PET_STAT_RULES'!$F$5:$F$88)</f>
        <v/>
      </c>
      <c r="M240" s="456">
        <f>XLOOKUP($D240&amp;"|"&amp;$E240&amp;"|"&amp;$F240,'PET_STAT_RULES'!$A$5:$A$88,'PET_STAT_RULES'!$G$5:$G$88)</f>
        <v/>
      </c>
      <c r="N240" s="38" t="n">
        <v>3</v>
      </c>
      <c r="O240" s="38" t="inlineStr">
        <is>
          <t>mech_shield_regen</t>
        </is>
      </c>
      <c r="P240" s="38" t="inlineStr">
        <is>
          <t>13 形状13</t>
        </is>
      </c>
      <c r="Q240" s="38" t="inlineStr">
        <is>
          <t>Turbo</t>
        </is>
      </c>
      <c r="R240" s="38" t="inlineStr">
        <is>
          <t>skill confirmed；来源=Reel 'Em In；攻击3格；仅保留来源商人/训练师关系。</t>
        </is>
      </c>
      <c r="S240" s="38" t="n">
        <v>3</v>
      </c>
      <c r="T240" s="38" t="n">
        <v>3</v>
      </c>
      <c r="U240" s="442" t="inlineStr">
        <is>
          <t>skill_vanguard,skill_flank,skill_pierce,skill_revolve,skill_chase,skill_break,skill_suppress,skill_finale</t>
        </is>
      </c>
      <c r="V240" s="442" t="inlineStr">
        <is>
          <t>trait_element_affinity</t>
        </is>
      </c>
      <c r="W240" s="457">
        <f>XLOOKUP($D240&amp;"|"&amp;$E240&amp;"|"&amp;$F240,'PET_STAT_RULES'!$A$5:$A$88,'PET_STAT_RULES'!$E$5:$E$88)</f>
        <v/>
      </c>
      <c r="X240" s="385" t="str"/>
      <c r="Y240" s="386" t="inlineStr">
        <is>
          <t>reserved</t>
        </is>
      </c>
      <c r="Z240" s="386" t="str"/>
      <c r="AA240" s="386" t="str"/>
    </row>
    <row r="241">
      <c r="A241" s="38" t="inlineStr">
        <is>
          <t>pal_240</t>
        </is>
      </c>
      <c r="B241" s="38" t="inlineStr">
        <is>
          <t>碧蚌将</t>
        </is>
      </c>
      <c r="C241" s="38" t="inlineStr">
        <is>
          <t>水</t>
        </is>
      </c>
      <c r="D241" s="265" t="inlineStr">
        <is>
          <t>白银</t>
        </is>
      </c>
      <c r="E241" s="38" t="inlineStr">
        <is>
          <t>治疗</t>
        </is>
      </c>
      <c r="F241" s="38" t="inlineStr">
        <is>
          <t>两格</t>
        </is>
      </c>
      <c r="G241" s="38" t="inlineStr">
        <is>
          <t>bz_van_240</t>
        </is>
      </c>
      <c r="H241" s="38" t="inlineStr">
        <is>
          <t>elem_水, elem_雷, elem_龙, elem_无, tier_pT2</t>
        </is>
      </c>
      <c r="I241" s="38" t="n">
        <v>5</v>
      </c>
      <c r="J241" s="456">
        <f>XLOOKUP($D241&amp;"|"&amp;$E241&amp;"|"&amp;$F241,'PET_STAT_RULES'!$A$5:$A$88,'PET_STAT_RULES'!$C$5:$C$88)</f>
        <v/>
      </c>
      <c r="K241" s="456">
        <f>XLOOKUP($D241&amp;"|"&amp;$E241&amp;"|"&amp;$F241,'PET_STAT_RULES'!$A$5:$A$88,'PET_STAT_RULES'!$D$5:$D$88)</f>
        <v/>
      </c>
      <c r="L241" s="456">
        <f>XLOOKUP($D241&amp;"|"&amp;$E241&amp;"|"&amp;$F241,'PET_STAT_RULES'!$A$5:$A$88,'PET_STAT_RULES'!$F$5:$F$88)</f>
        <v/>
      </c>
      <c r="M241" s="456">
        <f>XLOOKUP($D241&amp;"|"&amp;$E241&amp;"|"&amp;$F241,'PET_STAT_RULES'!$A$5:$A$88,'PET_STAT_RULES'!$G$5:$G$88)</f>
        <v/>
      </c>
      <c r="N241" s="38" t="n">
        <v>2</v>
      </c>
      <c r="O241" s="38" t="inlineStr">
        <is>
          <t>mech_shield_regen</t>
        </is>
      </c>
      <c r="P241" s="38" t="inlineStr">
        <is>
          <t>11 形状11</t>
        </is>
      </c>
      <c r="Q241" s="38" t="inlineStr">
        <is>
          <t>Mossy</t>
        </is>
      </c>
      <c r="R241" s="38" t="inlineStr">
        <is>
          <t>skill confirmed；来源=Regenerative；攻击2格；仅保留来源商人/训练师关系。</t>
        </is>
      </c>
      <c r="S241" s="38" t="n">
        <v>3</v>
      </c>
      <c r="T241" s="38" t="n">
        <v>2</v>
      </c>
      <c r="U241" s="442" t="inlineStr">
        <is>
          <t>skill_vanguard,skill_flank,skill_pierce,skill_revolve,skill_chase,skill_break,skill_suppress,skill_finale</t>
        </is>
      </c>
      <c r="V241" s="442" t="inlineStr">
        <is>
          <t>trait_element_affinity</t>
        </is>
      </c>
      <c r="W241" s="457">
        <f>XLOOKUP($D241&amp;"|"&amp;$E241&amp;"|"&amp;$F241,'PET_STAT_RULES'!$A$5:$A$88,'PET_STAT_RULES'!$E$5:$E$88)</f>
        <v/>
      </c>
      <c r="X241" s="385" t="str"/>
      <c r="Y241" s="386" t="inlineStr">
        <is>
          <t>reserved</t>
        </is>
      </c>
      <c r="Z241" s="386" t="str"/>
      <c r="AA241" s="386" t="str"/>
    </row>
    <row r="242">
      <c r="A242" s="38" t="inlineStr">
        <is>
          <t>pal_241</t>
        </is>
      </c>
      <c r="B242" s="38" t="inlineStr">
        <is>
          <t>墨蝎王</t>
        </is>
      </c>
      <c r="C242" s="38" t="inlineStr">
        <is>
          <t>暗</t>
        </is>
      </c>
      <c r="D242" s="262" t="inlineStr">
        <is>
          <t>黄金</t>
        </is>
      </c>
      <c r="E242" s="38" t="inlineStr">
        <is>
          <t>控制</t>
        </is>
      </c>
      <c r="F242" s="38" t="inlineStr">
        <is>
          <t>两格</t>
        </is>
      </c>
      <c r="G242" s="38" t="inlineStr">
        <is>
          <t>bz_van_241</t>
        </is>
      </c>
      <c r="H242" s="38" t="inlineStr">
        <is>
          <t>elem_水, elem_龙, elem_无</t>
        </is>
      </c>
      <c r="I242" s="38" t="n">
        <v>3</v>
      </c>
      <c r="J242" s="456">
        <f>XLOOKUP($D242&amp;"|"&amp;$E242&amp;"|"&amp;$F242,'PET_STAT_RULES'!$A$5:$A$88,'PET_STAT_RULES'!$C$5:$C$88)</f>
        <v/>
      </c>
      <c r="K242" s="456">
        <f>XLOOKUP($D242&amp;"|"&amp;$E242&amp;"|"&amp;$F242,'PET_STAT_RULES'!$A$5:$A$88,'PET_STAT_RULES'!$D$5:$D$88)</f>
        <v/>
      </c>
      <c r="L242" s="456">
        <f>XLOOKUP($D242&amp;"|"&amp;$E242&amp;"|"&amp;$F242,'PET_STAT_RULES'!$A$5:$A$88,'PET_STAT_RULES'!$F$5:$F$88)</f>
        <v/>
      </c>
      <c r="M242" s="456">
        <f>XLOOKUP($D242&amp;"|"&amp;$E242&amp;"|"&amp;$F242,'PET_STAT_RULES'!$A$5:$A$88,'PET_STAT_RULES'!$G$5:$G$88)</f>
        <v/>
      </c>
      <c r="N242" s="38" t="n">
        <v>2</v>
      </c>
      <c r="O242" s="38" t="inlineStr">
        <is>
          <t>mech_death_explosion</t>
        </is>
      </c>
      <c r="P242" s="38" t="inlineStr">
        <is>
          <t>06 形状06</t>
        </is>
      </c>
      <c r="Q242" s="38" t="inlineStr">
        <is>
          <t>Obsidian</t>
        </is>
      </c>
      <c r="R242" s="38" t="inlineStr">
        <is>
          <t>skill confirmed；来源=Repair Mechanic；攻击2格；仅保留来源商人/训练师关系。</t>
        </is>
      </c>
      <c r="S242" s="38" t="n">
        <v>4</v>
      </c>
      <c r="T242" s="38" t="n">
        <v>2</v>
      </c>
      <c r="U242" s="442" t="inlineStr">
        <is>
          <t>skill_vanguard,skill_flank,skill_pierce,skill_revolve,skill_chase,skill_break,skill_suppress,skill_finale</t>
        </is>
      </c>
      <c r="V242" s="442" t="inlineStr">
        <is>
          <t>trait_element_affinity</t>
        </is>
      </c>
      <c r="W242" s="457">
        <f>XLOOKUP($D242&amp;"|"&amp;$E242&amp;"|"&amp;$F242,'PET_STAT_RULES'!$A$5:$A$88,'PET_STAT_RULES'!$E$5:$E$88)</f>
        <v/>
      </c>
      <c r="X242" s="385" t="str"/>
      <c r="Y242" s="386" t="inlineStr">
        <is>
          <t>reserved</t>
        </is>
      </c>
      <c r="Z242" s="386" t="str"/>
      <c r="AA242" s="386" t="str"/>
    </row>
    <row r="243">
      <c r="A243" s="38" t="inlineStr">
        <is>
          <t>pal_242</t>
        </is>
      </c>
      <c r="B243" s="38" t="inlineStr">
        <is>
          <t>鸣螳仔</t>
        </is>
      </c>
      <c r="C243" s="38" t="inlineStr">
        <is>
          <t>雷</t>
        </is>
      </c>
      <c r="D243" s="259" t="inlineStr">
        <is>
          <t>青铜</t>
        </is>
      </c>
      <c r="E243" s="38" t="inlineStr">
        <is>
          <t>输出</t>
        </is>
      </c>
      <c r="F243" s="38" t="inlineStr">
        <is>
          <t>两格</t>
        </is>
      </c>
      <c r="G243" s="38" t="inlineStr">
        <is>
          <t>bz_van_242</t>
        </is>
      </c>
      <c r="H243" s="38" t="inlineStr">
        <is>
          <t>elem_水, elem_雷, elem_龙, elem_无, role_召唤</t>
        </is>
      </c>
      <c r="I243" s="38" t="n">
        <v>5</v>
      </c>
      <c r="J243" s="456">
        <f>XLOOKUP($D243&amp;"|"&amp;$E243&amp;"|"&amp;$F243,'PET_STAT_RULES'!$A$5:$A$88,'PET_STAT_RULES'!$C$5:$C$88)</f>
        <v/>
      </c>
      <c r="K243" s="456">
        <f>XLOOKUP($D243&amp;"|"&amp;$E243&amp;"|"&amp;$F243,'PET_STAT_RULES'!$A$5:$A$88,'PET_STAT_RULES'!$D$5:$D$88)</f>
        <v/>
      </c>
      <c r="L243" s="456">
        <f>XLOOKUP($D243&amp;"|"&amp;$E243&amp;"|"&amp;$F243,'PET_STAT_RULES'!$A$5:$A$88,'PET_STAT_RULES'!$F$5:$F$88)</f>
        <v/>
      </c>
      <c r="M243" s="456">
        <f>XLOOKUP($D243&amp;"|"&amp;$E243&amp;"|"&amp;$F243,'PET_STAT_RULES'!$A$5:$A$88,'PET_STAT_RULES'!$G$5:$G$88)</f>
        <v/>
      </c>
      <c r="N243" s="38" t="n">
        <v>1</v>
      </c>
      <c r="O243" s="38" t="inlineStr">
        <is>
          <t>mech_grow_atk_each_round</t>
        </is>
      </c>
      <c r="P243" s="38" t="inlineStr">
        <is>
          <t>02 形状02</t>
        </is>
      </c>
      <c r="Q243" s="38" t="inlineStr">
        <is>
          <t>Deadly</t>
        </is>
      </c>
      <c r="R243" s="38" t="inlineStr">
        <is>
          <t>skill confirmed；来源=Right Eye；攻击1格；仅保留来源商人/训练师关系。</t>
        </is>
      </c>
      <c r="S243" s="38" t="n">
        <v>3</v>
      </c>
      <c r="T243" s="38" t="n">
        <v>1</v>
      </c>
      <c r="U243" s="442" t="inlineStr">
        <is>
          <t>skill_vanguard,skill_flank,skill_pierce,skill_revolve,skill_chase,skill_break,skill_suppress,skill_finale</t>
        </is>
      </c>
      <c r="V243" s="442" t="inlineStr">
        <is>
          <t>trait_relentless</t>
        </is>
      </c>
      <c r="W243" s="457">
        <f>XLOOKUP($D243&amp;"|"&amp;$E243&amp;"|"&amp;$F243,'PET_STAT_RULES'!$A$5:$A$88,'PET_STAT_RULES'!$E$5:$E$88)</f>
        <v/>
      </c>
      <c r="X243" s="385" t="str"/>
      <c r="Y243" s="386" t="inlineStr">
        <is>
          <t>reserved</t>
        </is>
      </c>
      <c r="Z243" s="386" t="str"/>
      <c r="AA243" s="386" t="str"/>
    </row>
    <row r="244">
      <c r="A244" s="38" t="inlineStr">
        <is>
          <t>pal_243</t>
        </is>
      </c>
      <c r="B244" s="38" t="inlineStr">
        <is>
          <t>岩豹兽</t>
        </is>
      </c>
      <c r="C244" s="38" t="inlineStr">
        <is>
          <t>地</t>
        </is>
      </c>
      <c r="D244" s="259" t="inlineStr">
        <is>
          <t>青铜</t>
        </is>
      </c>
      <c r="E244" s="38" t="inlineStr">
        <is>
          <t>输出</t>
        </is>
      </c>
      <c r="F244" s="38" t="inlineStr">
        <is>
          <t>两格</t>
        </is>
      </c>
      <c r="G244" s="38" t="inlineStr">
        <is>
          <t>bz_van_243</t>
        </is>
      </c>
      <c r="H244" s="38" t="inlineStr">
        <is>
          <t>elem_水, elem_雷, elem_龙, elem_无, role_坦克</t>
        </is>
      </c>
      <c r="I244" s="38" t="n">
        <v>5</v>
      </c>
      <c r="J244" s="456">
        <f>XLOOKUP($D244&amp;"|"&amp;$E244&amp;"|"&amp;$F244,'PET_STAT_RULES'!$A$5:$A$88,'PET_STAT_RULES'!$C$5:$C$88)</f>
        <v/>
      </c>
      <c r="K244" s="456">
        <f>XLOOKUP($D244&amp;"|"&amp;$E244&amp;"|"&amp;$F244,'PET_STAT_RULES'!$A$5:$A$88,'PET_STAT_RULES'!$D$5:$D$88)</f>
        <v/>
      </c>
      <c r="L244" s="456">
        <f>XLOOKUP($D244&amp;"|"&amp;$E244&amp;"|"&amp;$F244,'PET_STAT_RULES'!$A$5:$A$88,'PET_STAT_RULES'!$F$5:$F$88)</f>
        <v/>
      </c>
      <c r="M244" s="456">
        <f>XLOOKUP($D244&amp;"|"&amp;$E244&amp;"|"&amp;$F244,'PET_STAT_RULES'!$A$5:$A$88,'PET_STAT_RULES'!$G$5:$G$88)</f>
        <v/>
      </c>
      <c r="N244" s="38" t="n">
        <v>1</v>
      </c>
      <c r="O244" s="38" t="inlineStr">
        <is>
          <t>mech_grow_atk_each_round</t>
        </is>
      </c>
      <c r="P244" s="38" t="inlineStr">
        <is>
          <t>01 形状01</t>
        </is>
      </c>
      <c r="Q244" s="38" t="inlineStr">
        <is>
          <t>Deadly</t>
        </is>
      </c>
      <c r="R244" s="38" t="inlineStr">
        <is>
          <t>skill confirmed；来源=Right-Handed；攻击1格；仅保留来源商人/训练师关系。</t>
        </is>
      </c>
      <c r="S244" s="38" t="n">
        <v>3</v>
      </c>
      <c r="T244" s="38" t="n">
        <v>1</v>
      </c>
      <c r="U244" s="442" t="inlineStr">
        <is>
          <t>skill_vanguard,skill_flank,skill_pierce,skill_revolve,skill_chase,skill_break,skill_suppress,skill_finale</t>
        </is>
      </c>
      <c r="V244" s="442" t="inlineStr">
        <is>
          <t>trait_relentless</t>
        </is>
      </c>
      <c r="W244" s="457">
        <f>XLOOKUP($D244&amp;"|"&amp;$E244&amp;"|"&amp;$F244,'PET_STAT_RULES'!$A$5:$A$88,'PET_STAT_RULES'!$E$5:$E$88)</f>
        <v/>
      </c>
      <c r="X244" s="385" t="str"/>
      <c r="Y244" s="386" t="inlineStr">
        <is>
          <t>reserved</t>
        </is>
      </c>
      <c r="Z244" s="386" t="str"/>
      <c r="AA244" s="386" t="str"/>
    </row>
    <row r="245">
      <c r="A245" s="38" t="inlineStr">
        <is>
          <t>pal_244</t>
        </is>
      </c>
      <c r="B245" s="38" t="inlineStr">
        <is>
          <t>雷蛛妖</t>
        </is>
      </c>
      <c r="C245" s="38" t="inlineStr">
        <is>
          <t>雷</t>
        </is>
      </c>
      <c r="D245" s="265" t="inlineStr">
        <is>
          <t>白银</t>
        </is>
      </c>
      <c r="E245" s="38" t="inlineStr">
        <is>
          <t>控制</t>
        </is>
      </c>
      <c r="F245" s="38" t="inlineStr">
        <is>
          <t>两格</t>
        </is>
      </c>
      <c r="G245" s="38" t="inlineStr">
        <is>
          <t>bz_van_244</t>
        </is>
      </c>
      <c r="H245" s="38" t="inlineStr">
        <is>
          <t>elem_水, elem_雷, elem_龙, elem_无, role_经济, special_merchant</t>
        </is>
      </c>
      <c r="I245" s="38" t="n">
        <v>6</v>
      </c>
      <c r="J245" s="456">
        <f>XLOOKUP($D245&amp;"|"&amp;$E245&amp;"|"&amp;$F245,'PET_STAT_RULES'!$A$5:$A$88,'PET_STAT_RULES'!$C$5:$C$88)</f>
        <v/>
      </c>
      <c r="K245" s="456">
        <f>XLOOKUP($D245&amp;"|"&amp;$E245&amp;"|"&amp;$F245,'PET_STAT_RULES'!$A$5:$A$88,'PET_STAT_RULES'!$D$5:$D$88)</f>
        <v/>
      </c>
      <c r="L245" s="456">
        <f>XLOOKUP($D245&amp;"|"&amp;$E245&amp;"|"&amp;$F245,'PET_STAT_RULES'!$A$5:$A$88,'PET_STAT_RULES'!$F$5:$F$88)</f>
        <v/>
      </c>
      <c r="M245" s="456">
        <f>XLOOKUP($D245&amp;"|"&amp;$E245&amp;"|"&amp;$F245,'PET_STAT_RULES'!$A$5:$A$88,'PET_STAT_RULES'!$G$5:$G$88)</f>
        <v/>
      </c>
      <c r="N245" s="38" t="n">
        <v>2</v>
      </c>
      <c r="O245" s="38" t="inlineStr">
        <is>
          <t>mech_counter_damage</t>
        </is>
      </c>
      <c r="P245" s="38" t="inlineStr">
        <is>
          <t>09 形状09</t>
        </is>
      </c>
      <c r="Q245" s="38" t="inlineStr">
        <is>
          <t>Icy</t>
        </is>
      </c>
      <c r="R245" s="38" t="inlineStr">
        <is>
          <t>skill confirmed；来源=Righty Tighty；攻击2格；仅保留来源商人/训练师关系。</t>
        </is>
      </c>
      <c r="S245" s="38" t="n">
        <v>4</v>
      </c>
      <c r="T245" s="38" t="n">
        <v>2</v>
      </c>
      <c r="U245" s="442" t="inlineStr">
        <is>
          <t>skill_vanguard,skill_flank,skill_pierce,skill_revolve,skill_chase,skill_break,skill_suppress,skill_finale</t>
        </is>
      </c>
      <c r="V245" s="442" t="inlineStr">
        <is>
          <t>trait_element_affinity</t>
        </is>
      </c>
      <c r="W245" s="457">
        <f>XLOOKUP($D245&amp;"|"&amp;$E245&amp;"|"&amp;$F245,'PET_STAT_RULES'!$A$5:$A$88,'PET_STAT_RULES'!$E$5:$E$88)</f>
        <v/>
      </c>
      <c r="X245" s="385" t="str"/>
      <c r="Y245" s="386" t="inlineStr">
        <is>
          <t>reserved</t>
        </is>
      </c>
      <c r="Z245" s="386" t="str"/>
      <c r="AA245" s="386" t="str"/>
    </row>
    <row r="246">
      <c r="A246" s="38" t="inlineStr">
        <is>
          <t>pal_245</t>
        </is>
      </c>
      <c r="B246" s="38" t="inlineStr">
        <is>
          <t>角蛙君</t>
        </is>
      </c>
      <c r="C246" s="38" t="inlineStr">
        <is>
          <t>龙</t>
        </is>
      </c>
      <c r="D246" s="262" t="inlineStr">
        <is>
          <t>黄金</t>
        </is>
      </c>
      <c r="E246" s="38" t="inlineStr">
        <is>
          <t>控制</t>
        </is>
      </c>
      <c r="F246" s="38" t="inlineStr">
        <is>
          <t>两格</t>
        </is>
      </c>
      <c r="G246" s="38" t="inlineStr">
        <is>
          <t>bz_van_245</t>
        </is>
      </c>
      <c r="H246" s="38" t="inlineStr">
        <is>
          <t>elem_水, elem_龙, elem_无, role_经济</t>
        </is>
      </c>
      <c r="I246" s="38" t="n">
        <v>4</v>
      </c>
      <c r="J246" s="456">
        <f>XLOOKUP($D246&amp;"|"&amp;$E246&amp;"|"&amp;$F246,'PET_STAT_RULES'!$A$5:$A$88,'PET_STAT_RULES'!$C$5:$C$88)</f>
        <v/>
      </c>
      <c r="K246" s="456">
        <f>XLOOKUP($D246&amp;"|"&amp;$E246&amp;"|"&amp;$F246,'PET_STAT_RULES'!$A$5:$A$88,'PET_STAT_RULES'!$D$5:$D$88)</f>
        <v/>
      </c>
      <c r="L246" s="456">
        <f>XLOOKUP($D246&amp;"|"&amp;$E246&amp;"|"&amp;$F246,'PET_STAT_RULES'!$A$5:$A$88,'PET_STAT_RULES'!$F$5:$F$88)</f>
        <v/>
      </c>
      <c r="M246" s="456">
        <f>XLOOKUP($D246&amp;"|"&amp;$E246&amp;"|"&amp;$F246,'PET_STAT_RULES'!$A$5:$A$88,'PET_STAT_RULES'!$G$5:$G$88)</f>
        <v/>
      </c>
      <c r="N246" s="38" t="n">
        <v>2</v>
      </c>
      <c r="O246" s="38" t="inlineStr">
        <is>
          <t>mech_counter_damage</t>
        </is>
      </c>
      <c r="P246" s="38" t="inlineStr">
        <is>
          <t>10 形状10</t>
        </is>
      </c>
      <c r="Q246" s="38" t="inlineStr">
        <is>
          <t>Icy</t>
        </is>
      </c>
      <c r="R246" s="38" t="inlineStr">
        <is>
          <t>skill confirmed；来源=Sabotage；攻击2格；仅保留来源商人/训练师关系。</t>
        </is>
      </c>
      <c r="S246" s="38" t="n">
        <v>4</v>
      </c>
      <c r="T246" s="38" t="n">
        <v>2</v>
      </c>
      <c r="U246" s="442" t="inlineStr">
        <is>
          <t>skill_vanguard,skill_flank,skill_pierce,skill_revolve,skill_chase,skill_break,skill_suppress,skill_finale</t>
        </is>
      </c>
      <c r="V246" s="442" t="inlineStr">
        <is>
          <t>trait_element_affinity</t>
        </is>
      </c>
      <c r="W246" s="457">
        <f>XLOOKUP($D246&amp;"|"&amp;$E246&amp;"|"&amp;$F246,'PET_STAT_RULES'!$A$5:$A$88,'PET_STAT_RULES'!$E$5:$E$88)</f>
        <v/>
      </c>
      <c r="X246" s="385" t="str"/>
      <c r="Y246" s="386" t="inlineStr">
        <is>
          <t>reserved</t>
        </is>
      </c>
      <c r="Z246" s="386" t="str"/>
      <c r="AA246" s="386" t="str"/>
    </row>
    <row r="247">
      <c r="A247" s="38" t="inlineStr">
        <is>
          <t>pal_246</t>
        </is>
      </c>
      <c r="B247" s="38" t="inlineStr">
        <is>
          <t>燎隼精</t>
        </is>
      </c>
      <c r="C247" s="38" t="inlineStr">
        <is>
          <t>火</t>
        </is>
      </c>
      <c r="D247" s="265" t="inlineStr">
        <is>
          <t>白银</t>
        </is>
      </c>
      <c r="E247" s="38" t="inlineStr">
        <is>
          <t>机动</t>
        </is>
      </c>
      <c r="F247" s="38" t="inlineStr">
        <is>
          <t>两格</t>
        </is>
      </c>
      <c r="G247" s="38" t="inlineStr">
        <is>
          <t>bz_van_246</t>
        </is>
      </c>
      <c r="H247" s="38" t="inlineStr">
        <is>
          <t>elem_水, elem_雷, elem_龙, elem_无, role_治疗, special_merchant</t>
        </is>
      </c>
      <c r="I247" s="38" t="n">
        <v>6</v>
      </c>
      <c r="J247" s="456">
        <f>XLOOKUP($D247&amp;"|"&amp;$E247&amp;"|"&amp;$F247,'PET_STAT_RULES'!$A$5:$A$88,'PET_STAT_RULES'!$C$5:$C$88)</f>
        <v/>
      </c>
      <c r="K247" s="456">
        <f>XLOOKUP($D247&amp;"|"&amp;$E247&amp;"|"&amp;$F247,'PET_STAT_RULES'!$A$5:$A$88,'PET_STAT_RULES'!$D$5:$D$88)</f>
        <v/>
      </c>
      <c r="L247" s="456">
        <f>XLOOKUP($D247&amp;"|"&amp;$E247&amp;"|"&amp;$F247,'PET_STAT_RULES'!$A$5:$A$88,'PET_STAT_RULES'!$F$5:$F$88)</f>
        <v/>
      </c>
      <c r="M247" s="456">
        <f>XLOOKUP($D247&amp;"|"&amp;$E247&amp;"|"&amp;$F247,'PET_STAT_RULES'!$A$5:$A$88,'PET_STAT_RULES'!$G$5:$G$88)</f>
        <v/>
      </c>
      <c r="N247" s="38" t="n">
        <v>2</v>
      </c>
      <c r="O247" s="38" t="inlineStr">
        <is>
          <t>mech_fire_ignite_bonus</t>
        </is>
      </c>
      <c r="P247" s="38" t="inlineStr">
        <is>
          <t>10 形状10</t>
        </is>
      </c>
      <c r="Q247" s="38" t="inlineStr">
        <is>
          <t>Fiery</t>
        </is>
      </c>
      <c r="R247" s="38" t="inlineStr">
        <is>
          <t>skill confirmed；来源=Searing Flames；攻击2格；仅保留来源商人/训练师关系。</t>
        </is>
      </c>
      <c r="S247" s="38" t="n">
        <v>5</v>
      </c>
      <c r="T247" s="38" t="n">
        <v>2</v>
      </c>
      <c r="U247" s="442" t="inlineStr">
        <is>
          <t>skill_vanguard,skill_flank,skill_pierce,skill_revolve,skill_chase,skill_break,skill_suppress,skill_finale</t>
        </is>
      </c>
      <c r="V247" s="442" t="inlineStr">
        <is>
          <t>trait_relentless</t>
        </is>
      </c>
      <c r="W247" s="457">
        <f>XLOOKUP($D247&amp;"|"&amp;$E247&amp;"|"&amp;$F247,'PET_STAT_RULES'!$A$5:$A$88,'PET_STAT_RULES'!$E$5:$E$88)</f>
        <v/>
      </c>
      <c r="X247" s="385" t="str"/>
      <c r="Y247" s="386" t="inlineStr">
        <is>
          <t>reserved</t>
        </is>
      </c>
      <c r="Z247" s="386" t="str"/>
      <c r="AA247" s="386" t="str"/>
    </row>
    <row r="248">
      <c r="A248" s="38" t="inlineStr">
        <is>
          <t>pal_247</t>
        </is>
      </c>
      <c r="B248" s="38" t="inlineStr">
        <is>
          <t>潮羊卫</t>
        </is>
      </c>
      <c r="C248" s="38" t="inlineStr">
        <is>
          <t>水、地</t>
        </is>
      </c>
      <c r="D248" s="265" t="inlineStr">
        <is>
          <t>白银</t>
        </is>
      </c>
      <c r="E248" s="38" t="inlineStr">
        <is>
          <t>治疗</t>
        </is>
      </c>
      <c r="F248" s="38" t="inlineStr">
        <is>
          <t>两格</t>
        </is>
      </c>
      <c r="G248" s="38" t="inlineStr">
        <is>
          <t>bz_van_247</t>
        </is>
      </c>
      <c r="H248" s="38" t="inlineStr">
        <is>
          <t>elem_水, elem_雷, elem_龙, elem_无, tier_pT2</t>
        </is>
      </c>
      <c r="I248" s="38" t="n">
        <v>5</v>
      </c>
      <c r="J248" s="456">
        <f>XLOOKUP($D248&amp;"|"&amp;$E248&amp;"|"&amp;$F248,'PET_STAT_RULES'!$A$5:$A$88,'PET_STAT_RULES'!$C$5:$C$88)</f>
        <v/>
      </c>
      <c r="K248" s="456">
        <f>XLOOKUP($D248&amp;"|"&amp;$E248&amp;"|"&amp;$F248,'PET_STAT_RULES'!$A$5:$A$88,'PET_STAT_RULES'!$D$5:$D$88)</f>
        <v/>
      </c>
      <c r="L248" s="456">
        <f>XLOOKUP($D248&amp;"|"&amp;$E248&amp;"|"&amp;$F248,'PET_STAT_RULES'!$A$5:$A$88,'PET_STAT_RULES'!$F$5:$F$88)</f>
        <v/>
      </c>
      <c r="M248" s="456">
        <f>XLOOKUP($D248&amp;"|"&amp;$E248&amp;"|"&amp;$F248,'PET_STAT_RULES'!$A$5:$A$88,'PET_STAT_RULES'!$G$5:$G$88)</f>
        <v/>
      </c>
      <c r="N248" s="38" t="n">
        <v>2</v>
      </c>
      <c r="O248" s="38" t="inlineStr">
        <is>
          <t>mech_shield_regen</t>
        </is>
      </c>
      <c r="P248" s="38" t="inlineStr">
        <is>
          <t>11 形状11</t>
        </is>
      </c>
      <c r="Q248" s="38" t="inlineStr">
        <is>
          <t>Restorative</t>
        </is>
      </c>
      <c r="R248" s="38" t="inlineStr">
        <is>
          <t>skill confirmed；来源=Second Wind；攻击2格；仅保留来源商人/训练师关系。</t>
        </is>
      </c>
      <c r="S248" s="38" t="n">
        <v>3</v>
      </c>
      <c r="T248" s="38" t="n">
        <v>2</v>
      </c>
      <c r="U248" s="442" t="inlineStr">
        <is>
          <t>skill_vanguard,skill_flank,skill_pierce,skill_revolve,skill_chase,skill_break,skill_suppress,skill_finale</t>
        </is>
      </c>
      <c r="V248" s="442" t="inlineStr">
        <is>
          <t>trait_element_affinity</t>
        </is>
      </c>
      <c r="W248" s="457">
        <f>XLOOKUP($D248&amp;"|"&amp;$E248&amp;"|"&amp;$F248,'PET_STAT_RULES'!$A$5:$A$88,'PET_STAT_RULES'!$E$5:$E$88)</f>
        <v/>
      </c>
      <c r="X248" s="385" t="str"/>
      <c r="Y248" s="386" t="inlineStr">
        <is>
          <t>reserved</t>
        </is>
      </c>
      <c r="Z248" s="386" t="str"/>
      <c r="AA248" s="386" t="str"/>
    </row>
    <row r="249">
      <c r="A249" s="38" t="inlineStr">
        <is>
          <t>pal_248</t>
        </is>
      </c>
      <c r="B249" s="38" t="inlineStr">
        <is>
          <t>岳熊精</t>
        </is>
      </c>
      <c r="C249" s="38" t="inlineStr">
        <is>
          <t>地</t>
        </is>
      </c>
      <c r="D249" s="265" t="inlineStr">
        <is>
          <t>白银</t>
        </is>
      </c>
      <c r="E249" s="38" t="inlineStr">
        <is>
          <t>坦克</t>
        </is>
      </c>
      <c r="F249" s="38" t="inlineStr">
        <is>
          <t>两格</t>
        </is>
      </c>
      <c r="G249" s="38" t="inlineStr">
        <is>
          <t>bz_van_248</t>
        </is>
      </c>
      <c r="H249" s="38" t="inlineStr">
        <is>
          <t>elem_水, elem_雷, elem_龙, elem_无, role_坦克, role_召唤铺场</t>
        </is>
      </c>
      <c r="I249" s="38" t="n">
        <v>6</v>
      </c>
      <c r="J249" s="456">
        <f>XLOOKUP($D249&amp;"|"&amp;$E249&amp;"|"&amp;$F249,'PET_STAT_RULES'!$A$5:$A$88,'PET_STAT_RULES'!$C$5:$C$88)</f>
        <v/>
      </c>
      <c r="K249" s="456">
        <f>XLOOKUP($D249&amp;"|"&amp;$E249&amp;"|"&amp;$F249,'PET_STAT_RULES'!$A$5:$A$88,'PET_STAT_RULES'!$D$5:$D$88)</f>
        <v/>
      </c>
      <c r="L249" s="456">
        <f>XLOOKUP($D249&amp;"|"&amp;$E249&amp;"|"&amp;$F249,'PET_STAT_RULES'!$A$5:$A$88,'PET_STAT_RULES'!$F$5:$F$88)</f>
        <v/>
      </c>
      <c r="M249" s="456">
        <f>XLOOKUP($D249&amp;"|"&amp;$E249&amp;"|"&amp;$F249,'PET_STAT_RULES'!$A$5:$A$88,'PET_STAT_RULES'!$G$5:$G$88)</f>
        <v/>
      </c>
      <c r="N249" s="38" t="n">
        <v>2</v>
      </c>
      <c r="O249" s="38" t="inlineStr">
        <is>
          <t>mech_armor_flat</t>
        </is>
      </c>
      <c r="P249" s="38" t="inlineStr">
        <is>
          <t>09 形状09</t>
        </is>
      </c>
      <c r="Q249" s="38" t="inlineStr">
        <is>
          <t>Shielded</t>
        </is>
      </c>
      <c r="R249" s="38" t="inlineStr">
        <is>
          <t>skill confirmed；来源=Sharp Corners；攻击2格；仅保留来源商人/训练师关系。</t>
        </is>
      </c>
      <c r="S249" s="38" t="n">
        <v>3</v>
      </c>
      <c r="T249" s="38" t="n">
        <v>2</v>
      </c>
      <c r="U249" s="442" t="inlineStr">
        <is>
          <t>skill_vanguard,skill_flank,skill_pierce,skill_revolve,skill_chase,skill_break,skill_suppress,skill_finale</t>
        </is>
      </c>
      <c r="V249" s="442" t="inlineStr">
        <is>
          <t>trait_combo_mastery</t>
        </is>
      </c>
      <c r="W249" s="457">
        <f>XLOOKUP($D249&amp;"|"&amp;$E249&amp;"|"&amp;$F249,'PET_STAT_RULES'!$A$5:$A$88,'PET_STAT_RULES'!$E$5:$E$88)</f>
        <v/>
      </c>
      <c r="X249" s="385" t="str"/>
      <c r="Y249" s="386" t="inlineStr">
        <is>
          <t>reserved</t>
        </is>
      </c>
      <c r="Z249" s="386" t="str"/>
      <c r="AA249" s="386" t="str"/>
    </row>
    <row r="250">
      <c r="A250" s="38" t="inlineStr">
        <is>
          <t>pal_249</t>
        </is>
      </c>
      <c r="B250" s="38" t="inlineStr">
        <is>
          <t>霆鲨皇</t>
        </is>
      </c>
      <c r="C250" s="38" t="inlineStr">
        <is>
          <t>雷</t>
        </is>
      </c>
      <c r="D250" s="268" t="inlineStr">
        <is>
          <t>钻石</t>
        </is>
      </c>
      <c r="E250" s="38" t="inlineStr">
        <is>
          <t>输出</t>
        </is>
      </c>
      <c r="F250" s="38" t="inlineStr">
        <is>
          <t>两格</t>
        </is>
      </c>
      <c r="G250" s="38" t="inlineStr">
        <is>
          <t>bz_van_249</t>
        </is>
      </c>
      <c r="H250" s="38" t="inlineStr">
        <is>
          <t>elem_水, elem_龙, role_召唤, role_坦克</t>
        </is>
      </c>
      <c r="I250" s="38" t="n">
        <v>4</v>
      </c>
      <c r="J250" s="456">
        <f>XLOOKUP($D250&amp;"|"&amp;$E250&amp;"|"&amp;$F250,'PET_STAT_RULES'!$A$5:$A$88,'PET_STAT_RULES'!$C$5:$C$88)</f>
        <v/>
      </c>
      <c r="K250" s="456">
        <f>XLOOKUP($D250&amp;"|"&amp;$E250&amp;"|"&amp;$F250,'PET_STAT_RULES'!$A$5:$A$88,'PET_STAT_RULES'!$D$5:$D$88)</f>
        <v/>
      </c>
      <c r="L250" s="456">
        <f>XLOOKUP($D250&amp;"|"&amp;$E250&amp;"|"&amp;$F250,'PET_STAT_RULES'!$A$5:$A$88,'PET_STAT_RULES'!$F$5:$F$88)</f>
        <v/>
      </c>
      <c r="M250" s="456">
        <f>XLOOKUP($D250&amp;"|"&amp;$E250&amp;"|"&amp;$F250,'PET_STAT_RULES'!$A$5:$A$88,'PET_STAT_RULES'!$G$5:$G$88)</f>
        <v/>
      </c>
      <c r="N250" s="38" t="n">
        <v>3</v>
      </c>
      <c r="O250" s="38" t="inlineStr">
        <is>
          <t>mech_grow_atk_each_round</t>
        </is>
      </c>
      <c r="P250" s="38" t="inlineStr">
        <is>
          <t>17 形状17</t>
        </is>
      </c>
      <c r="Q250" s="38" t="inlineStr">
        <is>
          <t>Deadly</t>
        </is>
      </c>
      <c r="R250" s="38" t="inlineStr">
        <is>
          <t>skill confirmed；来源=Sharpshooter；攻击3格；仅保留来源商人/训练师关系。</t>
        </is>
      </c>
      <c r="S250" s="38" t="n">
        <v>3</v>
      </c>
      <c r="T250" s="38" t="n">
        <v>3</v>
      </c>
      <c r="U250" s="442" t="inlineStr">
        <is>
          <t>skill_vanguard,skill_flank,skill_pierce,skill_revolve,skill_chase,skill_break,skill_suppress,skill_finale</t>
        </is>
      </c>
      <c r="V250" s="442" t="inlineStr">
        <is>
          <t>trait_relentless</t>
        </is>
      </c>
      <c r="W250" s="457">
        <f>XLOOKUP($D250&amp;"|"&amp;$E250&amp;"|"&amp;$F250,'PET_STAT_RULES'!$A$5:$A$88,'PET_STAT_RULES'!$E$5:$E$88)</f>
        <v/>
      </c>
      <c r="X250" s="385" t="str"/>
      <c r="Y250" s="386" t="inlineStr">
        <is>
          <t>reserved</t>
        </is>
      </c>
      <c r="Z250" s="386" t="str"/>
      <c r="AA250" s="386" t="str"/>
    </row>
    <row r="251">
      <c r="A251" s="38" t="inlineStr">
        <is>
          <t>pal_250</t>
        </is>
      </c>
      <c r="B251" s="38" t="inlineStr">
        <is>
          <t>霜貂卫</t>
        </is>
      </c>
      <c r="C251" s="38" t="inlineStr">
        <is>
          <t>冰</t>
        </is>
      </c>
      <c r="D251" s="265" t="inlineStr">
        <is>
          <t>白银</t>
        </is>
      </c>
      <c r="E251" s="38" t="inlineStr">
        <is>
          <t>控制</t>
        </is>
      </c>
      <c r="F251" s="38" t="inlineStr">
        <is>
          <t>两格</t>
        </is>
      </c>
      <c r="G251" s="38" t="inlineStr">
        <is>
          <t>bz_van_250</t>
        </is>
      </c>
      <c r="H251" s="38" t="inlineStr">
        <is>
          <t>elem_水, elem_雷, elem_龙, elem_无, role_坦克, role_控制</t>
        </is>
      </c>
      <c r="I251" s="38" t="n">
        <v>6</v>
      </c>
      <c r="J251" s="456">
        <f>XLOOKUP($D251&amp;"|"&amp;$E251&amp;"|"&amp;$F251,'PET_STAT_RULES'!$A$5:$A$88,'PET_STAT_RULES'!$C$5:$C$88)</f>
        <v/>
      </c>
      <c r="K251" s="456">
        <f>XLOOKUP($D251&amp;"|"&amp;$E251&amp;"|"&amp;$F251,'PET_STAT_RULES'!$A$5:$A$88,'PET_STAT_RULES'!$D$5:$D$88)</f>
        <v/>
      </c>
      <c r="L251" s="456">
        <f>XLOOKUP($D251&amp;"|"&amp;$E251&amp;"|"&amp;$F251,'PET_STAT_RULES'!$A$5:$A$88,'PET_STAT_RULES'!$F$5:$F$88)</f>
        <v/>
      </c>
      <c r="M251" s="456">
        <f>XLOOKUP($D251&amp;"|"&amp;$E251&amp;"|"&amp;$F251,'PET_STAT_RULES'!$A$5:$A$88,'PET_STAT_RULES'!$G$5:$G$88)</f>
        <v/>
      </c>
      <c r="N251" s="38" t="n">
        <v>2</v>
      </c>
      <c r="O251" s="38" t="inlineStr">
        <is>
          <t>mech_counter_damage</t>
        </is>
      </c>
      <c r="P251" s="38" t="inlineStr">
        <is>
          <t>11 形状11</t>
        </is>
      </c>
      <c r="Q251" s="38" t="inlineStr">
        <is>
          <t>Icy</t>
        </is>
      </c>
      <c r="R251" s="38" t="inlineStr">
        <is>
          <t>skill confirmed；来源=Shatter；攻击2格；仅保留来源商人/训练师关系。</t>
        </is>
      </c>
      <c r="S251" s="38" t="n">
        <v>4</v>
      </c>
      <c r="T251" s="38" t="n">
        <v>2</v>
      </c>
      <c r="U251" s="442" t="inlineStr">
        <is>
          <t>skill_vanguard,skill_flank,skill_pierce,skill_revolve,skill_chase,skill_break,skill_suppress,skill_finale</t>
        </is>
      </c>
      <c r="V251" s="442" t="inlineStr">
        <is>
          <t>trait_element_affinity</t>
        </is>
      </c>
      <c r="W251" s="457">
        <f>XLOOKUP($D251&amp;"|"&amp;$E251&amp;"|"&amp;$F251,'PET_STAT_RULES'!$A$5:$A$88,'PET_STAT_RULES'!$E$5:$E$88)</f>
        <v/>
      </c>
      <c r="X251" s="385" t="str"/>
      <c r="Y251" s="386" t="inlineStr">
        <is>
          <t>reserved</t>
        </is>
      </c>
      <c r="Z251" s="386" t="str"/>
      <c r="AA251" s="386" t="str"/>
    </row>
    <row r="252">
      <c r="A252" s="38" t="inlineStr">
        <is>
          <t>pal_251</t>
        </is>
      </c>
      <c r="B252" s="38" t="inlineStr">
        <is>
          <t>霆牦王</t>
        </is>
      </c>
      <c r="C252" s="38" t="inlineStr">
        <is>
          <t>雷、地</t>
        </is>
      </c>
      <c r="D252" s="262" t="inlineStr">
        <is>
          <t>黄金</t>
        </is>
      </c>
      <c r="E252" s="38" t="inlineStr">
        <is>
          <t>坦克</t>
        </is>
      </c>
      <c r="F252" s="38" t="inlineStr">
        <is>
          <t>两格</t>
        </is>
      </c>
      <c r="G252" s="38" t="inlineStr">
        <is>
          <t>bz_van_251</t>
        </is>
      </c>
      <c r="H252" s="38" t="inlineStr">
        <is>
          <t>elem_水, elem_龙, elem_无, role_坦克, special_merchant</t>
        </is>
      </c>
      <c r="I252" s="38" t="n">
        <v>5</v>
      </c>
      <c r="J252" s="456">
        <f>XLOOKUP($D252&amp;"|"&amp;$E252&amp;"|"&amp;$F252,'PET_STAT_RULES'!$A$5:$A$88,'PET_STAT_RULES'!$C$5:$C$88)</f>
        <v/>
      </c>
      <c r="K252" s="456">
        <f>XLOOKUP($D252&amp;"|"&amp;$E252&amp;"|"&amp;$F252,'PET_STAT_RULES'!$A$5:$A$88,'PET_STAT_RULES'!$D$5:$D$88)</f>
        <v/>
      </c>
      <c r="L252" s="456">
        <f>XLOOKUP($D252&amp;"|"&amp;$E252&amp;"|"&amp;$F252,'PET_STAT_RULES'!$A$5:$A$88,'PET_STAT_RULES'!$F$5:$F$88)</f>
        <v/>
      </c>
      <c r="M252" s="456">
        <f>XLOOKUP($D252&amp;"|"&amp;$E252&amp;"|"&amp;$F252,'PET_STAT_RULES'!$A$5:$A$88,'PET_STAT_RULES'!$G$5:$G$88)</f>
        <v/>
      </c>
      <c r="N252" s="38" t="n">
        <v>2</v>
      </c>
      <c r="O252" s="38" t="inlineStr">
        <is>
          <t>mech_armor_flat</t>
        </is>
      </c>
      <c r="P252" s="38" t="inlineStr">
        <is>
          <t>06 形状06</t>
        </is>
      </c>
      <c r="Q252" s="38" t="inlineStr">
        <is>
          <t>Turbo</t>
        </is>
      </c>
      <c r="R252" s="38" t="inlineStr">
        <is>
          <t>skill confirmed；来源=Shield Bash；攻击2格；仅保留来源商人/训练师关系。</t>
        </is>
      </c>
      <c r="S252" s="38" t="n">
        <v>3</v>
      </c>
      <c r="T252" s="38" t="n">
        <v>2</v>
      </c>
      <c r="U252" s="442" t="inlineStr">
        <is>
          <t>skill_vanguard,skill_flank,skill_pierce,skill_revolve,skill_chase,skill_break,skill_suppress,skill_finale</t>
        </is>
      </c>
      <c r="V252" s="442" t="inlineStr">
        <is>
          <t>trait_combo_mastery</t>
        </is>
      </c>
      <c r="W252" s="457">
        <f>XLOOKUP($D252&amp;"|"&amp;$E252&amp;"|"&amp;$F252,'PET_STAT_RULES'!$A$5:$A$88,'PET_STAT_RULES'!$E$5:$E$88)</f>
        <v/>
      </c>
      <c r="X252" s="385" t="str"/>
      <c r="Y252" s="386" t="inlineStr">
        <is>
          <t>reserved</t>
        </is>
      </c>
      <c r="Z252" s="386" t="str"/>
      <c r="AA252" s="386" t="str"/>
    </row>
    <row r="253">
      <c r="A253" s="38" t="inlineStr">
        <is>
          <t>pal_252</t>
        </is>
      </c>
      <c r="B253" s="38" t="inlineStr">
        <is>
          <t>炎蛛尊</t>
        </is>
      </c>
      <c r="C253" s="38" t="inlineStr">
        <is>
          <t>火、草</t>
        </is>
      </c>
      <c r="D253" s="262" t="inlineStr">
        <is>
          <t>黄金</t>
        </is>
      </c>
      <c r="E253" s="38" t="inlineStr">
        <is>
          <t>控制</t>
        </is>
      </c>
      <c r="F253" s="38" t="inlineStr">
        <is>
          <t>两格</t>
        </is>
      </c>
      <c r="G253" s="38" t="inlineStr">
        <is>
          <t>bz_van_252</t>
        </is>
      </c>
      <c r="H253" s="38" t="inlineStr">
        <is>
          <t>elem_水, elem_龙, elem_无, role_治疗, role_输出, special_merchant</t>
        </is>
      </c>
      <c r="I253" s="38" t="n">
        <v>6</v>
      </c>
      <c r="J253" s="456">
        <f>XLOOKUP($D253&amp;"|"&amp;$E253&amp;"|"&amp;$F253,'PET_STAT_RULES'!$A$5:$A$88,'PET_STAT_RULES'!$C$5:$C$88)</f>
        <v/>
      </c>
      <c r="K253" s="456">
        <f>XLOOKUP($D253&amp;"|"&amp;$E253&amp;"|"&amp;$F253,'PET_STAT_RULES'!$A$5:$A$88,'PET_STAT_RULES'!$D$5:$D$88)</f>
        <v/>
      </c>
      <c r="L253" s="456">
        <f>XLOOKUP($D253&amp;"|"&amp;$E253&amp;"|"&amp;$F253,'PET_STAT_RULES'!$A$5:$A$88,'PET_STAT_RULES'!$F$5:$F$88)</f>
        <v/>
      </c>
      <c r="M253" s="456">
        <f>XLOOKUP($D253&amp;"|"&amp;$E253&amp;"|"&amp;$F253,'PET_STAT_RULES'!$A$5:$A$88,'PET_STAT_RULES'!$G$5:$G$88)</f>
        <v/>
      </c>
      <c r="N253" s="38" t="n">
        <v>2</v>
      </c>
      <c r="O253" s="38" t="inlineStr">
        <is>
          <t>mech_fire_ignite_bonus</t>
        </is>
      </c>
      <c r="P253" s="38" t="inlineStr">
        <is>
          <t>12 形状12</t>
        </is>
      </c>
      <c r="Q253" s="38" t="inlineStr">
        <is>
          <t>Fiery</t>
        </is>
      </c>
      <c r="R253" s="38" t="inlineStr">
        <is>
          <t>skill confirmed；来源=Sick Burn；攻击2格；仅保留来源商人/训练师关系。</t>
        </is>
      </c>
      <c r="S253" s="38" t="n">
        <v>4</v>
      </c>
      <c r="T253" s="38" t="n">
        <v>2</v>
      </c>
      <c r="U253" s="442" t="inlineStr">
        <is>
          <t>skill_vanguard,skill_flank,skill_pierce,skill_revolve,skill_chase,skill_break,skill_suppress,skill_finale</t>
        </is>
      </c>
      <c r="V253" s="442" t="inlineStr">
        <is>
          <t>trait_element_affinity</t>
        </is>
      </c>
      <c r="W253" s="457">
        <f>XLOOKUP($D253&amp;"|"&amp;$E253&amp;"|"&amp;$F253,'PET_STAT_RULES'!$A$5:$A$88,'PET_STAT_RULES'!$E$5:$E$88)</f>
        <v/>
      </c>
      <c r="X253" s="385" t="str"/>
      <c r="Y253" s="386" t="inlineStr">
        <is>
          <t>reserved</t>
        </is>
      </c>
      <c r="Z253" s="386" t="str"/>
      <c r="AA253" s="386" t="str"/>
    </row>
    <row r="254">
      <c r="A254" s="38" t="inlineStr">
        <is>
          <t>pal_253</t>
        </is>
      </c>
      <c r="B254" s="38" t="inlineStr">
        <is>
          <t>炎鳗精</t>
        </is>
      </c>
      <c r="C254" s="38" t="inlineStr">
        <is>
          <t>火</t>
        </is>
      </c>
      <c r="D254" s="265" t="inlineStr">
        <is>
          <t>白银</t>
        </is>
      </c>
      <c r="E254" s="38" t="inlineStr">
        <is>
          <t>控制</t>
        </is>
      </c>
      <c r="F254" s="38" t="inlineStr">
        <is>
          <t>两格</t>
        </is>
      </c>
      <c r="G254" s="38" t="inlineStr">
        <is>
          <t>bz_van_253</t>
        </is>
      </c>
      <c r="H254" s="38" t="inlineStr">
        <is>
          <t>elem_水, elem_雷, elem_龙, elem_无, role_坦克, role_经济</t>
        </is>
      </c>
      <c r="I254" s="38" t="n">
        <v>6</v>
      </c>
      <c r="J254" s="456">
        <f>XLOOKUP($D254&amp;"|"&amp;$E254&amp;"|"&amp;$F254,'PET_STAT_RULES'!$A$5:$A$88,'PET_STAT_RULES'!$C$5:$C$88)</f>
        <v/>
      </c>
      <c r="K254" s="456">
        <f>XLOOKUP($D254&amp;"|"&amp;$E254&amp;"|"&amp;$F254,'PET_STAT_RULES'!$A$5:$A$88,'PET_STAT_RULES'!$D$5:$D$88)</f>
        <v/>
      </c>
      <c r="L254" s="456">
        <f>XLOOKUP($D254&amp;"|"&amp;$E254&amp;"|"&amp;$F254,'PET_STAT_RULES'!$A$5:$A$88,'PET_STAT_RULES'!$F$5:$F$88)</f>
        <v/>
      </c>
      <c r="M254" s="456">
        <f>XLOOKUP($D254&amp;"|"&amp;$E254&amp;"|"&amp;$F254,'PET_STAT_RULES'!$A$5:$A$88,'PET_STAT_RULES'!$G$5:$G$88)</f>
        <v/>
      </c>
      <c r="N254" s="38" t="n">
        <v>2</v>
      </c>
      <c r="O254" s="38" t="inlineStr">
        <is>
          <t>mech_counter_damage</t>
        </is>
      </c>
      <c r="P254" s="38" t="inlineStr">
        <is>
          <t>06 形状06</t>
        </is>
      </c>
      <c r="Q254" s="38" t="inlineStr">
        <is>
          <t>Icy</t>
        </is>
      </c>
      <c r="R254" s="38" t="inlineStr">
        <is>
          <t>skill confirmed；来源=Slow and Steady；攻击2格；仅保留来源商人/训练师关系。</t>
        </is>
      </c>
      <c r="S254" s="38" t="n">
        <v>4</v>
      </c>
      <c r="T254" s="38" t="n">
        <v>2</v>
      </c>
      <c r="U254" s="442" t="inlineStr">
        <is>
          <t>skill_vanguard,skill_flank,skill_pierce,skill_revolve,skill_chase,skill_break,skill_suppress,skill_finale</t>
        </is>
      </c>
      <c r="V254" s="442" t="inlineStr">
        <is>
          <t>trait_element_affinity</t>
        </is>
      </c>
      <c r="W254" s="457">
        <f>XLOOKUP($D254&amp;"|"&amp;$E254&amp;"|"&amp;$F254,'PET_STAT_RULES'!$A$5:$A$88,'PET_STAT_RULES'!$E$5:$E$88)</f>
        <v/>
      </c>
      <c r="X254" s="385" t="str"/>
      <c r="Y254" s="386" t="inlineStr">
        <is>
          <t>reserved</t>
        </is>
      </c>
      <c r="Z254" s="386" t="str"/>
      <c r="AA254" s="386" t="str"/>
    </row>
    <row r="255">
      <c r="A255" s="38" t="inlineStr">
        <is>
          <t>pal_254</t>
        </is>
      </c>
      <c r="B255" s="38" t="inlineStr">
        <is>
          <t>赤蟒王</t>
        </is>
      </c>
      <c r="C255" s="38" t="inlineStr">
        <is>
          <t>火、雷</t>
        </is>
      </c>
      <c r="D255" s="262" t="inlineStr">
        <is>
          <t>黄金</t>
        </is>
      </c>
      <c r="E255" s="38" t="inlineStr">
        <is>
          <t>控制</t>
        </is>
      </c>
      <c r="F255" s="38" t="inlineStr">
        <is>
          <t>两格</t>
        </is>
      </c>
      <c r="G255" s="38" t="inlineStr">
        <is>
          <t>bz_van_254</t>
        </is>
      </c>
      <c r="H255" s="38" t="inlineStr">
        <is>
          <t>elem_水, elem_龙, elem_无, role_治疗, role_经济, special_merchant</t>
        </is>
      </c>
      <c r="I255" s="38" t="n">
        <v>6</v>
      </c>
      <c r="J255" s="456">
        <f>XLOOKUP($D255&amp;"|"&amp;$E255&amp;"|"&amp;$F255,'PET_STAT_RULES'!$A$5:$A$88,'PET_STAT_RULES'!$C$5:$C$88)</f>
        <v/>
      </c>
      <c r="K255" s="456">
        <f>XLOOKUP($D255&amp;"|"&amp;$E255&amp;"|"&amp;$F255,'PET_STAT_RULES'!$A$5:$A$88,'PET_STAT_RULES'!$D$5:$D$88)</f>
        <v/>
      </c>
      <c r="L255" s="456">
        <f>XLOOKUP($D255&amp;"|"&amp;$E255&amp;"|"&amp;$F255,'PET_STAT_RULES'!$A$5:$A$88,'PET_STAT_RULES'!$F$5:$F$88)</f>
        <v/>
      </c>
      <c r="M255" s="456">
        <f>XLOOKUP($D255&amp;"|"&amp;$E255&amp;"|"&amp;$F255,'PET_STAT_RULES'!$A$5:$A$88,'PET_STAT_RULES'!$G$5:$G$88)</f>
        <v/>
      </c>
      <c r="N255" s="38" t="n">
        <v>2</v>
      </c>
      <c r="O255" s="38" t="inlineStr">
        <is>
          <t>mech_fire_ignite_bonus</t>
        </is>
      </c>
      <c r="P255" s="38" t="inlineStr">
        <is>
          <t>11 形状11</t>
        </is>
      </c>
      <c r="Q255" s="38" t="inlineStr">
        <is>
          <t>Fiery</t>
        </is>
      </c>
      <c r="R255" s="38" t="inlineStr">
        <is>
          <t>skill confirmed；来源=Slow Burn；攻击2格；仅保留来源商人/训练师关系。</t>
        </is>
      </c>
      <c r="S255" s="38" t="n">
        <v>4</v>
      </c>
      <c r="T255" s="38" t="n">
        <v>2</v>
      </c>
      <c r="U255" s="442" t="inlineStr">
        <is>
          <t>skill_vanguard,skill_flank,skill_pierce,skill_revolve,skill_chase,skill_break,skill_suppress,skill_finale</t>
        </is>
      </c>
      <c r="V255" s="442" t="inlineStr">
        <is>
          <t>trait_element_affinity</t>
        </is>
      </c>
      <c r="W255" s="457">
        <f>XLOOKUP($D255&amp;"|"&amp;$E255&amp;"|"&amp;$F255,'PET_STAT_RULES'!$A$5:$A$88,'PET_STAT_RULES'!$E$5:$E$88)</f>
        <v/>
      </c>
      <c r="X255" s="385" t="str"/>
      <c r="Y255" s="386" t="inlineStr">
        <is>
          <t>reserved</t>
        </is>
      </c>
      <c r="Z255" s="386" t="str"/>
      <c r="AA255" s="386" t="str"/>
    </row>
    <row r="256">
      <c r="A256" s="38" t="inlineStr">
        <is>
          <t>pal_255</t>
        </is>
      </c>
      <c r="B256" s="38" t="inlineStr">
        <is>
          <t>电蟒精</t>
        </is>
      </c>
      <c r="C256" s="38" t="inlineStr">
        <is>
          <t>雷</t>
        </is>
      </c>
      <c r="D256" s="265" t="inlineStr">
        <is>
          <t>白银</t>
        </is>
      </c>
      <c r="E256" s="38" t="inlineStr">
        <is>
          <t>控制</t>
        </is>
      </c>
      <c r="F256" s="38" t="inlineStr">
        <is>
          <t>两格</t>
        </is>
      </c>
      <c r="G256" s="38" t="inlineStr">
        <is>
          <t>bz_van_255</t>
        </is>
      </c>
      <c r="H256" s="38" t="inlineStr">
        <is>
          <t>elem_水, elem_雷, elem_龙, elem_无, role_召唤, role_经济</t>
        </is>
      </c>
      <c r="I256" s="38" t="n">
        <v>6</v>
      </c>
      <c r="J256" s="456">
        <f>XLOOKUP($D256&amp;"|"&amp;$E256&amp;"|"&amp;$F256,'PET_STAT_RULES'!$A$5:$A$88,'PET_STAT_RULES'!$C$5:$C$88)</f>
        <v/>
      </c>
      <c r="K256" s="456">
        <f>XLOOKUP($D256&amp;"|"&amp;$E256&amp;"|"&amp;$F256,'PET_STAT_RULES'!$A$5:$A$88,'PET_STAT_RULES'!$D$5:$D$88)</f>
        <v/>
      </c>
      <c r="L256" s="456">
        <f>XLOOKUP($D256&amp;"|"&amp;$E256&amp;"|"&amp;$F256,'PET_STAT_RULES'!$A$5:$A$88,'PET_STAT_RULES'!$F$5:$F$88)</f>
        <v/>
      </c>
      <c r="M256" s="456">
        <f>XLOOKUP($D256&amp;"|"&amp;$E256&amp;"|"&amp;$F256,'PET_STAT_RULES'!$A$5:$A$88,'PET_STAT_RULES'!$G$5:$G$88)</f>
        <v/>
      </c>
      <c r="N256" s="38" t="n">
        <v>2</v>
      </c>
      <c r="O256" s="38" t="inlineStr">
        <is>
          <t>mech_counter_damage</t>
        </is>
      </c>
      <c r="P256" s="38" t="inlineStr">
        <is>
          <t>07 形状07</t>
        </is>
      </c>
      <c r="Q256" s="38" t="inlineStr">
        <is>
          <t>Icy</t>
        </is>
      </c>
      <c r="R256" s="38" t="inlineStr">
        <is>
          <t>skill confirmed；来源=Slowed Targets；攻击2格；仅保留来源商人/训练师关系。</t>
        </is>
      </c>
      <c r="S256" s="38" t="n">
        <v>4</v>
      </c>
      <c r="T256" s="38" t="n">
        <v>2</v>
      </c>
      <c r="U256" s="442" t="inlineStr">
        <is>
          <t>skill_vanguard,skill_flank,skill_pierce,skill_revolve,skill_chase,skill_break,skill_suppress,skill_finale</t>
        </is>
      </c>
      <c r="V256" s="442" t="inlineStr">
        <is>
          <t>trait_element_affinity</t>
        </is>
      </c>
      <c r="W256" s="457">
        <f>XLOOKUP($D256&amp;"|"&amp;$E256&amp;"|"&amp;$F256,'PET_STAT_RULES'!$A$5:$A$88,'PET_STAT_RULES'!$E$5:$E$88)</f>
        <v/>
      </c>
      <c r="X256" s="385" t="str"/>
      <c r="Y256" s="386" t="inlineStr">
        <is>
          <t>reserved</t>
        </is>
      </c>
      <c r="Z256" s="386" t="str"/>
      <c r="AA256" s="386" t="str"/>
    </row>
    <row r="257">
      <c r="A257" s="38" t="inlineStr">
        <is>
          <t>pal_256</t>
        </is>
      </c>
      <c r="B257" s="38" t="inlineStr">
        <is>
          <t>震隼将</t>
        </is>
      </c>
      <c r="C257" s="38" t="inlineStr">
        <is>
          <t>雷</t>
        </is>
      </c>
      <c r="D257" s="265" t="inlineStr">
        <is>
          <t>白银</t>
        </is>
      </c>
      <c r="E257" s="38" t="inlineStr">
        <is>
          <t>机动</t>
        </is>
      </c>
      <c r="F257" s="38" t="inlineStr">
        <is>
          <t>两格</t>
        </is>
      </c>
      <c r="G257" s="38" t="inlineStr">
        <is>
          <t>bz_van_256</t>
        </is>
      </c>
      <c r="H257" s="38" t="inlineStr">
        <is>
          <t>elem_水, elem_雷, elem_龙, elem_无, role_召唤, special_merchant</t>
        </is>
      </c>
      <c r="I257" s="38" t="n">
        <v>6</v>
      </c>
      <c r="J257" s="456">
        <f>XLOOKUP($D257&amp;"|"&amp;$E257&amp;"|"&amp;$F257,'PET_STAT_RULES'!$A$5:$A$88,'PET_STAT_RULES'!$C$5:$C$88)</f>
        <v/>
      </c>
      <c r="K257" s="456">
        <f>XLOOKUP($D257&amp;"|"&amp;$E257&amp;"|"&amp;$F257,'PET_STAT_RULES'!$A$5:$A$88,'PET_STAT_RULES'!$D$5:$D$88)</f>
        <v/>
      </c>
      <c r="L257" s="456">
        <f>XLOOKUP($D257&amp;"|"&amp;$E257&amp;"|"&amp;$F257,'PET_STAT_RULES'!$A$5:$A$88,'PET_STAT_RULES'!$F$5:$F$88)</f>
        <v/>
      </c>
      <c r="M257" s="456">
        <f>XLOOKUP($D257&amp;"|"&amp;$E257&amp;"|"&amp;$F257,'PET_STAT_RULES'!$A$5:$A$88,'PET_STAT_RULES'!$G$5:$G$88)</f>
        <v/>
      </c>
      <c r="N257" s="38" t="n">
        <v>2</v>
      </c>
      <c r="O257" s="38" t="inlineStr">
        <is>
          <t>none</t>
        </is>
      </c>
      <c r="P257" s="38" t="inlineStr">
        <is>
          <t>07 形状07</t>
        </is>
      </c>
      <c r="Q257" s="38" t="inlineStr">
        <is>
          <t>Turbo</t>
        </is>
      </c>
      <c r="R257" s="38" t="inlineStr">
        <is>
          <t>skill confirmed；来源=Static Acceleration；攻击2格；仅保留来源商人/训练师关系。</t>
        </is>
      </c>
      <c r="S257" s="38" t="n">
        <v>5</v>
      </c>
      <c r="T257" s="38" t="n">
        <v>2</v>
      </c>
      <c r="U257" s="442" t="inlineStr">
        <is>
          <t>skill_vanguard,skill_flank,skill_pierce,skill_revolve,skill_chase,skill_break,skill_suppress,skill_finale</t>
        </is>
      </c>
      <c r="V257" s="442" t="inlineStr">
        <is>
          <t>trait_relentless</t>
        </is>
      </c>
      <c r="W257" s="457">
        <f>XLOOKUP($D257&amp;"|"&amp;$E257&amp;"|"&amp;$F257,'PET_STAT_RULES'!$A$5:$A$88,'PET_STAT_RULES'!$E$5:$E$88)</f>
        <v/>
      </c>
      <c r="X257" s="385" t="str"/>
      <c r="Y257" s="386" t="inlineStr">
        <is>
          <t>reserved</t>
        </is>
      </c>
      <c r="Z257" s="386" t="str"/>
      <c r="AA257" s="386" t="str"/>
    </row>
    <row r="258">
      <c r="A258" s="38" t="inlineStr">
        <is>
          <t>pal_257</t>
        </is>
      </c>
      <c r="B258" s="38" t="inlineStr">
        <is>
          <t>翠隼将</t>
        </is>
      </c>
      <c r="C258" s="38" t="inlineStr">
        <is>
          <t>草</t>
        </is>
      </c>
      <c r="D258" s="265" t="inlineStr">
        <is>
          <t>白银</t>
        </is>
      </c>
      <c r="E258" s="38" t="inlineStr">
        <is>
          <t>输出</t>
        </is>
      </c>
      <c r="F258" s="38" t="inlineStr">
        <is>
          <t>两格</t>
        </is>
      </c>
      <c r="G258" s="38" t="inlineStr">
        <is>
          <t>bz_van_257</t>
        </is>
      </c>
      <c r="H258" s="38" t="inlineStr">
        <is>
          <t>elem_水, elem_雷, elem_地, elem_龙, elem_无, role_坦克</t>
        </is>
      </c>
      <c r="I258" s="38" t="n">
        <v>6</v>
      </c>
      <c r="J258" s="456">
        <f>XLOOKUP($D258&amp;"|"&amp;$E258&amp;"|"&amp;$F258,'PET_STAT_RULES'!$A$5:$A$88,'PET_STAT_RULES'!$C$5:$C$88)</f>
        <v/>
      </c>
      <c r="K258" s="456">
        <f>XLOOKUP($D258&amp;"|"&amp;$E258&amp;"|"&amp;$F258,'PET_STAT_RULES'!$A$5:$A$88,'PET_STAT_RULES'!$D$5:$D$88)</f>
        <v/>
      </c>
      <c r="L258" s="456">
        <f>XLOOKUP($D258&amp;"|"&amp;$E258&amp;"|"&amp;$F258,'PET_STAT_RULES'!$A$5:$A$88,'PET_STAT_RULES'!$F$5:$F$88)</f>
        <v/>
      </c>
      <c r="M258" s="456">
        <f>XLOOKUP($D258&amp;"|"&amp;$E258&amp;"|"&amp;$F258,'PET_STAT_RULES'!$A$5:$A$88,'PET_STAT_RULES'!$G$5:$G$88)</f>
        <v/>
      </c>
      <c r="N258" s="38" t="n">
        <v>2</v>
      </c>
      <c r="O258" s="38" t="inlineStr">
        <is>
          <t>mech_grow_atk_each_round</t>
        </is>
      </c>
      <c r="P258" s="38" t="inlineStr">
        <is>
          <t>10 形状10</t>
        </is>
      </c>
      <c r="Q258" s="38" t="inlineStr">
        <is>
          <t>Deadly</t>
        </is>
      </c>
      <c r="R258" s="38" t="inlineStr">
        <is>
          <t>skill confirmed；来源=Steelstorm；攻击2格；仅保留来源商人/训练师关系。</t>
        </is>
      </c>
      <c r="S258" s="38" t="n">
        <v>3</v>
      </c>
      <c r="T258" s="38" t="n">
        <v>2</v>
      </c>
      <c r="U258" s="442" t="inlineStr">
        <is>
          <t>skill_vanguard,skill_flank,skill_pierce,skill_revolve,skill_chase,skill_break,skill_suppress,skill_finale</t>
        </is>
      </c>
      <c r="V258" s="442" t="inlineStr">
        <is>
          <t>trait_relentless</t>
        </is>
      </c>
      <c r="W258" s="457">
        <f>XLOOKUP($D258&amp;"|"&amp;$E258&amp;"|"&amp;$F258,'PET_STAT_RULES'!$A$5:$A$88,'PET_STAT_RULES'!$E$5:$E$88)</f>
        <v/>
      </c>
      <c r="X258" s="385" t="str"/>
      <c r="Y258" s="386" t="inlineStr">
        <is>
          <t>reserved</t>
        </is>
      </c>
      <c r="Z258" s="386" t="str"/>
      <c r="AA258" s="386" t="str"/>
    </row>
    <row r="259">
      <c r="A259" s="38" t="inlineStr">
        <is>
          <t>pal_258</t>
        </is>
      </c>
      <c r="B259" s="38" t="inlineStr">
        <is>
          <t>汐蝶精</t>
        </is>
      </c>
      <c r="C259" s="38" t="inlineStr">
        <is>
          <t>水、地</t>
        </is>
      </c>
      <c r="D259" s="265" t="inlineStr">
        <is>
          <t>白银</t>
        </is>
      </c>
      <c r="E259" s="38" t="inlineStr">
        <is>
          <t>治疗</t>
        </is>
      </c>
      <c r="F259" s="38" t="inlineStr">
        <is>
          <t>两格</t>
        </is>
      </c>
      <c r="G259" s="38" t="inlineStr">
        <is>
          <t>bz_van_258</t>
        </is>
      </c>
      <c r="H259" s="38" t="inlineStr">
        <is>
          <t>elem_水, elem_雷, elem_龙, elem_无, role_经济</t>
        </is>
      </c>
      <c r="I259" s="38" t="n">
        <v>5</v>
      </c>
      <c r="J259" s="456">
        <f>XLOOKUP($D259&amp;"|"&amp;$E259&amp;"|"&amp;$F259,'PET_STAT_RULES'!$A$5:$A$88,'PET_STAT_RULES'!$C$5:$C$88)</f>
        <v/>
      </c>
      <c r="K259" s="456">
        <f>XLOOKUP($D259&amp;"|"&amp;$E259&amp;"|"&amp;$F259,'PET_STAT_RULES'!$A$5:$A$88,'PET_STAT_RULES'!$D$5:$D$88)</f>
        <v/>
      </c>
      <c r="L259" s="456">
        <f>XLOOKUP($D259&amp;"|"&amp;$E259&amp;"|"&amp;$F259,'PET_STAT_RULES'!$A$5:$A$88,'PET_STAT_RULES'!$F$5:$F$88)</f>
        <v/>
      </c>
      <c r="M259" s="456">
        <f>XLOOKUP($D259&amp;"|"&amp;$E259&amp;"|"&amp;$F259,'PET_STAT_RULES'!$A$5:$A$88,'PET_STAT_RULES'!$G$5:$G$88)</f>
        <v/>
      </c>
      <c r="N259" s="38" t="n">
        <v>3</v>
      </c>
      <c r="O259" s="38" t="inlineStr">
        <is>
          <t>mech_shield_regen</t>
        </is>
      </c>
      <c r="P259" s="38" t="inlineStr">
        <is>
          <t>18 形状18</t>
        </is>
      </c>
      <c r="Q259" s="38" t="inlineStr">
        <is>
          <t>Icy</t>
        </is>
      </c>
      <c r="R259" s="38" t="inlineStr">
        <is>
          <t>skill confirmed；来源=Stop That!；攻击3格；仅保留来源商人/训练师关系。</t>
        </is>
      </c>
      <c r="S259" s="38" t="n">
        <v>3</v>
      </c>
      <c r="T259" s="38" t="n">
        <v>2</v>
      </c>
      <c r="U259" s="442" t="inlineStr">
        <is>
          <t>skill_vanguard,skill_flank,skill_pierce,skill_revolve,skill_chase,skill_break,skill_suppress,skill_finale</t>
        </is>
      </c>
      <c r="V259" s="442" t="inlineStr">
        <is>
          <t>trait_element_affinity</t>
        </is>
      </c>
      <c r="W259" s="457">
        <f>XLOOKUP($D259&amp;"|"&amp;$E259&amp;"|"&amp;$F259,'PET_STAT_RULES'!$A$5:$A$88,'PET_STAT_RULES'!$E$5:$E$88)</f>
        <v/>
      </c>
      <c r="X259" s="385" t="str"/>
      <c r="Y259" s="386" t="inlineStr">
        <is>
          <t>reserved</t>
        </is>
      </c>
      <c r="Z259" s="386" t="str"/>
      <c r="AA259" s="386" t="str"/>
    </row>
    <row r="260">
      <c r="A260" s="38" t="inlineStr">
        <is>
          <t>pal_259</t>
        </is>
      </c>
      <c r="B260" s="38" t="inlineStr">
        <is>
          <t>朱雀妖</t>
        </is>
      </c>
      <c r="C260" s="38" t="inlineStr">
        <is>
          <t>火</t>
        </is>
      </c>
      <c r="D260" s="265" t="inlineStr">
        <is>
          <t>白银</t>
        </is>
      </c>
      <c r="E260" s="38" t="inlineStr">
        <is>
          <t>机动</t>
        </is>
      </c>
      <c r="F260" s="38" t="inlineStr">
        <is>
          <t>两格</t>
        </is>
      </c>
      <c r="G260" s="38" t="inlineStr">
        <is>
          <t>bz_van_259</t>
        </is>
      </c>
      <c r="H260" s="38" t="inlineStr">
        <is>
          <t>elem_水, elem_雷, elem_龙, elem_无, role_坦克, special_merchant</t>
        </is>
      </c>
      <c r="I260" s="38" t="n">
        <v>6</v>
      </c>
      <c r="J260" s="456">
        <f>XLOOKUP($D260&amp;"|"&amp;$E260&amp;"|"&amp;$F260,'PET_STAT_RULES'!$A$5:$A$88,'PET_STAT_RULES'!$C$5:$C$88)</f>
        <v/>
      </c>
      <c r="K260" s="456">
        <f>XLOOKUP($D260&amp;"|"&amp;$E260&amp;"|"&amp;$F260,'PET_STAT_RULES'!$A$5:$A$88,'PET_STAT_RULES'!$D$5:$D$88)</f>
        <v/>
      </c>
      <c r="L260" s="456">
        <f>XLOOKUP($D260&amp;"|"&amp;$E260&amp;"|"&amp;$F260,'PET_STAT_RULES'!$A$5:$A$88,'PET_STAT_RULES'!$F$5:$F$88)</f>
        <v/>
      </c>
      <c r="M260" s="456">
        <f>XLOOKUP($D260&amp;"|"&amp;$E260&amp;"|"&amp;$F260,'PET_STAT_RULES'!$A$5:$A$88,'PET_STAT_RULES'!$G$5:$G$88)</f>
        <v/>
      </c>
      <c r="N260" s="38" t="n">
        <v>2</v>
      </c>
      <c r="O260" s="38" t="inlineStr">
        <is>
          <t>none</t>
        </is>
      </c>
      <c r="P260" s="38" t="inlineStr">
        <is>
          <t>11 形状11</t>
        </is>
      </c>
      <c r="Q260" s="38" t="inlineStr">
        <is>
          <t>Turbo</t>
        </is>
      </c>
      <c r="R260" s="38" t="inlineStr">
        <is>
          <t>skill confirmed；来源=Streamline Weapon；攻击2格；仅保留来源商人/训练师关系。</t>
        </is>
      </c>
      <c r="S260" s="38" t="n">
        <v>5</v>
      </c>
      <c r="T260" s="38" t="n">
        <v>2</v>
      </c>
      <c r="U260" s="442" t="inlineStr">
        <is>
          <t>skill_vanguard,skill_flank,skill_pierce,skill_revolve,skill_chase,skill_break,skill_suppress,skill_finale</t>
        </is>
      </c>
      <c r="V260" s="442" t="inlineStr">
        <is>
          <t>trait_relentless</t>
        </is>
      </c>
      <c r="W260" s="457">
        <f>XLOOKUP($D260&amp;"|"&amp;$E260&amp;"|"&amp;$F260,'PET_STAT_RULES'!$A$5:$A$88,'PET_STAT_RULES'!$E$5:$E$88)</f>
        <v/>
      </c>
      <c r="X260" s="385" t="str"/>
      <c r="Y260" s="386" t="inlineStr">
        <is>
          <t>reserved</t>
        </is>
      </c>
      <c r="Z260" s="386" t="str"/>
      <c r="AA260" s="386" t="str"/>
    </row>
    <row r="261">
      <c r="A261" s="38" t="inlineStr">
        <is>
          <t>pal_260</t>
        </is>
      </c>
      <c r="B261" s="38" t="inlineStr">
        <is>
          <t>云隼兽</t>
        </is>
      </c>
      <c r="C261" s="38" t="inlineStr">
        <is>
          <t>无</t>
        </is>
      </c>
      <c r="D261" s="259" t="inlineStr">
        <is>
          <t>青铜</t>
        </is>
      </c>
      <c r="E261" s="38" t="inlineStr">
        <is>
          <t>输出</t>
        </is>
      </c>
      <c r="F261" s="38" t="inlineStr">
        <is>
          <t>两格</t>
        </is>
      </c>
      <c r="G261" s="38" t="inlineStr">
        <is>
          <t>bz_van_260</t>
        </is>
      </c>
      <c r="H261" s="38" t="inlineStr">
        <is>
          <t>elem_水, elem_雷, elem_龙, elem_无, role_坦克</t>
        </is>
      </c>
      <c r="I261" s="38" t="n">
        <v>5</v>
      </c>
      <c r="J261" s="456">
        <f>XLOOKUP($D261&amp;"|"&amp;$E261&amp;"|"&amp;$F261,'PET_STAT_RULES'!$A$5:$A$88,'PET_STAT_RULES'!$C$5:$C$88)</f>
        <v/>
      </c>
      <c r="K261" s="456">
        <f>XLOOKUP($D261&amp;"|"&amp;$E261&amp;"|"&amp;$F261,'PET_STAT_RULES'!$A$5:$A$88,'PET_STAT_RULES'!$D$5:$D$88)</f>
        <v/>
      </c>
      <c r="L261" s="456">
        <f>XLOOKUP($D261&amp;"|"&amp;$E261&amp;"|"&amp;$F261,'PET_STAT_RULES'!$A$5:$A$88,'PET_STAT_RULES'!$F$5:$F$88)</f>
        <v/>
      </c>
      <c r="M261" s="456">
        <f>XLOOKUP($D261&amp;"|"&amp;$E261&amp;"|"&amp;$F261,'PET_STAT_RULES'!$A$5:$A$88,'PET_STAT_RULES'!$G$5:$G$88)</f>
        <v/>
      </c>
      <c r="N261" s="38" t="n">
        <v>1</v>
      </c>
      <c r="O261" s="38" t="inlineStr">
        <is>
          <t>mech_grow_atk_each_round</t>
        </is>
      </c>
      <c r="P261" s="38" t="inlineStr">
        <is>
          <t>01 形状01</t>
        </is>
      </c>
      <c r="Q261" s="38" t="inlineStr">
        <is>
          <t>Deadly</t>
        </is>
      </c>
      <c r="R261" s="38" t="inlineStr">
        <is>
          <t>skill confirmed；来源=Strength；攻击1格；仅保留来源商人/训练师关系。</t>
        </is>
      </c>
      <c r="S261" s="38" t="n">
        <v>3</v>
      </c>
      <c r="T261" s="38" t="n">
        <v>1</v>
      </c>
      <c r="U261" s="442" t="inlineStr">
        <is>
          <t>skill_vanguard,skill_flank,skill_pierce,skill_revolve,skill_chase,skill_break,skill_suppress,skill_finale</t>
        </is>
      </c>
      <c r="V261" s="442" t="inlineStr">
        <is>
          <t>trait_relentless</t>
        </is>
      </c>
      <c r="W261" s="457">
        <f>XLOOKUP($D261&amp;"|"&amp;$E261&amp;"|"&amp;$F261,'PET_STAT_RULES'!$A$5:$A$88,'PET_STAT_RULES'!$E$5:$E$88)</f>
        <v/>
      </c>
      <c r="X261" s="385" t="str"/>
      <c r="Y261" s="386" t="inlineStr">
        <is>
          <t>reserved</t>
        </is>
      </c>
      <c r="Z261" s="386" t="str"/>
      <c r="AA261" s="386" t="str"/>
    </row>
    <row r="262">
      <c r="A262" s="38" t="inlineStr">
        <is>
          <t>pal_261</t>
        </is>
      </c>
      <c r="B262" s="38" t="inlineStr">
        <is>
          <t>寒貂卫</t>
        </is>
      </c>
      <c r="C262" s="38" t="inlineStr">
        <is>
          <t>冰、雷</t>
        </is>
      </c>
      <c r="D262" s="265" t="inlineStr">
        <is>
          <t>白银</t>
        </is>
      </c>
      <c r="E262" s="38" t="inlineStr">
        <is>
          <t>控制</t>
        </is>
      </c>
      <c r="F262" s="38" t="inlineStr">
        <is>
          <t>两格</t>
        </is>
      </c>
      <c r="G262" s="38" t="inlineStr">
        <is>
          <t>bz_van_261</t>
        </is>
      </c>
      <c r="H262" s="38" t="inlineStr">
        <is>
          <t>elem_水, elem_雷, elem_龙, elem_无, role_召唤, role_控制</t>
        </is>
      </c>
      <c r="I262" s="38" t="n">
        <v>6</v>
      </c>
      <c r="J262" s="456">
        <f>XLOOKUP($D262&amp;"|"&amp;$E262&amp;"|"&amp;$F262,'PET_STAT_RULES'!$A$5:$A$88,'PET_STAT_RULES'!$C$5:$C$88)</f>
        <v/>
      </c>
      <c r="K262" s="456">
        <f>XLOOKUP($D262&amp;"|"&amp;$E262&amp;"|"&amp;$F262,'PET_STAT_RULES'!$A$5:$A$88,'PET_STAT_RULES'!$D$5:$D$88)</f>
        <v/>
      </c>
      <c r="L262" s="456">
        <f>XLOOKUP($D262&amp;"|"&amp;$E262&amp;"|"&amp;$F262,'PET_STAT_RULES'!$A$5:$A$88,'PET_STAT_RULES'!$F$5:$F$88)</f>
        <v/>
      </c>
      <c r="M262" s="456">
        <f>XLOOKUP($D262&amp;"|"&amp;$E262&amp;"|"&amp;$F262,'PET_STAT_RULES'!$A$5:$A$88,'PET_STAT_RULES'!$G$5:$G$88)</f>
        <v/>
      </c>
      <c r="N262" s="38" t="n">
        <v>2</v>
      </c>
      <c r="O262" s="38" t="inlineStr">
        <is>
          <t>mech_counter_damage</t>
        </is>
      </c>
      <c r="P262" s="38" t="inlineStr">
        <is>
          <t>05 形状05</t>
        </is>
      </c>
      <c r="Q262" s="38" t="inlineStr">
        <is>
          <t>Icy</t>
        </is>
      </c>
      <c r="R262" s="38" t="inlineStr">
        <is>
          <t>skill confirmed；来源=Stunning Strike；攻击2格；仅保留来源商人/训练师关系。</t>
        </is>
      </c>
      <c r="S262" s="38" t="n">
        <v>4</v>
      </c>
      <c r="T262" s="38" t="n">
        <v>2</v>
      </c>
      <c r="U262" s="442" t="inlineStr">
        <is>
          <t>skill_vanguard,skill_flank,skill_pierce,skill_revolve,skill_chase,skill_break,skill_suppress,skill_finale</t>
        </is>
      </c>
      <c r="V262" s="442" t="inlineStr">
        <is>
          <t>trait_element_affinity</t>
        </is>
      </c>
      <c r="W262" s="457">
        <f>XLOOKUP($D262&amp;"|"&amp;$E262&amp;"|"&amp;$F262,'PET_STAT_RULES'!$A$5:$A$88,'PET_STAT_RULES'!$E$5:$E$88)</f>
        <v/>
      </c>
      <c r="X262" s="385" t="str"/>
      <c r="Y262" s="386" t="inlineStr">
        <is>
          <t>reserved</t>
        </is>
      </c>
      <c r="Z262" s="386" t="str"/>
      <c r="AA262" s="386" t="str"/>
    </row>
    <row r="263">
      <c r="A263" s="38" t="inlineStr">
        <is>
          <t>pal_262</t>
        </is>
      </c>
      <c r="B263" s="38" t="inlineStr">
        <is>
          <t>澜象将</t>
        </is>
      </c>
      <c r="C263" s="38" t="inlineStr">
        <is>
          <t>水、地</t>
        </is>
      </c>
      <c r="D263" s="265" t="inlineStr">
        <is>
          <t>白银</t>
        </is>
      </c>
      <c r="E263" s="38" t="inlineStr">
        <is>
          <t>坦克</t>
        </is>
      </c>
      <c r="F263" s="38" t="inlineStr">
        <is>
          <t>两格</t>
        </is>
      </c>
      <c r="G263" s="38" t="inlineStr">
        <is>
          <t>bz_van_262</t>
        </is>
      </c>
      <c r="H263" s="38" t="inlineStr">
        <is>
          <t>elem_水, elem_雷, elem_地, elem_龙, elem_无, role_坦克, role_召唤铺场</t>
        </is>
      </c>
      <c r="I263" s="38" t="n">
        <v>7</v>
      </c>
      <c r="J263" s="456">
        <f>XLOOKUP($D263&amp;"|"&amp;$E263&amp;"|"&amp;$F263,'PET_STAT_RULES'!$A$5:$A$88,'PET_STAT_RULES'!$C$5:$C$88)</f>
        <v/>
      </c>
      <c r="K263" s="456">
        <f>XLOOKUP($D263&amp;"|"&amp;$E263&amp;"|"&amp;$F263,'PET_STAT_RULES'!$A$5:$A$88,'PET_STAT_RULES'!$D$5:$D$88)</f>
        <v/>
      </c>
      <c r="L263" s="456">
        <f>XLOOKUP($D263&amp;"|"&amp;$E263&amp;"|"&amp;$F263,'PET_STAT_RULES'!$A$5:$A$88,'PET_STAT_RULES'!$F$5:$F$88)</f>
        <v/>
      </c>
      <c r="M263" s="456">
        <f>XLOOKUP($D263&amp;"|"&amp;$E263&amp;"|"&amp;$F263,'PET_STAT_RULES'!$A$5:$A$88,'PET_STAT_RULES'!$G$5:$G$88)</f>
        <v/>
      </c>
      <c r="N263" s="38" t="n">
        <v>2</v>
      </c>
      <c r="O263" s="38" t="inlineStr">
        <is>
          <t>mech_armor_flat</t>
        </is>
      </c>
      <c r="P263" s="38" t="inlineStr">
        <is>
          <t>06 形状06</t>
        </is>
      </c>
      <c r="Q263" s="38" t="inlineStr">
        <is>
          <t>Shielded</t>
        </is>
      </c>
      <c r="R263" s="38" t="inlineStr">
        <is>
          <t>skill confirmed；来源=Submerged；攻击2格；仅保留来源商人/训练师关系。</t>
        </is>
      </c>
      <c r="S263" s="38" t="n">
        <v>3</v>
      </c>
      <c r="T263" s="38" t="n">
        <v>2</v>
      </c>
      <c r="U263" s="442" t="inlineStr">
        <is>
          <t>skill_vanguard,skill_flank,skill_pierce,skill_revolve,skill_chase,skill_break,skill_suppress,skill_finale</t>
        </is>
      </c>
      <c r="V263" s="442" t="inlineStr">
        <is>
          <t>trait_combo_mastery</t>
        </is>
      </c>
      <c r="W263" s="457">
        <f>XLOOKUP($D263&amp;"|"&amp;$E263&amp;"|"&amp;$F263,'PET_STAT_RULES'!$A$5:$A$88,'PET_STAT_RULES'!$E$5:$E$88)</f>
        <v/>
      </c>
      <c r="X263" s="385" t="str"/>
      <c r="Y263" s="386" t="inlineStr">
        <is>
          <t>reserved</t>
        </is>
      </c>
      <c r="Z263" s="386" t="str"/>
      <c r="AA263" s="386" t="str"/>
    </row>
    <row r="264">
      <c r="A264" s="38" t="inlineStr">
        <is>
          <t>pal_263</t>
        </is>
      </c>
      <c r="B264" s="38" t="inlineStr">
        <is>
          <t>沙鹰仔</t>
        </is>
      </c>
      <c r="C264" s="38" t="inlineStr">
        <is>
          <t>地</t>
        </is>
      </c>
      <c r="D264" s="259" t="inlineStr">
        <is>
          <t>青铜</t>
        </is>
      </c>
      <c r="E264" s="38" t="inlineStr">
        <is>
          <t>输出</t>
        </is>
      </c>
      <c r="F264" s="38" t="inlineStr">
        <is>
          <t>两格</t>
        </is>
      </c>
      <c r="G264" s="38" t="inlineStr">
        <is>
          <t>bz_van_263</t>
        </is>
      </c>
      <c r="H264" s="38" t="inlineStr">
        <is>
          <t>elem_水, elem_雷, elem_龙, elem_无</t>
        </is>
      </c>
      <c r="I264" s="38" t="n">
        <v>4</v>
      </c>
      <c r="J264" s="456">
        <f>XLOOKUP($D264&amp;"|"&amp;$E264&amp;"|"&amp;$F264,'PET_STAT_RULES'!$A$5:$A$88,'PET_STAT_RULES'!$C$5:$C$88)</f>
        <v/>
      </c>
      <c r="K264" s="456">
        <f>XLOOKUP($D264&amp;"|"&amp;$E264&amp;"|"&amp;$F264,'PET_STAT_RULES'!$A$5:$A$88,'PET_STAT_RULES'!$D$5:$D$88)</f>
        <v/>
      </c>
      <c r="L264" s="456">
        <f>XLOOKUP($D264&amp;"|"&amp;$E264&amp;"|"&amp;$F264,'PET_STAT_RULES'!$A$5:$A$88,'PET_STAT_RULES'!$F$5:$F$88)</f>
        <v/>
      </c>
      <c r="M264" s="456">
        <f>XLOOKUP($D264&amp;"|"&amp;$E264&amp;"|"&amp;$F264,'PET_STAT_RULES'!$A$5:$A$88,'PET_STAT_RULES'!$G$5:$G$88)</f>
        <v/>
      </c>
      <c r="N264" s="38" t="n">
        <v>1</v>
      </c>
      <c r="O264" s="38" t="inlineStr">
        <is>
          <t>mech_grow_atk_each_round</t>
        </is>
      </c>
      <c r="P264" s="38" t="inlineStr">
        <is>
          <t>02 形状02</t>
        </is>
      </c>
      <c r="Q264" s="38" t="inlineStr">
        <is>
          <t>Heavy</t>
        </is>
      </c>
      <c r="R264" s="38" t="inlineStr">
        <is>
          <t>skill confirmed；来源=Supply Cache；攻击1格；仅保留来源商人/训练师关系。</t>
        </is>
      </c>
      <c r="S264" s="38" t="n">
        <v>3</v>
      </c>
      <c r="T264" s="38" t="n">
        <v>1</v>
      </c>
      <c r="U264" s="442" t="inlineStr">
        <is>
          <t>skill_vanguard,skill_flank,skill_pierce,skill_revolve,skill_chase,skill_break,skill_suppress,skill_finale</t>
        </is>
      </c>
      <c r="V264" s="442" t="inlineStr">
        <is>
          <t>trait_relentless</t>
        </is>
      </c>
      <c r="W264" s="457">
        <f>XLOOKUP($D264&amp;"|"&amp;$E264&amp;"|"&amp;$F264,'PET_STAT_RULES'!$A$5:$A$88,'PET_STAT_RULES'!$E$5:$E$88)</f>
        <v/>
      </c>
      <c r="X264" s="385" t="str"/>
      <c r="Y264" s="386" t="inlineStr">
        <is>
          <t>reserved</t>
        </is>
      </c>
      <c r="Z264" s="386" t="str"/>
      <c r="AA264" s="386" t="str"/>
    </row>
    <row r="265">
      <c r="A265" s="38" t="inlineStr">
        <is>
          <t>pal_264</t>
        </is>
      </c>
      <c r="B265" s="38" t="inlineStr">
        <is>
          <t>蛟鲨精</t>
        </is>
      </c>
      <c r="C265" s="38" t="inlineStr">
        <is>
          <t>龙</t>
        </is>
      </c>
      <c r="D265" s="265" t="inlineStr">
        <is>
          <t>白银</t>
        </is>
      </c>
      <c r="E265" s="38" t="inlineStr">
        <is>
          <t>输出</t>
        </is>
      </c>
      <c r="F265" s="38" t="inlineStr">
        <is>
          <t>两格</t>
        </is>
      </c>
      <c r="G265" s="38" t="inlineStr">
        <is>
          <t>bz_van_264</t>
        </is>
      </c>
      <c r="H265" s="38" t="inlineStr">
        <is>
          <t>elem_水, elem_雷, elem_龙, elem_无, role_坦克</t>
        </is>
      </c>
      <c r="I265" s="38" t="n">
        <v>5</v>
      </c>
      <c r="J265" s="456">
        <f>XLOOKUP($D265&amp;"|"&amp;$E265&amp;"|"&amp;$F265,'PET_STAT_RULES'!$A$5:$A$88,'PET_STAT_RULES'!$C$5:$C$88)</f>
        <v/>
      </c>
      <c r="K265" s="456">
        <f>XLOOKUP($D265&amp;"|"&amp;$E265&amp;"|"&amp;$F265,'PET_STAT_RULES'!$A$5:$A$88,'PET_STAT_RULES'!$D$5:$D$88)</f>
        <v/>
      </c>
      <c r="L265" s="456">
        <f>XLOOKUP($D265&amp;"|"&amp;$E265&amp;"|"&amp;$F265,'PET_STAT_RULES'!$A$5:$A$88,'PET_STAT_RULES'!$F$5:$F$88)</f>
        <v/>
      </c>
      <c r="M265" s="456">
        <f>XLOOKUP($D265&amp;"|"&amp;$E265&amp;"|"&amp;$F265,'PET_STAT_RULES'!$A$5:$A$88,'PET_STAT_RULES'!$G$5:$G$88)</f>
        <v/>
      </c>
      <c r="N265" s="38" t="n">
        <v>2</v>
      </c>
      <c r="O265" s="38" t="inlineStr">
        <is>
          <t>mech_grow_atk_each_round</t>
        </is>
      </c>
      <c r="P265" s="38" t="inlineStr">
        <is>
          <t>09 形状09</t>
        </is>
      </c>
      <c r="Q265" s="38" t="inlineStr">
        <is>
          <t>Deadly</t>
        </is>
      </c>
      <c r="R265" s="38" t="inlineStr">
        <is>
          <t>skill confirmed；来源=Tempering；攻击2格；仅保留来源商人/训练师关系。</t>
        </is>
      </c>
      <c r="S265" s="38" t="n">
        <v>3</v>
      </c>
      <c r="T265" s="38" t="n">
        <v>2</v>
      </c>
      <c r="U265" s="442" t="inlineStr">
        <is>
          <t>skill_vanguard,skill_flank,skill_pierce,skill_revolve,skill_chase,skill_break,skill_suppress,skill_finale</t>
        </is>
      </c>
      <c r="V265" s="442" t="inlineStr">
        <is>
          <t>trait_relentless</t>
        </is>
      </c>
      <c r="W265" s="457">
        <f>XLOOKUP($D265&amp;"|"&amp;$E265&amp;"|"&amp;$F265,'PET_STAT_RULES'!$A$5:$A$88,'PET_STAT_RULES'!$E$5:$E$88)</f>
        <v/>
      </c>
      <c r="X265" s="385" t="str"/>
      <c r="Y265" s="386" t="inlineStr">
        <is>
          <t>reserved</t>
        </is>
      </c>
      <c r="Z265" s="386" t="str"/>
      <c r="AA265" s="386" t="str"/>
    </row>
    <row r="266">
      <c r="A266" s="38" t="inlineStr">
        <is>
          <t>pal_265</t>
        </is>
      </c>
      <c r="B266" s="38" t="inlineStr">
        <is>
          <t>电狐王</t>
        </is>
      </c>
      <c r="C266" s="38" t="inlineStr">
        <is>
          <t>雷</t>
        </is>
      </c>
      <c r="D266" s="262" t="inlineStr">
        <is>
          <t>黄金</t>
        </is>
      </c>
      <c r="E266" s="38" t="inlineStr">
        <is>
          <t>控制</t>
        </is>
      </c>
      <c r="F266" s="38" t="inlineStr">
        <is>
          <t>两格</t>
        </is>
      </c>
      <c r="G266" s="38" t="inlineStr">
        <is>
          <t>bz_van_265</t>
        </is>
      </c>
      <c r="H266" s="38" t="inlineStr">
        <is>
          <t>elem_水, elem_龙, elem_无, role_坦克, role_经济, special_merchant</t>
        </is>
      </c>
      <c r="I266" s="38" t="n">
        <v>6</v>
      </c>
      <c r="J266" s="456">
        <f>XLOOKUP($D266&amp;"|"&amp;$E266&amp;"|"&amp;$F266,'PET_STAT_RULES'!$A$5:$A$88,'PET_STAT_RULES'!$C$5:$C$88)</f>
        <v/>
      </c>
      <c r="K266" s="456">
        <f>XLOOKUP($D266&amp;"|"&amp;$E266&amp;"|"&amp;$F266,'PET_STAT_RULES'!$A$5:$A$88,'PET_STAT_RULES'!$D$5:$D$88)</f>
        <v/>
      </c>
      <c r="L266" s="456">
        <f>XLOOKUP($D266&amp;"|"&amp;$E266&amp;"|"&amp;$F266,'PET_STAT_RULES'!$A$5:$A$88,'PET_STAT_RULES'!$F$5:$F$88)</f>
        <v/>
      </c>
      <c r="M266" s="456">
        <f>XLOOKUP($D266&amp;"|"&amp;$E266&amp;"|"&amp;$F266,'PET_STAT_RULES'!$A$5:$A$88,'PET_STAT_RULES'!$G$5:$G$88)</f>
        <v/>
      </c>
      <c r="N266" s="38" t="n">
        <v>2</v>
      </c>
      <c r="O266" s="38" t="inlineStr">
        <is>
          <t>mech_counter_damage</t>
        </is>
      </c>
      <c r="P266" s="38" t="inlineStr">
        <is>
          <t>05 形状05</t>
        </is>
      </c>
      <c r="Q266" s="38" t="inlineStr">
        <is>
          <t>Icy</t>
        </is>
      </c>
      <c r="R266" s="38" t="inlineStr">
        <is>
          <t>skill confirmed；来源=Temporal Strike；攻击2格；仅保留来源商人/训练师关系。</t>
        </is>
      </c>
      <c r="S266" s="38" t="n">
        <v>4</v>
      </c>
      <c r="T266" s="38" t="n">
        <v>2</v>
      </c>
      <c r="U266" s="442" t="inlineStr">
        <is>
          <t>skill_vanguard,skill_flank,skill_pierce,skill_revolve,skill_chase,skill_break,skill_suppress,skill_finale</t>
        </is>
      </c>
      <c r="V266" s="442" t="inlineStr">
        <is>
          <t>trait_element_affinity</t>
        </is>
      </c>
      <c r="W266" s="457">
        <f>XLOOKUP($D266&amp;"|"&amp;$E266&amp;"|"&amp;$F266,'PET_STAT_RULES'!$A$5:$A$88,'PET_STAT_RULES'!$E$5:$E$88)</f>
        <v/>
      </c>
      <c r="X266" s="385" t="str"/>
      <c r="Y266" s="386" t="inlineStr">
        <is>
          <t>reserved</t>
        </is>
      </c>
      <c r="Z266" s="386" t="str"/>
      <c r="AA266" s="386" t="str"/>
    </row>
    <row r="267">
      <c r="A267" s="38" t="inlineStr">
        <is>
          <t>pal_266</t>
        </is>
      </c>
      <c r="B267" s="38" t="inlineStr">
        <is>
          <t>沧狮将</t>
        </is>
      </c>
      <c r="C267" s="38" t="inlineStr">
        <is>
          <t>水</t>
        </is>
      </c>
      <c r="D267" s="265" t="inlineStr">
        <is>
          <t>白银</t>
        </is>
      </c>
      <c r="E267" s="38" t="inlineStr">
        <is>
          <t>输出</t>
        </is>
      </c>
      <c r="F267" s="38" t="inlineStr">
        <is>
          <t>两格</t>
        </is>
      </c>
      <c r="G267" s="38" t="inlineStr">
        <is>
          <t>bz_van_266</t>
        </is>
      </c>
      <c r="H267" s="38" t="inlineStr">
        <is>
          <t>elem_水, elem_雷, elem_地, elem_龙, elem_无, role_坦克</t>
        </is>
      </c>
      <c r="I267" s="38" t="n">
        <v>6</v>
      </c>
      <c r="J267" s="456">
        <f>XLOOKUP($D267&amp;"|"&amp;$E267&amp;"|"&amp;$F267,'PET_STAT_RULES'!$A$5:$A$88,'PET_STAT_RULES'!$C$5:$C$88)</f>
        <v/>
      </c>
      <c r="K267" s="456">
        <f>XLOOKUP($D267&amp;"|"&amp;$E267&amp;"|"&amp;$F267,'PET_STAT_RULES'!$A$5:$A$88,'PET_STAT_RULES'!$D$5:$D$88)</f>
        <v/>
      </c>
      <c r="L267" s="456">
        <f>XLOOKUP($D267&amp;"|"&amp;$E267&amp;"|"&amp;$F267,'PET_STAT_RULES'!$A$5:$A$88,'PET_STAT_RULES'!$F$5:$F$88)</f>
        <v/>
      </c>
      <c r="M267" s="456">
        <f>XLOOKUP($D267&amp;"|"&amp;$E267&amp;"|"&amp;$F267,'PET_STAT_RULES'!$A$5:$A$88,'PET_STAT_RULES'!$G$5:$G$88)</f>
        <v/>
      </c>
      <c r="N267" s="38" t="n">
        <v>2</v>
      </c>
      <c r="O267" s="38" t="inlineStr">
        <is>
          <t>mech_grow_atk_each_round</t>
        </is>
      </c>
      <c r="P267" s="38" t="inlineStr">
        <is>
          <t>09 形状09</t>
        </is>
      </c>
      <c r="Q267" s="38" t="inlineStr">
        <is>
          <t>Deadly</t>
        </is>
      </c>
      <c r="R267" s="38" t="inlineStr">
        <is>
          <t>skill confirmed；来源=The Best Defense；攻击2格；仅保留来源商人/训练师关系。</t>
        </is>
      </c>
      <c r="S267" s="38" t="n">
        <v>3</v>
      </c>
      <c r="T267" s="38" t="n">
        <v>2</v>
      </c>
      <c r="U267" s="442" t="inlineStr">
        <is>
          <t>skill_vanguard,skill_flank,skill_pierce,skill_revolve,skill_chase,skill_break,skill_suppress,skill_finale</t>
        </is>
      </c>
      <c r="V267" s="442" t="inlineStr">
        <is>
          <t>trait_relentless</t>
        </is>
      </c>
      <c r="W267" s="457">
        <f>XLOOKUP($D267&amp;"|"&amp;$E267&amp;"|"&amp;$F267,'PET_STAT_RULES'!$A$5:$A$88,'PET_STAT_RULES'!$E$5:$E$88)</f>
        <v/>
      </c>
      <c r="X267" s="385" t="str"/>
      <c r="Y267" s="386" t="inlineStr">
        <is>
          <t>reserved</t>
        </is>
      </c>
      <c r="Z267" s="386" t="str"/>
      <c r="AA267" s="386" t="str"/>
    </row>
    <row r="268">
      <c r="A268" s="38" t="inlineStr">
        <is>
          <t>pal_267</t>
        </is>
      </c>
      <c r="B268" s="38" t="inlineStr">
        <is>
          <t>炎鲭侯</t>
        </is>
      </c>
      <c r="C268" s="38" t="inlineStr">
        <is>
          <t>火</t>
        </is>
      </c>
      <c r="D268" s="262" t="inlineStr">
        <is>
          <t>黄金</t>
        </is>
      </c>
      <c r="E268" s="38" t="inlineStr">
        <is>
          <t>机动</t>
        </is>
      </c>
      <c r="F268" s="38" t="inlineStr">
        <is>
          <t>两格</t>
        </is>
      </c>
      <c r="G268" s="38" t="inlineStr">
        <is>
          <t>bz_van_267</t>
        </is>
      </c>
      <c r="H268" s="38" t="inlineStr">
        <is>
          <t>elem_水, elem_龙, elem_无</t>
        </is>
      </c>
      <c r="I268" s="38" t="n">
        <v>3</v>
      </c>
      <c r="J268" s="456">
        <f>XLOOKUP($D268&amp;"|"&amp;$E268&amp;"|"&amp;$F268,'PET_STAT_RULES'!$A$5:$A$88,'PET_STAT_RULES'!$C$5:$C$88)</f>
        <v/>
      </c>
      <c r="K268" s="456">
        <f>XLOOKUP($D268&amp;"|"&amp;$E268&amp;"|"&amp;$F268,'PET_STAT_RULES'!$A$5:$A$88,'PET_STAT_RULES'!$D$5:$D$88)</f>
        <v/>
      </c>
      <c r="L268" s="456">
        <f>XLOOKUP($D268&amp;"|"&amp;$E268&amp;"|"&amp;$F268,'PET_STAT_RULES'!$A$5:$A$88,'PET_STAT_RULES'!$F$5:$F$88)</f>
        <v/>
      </c>
      <c r="M268" s="456">
        <f>XLOOKUP($D268&amp;"|"&amp;$E268&amp;"|"&amp;$F268,'PET_STAT_RULES'!$A$5:$A$88,'PET_STAT_RULES'!$G$5:$G$88)</f>
        <v/>
      </c>
      <c r="N268" s="38" t="n">
        <v>3</v>
      </c>
      <c r="O268" s="38" t="inlineStr">
        <is>
          <t>none</t>
        </is>
      </c>
      <c r="P268" s="38" t="inlineStr">
        <is>
          <t>16 形状16</t>
        </is>
      </c>
      <c r="Q268" s="38" t="inlineStr">
        <is>
          <t>Turbo</t>
        </is>
      </c>
      <c r="R268" s="38" t="inlineStr">
        <is>
          <t>skill confirmed；来源=Tiny Dancer；攻击3格；仅保留来源商人/训练师关系。</t>
        </is>
      </c>
      <c r="S268" s="38" t="n">
        <v>5</v>
      </c>
      <c r="T268" s="38" t="n">
        <v>2</v>
      </c>
      <c r="U268" s="442" t="inlineStr">
        <is>
          <t>skill_vanguard,skill_flank,skill_pierce,skill_revolve,skill_chase,skill_break,skill_suppress,skill_finale</t>
        </is>
      </c>
      <c r="V268" s="442" t="inlineStr">
        <is>
          <t>trait_relentless</t>
        </is>
      </c>
      <c r="W268" s="457">
        <f>XLOOKUP($D268&amp;"|"&amp;$E268&amp;"|"&amp;$F268,'PET_STAT_RULES'!$A$5:$A$88,'PET_STAT_RULES'!$E$5:$E$88)</f>
        <v/>
      </c>
      <c r="X268" s="385" t="str"/>
      <c r="Y268" s="386" t="inlineStr">
        <is>
          <t>reserved</t>
        </is>
      </c>
      <c r="Z268" s="386" t="str"/>
      <c r="AA268" s="386" t="str"/>
    </row>
    <row r="269">
      <c r="A269" s="38" t="inlineStr">
        <is>
          <t>pal_268</t>
        </is>
      </c>
      <c r="B269" s="38" t="inlineStr">
        <is>
          <t>石牦灵</t>
        </is>
      </c>
      <c r="C269" s="38" t="inlineStr">
        <is>
          <t>地</t>
        </is>
      </c>
      <c r="D269" s="259" t="inlineStr">
        <is>
          <t>青铜</t>
        </is>
      </c>
      <c r="E269" s="38" t="inlineStr">
        <is>
          <t>坦克</t>
        </is>
      </c>
      <c r="F269" s="38" t="inlineStr">
        <is>
          <t>两格</t>
        </is>
      </c>
      <c r="G269" s="38" t="inlineStr">
        <is>
          <t>bz_van_268</t>
        </is>
      </c>
      <c r="H269" s="38" t="inlineStr">
        <is>
          <t>elem_水, elem_雷, elem_龙, elem_无, role_召唤铺场</t>
        </is>
      </c>
      <c r="I269" s="38" t="n">
        <v>5</v>
      </c>
      <c r="J269" s="456">
        <f>XLOOKUP($D269&amp;"|"&amp;$E269&amp;"|"&amp;$F269,'PET_STAT_RULES'!$A$5:$A$88,'PET_STAT_RULES'!$C$5:$C$88)</f>
        <v/>
      </c>
      <c r="K269" s="456">
        <f>XLOOKUP($D269&amp;"|"&amp;$E269&amp;"|"&amp;$F269,'PET_STAT_RULES'!$A$5:$A$88,'PET_STAT_RULES'!$D$5:$D$88)</f>
        <v/>
      </c>
      <c r="L269" s="456">
        <f>XLOOKUP($D269&amp;"|"&amp;$E269&amp;"|"&amp;$F269,'PET_STAT_RULES'!$A$5:$A$88,'PET_STAT_RULES'!$F$5:$F$88)</f>
        <v/>
      </c>
      <c r="M269" s="456">
        <f>XLOOKUP($D269&amp;"|"&amp;$E269&amp;"|"&amp;$F269,'PET_STAT_RULES'!$A$5:$A$88,'PET_STAT_RULES'!$G$5:$G$88)</f>
        <v/>
      </c>
      <c r="N269" s="38" t="n">
        <v>1</v>
      </c>
      <c r="O269" s="38" t="inlineStr">
        <is>
          <t>mech_armor_flat</t>
        </is>
      </c>
      <c r="P269" s="38" t="inlineStr">
        <is>
          <t>04 形状04</t>
        </is>
      </c>
      <c r="Q269" s="38" t="inlineStr">
        <is>
          <t>Shielded</t>
        </is>
      </c>
      <c r="R269" s="38" t="inlineStr">
        <is>
          <t>skill confirmed；来源=Toughness；攻击1格；仅保留来源商人/训练师关系。</t>
        </is>
      </c>
      <c r="S269" s="38" t="n">
        <v>3</v>
      </c>
      <c r="T269" s="38" t="n">
        <v>1</v>
      </c>
      <c r="U269" s="442" t="inlineStr">
        <is>
          <t>skill_vanguard,skill_flank,skill_pierce,skill_revolve,skill_chase,skill_break,skill_suppress,skill_finale</t>
        </is>
      </c>
      <c r="V269" s="442" t="inlineStr">
        <is>
          <t>trait_combo_mastery</t>
        </is>
      </c>
      <c r="W269" s="457">
        <f>XLOOKUP($D269&amp;"|"&amp;$E269&amp;"|"&amp;$F269,'PET_STAT_RULES'!$A$5:$A$88,'PET_STAT_RULES'!$E$5:$E$88)</f>
        <v/>
      </c>
      <c r="X269" s="385" t="str"/>
      <c r="Y269" s="386" t="inlineStr">
        <is>
          <t>reserved</t>
        </is>
      </c>
      <c r="Z269" s="386" t="str"/>
      <c r="AA269" s="386" t="str"/>
    </row>
    <row r="270">
      <c r="A270" s="38" t="inlineStr">
        <is>
          <t>pal_269</t>
        </is>
      </c>
      <c r="B270" s="38" t="inlineStr">
        <is>
          <t>焰蝎妖</t>
        </is>
      </c>
      <c r="C270" s="38" t="inlineStr">
        <is>
          <t>火、草</t>
        </is>
      </c>
      <c r="D270" s="265" t="inlineStr">
        <is>
          <t>白银</t>
        </is>
      </c>
      <c r="E270" s="38" t="inlineStr">
        <is>
          <t>控制</t>
        </is>
      </c>
      <c r="F270" s="38" t="inlineStr">
        <is>
          <t>两格</t>
        </is>
      </c>
      <c r="G270" s="38" t="inlineStr">
        <is>
          <t>bz_van_269</t>
        </is>
      </c>
      <c r="H270" s="38" t="inlineStr">
        <is>
          <t>elem_水, elem_雷, elem_龙, elem_无, role_治疗, role_输出</t>
        </is>
      </c>
      <c r="I270" s="38" t="n">
        <v>6</v>
      </c>
      <c r="J270" s="456">
        <f>XLOOKUP($D270&amp;"|"&amp;$E270&amp;"|"&amp;$F270,'PET_STAT_RULES'!$A$5:$A$88,'PET_STAT_RULES'!$C$5:$C$88)</f>
        <v/>
      </c>
      <c r="K270" s="456">
        <f>XLOOKUP($D270&amp;"|"&amp;$E270&amp;"|"&amp;$F270,'PET_STAT_RULES'!$A$5:$A$88,'PET_STAT_RULES'!$D$5:$D$88)</f>
        <v/>
      </c>
      <c r="L270" s="456">
        <f>XLOOKUP($D270&amp;"|"&amp;$E270&amp;"|"&amp;$F270,'PET_STAT_RULES'!$A$5:$A$88,'PET_STAT_RULES'!$F$5:$F$88)</f>
        <v/>
      </c>
      <c r="M270" s="456">
        <f>XLOOKUP($D270&amp;"|"&amp;$E270&amp;"|"&amp;$F270,'PET_STAT_RULES'!$A$5:$A$88,'PET_STAT_RULES'!$G$5:$G$88)</f>
        <v/>
      </c>
      <c r="N270" s="38" t="n">
        <v>2</v>
      </c>
      <c r="O270" s="38" t="inlineStr">
        <is>
          <t>mech_fire_ignite_bonus</t>
        </is>
      </c>
      <c r="P270" s="38" t="inlineStr">
        <is>
          <t>11 形状11</t>
        </is>
      </c>
      <c r="Q270" s="38" t="inlineStr">
        <is>
          <t>Fiery</t>
        </is>
      </c>
      <c r="R270" s="38" t="inlineStr">
        <is>
          <t>skill confirmed；来源=Toxic Flame；攻击2格；仅保留来源商人/训练师关系。</t>
        </is>
      </c>
      <c r="S270" s="38" t="n">
        <v>4</v>
      </c>
      <c r="T270" s="38" t="n">
        <v>2</v>
      </c>
      <c r="U270" s="442" t="inlineStr">
        <is>
          <t>skill_vanguard,skill_flank,skill_pierce,skill_revolve,skill_chase,skill_break,skill_suppress,skill_finale</t>
        </is>
      </c>
      <c r="V270" s="442" t="inlineStr">
        <is>
          <t>trait_element_affinity</t>
        </is>
      </c>
      <c r="W270" s="457">
        <f>XLOOKUP($D270&amp;"|"&amp;$E270&amp;"|"&amp;$F270,'PET_STAT_RULES'!$A$5:$A$88,'PET_STAT_RULES'!$E$5:$E$88)</f>
        <v/>
      </c>
      <c r="X270" s="385" t="str"/>
      <c r="Y270" s="386" t="inlineStr">
        <is>
          <t>reserved</t>
        </is>
      </c>
      <c r="Z270" s="386" t="str"/>
      <c r="AA270" s="386" t="str"/>
    </row>
    <row r="271">
      <c r="A271" s="38" t="inlineStr">
        <is>
          <t>pal_270</t>
        </is>
      </c>
      <c r="B271" s="38" t="inlineStr">
        <is>
          <t>芽蛛将</t>
        </is>
      </c>
      <c r="C271" s="38" t="inlineStr">
        <is>
          <t>草</t>
        </is>
      </c>
      <c r="D271" s="265" t="inlineStr">
        <is>
          <t>白银</t>
        </is>
      </c>
      <c r="E271" s="38" t="inlineStr">
        <is>
          <t>控制</t>
        </is>
      </c>
      <c r="F271" s="38" t="inlineStr">
        <is>
          <t>两格</t>
        </is>
      </c>
      <c r="G271" s="38" t="inlineStr">
        <is>
          <t>bz_van_270</t>
        </is>
      </c>
      <c r="H271" s="38" t="inlineStr">
        <is>
          <t>elem_水, elem_雷, elem_龙, elem_无, role_坦克, role_输出</t>
        </is>
      </c>
      <c r="I271" s="38" t="n">
        <v>6</v>
      </c>
      <c r="J271" s="456">
        <f>XLOOKUP($D271&amp;"|"&amp;$E271&amp;"|"&amp;$F271,'PET_STAT_RULES'!$A$5:$A$88,'PET_STAT_RULES'!$C$5:$C$88)</f>
        <v/>
      </c>
      <c r="K271" s="456">
        <f>XLOOKUP($D271&amp;"|"&amp;$E271&amp;"|"&amp;$F271,'PET_STAT_RULES'!$A$5:$A$88,'PET_STAT_RULES'!$D$5:$D$88)</f>
        <v/>
      </c>
      <c r="L271" s="456">
        <f>XLOOKUP($D271&amp;"|"&amp;$E271&amp;"|"&amp;$F271,'PET_STAT_RULES'!$A$5:$A$88,'PET_STAT_RULES'!$F$5:$F$88)</f>
        <v/>
      </c>
      <c r="M271" s="456">
        <f>XLOOKUP($D271&amp;"|"&amp;$E271&amp;"|"&amp;$F271,'PET_STAT_RULES'!$A$5:$A$88,'PET_STAT_RULES'!$G$5:$G$88)</f>
        <v/>
      </c>
      <c r="N271" s="38" t="n">
        <v>2</v>
      </c>
      <c r="O271" s="38" t="inlineStr">
        <is>
          <t>mech_counter_damage</t>
        </is>
      </c>
      <c r="P271" s="38" t="inlineStr">
        <is>
          <t>05 形状05</t>
        </is>
      </c>
      <c r="Q271" s="38" t="inlineStr">
        <is>
          <t>Toxic</t>
        </is>
      </c>
      <c r="R271" s="38" t="inlineStr">
        <is>
          <t>skill confirmed；来源=Toxic Weapons；攻击2格；仅保留来源商人/训练师关系。</t>
        </is>
      </c>
      <c r="S271" s="38" t="n">
        <v>4</v>
      </c>
      <c r="T271" s="38" t="n">
        <v>2</v>
      </c>
      <c r="U271" s="442" t="inlineStr">
        <is>
          <t>skill_vanguard,skill_flank,skill_pierce,skill_revolve,skill_chase,skill_break,skill_suppress,skill_finale</t>
        </is>
      </c>
      <c r="V271" s="442" t="inlineStr">
        <is>
          <t>trait_element_affinity</t>
        </is>
      </c>
      <c r="W271" s="457">
        <f>XLOOKUP($D271&amp;"|"&amp;$E271&amp;"|"&amp;$F271,'PET_STAT_RULES'!$A$5:$A$88,'PET_STAT_RULES'!$E$5:$E$88)</f>
        <v/>
      </c>
      <c r="X271" s="385" t="str"/>
      <c r="Y271" s="386" t="inlineStr">
        <is>
          <t>reserved</t>
        </is>
      </c>
      <c r="Z271" s="386" t="str"/>
      <c r="AA271" s="386" t="str"/>
    </row>
    <row r="272">
      <c r="A272" s="38" t="inlineStr">
        <is>
          <t>pal_271</t>
        </is>
      </c>
      <c r="B272" s="38" t="inlineStr">
        <is>
          <t>青蛇将</t>
        </is>
      </c>
      <c r="C272" s="38" t="inlineStr">
        <is>
          <t>草</t>
        </is>
      </c>
      <c r="D272" s="265" t="inlineStr">
        <is>
          <t>白银</t>
        </is>
      </c>
      <c r="E272" s="38" t="inlineStr">
        <is>
          <t>控制</t>
        </is>
      </c>
      <c r="F272" s="38" t="inlineStr">
        <is>
          <t>两格</t>
        </is>
      </c>
      <c r="G272" s="38" t="inlineStr">
        <is>
          <t>bz_van_271</t>
        </is>
      </c>
      <c r="H272" s="38" t="inlineStr">
        <is>
          <t>elem_水, elem_雷, elem_龙, elem_无, role_输出</t>
        </is>
      </c>
      <c r="I272" s="38" t="n">
        <v>5</v>
      </c>
      <c r="J272" s="456">
        <f>XLOOKUP($D272&amp;"|"&amp;$E272&amp;"|"&amp;$F272,'PET_STAT_RULES'!$A$5:$A$88,'PET_STAT_RULES'!$C$5:$C$88)</f>
        <v/>
      </c>
      <c r="K272" s="456">
        <f>XLOOKUP($D272&amp;"|"&amp;$E272&amp;"|"&amp;$F272,'PET_STAT_RULES'!$A$5:$A$88,'PET_STAT_RULES'!$D$5:$D$88)</f>
        <v/>
      </c>
      <c r="L272" s="456">
        <f>XLOOKUP($D272&amp;"|"&amp;$E272&amp;"|"&amp;$F272,'PET_STAT_RULES'!$A$5:$A$88,'PET_STAT_RULES'!$F$5:$F$88)</f>
        <v/>
      </c>
      <c r="M272" s="456">
        <f>XLOOKUP($D272&amp;"|"&amp;$E272&amp;"|"&amp;$F272,'PET_STAT_RULES'!$A$5:$A$88,'PET_STAT_RULES'!$G$5:$G$88)</f>
        <v/>
      </c>
      <c r="N272" s="38" t="n">
        <v>2</v>
      </c>
      <c r="O272" s="38" t="inlineStr">
        <is>
          <t>mech_counter_damage</t>
        </is>
      </c>
      <c r="P272" s="38" t="inlineStr">
        <is>
          <t>05 形状05</t>
        </is>
      </c>
      <c r="Q272" s="38" t="inlineStr">
        <is>
          <t>Toxic</t>
        </is>
      </c>
      <c r="R272" s="38" t="inlineStr">
        <is>
          <t>skill confirmed；来源=Toxicity；攻击2格；仅保留来源商人/训练师关系。</t>
        </is>
      </c>
      <c r="S272" s="38" t="n">
        <v>4</v>
      </c>
      <c r="T272" s="38" t="n">
        <v>2</v>
      </c>
      <c r="U272" s="442" t="inlineStr">
        <is>
          <t>skill_vanguard,skill_flank,skill_pierce,skill_revolve,skill_chase,skill_break,skill_suppress,skill_finale</t>
        </is>
      </c>
      <c r="V272" s="442" t="inlineStr">
        <is>
          <t>trait_element_affinity</t>
        </is>
      </c>
      <c r="W272" s="457">
        <f>XLOOKUP($D272&amp;"|"&amp;$E272&amp;"|"&amp;$F272,'PET_STAT_RULES'!$A$5:$A$88,'PET_STAT_RULES'!$E$5:$E$88)</f>
        <v/>
      </c>
      <c r="X272" s="385" t="str"/>
      <c r="Y272" s="386" t="inlineStr">
        <is>
          <t>reserved</t>
        </is>
      </c>
      <c r="Z272" s="386" t="str"/>
      <c r="AA272" s="386" t="str"/>
    </row>
    <row r="273">
      <c r="A273" s="38" t="inlineStr">
        <is>
          <t>pal_272</t>
        </is>
      </c>
      <c r="B273" s="38" t="inlineStr">
        <is>
          <t>芽貂卫</t>
        </is>
      </c>
      <c r="C273" s="38" t="inlineStr">
        <is>
          <t>草</t>
        </is>
      </c>
      <c r="D273" s="265" t="inlineStr">
        <is>
          <t>白银</t>
        </is>
      </c>
      <c r="E273" s="38" t="inlineStr">
        <is>
          <t>控制</t>
        </is>
      </c>
      <c r="F273" s="38" t="inlineStr">
        <is>
          <t>两格</t>
        </is>
      </c>
      <c r="G273" s="38" t="inlineStr">
        <is>
          <t>bz_van_272</t>
        </is>
      </c>
      <c r="H273" s="38" t="inlineStr">
        <is>
          <t>elem_水, elem_雷, elem_龙, elem_无, role_输出, special_merchant</t>
        </is>
      </c>
      <c r="I273" s="38" t="n">
        <v>6</v>
      </c>
      <c r="J273" s="456">
        <f>XLOOKUP($D273&amp;"|"&amp;$E273&amp;"|"&amp;$F273,'PET_STAT_RULES'!$A$5:$A$88,'PET_STAT_RULES'!$C$5:$C$88)</f>
        <v/>
      </c>
      <c r="K273" s="456">
        <f>XLOOKUP($D273&amp;"|"&amp;$E273&amp;"|"&amp;$F273,'PET_STAT_RULES'!$A$5:$A$88,'PET_STAT_RULES'!$D$5:$D$88)</f>
        <v/>
      </c>
      <c r="L273" s="456">
        <f>XLOOKUP($D273&amp;"|"&amp;$E273&amp;"|"&amp;$F273,'PET_STAT_RULES'!$A$5:$A$88,'PET_STAT_RULES'!$F$5:$F$88)</f>
        <v/>
      </c>
      <c r="M273" s="456">
        <f>XLOOKUP($D273&amp;"|"&amp;$E273&amp;"|"&amp;$F273,'PET_STAT_RULES'!$A$5:$A$88,'PET_STAT_RULES'!$G$5:$G$88)</f>
        <v/>
      </c>
      <c r="N273" s="38" t="n">
        <v>2</v>
      </c>
      <c r="O273" s="38" t="inlineStr">
        <is>
          <t>mech_counter_damage</t>
        </is>
      </c>
      <c r="P273" s="38" t="inlineStr">
        <is>
          <t>11 形状11</t>
        </is>
      </c>
      <c r="Q273" s="38" t="inlineStr">
        <is>
          <t>Toxic</t>
        </is>
      </c>
      <c r="R273" s="38" t="inlineStr">
        <is>
          <t>skill confirmed；来源=Toxin Injector；攻击2格；仅保留来源商人/训练师关系。</t>
        </is>
      </c>
      <c r="S273" s="38" t="n">
        <v>4</v>
      </c>
      <c r="T273" s="38" t="n">
        <v>2</v>
      </c>
      <c r="U273" s="442" t="inlineStr">
        <is>
          <t>skill_vanguard,skill_flank,skill_pierce,skill_revolve,skill_chase,skill_break,skill_suppress,skill_finale</t>
        </is>
      </c>
      <c r="V273" s="442" t="inlineStr">
        <is>
          <t>trait_element_affinity</t>
        </is>
      </c>
      <c r="W273" s="457">
        <f>XLOOKUP($D273&amp;"|"&amp;$E273&amp;"|"&amp;$F273,'PET_STAT_RULES'!$A$5:$A$88,'PET_STAT_RULES'!$E$5:$E$88)</f>
        <v/>
      </c>
      <c r="X273" s="385" t="str"/>
      <c r="Y273" s="386" t="inlineStr">
        <is>
          <t>reserved</t>
        </is>
      </c>
      <c r="Z273" s="386" t="str"/>
      <c r="AA273" s="386" t="str"/>
    </row>
    <row r="274">
      <c r="A274" s="38" t="inlineStr">
        <is>
          <t>pal_273</t>
        </is>
      </c>
      <c r="B274" s="38" t="inlineStr">
        <is>
          <t>燎鹰卫</t>
        </is>
      </c>
      <c r="C274" s="38" t="inlineStr">
        <is>
          <t>火、雷</t>
        </is>
      </c>
      <c r="D274" s="265" t="inlineStr">
        <is>
          <t>白银</t>
        </is>
      </c>
      <c r="E274" s="38" t="inlineStr">
        <is>
          <t>输出</t>
        </is>
      </c>
      <c r="F274" s="38" t="inlineStr">
        <is>
          <t>两格</t>
        </is>
      </c>
      <c r="G274" s="38" t="inlineStr">
        <is>
          <t>bz_van_273</t>
        </is>
      </c>
      <c r="H274" s="38" t="inlineStr">
        <is>
          <t>elem_水, elem_雷, elem_龙, elem_无, role_召唤, role_治疗</t>
        </is>
      </c>
      <c r="I274" s="38" t="n">
        <v>6</v>
      </c>
      <c r="J274" s="456">
        <f>XLOOKUP($D274&amp;"|"&amp;$E274&amp;"|"&amp;$F274,'PET_STAT_RULES'!$A$5:$A$88,'PET_STAT_RULES'!$C$5:$C$88)</f>
        <v/>
      </c>
      <c r="K274" s="456">
        <f>XLOOKUP($D274&amp;"|"&amp;$E274&amp;"|"&amp;$F274,'PET_STAT_RULES'!$A$5:$A$88,'PET_STAT_RULES'!$D$5:$D$88)</f>
        <v/>
      </c>
      <c r="L274" s="456">
        <f>XLOOKUP($D274&amp;"|"&amp;$E274&amp;"|"&amp;$F274,'PET_STAT_RULES'!$A$5:$A$88,'PET_STAT_RULES'!$F$5:$F$88)</f>
        <v/>
      </c>
      <c r="M274" s="456">
        <f>XLOOKUP($D274&amp;"|"&amp;$E274&amp;"|"&amp;$F274,'PET_STAT_RULES'!$A$5:$A$88,'PET_STAT_RULES'!$G$5:$G$88)</f>
        <v/>
      </c>
      <c r="N274" s="38" t="n">
        <v>2</v>
      </c>
      <c r="O274" s="38" t="inlineStr">
        <is>
          <t>mech_fire_ignite_bonus</t>
        </is>
      </c>
      <c r="P274" s="38" t="inlineStr">
        <is>
          <t>12 形状12</t>
        </is>
      </c>
      <c r="Q274" s="38" t="inlineStr">
        <is>
          <t>Fiery</t>
        </is>
      </c>
      <c r="R274" s="38" t="inlineStr">
        <is>
          <t>skill confirmed；来源=Tracer Fire；攻击2格；仅保留来源商人/训练师关系。</t>
        </is>
      </c>
      <c r="S274" s="38" t="n">
        <v>3</v>
      </c>
      <c r="T274" s="38" t="n">
        <v>2</v>
      </c>
      <c r="U274" s="442" t="inlineStr">
        <is>
          <t>skill_vanguard,skill_flank,skill_pierce,skill_revolve,skill_chase,skill_break,skill_suppress,skill_finale</t>
        </is>
      </c>
      <c r="V274" s="442" t="inlineStr">
        <is>
          <t>trait_relentless</t>
        </is>
      </c>
      <c r="W274" s="457">
        <f>XLOOKUP($D274&amp;"|"&amp;$E274&amp;"|"&amp;$F274,'PET_STAT_RULES'!$A$5:$A$88,'PET_STAT_RULES'!$E$5:$E$88)</f>
        <v/>
      </c>
      <c r="X274" s="385" t="str"/>
      <c r="Y274" s="386" t="inlineStr">
        <is>
          <t>reserved</t>
        </is>
      </c>
      <c r="Z274" s="386" t="str"/>
      <c r="AA274" s="386" t="str"/>
    </row>
    <row r="275">
      <c r="A275" s="38" t="inlineStr">
        <is>
          <t>pal_274</t>
        </is>
      </c>
      <c r="B275" s="38" t="inlineStr">
        <is>
          <t>苔貂王</t>
        </is>
      </c>
      <c r="C275" s="38" t="inlineStr">
        <is>
          <t>草、雷</t>
        </is>
      </c>
      <c r="D275" s="262" t="inlineStr">
        <is>
          <t>黄金</t>
        </is>
      </c>
      <c r="E275" s="38" t="inlineStr">
        <is>
          <t>控制</t>
        </is>
      </c>
      <c r="F275" s="38" t="inlineStr">
        <is>
          <t>两格</t>
        </is>
      </c>
      <c r="G275" s="38" t="inlineStr">
        <is>
          <t>bz_van_274</t>
        </is>
      </c>
      <c r="H275" s="38" t="inlineStr">
        <is>
          <t>elem_水, elem_龙, elem_无, role_坦克, role_输出, special_merchant</t>
        </is>
      </c>
      <c r="I275" s="38" t="n">
        <v>6</v>
      </c>
      <c r="J275" s="456">
        <f>XLOOKUP($D275&amp;"|"&amp;$E275&amp;"|"&amp;$F275,'PET_STAT_RULES'!$A$5:$A$88,'PET_STAT_RULES'!$C$5:$C$88)</f>
        <v/>
      </c>
      <c r="K275" s="456">
        <f>XLOOKUP($D275&amp;"|"&amp;$E275&amp;"|"&amp;$F275,'PET_STAT_RULES'!$A$5:$A$88,'PET_STAT_RULES'!$D$5:$D$88)</f>
        <v/>
      </c>
      <c r="L275" s="456">
        <f>XLOOKUP($D275&amp;"|"&amp;$E275&amp;"|"&amp;$F275,'PET_STAT_RULES'!$A$5:$A$88,'PET_STAT_RULES'!$F$5:$F$88)</f>
        <v/>
      </c>
      <c r="M275" s="456">
        <f>XLOOKUP($D275&amp;"|"&amp;$E275&amp;"|"&amp;$F275,'PET_STAT_RULES'!$A$5:$A$88,'PET_STAT_RULES'!$G$5:$G$88)</f>
        <v/>
      </c>
      <c r="N275" s="38" t="n">
        <v>2</v>
      </c>
      <c r="O275" s="38" t="inlineStr">
        <is>
          <t>mech_counter_damage</t>
        </is>
      </c>
      <c r="P275" s="38" t="inlineStr">
        <is>
          <t>05 形状05</t>
        </is>
      </c>
      <c r="Q275" s="38" t="inlineStr">
        <is>
          <t>Toxic</t>
        </is>
      </c>
      <c r="R275" s="38" t="inlineStr">
        <is>
          <t>skill confirmed；来源=Venomous Blade；攻击2格；仅保留来源商人/训练师关系。</t>
        </is>
      </c>
      <c r="S275" s="38" t="n">
        <v>4</v>
      </c>
      <c r="T275" s="38" t="n">
        <v>2</v>
      </c>
      <c r="U275" s="442" t="inlineStr">
        <is>
          <t>skill_vanguard,skill_flank,skill_pierce,skill_revolve,skill_chase,skill_break,skill_suppress,skill_finale</t>
        </is>
      </c>
      <c r="V275" s="442" t="inlineStr">
        <is>
          <t>trait_element_affinity</t>
        </is>
      </c>
      <c r="W275" s="457">
        <f>XLOOKUP($D275&amp;"|"&amp;$E275&amp;"|"&amp;$F275,'PET_STAT_RULES'!$A$5:$A$88,'PET_STAT_RULES'!$E$5:$E$88)</f>
        <v/>
      </c>
      <c r="X275" s="385" t="str"/>
      <c r="Y275" s="386" t="inlineStr">
        <is>
          <t>reserved</t>
        </is>
      </c>
      <c r="Z275" s="386" t="str"/>
      <c r="AA275" s="386" t="str"/>
    </row>
    <row r="276">
      <c r="A276" s="38" t="inlineStr">
        <is>
          <t>pal_275</t>
        </is>
      </c>
      <c r="B276" s="38" t="inlineStr">
        <is>
          <t>青鹿祖</t>
        </is>
      </c>
      <c r="C276" s="38" t="inlineStr">
        <is>
          <t>草、水</t>
        </is>
      </c>
      <c r="D276" s="268" t="inlineStr">
        <is>
          <t>钻石</t>
        </is>
      </c>
      <c r="E276" s="38" t="inlineStr">
        <is>
          <t>治疗</t>
        </is>
      </c>
      <c r="F276" s="38" t="inlineStr">
        <is>
          <t>两格</t>
        </is>
      </c>
      <c r="G276" s="38" t="inlineStr">
        <is>
          <t>bz_van_275</t>
        </is>
      </c>
      <c r="H276" s="38" t="inlineStr">
        <is>
          <t>elem_水, elem_龙, role_输出, tier_pT2</t>
        </is>
      </c>
      <c r="I276" s="38" t="n">
        <v>4</v>
      </c>
      <c r="J276" s="456">
        <f>XLOOKUP($D276&amp;"|"&amp;$E276&amp;"|"&amp;$F276,'PET_STAT_RULES'!$A$5:$A$88,'PET_STAT_RULES'!$C$5:$C$88)</f>
        <v/>
      </c>
      <c r="K276" s="456">
        <f>XLOOKUP($D276&amp;"|"&amp;$E276&amp;"|"&amp;$F276,'PET_STAT_RULES'!$A$5:$A$88,'PET_STAT_RULES'!$D$5:$D$88)</f>
        <v/>
      </c>
      <c r="L276" s="456">
        <f>XLOOKUP($D276&amp;"|"&amp;$E276&amp;"|"&amp;$F276,'PET_STAT_RULES'!$A$5:$A$88,'PET_STAT_RULES'!$F$5:$F$88)</f>
        <v/>
      </c>
      <c r="M276" s="456">
        <f>XLOOKUP($D276&amp;"|"&amp;$E276&amp;"|"&amp;$F276,'PET_STAT_RULES'!$A$5:$A$88,'PET_STAT_RULES'!$G$5:$G$88)</f>
        <v/>
      </c>
      <c r="N276" s="38" t="n">
        <v>2</v>
      </c>
      <c r="O276" s="38" t="inlineStr">
        <is>
          <t>mech_shield_regen</t>
        </is>
      </c>
      <c r="P276" s="38" t="inlineStr">
        <is>
          <t>09 形状09</t>
        </is>
      </c>
      <c r="Q276" s="38" t="inlineStr">
        <is>
          <t>Toxic</t>
        </is>
      </c>
      <c r="R276" s="38" t="inlineStr">
        <is>
          <t>skill confirmed；来源=Venomous Vitality；攻击2格；仅保留来源商人/训练师关系。</t>
        </is>
      </c>
      <c r="S276" s="38" t="n">
        <v>3</v>
      </c>
      <c r="T276" s="38" t="n">
        <v>3</v>
      </c>
      <c r="U276" s="442" t="inlineStr">
        <is>
          <t>skill_vanguard,skill_flank,skill_pierce,skill_revolve,skill_chase,skill_break,skill_suppress,skill_finale</t>
        </is>
      </c>
      <c r="V276" s="442" t="inlineStr">
        <is>
          <t>trait_element_affinity</t>
        </is>
      </c>
      <c r="W276" s="457">
        <f>XLOOKUP($D276&amp;"|"&amp;$E276&amp;"|"&amp;$F276,'PET_STAT_RULES'!$A$5:$A$88,'PET_STAT_RULES'!$E$5:$E$88)</f>
        <v/>
      </c>
      <c r="X276" s="385" t="str"/>
      <c r="Y276" s="386" t="inlineStr">
        <is>
          <t>reserved</t>
        </is>
      </c>
      <c r="Z276" s="386" t="str"/>
      <c r="AA276" s="386" t="str"/>
    </row>
    <row r="277">
      <c r="A277" s="38" t="inlineStr">
        <is>
          <t>pal_276</t>
        </is>
      </c>
      <c r="B277" s="38" t="inlineStr">
        <is>
          <t>焰蟾卫</t>
        </is>
      </c>
      <c r="C277" s="38" t="inlineStr">
        <is>
          <t>火、龙</t>
        </is>
      </c>
      <c r="D277" s="265" t="inlineStr">
        <is>
          <t>白银</t>
        </is>
      </c>
      <c r="E277" s="38" t="inlineStr">
        <is>
          <t>召唤</t>
        </is>
      </c>
      <c r="F277" s="38" t="inlineStr">
        <is>
          <t>两格</t>
        </is>
      </c>
      <c r="G277" s="38" t="inlineStr">
        <is>
          <t>bz_van_276</t>
        </is>
      </c>
      <c r="H277" s="38" t="inlineStr">
        <is>
          <t>elem_水, elem_雷, elem_龙, elem_无, role_治疗</t>
        </is>
      </c>
      <c r="I277" s="38" t="n">
        <v>5</v>
      </c>
      <c r="J277" s="456">
        <f>XLOOKUP($D277&amp;"|"&amp;$E277&amp;"|"&amp;$F277,'PET_STAT_RULES'!$A$5:$A$88,'PET_STAT_RULES'!$C$5:$C$88)</f>
        <v/>
      </c>
      <c r="K277" s="456">
        <f>XLOOKUP($D277&amp;"|"&amp;$E277&amp;"|"&amp;$F277,'PET_STAT_RULES'!$A$5:$A$88,'PET_STAT_RULES'!$D$5:$D$88)</f>
        <v/>
      </c>
      <c r="L277" s="456">
        <f>XLOOKUP($D277&amp;"|"&amp;$E277&amp;"|"&amp;$F277,'PET_STAT_RULES'!$A$5:$A$88,'PET_STAT_RULES'!$F$5:$F$88)</f>
        <v/>
      </c>
      <c r="M277" s="456">
        <f>XLOOKUP($D277&amp;"|"&amp;$E277&amp;"|"&amp;$F277,'PET_STAT_RULES'!$A$5:$A$88,'PET_STAT_RULES'!$G$5:$G$88)</f>
        <v/>
      </c>
      <c r="N277" s="38" t="n">
        <v>2</v>
      </c>
      <c r="O277" s="38" t="inlineStr">
        <is>
          <t>mech_fire_ignite_bonus</t>
        </is>
      </c>
      <c r="P277" s="38" t="inlineStr">
        <is>
          <t>07 形状07</t>
        </is>
      </c>
      <c r="Q277" s="38" t="inlineStr">
        <is>
          <t>Fiery</t>
        </is>
      </c>
      <c r="R277" s="38" t="inlineStr">
        <is>
          <t>skill confirmed；来源=Warm Hugs；攻击2格；仅保留来源商人/训练师关系。</t>
        </is>
      </c>
      <c r="S277" s="38" t="n">
        <v>3</v>
      </c>
      <c r="T277" s="38" t="n">
        <v>2</v>
      </c>
      <c r="U277" s="442" t="inlineStr">
        <is>
          <t>skill_vanguard,skill_flank,skill_pierce,skill_revolve,skill_chase,skill_break,skill_suppress,skill_finale</t>
        </is>
      </c>
      <c r="V277" s="442" t="inlineStr">
        <is>
          <t>trait_combo_resonance</t>
        </is>
      </c>
      <c r="W277" s="457">
        <f>XLOOKUP($D277&amp;"|"&amp;$E277&amp;"|"&amp;$F277,'PET_STAT_RULES'!$A$5:$A$88,'PET_STAT_RULES'!$E$5:$E$88)</f>
        <v/>
      </c>
      <c r="X277" s="385" t="str"/>
      <c r="Y277" s="386" t="inlineStr">
        <is>
          <t>reserved</t>
        </is>
      </c>
      <c r="Z277" s="386" t="str"/>
      <c r="AA277" s="386" t="str"/>
    </row>
    <row r="278">
      <c r="A278" s="38" t="inlineStr">
        <is>
          <t>pal_277</t>
        </is>
      </c>
      <c r="B278" s="38" t="inlineStr">
        <is>
          <t>克诺大兽</t>
        </is>
      </c>
      <c r="C278" s="38" t="inlineStr">
        <is>
          <t>地</t>
        </is>
      </c>
      <c r="D278" s="265" t="inlineStr">
        <is>
          <t>白银</t>
        </is>
      </c>
      <c r="E278" s="38" t="inlineStr">
        <is>
          <t>机动</t>
        </is>
      </c>
      <c r="F278" s="38" t="inlineStr">
        <is>
          <t>三格</t>
        </is>
      </c>
      <c r="G278" s="38" t="inlineStr">
        <is>
          <t>bz_van_277</t>
        </is>
      </c>
      <c r="H278" s="38" t="inlineStr">
        <is>
          <t>role_经济, elite_high</t>
        </is>
      </c>
      <c r="I278" s="38" t="n">
        <v>2</v>
      </c>
      <c r="J278" s="456">
        <f>XLOOKUP($D278&amp;"|"&amp;$E278&amp;"|"&amp;$F278,'PET_STAT_RULES'!$A$5:$A$88,'PET_STAT_RULES'!$C$5:$C$88)</f>
        <v/>
      </c>
      <c r="K278" s="456">
        <f>XLOOKUP($D278&amp;"|"&amp;$E278&amp;"|"&amp;$F278,'PET_STAT_RULES'!$A$5:$A$88,'PET_STAT_RULES'!$D$5:$D$88)</f>
        <v/>
      </c>
      <c r="L278" s="456">
        <f>XLOOKUP($D278&amp;"|"&amp;$E278&amp;"|"&amp;$F278,'PET_STAT_RULES'!$A$5:$A$88,'PET_STAT_RULES'!$F$5:$F$88)</f>
        <v/>
      </c>
      <c r="M278" s="456">
        <f>XLOOKUP($D278&amp;"|"&amp;$E278&amp;"|"&amp;$F278,'PET_STAT_RULES'!$A$5:$A$88,'PET_STAT_RULES'!$G$5:$G$88)</f>
        <v/>
      </c>
      <c r="N278" s="38" t="n">
        <v>2</v>
      </c>
      <c r="O278" s="38" t="inlineStr">
        <is>
          <t>none</t>
        </is>
      </c>
      <c r="P278" s="38" t="inlineStr">
        <is>
          <t>07 形状07</t>
        </is>
      </c>
      <c r="Q278" s="38" t="inlineStr">
        <is>
          <t>Turbo</t>
        </is>
      </c>
      <c r="R278" s="38" t="inlineStr">
        <is>
          <t>merchant_package confirmed；来源=Chronos' Package；攻击2格；仅保留来源商人/训练师关系。</t>
        </is>
      </c>
      <c r="S278" s="38" t="n">
        <v>5</v>
      </c>
      <c r="T278" s="38" t="n">
        <v>2</v>
      </c>
      <c r="U278" s="442" t="inlineStr">
        <is>
          <t>skill_vanguard,skill_flank,skill_pierce,skill_revolve,skill_chase,skill_break,skill_suppress,skill_finale</t>
        </is>
      </c>
      <c r="V278" s="442" t="inlineStr">
        <is>
          <t>trait_relentless</t>
        </is>
      </c>
      <c r="W278" s="457">
        <f>XLOOKUP($D278&amp;"|"&amp;$E278&amp;"|"&amp;$F278,'PET_STAT_RULES'!$A$5:$A$88,'PET_STAT_RULES'!$E$5:$E$88)</f>
        <v/>
      </c>
      <c r="X278" s="385" t="str"/>
      <c r="Y278" s="386" t="inlineStr">
        <is>
          <t>reserved</t>
        </is>
      </c>
      <c r="Z278" s="386" t="str"/>
      <c r="AA278" s="386" t="str"/>
    </row>
    <row r="279">
      <c r="A279" s="38" t="inlineStr">
        <is>
          <t>pal_278</t>
        </is>
      </c>
      <c r="B279" s="38" t="inlineStr">
        <is>
          <t>克诺中兽</t>
        </is>
      </c>
      <c r="C279" s="38" t="inlineStr">
        <is>
          <t>龙</t>
        </is>
      </c>
      <c r="D279" s="262" t="inlineStr">
        <is>
          <t>黄金</t>
        </is>
      </c>
      <c r="E279" s="38" t="inlineStr">
        <is>
          <t>机动</t>
        </is>
      </c>
      <c r="F279" s="38" t="inlineStr">
        <is>
          <t>两格</t>
        </is>
      </c>
      <c r="G279" s="38" t="inlineStr">
        <is>
          <t>bz_van_278</t>
        </is>
      </c>
      <c r="H279" s="38" t="inlineStr">
        <is>
          <t>role_坦克, elite_high</t>
        </is>
      </c>
      <c r="I279" s="38" t="n">
        <v>2</v>
      </c>
      <c r="J279" s="456">
        <f>XLOOKUP($D279&amp;"|"&amp;$E279&amp;"|"&amp;$F279,'PET_STAT_RULES'!$A$5:$A$88,'PET_STAT_RULES'!$C$5:$C$88)</f>
        <v/>
      </c>
      <c r="K279" s="456">
        <f>XLOOKUP($D279&amp;"|"&amp;$E279&amp;"|"&amp;$F279,'PET_STAT_RULES'!$A$5:$A$88,'PET_STAT_RULES'!$D$5:$D$88)</f>
        <v/>
      </c>
      <c r="L279" s="456">
        <f>XLOOKUP($D279&amp;"|"&amp;$E279&amp;"|"&amp;$F279,'PET_STAT_RULES'!$A$5:$A$88,'PET_STAT_RULES'!$F$5:$F$88)</f>
        <v/>
      </c>
      <c r="M279" s="456">
        <f>XLOOKUP($D279&amp;"|"&amp;$E279&amp;"|"&amp;$F279,'PET_STAT_RULES'!$A$5:$A$88,'PET_STAT_RULES'!$G$5:$G$88)</f>
        <v/>
      </c>
      <c r="N279" s="38" t="n">
        <v>2</v>
      </c>
      <c r="O279" s="38" t="inlineStr">
        <is>
          <t>none</t>
        </is>
      </c>
      <c r="P279" s="38" t="inlineStr">
        <is>
          <t>11 形状11</t>
        </is>
      </c>
      <c r="Q279" s="38" t="inlineStr">
        <is>
          <t>Turbo</t>
        </is>
      </c>
      <c r="R279" s="38" t="inlineStr">
        <is>
          <t>merchant_package confirmed；来源=Chronos' Package；攻击2格；仅保留来源商人/训练师关系。</t>
        </is>
      </c>
      <c r="S279" s="38" t="n">
        <v>5</v>
      </c>
      <c r="T279" s="38" t="n">
        <v>2</v>
      </c>
      <c r="U279" s="442" t="inlineStr">
        <is>
          <t>skill_vanguard,skill_flank,skill_pierce,skill_revolve,skill_chase,skill_break,skill_suppress,skill_finale</t>
        </is>
      </c>
      <c r="V279" s="442" t="inlineStr">
        <is>
          <t>trait_relentless</t>
        </is>
      </c>
      <c r="W279" s="457">
        <f>XLOOKUP($D279&amp;"|"&amp;$E279&amp;"|"&amp;$F279,'PET_STAT_RULES'!$A$5:$A$88,'PET_STAT_RULES'!$E$5:$E$88)</f>
        <v/>
      </c>
      <c r="X279" s="385" t="str"/>
      <c r="Y279" s="386" t="inlineStr">
        <is>
          <t>reserved</t>
        </is>
      </c>
      <c r="Z279" s="386" t="str"/>
      <c r="AA279" s="386" t="str"/>
    </row>
    <row r="280">
      <c r="A280" s="38" t="inlineStr">
        <is>
          <t>pal_279</t>
        </is>
      </c>
      <c r="B280" s="38" t="inlineStr">
        <is>
          <t>克诺小兽</t>
        </is>
      </c>
      <c r="C280" s="38" t="inlineStr">
        <is>
          <t>地</t>
        </is>
      </c>
      <c r="D280" s="262" t="inlineStr">
        <is>
          <t>黄金</t>
        </is>
      </c>
      <c r="E280" s="38" t="inlineStr">
        <is>
          <t>机动</t>
        </is>
      </c>
      <c r="F280" s="38" t="inlineStr">
        <is>
          <t>一格</t>
        </is>
      </c>
      <c r="G280" s="38" t="inlineStr">
        <is>
          <t>bz_van_279</t>
        </is>
      </c>
      <c r="H280" s="38" t="inlineStr">
        <is>
          <t>role_坦克, elite_high</t>
        </is>
      </c>
      <c r="I280" s="38" t="n">
        <v>2</v>
      </c>
      <c r="J280" s="456">
        <f>XLOOKUP($D280&amp;"|"&amp;$E280&amp;"|"&amp;$F280,'PET_STAT_RULES'!$A$5:$A$88,'PET_STAT_RULES'!$C$5:$C$88)</f>
        <v/>
      </c>
      <c r="K280" s="456">
        <f>XLOOKUP($D280&amp;"|"&amp;$E280&amp;"|"&amp;$F280,'PET_STAT_RULES'!$A$5:$A$88,'PET_STAT_RULES'!$D$5:$D$88)</f>
        <v/>
      </c>
      <c r="L280" s="456">
        <f>XLOOKUP($D280&amp;"|"&amp;$E280&amp;"|"&amp;$F280,'PET_STAT_RULES'!$A$5:$A$88,'PET_STAT_RULES'!$F$5:$F$88)</f>
        <v/>
      </c>
      <c r="M280" s="456">
        <f>XLOOKUP($D280&amp;"|"&amp;$E280&amp;"|"&amp;$F280,'PET_STAT_RULES'!$A$5:$A$88,'PET_STAT_RULES'!$G$5:$G$88)</f>
        <v/>
      </c>
      <c r="N280" s="38" t="n">
        <v>3</v>
      </c>
      <c r="O280" s="38" t="inlineStr">
        <is>
          <t>none</t>
        </is>
      </c>
      <c r="P280" s="38" t="inlineStr">
        <is>
          <t>17 形状17</t>
        </is>
      </c>
      <c r="Q280" s="38" t="inlineStr">
        <is>
          <t>Turbo</t>
        </is>
      </c>
      <c r="R280" s="38" t="inlineStr">
        <is>
          <t>merchant_package confirmed；来源=Chronos' Package；攻击3格；仅保留来源商人/训练师关系。</t>
        </is>
      </c>
      <c r="S280" s="38" t="n">
        <v>5</v>
      </c>
      <c r="T280" s="38" t="n">
        <v>2</v>
      </c>
      <c r="U280" s="442" t="inlineStr">
        <is>
          <t>skill_vanguard,skill_flank,skill_pierce,skill_revolve,skill_chase,skill_break,skill_suppress,skill_finale</t>
        </is>
      </c>
      <c r="V280" s="442" t="inlineStr">
        <is>
          <t>trait_relentless</t>
        </is>
      </c>
      <c r="W280" s="457">
        <f>XLOOKUP($D280&amp;"|"&amp;$E280&amp;"|"&amp;$F280,'PET_STAT_RULES'!$A$5:$A$88,'PET_STAT_RULES'!$E$5:$E$88)</f>
        <v/>
      </c>
      <c r="X280" s="385" t="str"/>
      <c r="Y280" s="386" t="inlineStr">
        <is>
          <t>reserved</t>
        </is>
      </c>
      <c r="Z280" s="386" t="str"/>
      <c r="AA280" s="386" t="str"/>
    </row>
    <row r="281">
      <c r="A281" s="38" t="inlineStr">
        <is>
          <t>pal_280</t>
        </is>
      </c>
      <c r="B281" s="38" t="inlineStr">
        <is>
          <t>蛛婆小兽</t>
        </is>
      </c>
      <c r="C281" s="38" t="inlineStr">
        <is>
          <t>水</t>
        </is>
      </c>
      <c r="D281" s="262" t="inlineStr">
        <is>
          <t>黄金</t>
        </is>
      </c>
      <c r="E281" s="38" t="inlineStr">
        <is>
          <t>控制</t>
        </is>
      </c>
      <c r="F281" s="38" t="inlineStr">
        <is>
          <t>一格</t>
        </is>
      </c>
      <c r="G281" s="38" t="inlineStr">
        <is>
          <t>bz_van_280</t>
        </is>
      </c>
      <c r="H281" s="38" t="inlineStr">
        <is>
          <t>role_坦克, role_召唤铺场</t>
        </is>
      </c>
      <c r="I281" s="38" t="n">
        <v>2</v>
      </c>
      <c r="J281" s="456">
        <f>XLOOKUP($D281&amp;"|"&amp;$E281&amp;"|"&amp;$F281,'PET_STAT_RULES'!$A$5:$A$88,'PET_STAT_RULES'!$C$5:$C$88)</f>
        <v/>
      </c>
      <c r="K281" s="456">
        <f>XLOOKUP($D281&amp;"|"&amp;$E281&amp;"|"&amp;$F281,'PET_STAT_RULES'!$A$5:$A$88,'PET_STAT_RULES'!$D$5:$D$88)</f>
        <v/>
      </c>
      <c r="L281" s="456">
        <f>XLOOKUP($D281&amp;"|"&amp;$E281&amp;"|"&amp;$F281,'PET_STAT_RULES'!$A$5:$A$88,'PET_STAT_RULES'!$F$5:$F$88)</f>
        <v/>
      </c>
      <c r="M281" s="456">
        <f>XLOOKUP($D281&amp;"|"&amp;$E281&amp;"|"&amp;$F281,'PET_STAT_RULES'!$A$5:$A$88,'PET_STAT_RULES'!$G$5:$G$88)</f>
        <v/>
      </c>
      <c r="N281" s="38" t="n">
        <v>3</v>
      </c>
      <c r="O281" s="38" t="inlineStr">
        <is>
          <t>mech_counter_damage</t>
        </is>
      </c>
      <c r="P281" s="38" t="inlineStr">
        <is>
          <t>15 形状15</t>
        </is>
      </c>
      <c r="Q281" s="38" t="inlineStr">
        <is>
          <t>Icy</t>
        </is>
      </c>
      <c r="R281" s="38" t="inlineStr">
        <is>
          <t>merchant_package confirmed；来源=Cobweb's Package；攻击3格；仅保留来源商人/训练师关系。</t>
        </is>
      </c>
      <c r="S281" s="38" t="n">
        <v>4</v>
      </c>
      <c r="T281" s="38" t="n">
        <v>2</v>
      </c>
      <c r="U281" s="442" t="inlineStr">
        <is>
          <t>skill_vanguard,skill_flank,skill_pierce,skill_revolve,skill_chase,skill_break,skill_suppress,skill_finale</t>
        </is>
      </c>
      <c r="V281" s="442" t="inlineStr">
        <is>
          <t>trait_element_affinity</t>
        </is>
      </c>
      <c r="W281" s="457">
        <f>XLOOKUP($D281&amp;"|"&amp;$E281&amp;"|"&amp;$F281,'PET_STAT_RULES'!$A$5:$A$88,'PET_STAT_RULES'!$E$5:$E$88)</f>
        <v/>
      </c>
      <c r="X281" s="385" t="str"/>
      <c r="Y281" s="386" t="inlineStr">
        <is>
          <t>reserved</t>
        </is>
      </c>
      <c r="Z281" s="386" t="str"/>
      <c r="AA281" s="386" t="str"/>
    </row>
    <row r="282">
      <c r="A282" s="38" t="inlineStr">
        <is>
          <t>pal_281</t>
        </is>
      </c>
      <c r="B282" s="38" t="inlineStr">
        <is>
          <t>蛛婆大兽</t>
        </is>
      </c>
      <c r="C282" s="38" t="inlineStr">
        <is>
          <t>地</t>
        </is>
      </c>
      <c r="D282" s="265" t="inlineStr">
        <is>
          <t>白银</t>
        </is>
      </c>
      <c r="E282" s="38" t="inlineStr">
        <is>
          <t>控制</t>
        </is>
      </c>
      <c r="F282" s="38" t="inlineStr">
        <is>
          <t>三格</t>
        </is>
      </c>
      <c r="G282" s="38" t="inlineStr">
        <is>
          <t>bz_van_281</t>
        </is>
      </c>
      <c r="H282" s="38" t="inlineStr">
        <is>
          <t>role_经济, role_召唤铺场</t>
        </is>
      </c>
      <c r="I282" s="38" t="n">
        <v>2</v>
      </c>
      <c r="J282" s="456">
        <f>XLOOKUP($D282&amp;"|"&amp;$E282&amp;"|"&amp;$F282,'PET_STAT_RULES'!$A$5:$A$88,'PET_STAT_RULES'!$C$5:$C$88)</f>
        <v/>
      </c>
      <c r="K282" s="456">
        <f>XLOOKUP($D282&amp;"|"&amp;$E282&amp;"|"&amp;$F282,'PET_STAT_RULES'!$A$5:$A$88,'PET_STAT_RULES'!$D$5:$D$88)</f>
        <v/>
      </c>
      <c r="L282" s="456">
        <f>XLOOKUP($D282&amp;"|"&amp;$E282&amp;"|"&amp;$F282,'PET_STAT_RULES'!$A$5:$A$88,'PET_STAT_RULES'!$F$5:$F$88)</f>
        <v/>
      </c>
      <c r="M282" s="456">
        <f>XLOOKUP($D282&amp;"|"&amp;$E282&amp;"|"&amp;$F282,'PET_STAT_RULES'!$A$5:$A$88,'PET_STAT_RULES'!$G$5:$G$88)</f>
        <v/>
      </c>
      <c r="N282" s="38" t="n">
        <v>2</v>
      </c>
      <c r="O282" s="38" t="inlineStr">
        <is>
          <t>mech_counter_damage</t>
        </is>
      </c>
      <c r="P282" s="38" t="inlineStr">
        <is>
          <t>08 形状08</t>
        </is>
      </c>
      <c r="Q282" s="38" t="inlineStr">
        <is>
          <t>Icy</t>
        </is>
      </c>
      <c r="R282" s="38" t="inlineStr">
        <is>
          <t>merchant_package confirmed；来源=Cobweb's Package；攻击2格；仅保留来源商人/训练师关系。</t>
        </is>
      </c>
      <c r="S282" s="38" t="n">
        <v>4</v>
      </c>
      <c r="T282" s="38" t="n">
        <v>2</v>
      </c>
      <c r="U282" s="442" t="inlineStr">
        <is>
          <t>skill_vanguard,skill_flank,skill_pierce,skill_revolve,skill_chase,skill_break,skill_suppress,skill_finale</t>
        </is>
      </c>
      <c r="V282" s="442" t="inlineStr">
        <is>
          <t>trait_element_affinity</t>
        </is>
      </c>
      <c r="W282" s="457">
        <f>XLOOKUP($D282&amp;"|"&amp;$E282&amp;"|"&amp;$F282,'PET_STAT_RULES'!$A$5:$A$88,'PET_STAT_RULES'!$E$5:$E$88)</f>
        <v/>
      </c>
      <c r="X282" s="385" t="str"/>
      <c r="Y282" s="386" t="inlineStr">
        <is>
          <t>reserved</t>
        </is>
      </c>
      <c r="Z282" s="386" t="str"/>
      <c r="AA282" s="386" t="str"/>
    </row>
    <row r="283">
      <c r="A283" s="38" t="inlineStr">
        <is>
          <t>pal_282</t>
        </is>
      </c>
      <c r="B283" s="38" t="inlineStr">
        <is>
          <t>蛛婆中兽</t>
        </is>
      </c>
      <c r="C283" s="38" t="inlineStr">
        <is>
          <t>暗</t>
        </is>
      </c>
      <c r="D283" s="262" t="inlineStr">
        <is>
          <t>黄金</t>
        </is>
      </c>
      <c r="E283" s="38" t="inlineStr">
        <is>
          <t>控制</t>
        </is>
      </c>
      <c r="F283" s="38" t="inlineStr">
        <is>
          <t>两格</t>
        </is>
      </c>
      <c r="G283" s="38" t="inlineStr">
        <is>
          <t>bz_van_282</t>
        </is>
      </c>
      <c r="H283" s="38" t="inlineStr">
        <is>
          <t>role_坦克, role_召唤铺场</t>
        </is>
      </c>
      <c r="I283" s="38" t="n">
        <v>2</v>
      </c>
      <c r="J283" s="456">
        <f>XLOOKUP($D283&amp;"|"&amp;$E283&amp;"|"&amp;$F283,'PET_STAT_RULES'!$A$5:$A$88,'PET_STAT_RULES'!$C$5:$C$88)</f>
        <v/>
      </c>
      <c r="K283" s="456">
        <f>XLOOKUP($D283&amp;"|"&amp;$E283&amp;"|"&amp;$F283,'PET_STAT_RULES'!$A$5:$A$88,'PET_STAT_RULES'!$D$5:$D$88)</f>
        <v/>
      </c>
      <c r="L283" s="456">
        <f>XLOOKUP($D283&amp;"|"&amp;$E283&amp;"|"&amp;$F283,'PET_STAT_RULES'!$A$5:$A$88,'PET_STAT_RULES'!$F$5:$F$88)</f>
        <v/>
      </c>
      <c r="M283" s="456">
        <f>XLOOKUP($D283&amp;"|"&amp;$E283&amp;"|"&amp;$F283,'PET_STAT_RULES'!$A$5:$A$88,'PET_STAT_RULES'!$G$5:$G$88)</f>
        <v/>
      </c>
      <c r="N283" s="38" t="n">
        <v>2</v>
      </c>
      <c r="O283" s="38" t="inlineStr">
        <is>
          <t>mech_counter_damage</t>
        </is>
      </c>
      <c r="P283" s="38" t="inlineStr">
        <is>
          <t>10 形状10</t>
        </is>
      </c>
      <c r="Q283" s="38" t="inlineStr">
        <is>
          <t>Icy</t>
        </is>
      </c>
      <c r="R283" s="38" t="inlineStr">
        <is>
          <t>merchant_package confirmed；来源=Cobweb's Package；攻击2格；仅保留来源商人/训练师关系。</t>
        </is>
      </c>
      <c r="S283" s="38" t="n">
        <v>4</v>
      </c>
      <c r="T283" s="38" t="n">
        <v>2</v>
      </c>
      <c r="U283" s="442" t="inlineStr">
        <is>
          <t>skill_vanguard,skill_flank,skill_pierce,skill_revolve,skill_chase,skill_break,skill_suppress,skill_finale</t>
        </is>
      </c>
      <c r="V283" s="442" t="inlineStr">
        <is>
          <t>trait_element_affinity</t>
        </is>
      </c>
      <c r="W283" s="457">
        <f>XLOOKUP($D283&amp;"|"&amp;$E283&amp;"|"&amp;$F283,'PET_STAT_RULES'!$A$5:$A$88,'PET_STAT_RULES'!$E$5:$E$88)</f>
        <v/>
      </c>
      <c r="X283" s="385" t="str"/>
      <c r="Y283" s="386" t="inlineStr">
        <is>
          <t>reserved</t>
        </is>
      </c>
      <c r="Z283" s="386" t="str"/>
      <c r="AA283" s="386" t="str"/>
    </row>
    <row r="284">
      <c r="A284" s="38" t="inlineStr">
        <is>
          <t>pal_283</t>
        </is>
      </c>
      <c r="B284" s="38" t="inlineStr">
        <is>
          <t>芙蕾小兽</t>
        </is>
      </c>
      <c r="C284" s="38" t="inlineStr">
        <is>
          <t>冰</t>
        </is>
      </c>
      <c r="D284" s="262" t="inlineStr">
        <is>
          <t>黄金</t>
        </is>
      </c>
      <c r="E284" s="38" t="inlineStr">
        <is>
          <t>控制</t>
        </is>
      </c>
      <c r="F284" s="38" t="inlineStr">
        <is>
          <t>一格</t>
        </is>
      </c>
      <c r="G284" s="38" t="inlineStr">
        <is>
          <t>bz_van_283</t>
        </is>
      </c>
      <c r="H284" s="38" t="inlineStr">
        <is>
          <t>role_坦克, role_风系牵制</t>
        </is>
      </c>
      <c r="I284" s="38" t="n">
        <v>2</v>
      </c>
      <c r="J284" s="456">
        <f>XLOOKUP($D284&amp;"|"&amp;$E284&amp;"|"&amp;$F284,'PET_STAT_RULES'!$A$5:$A$88,'PET_STAT_RULES'!$C$5:$C$88)</f>
        <v/>
      </c>
      <c r="K284" s="456">
        <f>XLOOKUP($D284&amp;"|"&amp;$E284&amp;"|"&amp;$F284,'PET_STAT_RULES'!$A$5:$A$88,'PET_STAT_RULES'!$D$5:$D$88)</f>
        <v/>
      </c>
      <c r="L284" s="456">
        <f>XLOOKUP($D284&amp;"|"&amp;$E284&amp;"|"&amp;$F284,'PET_STAT_RULES'!$A$5:$A$88,'PET_STAT_RULES'!$F$5:$F$88)</f>
        <v/>
      </c>
      <c r="M284" s="456">
        <f>XLOOKUP($D284&amp;"|"&amp;$E284&amp;"|"&amp;$F284,'PET_STAT_RULES'!$A$5:$A$88,'PET_STAT_RULES'!$G$5:$G$88)</f>
        <v/>
      </c>
      <c r="N284" s="38" t="n">
        <v>3</v>
      </c>
      <c r="O284" s="38" t="inlineStr">
        <is>
          <t>mech_counter_damage</t>
        </is>
      </c>
      <c r="P284" s="38" t="inlineStr">
        <is>
          <t>16 形状16</t>
        </is>
      </c>
      <c r="Q284" s="38" t="inlineStr">
        <is>
          <t>Icy</t>
        </is>
      </c>
      <c r="R284" s="38" t="inlineStr">
        <is>
          <t>merchant_package confirmed；来源=Freiya's Package；攻击3格；仅保留来源商人/训练师关系。</t>
        </is>
      </c>
      <c r="S284" s="38" t="n">
        <v>4</v>
      </c>
      <c r="T284" s="38" t="n">
        <v>2</v>
      </c>
      <c r="U284" s="442" t="inlineStr">
        <is>
          <t>skill_vanguard,skill_flank,skill_pierce,skill_revolve,skill_chase,skill_break,skill_suppress,skill_finale</t>
        </is>
      </c>
      <c r="V284" s="442" t="inlineStr">
        <is>
          <t>trait_element_affinity</t>
        </is>
      </c>
      <c r="W284" s="457">
        <f>XLOOKUP($D284&amp;"|"&amp;$E284&amp;"|"&amp;$F284,'PET_STAT_RULES'!$A$5:$A$88,'PET_STAT_RULES'!$E$5:$E$88)</f>
        <v/>
      </c>
      <c r="X284" s="385" t="str"/>
      <c r="Y284" s="386" t="inlineStr">
        <is>
          <t>reserved</t>
        </is>
      </c>
      <c r="Z284" s="386" t="str"/>
      <c r="AA284" s="386" t="str"/>
    </row>
    <row r="285">
      <c r="A285" s="38" t="inlineStr">
        <is>
          <t>pal_284</t>
        </is>
      </c>
      <c r="B285" s="38" t="inlineStr">
        <is>
          <t>芙蕾大兽</t>
        </is>
      </c>
      <c r="C285" s="38" t="inlineStr">
        <is>
          <t>冰</t>
        </is>
      </c>
      <c r="D285" s="265" t="inlineStr">
        <is>
          <t>白银</t>
        </is>
      </c>
      <c r="E285" s="38" t="inlineStr">
        <is>
          <t>控制</t>
        </is>
      </c>
      <c r="F285" s="38" t="inlineStr">
        <is>
          <t>三格</t>
        </is>
      </c>
      <c r="G285" s="38" t="inlineStr">
        <is>
          <t>bz_van_284</t>
        </is>
      </c>
      <c r="H285" s="38" t="inlineStr">
        <is>
          <t>role_经济, role_风系牵制</t>
        </is>
      </c>
      <c r="I285" s="38" t="n">
        <v>2</v>
      </c>
      <c r="J285" s="456">
        <f>XLOOKUP($D285&amp;"|"&amp;$E285&amp;"|"&amp;$F285,'PET_STAT_RULES'!$A$5:$A$88,'PET_STAT_RULES'!$C$5:$C$88)</f>
        <v/>
      </c>
      <c r="K285" s="456">
        <f>XLOOKUP($D285&amp;"|"&amp;$E285&amp;"|"&amp;$F285,'PET_STAT_RULES'!$A$5:$A$88,'PET_STAT_RULES'!$D$5:$D$88)</f>
        <v/>
      </c>
      <c r="L285" s="456">
        <f>XLOOKUP($D285&amp;"|"&amp;$E285&amp;"|"&amp;$F285,'PET_STAT_RULES'!$A$5:$A$88,'PET_STAT_RULES'!$F$5:$F$88)</f>
        <v/>
      </c>
      <c r="M285" s="456">
        <f>XLOOKUP($D285&amp;"|"&amp;$E285&amp;"|"&amp;$F285,'PET_STAT_RULES'!$A$5:$A$88,'PET_STAT_RULES'!$G$5:$G$88)</f>
        <v/>
      </c>
      <c r="N285" s="38" t="n">
        <v>2</v>
      </c>
      <c r="O285" s="38" t="inlineStr">
        <is>
          <t>mech_counter_damage</t>
        </is>
      </c>
      <c r="P285" s="38" t="inlineStr">
        <is>
          <t>09 形状09</t>
        </is>
      </c>
      <c r="Q285" s="38" t="inlineStr">
        <is>
          <t>Icy</t>
        </is>
      </c>
      <c r="R285" s="38" t="inlineStr">
        <is>
          <t>merchant_package confirmed；来源=Freiya's Package；攻击2格；仅保留来源商人/训练师关系。</t>
        </is>
      </c>
      <c r="S285" s="38" t="n">
        <v>4</v>
      </c>
      <c r="T285" s="38" t="n">
        <v>2</v>
      </c>
      <c r="U285" s="442" t="inlineStr">
        <is>
          <t>skill_vanguard,skill_flank,skill_pierce,skill_revolve,skill_chase,skill_break,skill_suppress,skill_finale</t>
        </is>
      </c>
      <c r="V285" s="442" t="inlineStr">
        <is>
          <t>trait_element_affinity</t>
        </is>
      </c>
      <c r="W285" s="457">
        <f>XLOOKUP($D285&amp;"|"&amp;$E285&amp;"|"&amp;$F285,'PET_STAT_RULES'!$A$5:$A$88,'PET_STAT_RULES'!$E$5:$E$88)</f>
        <v/>
      </c>
      <c r="X285" s="385" t="str"/>
      <c r="Y285" s="386" t="inlineStr">
        <is>
          <t>reserved</t>
        </is>
      </c>
      <c r="Z285" s="386" t="str"/>
      <c r="AA285" s="386" t="str"/>
    </row>
    <row r="286">
      <c r="A286" s="38" t="inlineStr">
        <is>
          <t>pal_285</t>
        </is>
      </c>
      <c r="B286" s="38" t="inlineStr">
        <is>
          <t>芙蕾中兽</t>
        </is>
      </c>
      <c r="C286" s="38" t="inlineStr">
        <is>
          <t>冰</t>
        </is>
      </c>
      <c r="D286" s="262" t="inlineStr">
        <is>
          <t>黄金</t>
        </is>
      </c>
      <c r="E286" s="38" t="inlineStr">
        <is>
          <t>控制</t>
        </is>
      </c>
      <c r="F286" s="38" t="inlineStr">
        <is>
          <t>两格</t>
        </is>
      </c>
      <c r="G286" s="38" t="inlineStr">
        <is>
          <t>bz_van_285</t>
        </is>
      </c>
      <c r="H286" s="38" t="inlineStr">
        <is>
          <t>role_坦克, role_风系牵制</t>
        </is>
      </c>
      <c r="I286" s="38" t="n">
        <v>2</v>
      </c>
      <c r="J286" s="456">
        <f>XLOOKUP($D286&amp;"|"&amp;$E286&amp;"|"&amp;$F286,'PET_STAT_RULES'!$A$5:$A$88,'PET_STAT_RULES'!$C$5:$C$88)</f>
        <v/>
      </c>
      <c r="K286" s="456">
        <f>XLOOKUP($D286&amp;"|"&amp;$E286&amp;"|"&amp;$F286,'PET_STAT_RULES'!$A$5:$A$88,'PET_STAT_RULES'!$D$5:$D$88)</f>
        <v/>
      </c>
      <c r="L286" s="456">
        <f>XLOOKUP($D286&amp;"|"&amp;$E286&amp;"|"&amp;$F286,'PET_STAT_RULES'!$A$5:$A$88,'PET_STAT_RULES'!$F$5:$F$88)</f>
        <v/>
      </c>
      <c r="M286" s="456">
        <f>XLOOKUP($D286&amp;"|"&amp;$E286&amp;"|"&amp;$F286,'PET_STAT_RULES'!$A$5:$A$88,'PET_STAT_RULES'!$G$5:$G$88)</f>
        <v/>
      </c>
      <c r="N286" s="38" t="n">
        <v>2</v>
      </c>
      <c r="O286" s="38" t="inlineStr">
        <is>
          <t>mech_counter_damage</t>
        </is>
      </c>
      <c r="P286" s="38" t="inlineStr">
        <is>
          <t>11 形状11</t>
        </is>
      </c>
      <c r="Q286" s="38" t="inlineStr">
        <is>
          <t>Icy</t>
        </is>
      </c>
      <c r="R286" s="38" t="inlineStr">
        <is>
          <t>merchant_package confirmed；来源=Freiya's Package；攻击2格；仅保留来源商人/训练师关系。</t>
        </is>
      </c>
      <c r="S286" s="38" t="n">
        <v>4</v>
      </c>
      <c r="T286" s="38" t="n">
        <v>2</v>
      </c>
      <c r="U286" s="442" t="inlineStr">
        <is>
          <t>skill_vanguard,skill_flank,skill_pierce,skill_revolve,skill_chase,skill_break,skill_suppress,skill_finale</t>
        </is>
      </c>
      <c r="V286" s="442" t="inlineStr">
        <is>
          <t>trait_element_affinity</t>
        </is>
      </c>
      <c r="W286" s="457">
        <f>XLOOKUP($D286&amp;"|"&amp;$E286&amp;"|"&amp;$F286,'PET_STAT_RULES'!$A$5:$A$88,'PET_STAT_RULES'!$E$5:$E$88)</f>
        <v/>
      </c>
      <c r="X286" s="385" t="str"/>
      <c r="Y286" s="386" t="inlineStr">
        <is>
          <t>reserved</t>
        </is>
      </c>
      <c r="Z286" s="386" t="str"/>
      <c r="AA286" s="386" t="str"/>
    </row>
    <row r="287">
      <c r="A287" s="38" t="inlineStr">
        <is>
          <t>pal_286</t>
        </is>
      </c>
      <c r="B287" s="38" t="inlineStr">
        <is>
          <t>赫夫小兽</t>
        </is>
      </c>
      <c r="C287" s="38" t="inlineStr">
        <is>
          <t>火</t>
        </is>
      </c>
      <c r="D287" s="262" t="inlineStr">
        <is>
          <t>黄金</t>
        </is>
      </c>
      <c r="E287" s="38" t="inlineStr">
        <is>
          <t>经济</t>
        </is>
      </c>
      <c r="F287" s="38" t="inlineStr">
        <is>
          <t>一格</t>
        </is>
      </c>
      <c r="G287" s="38" t="inlineStr">
        <is>
          <t>bz_van_286</t>
        </is>
      </c>
      <c r="H287" s="38" t="inlineStr">
        <is>
          <t>role_坦克, tier_pT2</t>
        </is>
      </c>
      <c r="I287" s="38" t="n">
        <v>2</v>
      </c>
      <c r="J287" s="456">
        <f>XLOOKUP($D287&amp;"|"&amp;$E287&amp;"|"&amp;$F287,'PET_STAT_RULES'!$A$5:$A$88,'PET_STAT_RULES'!$C$5:$C$88)</f>
        <v/>
      </c>
      <c r="K287" s="456">
        <f>XLOOKUP($D287&amp;"|"&amp;$E287&amp;"|"&amp;$F287,'PET_STAT_RULES'!$A$5:$A$88,'PET_STAT_RULES'!$D$5:$D$88)</f>
        <v/>
      </c>
      <c r="L287" s="456">
        <f>XLOOKUP($D287&amp;"|"&amp;$E287&amp;"|"&amp;$F287,'PET_STAT_RULES'!$A$5:$A$88,'PET_STAT_RULES'!$F$5:$F$88)</f>
        <v/>
      </c>
      <c r="M287" s="456">
        <f>XLOOKUP($D287&amp;"|"&amp;$E287&amp;"|"&amp;$F287,'PET_STAT_RULES'!$A$5:$A$88,'PET_STAT_RULES'!$G$5:$G$88)</f>
        <v/>
      </c>
      <c r="N287" s="38" t="n">
        <v>3</v>
      </c>
      <c r="O287" s="38" t="inlineStr">
        <is>
          <t>mech_fire_ignite_bonus</t>
        </is>
      </c>
      <c r="P287" s="38" t="inlineStr">
        <is>
          <t>13 形状13</t>
        </is>
      </c>
      <c r="Q287" s="38" t="inlineStr">
        <is>
          <t>Fiery</t>
        </is>
      </c>
      <c r="R287" s="38" t="inlineStr">
        <is>
          <t>merchant_package confirmed；来源=Hef's Package；攻击3格；仅保留来源商人/训练师关系。</t>
        </is>
      </c>
      <c r="S287" s="38" t="n">
        <v>3</v>
      </c>
      <c r="T287" s="38" t="n">
        <v>2</v>
      </c>
      <c r="U287" s="442" t="inlineStr">
        <is>
          <t>skill_vanguard,skill_flank,skill_pierce,skill_revolve,skill_chase,skill_break,skill_suppress,skill_finale</t>
        </is>
      </c>
      <c r="V287" s="442" t="inlineStr">
        <is>
          <t>trait_combo_resonance</t>
        </is>
      </c>
      <c r="W287" s="457">
        <f>XLOOKUP($D287&amp;"|"&amp;$E287&amp;"|"&amp;$F287,'PET_STAT_RULES'!$A$5:$A$88,'PET_STAT_RULES'!$E$5:$E$88)</f>
        <v/>
      </c>
      <c r="X287" s="385" t="str"/>
      <c r="Y287" s="386" t="inlineStr">
        <is>
          <t>reserved</t>
        </is>
      </c>
      <c r="Z287" s="386" t="str"/>
      <c r="AA287" s="386" t="str"/>
    </row>
    <row r="288">
      <c r="A288" s="38" t="inlineStr">
        <is>
          <t>pal_287</t>
        </is>
      </c>
      <c r="B288" s="38" t="inlineStr">
        <is>
          <t>赫夫中兽</t>
        </is>
      </c>
      <c r="C288" s="38" t="inlineStr">
        <is>
          <t>火</t>
        </is>
      </c>
      <c r="D288" s="262" t="inlineStr">
        <is>
          <t>黄金</t>
        </is>
      </c>
      <c r="E288" s="38" t="inlineStr">
        <is>
          <t>经济</t>
        </is>
      </c>
      <c r="F288" s="38" t="inlineStr">
        <is>
          <t>两格</t>
        </is>
      </c>
      <c r="G288" s="38" t="inlineStr">
        <is>
          <t>bz_van_287</t>
        </is>
      </c>
      <c r="H288" s="38" t="inlineStr">
        <is>
          <t>role_坦克, tier_pT2</t>
        </is>
      </c>
      <c r="I288" s="38" t="n">
        <v>2</v>
      </c>
      <c r="J288" s="456">
        <f>XLOOKUP($D288&amp;"|"&amp;$E288&amp;"|"&amp;$F288,'PET_STAT_RULES'!$A$5:$A$88,'PET_STAT_RULES'!$C$5:$C$88)</f>
        <v/>
      </c>
      <c r="K288" s="456">
        <f>XLOOKUP($D288&amp;"|"&amp;$E288&amp;"|"&amp;$F288,'PET_STAT_RULES'!$A$5:$A$88,'PET_STAT_RULES'!$D$5:$D$88)</f>
        <v/>
      </c>
      <c r="L288" s="456">
        <f>XLOOKUP($D288&amp;"|"&amp;$E288&amp;"|"&amp;$F288,'PET_STAT_RULES'!$A$5:$A$88,'PET_STAT_RULES'!$F$5:$F$88)</f>
        <v/>
      </c>
      <c r="M288" s="456">
        <f>XLOOKUP($D288&amp;"|"&amp;$E288&amp;"|"&amp;$F288,'PET_STAT_RULES'!$A$5:$A$88,'PET_STAT_RULES'!$G$5:$G$88)</f>
        <v/>
      </c>
      <c r="N288" s="38" t="n">
        <v>2</v>
      </c>
      <c r="O288" s="38" t="inlineStr">
        <is>
          <t>mech_fire_ignite_bonus</t>
        </is>
      </c>
      <c r="P288" s="38" t="inlineStr">
        <is>
          <t>12 形状12</t>
        </is>
      </c>
      <c r="Q288" s="38" t="inlineStr">
        <is>
          <t>Fiery</t>
        </is>
      </c>
      <c r="R288" s="38" t="inlineStr">
        <is>
          <t>merchant_package confirmed；来源=Hef's Package；攻击2格；仅保留来源商人/训练师关系。</t>
        </is>
      </c>
      <c r="S288" s="38" t="n">
        <v>3</v>
      </c>
      <c r="T288" s="38" t="n">
        <v>2</v>
      </c>
      <c r="U288" s="442" t="inlineStr">
        <is>
          <t>skill_vanguard,skill_flank,skill_pierce,skill_revolve,skill_chase,skill_break,skill_suppress,skill_finale</t>
        </is>
      </c>
      <c r="V288" s="442" t="inlineStr">
        <is>
          <t>trait_combo_resonance</t>
        </is>
      </c>
      <c r="W288" s="457">
        <f>XLOOKUP($D288&amp;"|"&amp;$E288&amp;"|"&amp;$F288,'PET_STAT_RULES'!$A$5:$A$88,'PET_STAT_RULES'!$E$5:$E$88)</f>
        <v/>
      </c>
      <c r="X288" s="385" t="str"/>
      <c r="Y288" s="386" t="inlineStr">
        <is>
          <t>reserved</t>
        </is>
      </c>
      <c r="Z288" s="386" t="str"/>
      <c r="AA288" s="386" t="str"/>
    </row>
    <row r="289">
      <c r="A289" s="38" t="inlineStr">
        <is>
          <t>pal_288</t>
        </is>
      </c>
      <c r="B289" s="38" t="inlineStr">
        <is>
          <t>赫夫大兽</t>
        </is>
      </c>
      <c r="C289" s="38" t="inlineStr">
        <is>
          <t>火</t>
        </is>
      </c>
      <c r="D289" s="265" t="inlineStr">
        <is>
          <t>白银</t>
        </is>
      </c>
      <c r="E289" s="38" t="inlineStr">
        <is>
          <t>经济</t>
        </is>
      </c>
      <c r="F289" s="38" t="inlineStr">
        <is>
          <t>三格</t>
        </is>
      </c>
      <c r="G289" s="38" t="inlineStr">
        <is>
          <t>bz_van_288</t>
        </is>
      </c>
      <c r="H289" s="38" t="inlineStr">
        <is>
          <t>role_经济, tier_pT2</t>
        </is>
      </c>
      <c r="I289" s="38" t="n">
        <v>2</v>
      </c>
      <c r="J289" s="456">
        <f>XLOOKUP($D289&amp;"|"&amp;$E289&amp;"|"&amp;$F289,'PET_STAT_RULES'!$A$5:$A$88,'PET_STAT_RULES'!$C$5:$C$88)</f>
        <v/>
      </c>
      <c r="K289" s="456">
        <f>XLOOKUP($D289&amp;"|"&amp;$E289&amp;"|"&amp;$F289,'PET_STAT_RULES'!$A$5:$A$88,'PET_STAT_RULES'!$D$5:$D$88)</f>
        <v/>
      </c>
      <c r="L289" s="456">
        <f>XLOOKUP($D289&amp;"|"&amp;$E289&amp;"|"&amp;$F289,'PET_STAT_RULES'!$A$5:$A$88,'PET_STAT_RULES'!$F$5:$F$88)</f>
        <v/>
      </c>
      <c r="M289" s="456">
        <f>XLOOKUP($D289&amp;"|"&amp;$E289&amp;"|"&amp;$F289,'PET_STAT_RULES'!$A$5:$A$88,'PET_STAT_RULES'!$G$5:$G$88)</f>
        <v/>
      </c>
      <c r="N289" s="38" t="n">
        <v>2</v>
      </c>
      <c r="O289" s="38" t="inlineStr">
        <is>
          <t>mech_fire_ignite_bonus</t>
        </is>
      </c>
      <c r="P289" s="38" t="inlineStr">
        <is>
          <t>10 形状10</t>
        </is>
      </c>
      <c r="Q289" s="38" t="inlineStr">
        <is>
          <t>Fiery</t>
        </is>
      </c>
      <c r="R289" s="38" t="inlineStr">
        <is>
          <t>merchant_package confirmed；来源=Hef's Package；攻击2格；仅保留来源商人/训练师关系。</t>
        </is>
      </c>
      <c r="S289" s="38" t="n">
        <v>2</v>
      </c>
      <c r="T289" s="38" t="n">
        <v>2</v>
      </c>
      <c r="U289" s="442" t="inlineStr">
        <is>
          <t>skill_vanguard,skill_flank,skill_pierce,skill_revolve,skill_chase,skill_break,skill_suppress,skill_finale</t>
        </is>
      </c>
      <c r="V289" s="442" t="inlineStr">
        <is>
          <t>trait_combo_resonance</t>
        </is>
      </c>
      <c r="W289" s="457">
        <f>XLOOKUP($D289&amp;"|"&amp;$E289&amp;"|"&amp;$F289,'PET_STAT_RULES'!$A$5:$A$88,'PET_STAT_RULES'!$E$5:$E$88)</f>
        <v/>
      </c>
      <c r="X289" s="385" t="str"/>
      <c r="Y289" s="386" t="inlineStr">
        <is>
          <t>reserved</t>
        </is>
      </c>
      <c r="Z289" s="386" t="str"/>
      <c r="AA289" s="386" t="str"/>
    </row>
    <row r="290">
      <c r="A290" s="38" t="inlineStr">
        <is>
          <t>pal_289</t>
        </is>
      </c>
      <c r="B290" s="38" t="inlineStr">
        <is>
          <t>夜爵大兽</t>
        </is>
      </c>
      <c r="C290" s="38" t="inlineStr">
        <is>
          <t>草</t>
        </is>
      </c>
      <c r="D290" s="265" t="inlineStr">
        <is>
          <t>白银</t>
        </is>
      </c>
      <c r="E290" s="38" t="inlineStr">
        <is>
          <t>控制</t>
        </is>
      </c>
      <c r="F290" s="38" t="inlineStr">
        <is>
          <t>三格</t>
        </is>
      </c>
      <c r="G290" s="38" t="inlineStr">
        <is>
          <t>bz_van_289</t>
        </is>
      </c>
      <c r="H290" s="38" t="inlineStr">
        <is>
          <t>role_经济, role_火系压制</t>
        </is>
      </c>
      <c r="I290" s="38" t="n">
        <v>2</v>
      </c>
      <c r="J290" s="456">
        <f>XLOOKUP($D290&amp;"|"&amp;$E290&amp;"|"&amp;$F290,'PET_STAT_RULES'!$A$5:$A$88,'PET_STAT_RULES'!$C$5:$C$88)</f>
        <v/>
      </c>
      <c r="K290" s="456">
        <f>XLOOKUP($D290&amp;"|"&amp;$E290&amp;"|"&amp;$F290,'PET_STAT_RULES'!$A$5:$A$88,'PET_STAT_RULES'!$D$5:$D$88)</f>
        <v/>
      </c>
      <c r="L290" s="456">
        <f>XLOOKUP($D290&amp;"|"&amp;$E290&amp;"|"&amp;$F290,'PET_STAT_RULES'!$A$5:$A$88,'PET_STAT_RULES'!$F$5:$F$88)</f>
        <v/>
      </c>
      <c r="M290" s="456">
        <f>XLOOKUP($D290&amp;"|"&amp;$E290&amp;"|"&amp;$F290,'PET_STAT_RULES'!$A$5:$A$88,'PET_STAT_RULES'!$G$5:$G$88)</f>
        <v/>
      </c>
      <c r="N290" s="38" t="n">
        <v>2</v>
      </c>
      <c r="O290" s="38" t="inlineStr">
        <is>
          <t>mech_counter_damage</t>
        </is>
      </c>
      <c r="P290" s="38" t="inlineStr">
        <is>
          <t>10 形状10</t>
        </is>
      </c>
      <c r="Q290" s="38" t="inlineStr">
        <is>
          <t>Toxic</t>
        </is>
      </c>
      <c r="R290" s="38" t="inlineStr">
        <is>
          <t>merchant_package confirmed；来源=Knightshade's Package；攻击2格；仅保留来源商人/训练师关系。</t>
        </is>
      </c>
      <c r="S290" s="38" t="n">
        <v>4</v>
      </c>
      <c r="T290" s="38" t="n">
        <v>2</v>
      </c>
      <c r="U290" s="442" t="inlineStr">
        <is>
          <t>skill_vanguard,skill_flank,skill_pierce,skill_revolve,skill_chase,skill_break,skill_suppress,skill_finale</t>
        </is>
      </c>
      <c r="V290" s="442" t="inlineStr">
        <is>
          <t>trait_element_affinity</t>
        </is>
      </c>
      <c r="W290" s="457">
        <f>XLOOKUP($D290&amp;"|"&amp;$E290&amp;"|"&amp;$F290,'PET_STAT_RULES'!$A$5:$A$88,'PET_STAT_RULES'!$E$5:$E$88)</f>
        <v/>
      </c>
      <c r="X290" s="385" t="str"/>
      <c r="Y290" s="386" t="inlineStr">
        <is>
          <t>reserved</t>
        </is>
      </c>
      <c r="Z290" s="386" t="str"/>
      <c r="AA290" s="386" t="str"/>
    </row>
    <row r="291">
      <c r="A291" s="38" t="inlineStr">
        <is>
          <t>pal_290</t>
        </is>
      </c>
      <c r="B291" s="38" t="inlineStr">
        <is>
          <t>夜爵小兽</t>
        </is>
      </c>
      <c r="C291" s="38" t="inlineStr">
        <is>
          <t>草</t>
        </is>
      </c>
      <c r="D291" s="262" t="inlineStr">
        <is>
          <t>黄金</t>
        </is>
      </c>
      <c r="E291" s="38" t="inlineStr">
        <is>
          <t>控制</t>
        </is>
      </c>
      <c r="F291" s="38" t="inlineStr">
        <is>
          <t>一格</t>
        </is>
      </c>
      <c r="G291" s="38" t="inlineStr">
        <is>
          <t>bz_van_290</t>
        </is>
      </c>
      <c r="H291" s="38" t="inlineStr">
        <is>
          <t>role_坦克, role_火系压制</t>
        </is>
      </c>
      <c r="I291" s="38" t="n">
        <v>2</v>
      </c>
      <c r="J291" s="456">
        <f>XLOOKUP($D291&amp;"|"&amp;$E291&amp;"|"&amp;$F291,'PET_STAT_RULES'!$A$5:$A$88,'PET_STAT_RULES'!$C$5:$C$88)</f>
        <v/>
      </c>
      <c r="K291" s="456">
        <f>XLOOKUP($D291&amp;"|"&amp;$E291&amp;"|"&amp;$F291,'PET_STAT_RULES'!$A$5:$A$88,'PET_STAT_RULES'!$D$5:$D$88)</f>
        <v/>
      </c>
      <c r="L291" s="456">
        <f>XLOOKUP($D291&amp;"|"&amp;$E291&amp;"|"&amp;$F291,'PET_STAT_RULES'!$A$5:$A$88,'PET_STAT_RULES'!$F$5:$F$88)</f>
        <v/>
      </c>
      <c r="M291" s="456">
        <f>XLOOKUP($D291&amp;"|"&amp;$E291&amp;"|"&amp;$F291,'PET_STAT_RULES'!$A$5:$A$88,'PET_STAT_RULES'!$G$5:$G$88)</f>
        <v/>
      </c>
      <c r="N291" s="38" t="n">
        <v>3</v>
      </c>
      <c r="O291" s="38" t="inlineStr">
        <is>
          <t>mech_counter_damage</t>
        </is>
      </c>
      <c r="P291" s="38" t="inlineStr">
        <is>
          <t>15 形状15</t>
        </is>
      </c>
      <c r="Q291" s="38" t="inlineStr">
        <is>
          <t>Toxic</t>
        </is>
      </c>
      <c r="R291" s="38" t="inlineStr">
        <is>
          <t>merchant_package confirmed；来源=Knightshade's Package；攻击3格；仅保留来源商人/训练师关系。</t>
        </is>
      </c>
      <c r="S291" s="38" t="n">
        <v>4</v>
      </c>
      <c r="T291" s="38" t="n">
        <v>2</v>
      </c>
      <c r="U291" s="442" t="inlineStr">
        <is>
          <t>skill_vanguard,skill_flank,skill_pierce,skill_revolve,skill_chase,skill_break,skill_suppress,skill_finale</t>
        </is>
      </c>
      <c r="V291" s="442" t="inlineStr">
        <is>
          <t>trait_element_affinity</t>
        </is>
      </c>
      <c r="W291" s="457">
        <f>XLOOKUP($D291&amp;"|"&amp;$E291&amp;"|"&amp;$F291,'PET_STAT_RULES'!$A$5:$A$88,'PET_STAT_RULES'!$E$5:$E$88)</f>
        <v/>
      </c>
      <c r="X291" s="385" t="str"/>
      <c r="Y291" s="386" t="inlineStr">
        <is>
          <t>reserved</t>
        </is>
      </c>
      <c r="Z291" s="386" t="str"/>
      <c r="AA291" s="386" t="str"/>
    </row>
    <row r="292">
      <c r="A292" s="38" t="inlineStr">
        <is>
          <t>pal_291</t>
        </is>
      </c>
      <c r="B292" s="38" t="inlineStr">
        <is>
          <t>夜爵中兽</t>
        </is>
      </c>
      <c r="C292" s="38" t="inlineStr">
        <is>
          <t>草</t>
        </is>
      </c>
      <c r="D292" s="262" t="inlineStr">
        <is>
          <t>黄金</t>
        </is>
      </c>
      <c r="E292" s="38" t="inlineStr">
        <is>
          <t>控制</t>
        </is>
      </c>
      <c r="F292" s="38" t="inlineStr">
        <is>
          <t>两格</t>
        </is>
      </c>
      <c r="G292" s="38" t="inlineStr">
        <is>
          <t>bz_van_291</t>
        </is>
      </c>
      <c r="H292" s="38" t="inlineStr">
        <is>
          <t>role_坦克, role_火系压制</t>
        </is>
      </c>
      <c r="I292" s="38" t="n">
        <v>2</v>
      </c>
      <c r="J292" s="456">
        <f>XLOOKUP($D292&amp;"|"&amp;$E292&amp;"|"&amp;$F292,'PET_STAT_RULES'!$A$5:$A$88,'PET_STAT_RULES'!$C$5:$C$88)</f>
        <v/>
      </c>
      <c r="K292" s="456">
        <f>XLOOKUP($D292&amp;"|"&amp;$E292&amp;"|"&amp;$F292,'PET_STAT_RULES'!$A$5:$A$88,'PET_STAT_RULES'!$D$5:$D$88)</f>
        <v/>
      </c>
      <c r="L292" s="456">
        <f>XLOOKUP($D292&amp;"|"&amp;$E292&amp;"|"&amp;$F292,'PET_STAT_RULES'!$A$5:$A$88,'PET_STAT_RULES'!$F$5:$F$88)</f>
        <v/>
      </c>
      <c r="M292" s="456">
        <f>XLOOKUP($D292&amp;"|"&amp;$E292&amp;"|"&amp;$F292,'PET_STAT_RULES'!$A$5:$A$88,'PET_STAT_RULES'!$G$5:$G$88)</f>
        <v/>
      </c>
      <c r="N292" s="38" t="n">
        <v>2</v>
      </c>
      <c r="O292" s="38" t="inlineStr">
        <is>
          <t>mech_counter_damage</t>
        </is>
      </c>
      <c r="P292" s="38" t="inlineStr">
        <is>
          <t>06 形状06</t>
        </is>
      </c>
      <c r="Q292" s="38" t="inlineStr">
        <is>
          <t>Toxic</t>
        </is>
      </c>
      <c r="R292" s="38" t="inlineStr">
        <is>
          <t>merchant_package confirmed；来源=Knightshade's Package；攻击2格；仅保留来源商人/训练师关系。</t>
        </is>
      </c>
      <c r="S292" s="38" t="n">
        <v>4</v>
      </c>
      <c r="T292" s="38" t="n">
        <v>2</v>
      </c>
      <c r="U292" s="442" t="inlineStr">
        <is>
          <t>skill_vanguard,skill_flank,skill_pierce,skill_revolve,skill_chase,skill_break,skill_suppress,skill_finale</t>
        </is>
      </c>
      <c r="V292" s="442" t="inlineStr">
        <is>
          <t>trait_element_affinity</t>
        </is>
      </c>
      <c r="W292" s="457">
        <f>XLOOKUP($D292&amp;"|"&amp;$E292&amp;"|"&amp;$F292,'PET_STAT_RULES'!$A$5:$A$88,'PET_STAT_RULES'!$E$5:$E$88)</f>
        <v/>
      </c>
      <c r="X292" s="385" t="str"/>
      <c r="Y292" s="386" t="inlineStr">
        <is>
          <t>reserved</t>
        </is>
      </c>
      <c r="Z292" s="386" t="str"/>
      <c r="AA292" s="386" t="str"/>
    </row>
    <row r="293">
      <c r="A293" s="38" t="inlineStr">
        <is>
          <t>pal_292</t>
        </is>
      </c>
      <c r="B293" s="38" t="inlineStr">
        <is>
          <t>瑟菲小兽</t>
        </is>
      </c>
      <c r="C293" s="38" t="inlineStr">
        <is>
          <t>雷</t>
        </is>
      </c>
      <c r="D293" s="262" t="inlineStr">
        <is>
          <t>黄金</t>
        </is>
      </c>
      <c r="E293" s="38" t="inlineStr">
        <is>
          <t>经济</t>
        </is>
      </c>
      <c r="F293" s="38" t="inlineStr">
        <is>
          <t>一格</t>
        </is>
      </c>
      <c r="G293" s="38" t="inlineStr">
        <is>
          <t>bz_van_292</t>
        </is>
      </c>
      <c r="H293" s="38" t="inlineStr">
        <is>
          <t>role_坦克, role_治疗</t>
        </is>
      </c>
      <c r="I293" s="38" t="n">
        <v>2</v>
      </c>
      <c r="J293" s="456">
        <f>XLOOKUP($D293&amp;"|"&amp;$E293&amp;"|"&amp;$F293,'PET_STAT_RULES'!$A$5:$A$88,'PET_STAT_RULES'!$C$5:$C$88)</f>
        <v/>
      </c>
      <c r="K293" s="456">
        <f>XLOOKUP($D293&amp;"|"&amp;$E293&amp;"|"&amp;$F293,'PET_STAT_RULES'!$A$5:$A$88,'PET_STAT_RULES'!$D$5:$D$88)</f>
        <v/>
      </c>
      <c r="L293" s="456">
        <f>XLOOKUP($D293&amp;"|"&amp;$E293&amp;"|"&amp;$F293,'PET_STAT_RULES'!$A$5:$A$88,'PET_STAT_RULES'!$F$5:$F$88)</f>
        <v/>
      </c>
      <c r="M293" s="456">
        <f>XLOOKUP($D293&amp;"|"&amp;$E293&amp;"|"&amp;$F293,'PET_STAT_RULES'!$A$5:$A$88,'PET_STAT_RULES'!$G$5:$G$88)</f>
        <v/>
      </c>
      <c r="N293" s="38" t="n">
        <v>3</v>
      </c>
      <c r="O293" s="38" t="inlineStr">
        <is>
          <t>none</t>
        </is>
      </c>
      <c r="P293" s="38" t="inlineStr">
        <is>
          <t>14 形状14</t>
        </is>
      </c>
      <c r="Q293" s="38" t="inlineStr">
        <is>
          <t>Golden</t>
        </is>
      </c>
      <c r="R293" s="38" t="inlineStr">
        <is>
          <t>merchant_package confirmed；来源=Serafina's Package；攻击3格；仅保留来源商人/训练师关系。</t>
        </is>
      </c>
      <c r="S293" s="38" t="n">
        <v>3</v>
      </c>
      <c r="T293" s="38" t="n">
        <v>2</v>
      </c>
      <c r="U293" s="442" t="inlineStr">
        <is>
          <t>skill_vanguard,skill_flank,skill_pierce,skill_revolve,skill_chase,skill_break,skill_suppress,skill_finale</t>
        </is>
      </c>
      <c r="V293" s="442" t="inlineStr">
        <is>
          <t>trait_combo_resonance</t>
        </is>
      </c>
      <c r="W293" s="457">
        <f>XLOOKUP($D293&amp;"|"&amp;$E293&amp;"|"&amp;$F293,'PET_STAT_RULES'!$A$5:$A$88,'PET_STAT_RULES'!$E$5:$E$88)</f>
        <v/>
      </c>
      <c r="X293" s="385" t="str"/>
      <c r="Y293" s="386" t="inlineStr">
        <is>
          <t>reserved</t>
        </is>
      </c>
      <c r="Z293" s="386" t="str"/>
      <c r="AA293" s="386" t="str"/>
    </row>
    <row r="294">
      <c r="A294" s="38" t="inlineStr">
        <is>
          <t>pal_293</t>
        </is>
      </c>
      <c r="B294" s="38" t="inlineStr">
        <is>
          <t>瑟菲大兽</t>
        </is>
      </c>
      <c r="C294" s="38" t="inlineStr">
        <is>
          <t>地</t>
        </is>
      </c>
      <c r="D294" s="265" t="inlineStr">
        <is>
          <t>白银</t>
        </is>
      </c>
      <c r="E294" s="38" t="inlineStr">
        <is>
          <t>经济</t>
        </is>
      </c>
      <c r="F294" s="38" t="inlineStr">
        <is>
          <t>三格</t>
        </is>
      </c>
      <c r="G294" s="38" t="inlineStr">
        <is>
          <t>bz_van_293</t>
        </is>
      </c>
      <c r="H294" s="38" t="inlineStr">
        <is>
          <t>role_治疗, role_经济</t>
        </is>
      </c>
      <c r="I294" s="38" t="n">
        <v>2</v>
      </c>
      <c r="J294" s="456">
        <f>XLOOKUP($D294&amp;"|"&amp;$E294&amp;"|"&amp;$F294,'PET_STAT_RULES'!$A$5:$A$88,'PET_STAT_RULES'!$C$5:$C$88)</f>
        <v/>
      </c>
      <c r="K294" s="456">
        <f>XLOOKUP($D294&amp;"|"&amp;$E294&amp;"|"&amp;$F294,'PET_STAT_RULES'!$A$5:$A$88,'PET_STAT_RULES'!$D$5:$D$88)</f>
        <v/>
      </c>
      <c r="L294" s="456">
        <f>XLOOKUP($D294&amp;"|"&amp;$E294&amp;"|"&amp;$F294,'PET_STAT_RULES'!$A$5:$A$88,'PET_STAT_RULES'!$F$5:$F$88)</f>
        <v/>
      </c>
      <c r="M294" s="456">
        <f>XLOOKUP($D294&amp;"|"&amp;$E294&amp;"|"&amp;$F294,'PET_STAT_RULES'!$A$5:$A$88,'PET_STAT_RULES'!$G$5:$G$88)</f>
        <v/>
      </c>
      <c r="N294" s="38" t="n">
        <v>2</v>
      </c>
      <c r="O294" s="38" t="inlineStr">
        <is>
          <t>none</t>
        </is>
      </c>
      <c r="P294" s="38" t="inlineStr">
        <is>
          <t>05 形状05</t>
        </is>
      </c>
      <c r="Q294" s="38" t="inlineStr">
        <is>
          <t>Golden</t>
        </is>
      </c>
      <c r="R294" s="38" t="inlineStr">
        <is>
          <t>merchant_package confirmed；来源=Serafina's Package；攻击2格；仅保留来源商人/训练师关系。</t>
        </is>
      </c>
      <c r="S294" s="38" t="n">
        <v>2</v>
      </c>
      <c r="T294" s="38" t="n">
        <v>2</v>
      </c>
      <c r="U294" s="442" t="inlineStr">
        <is>
          <t>skill_vanguard,skill_flank,skill_pierce,skill_revolve,skill_chase,skill_break,skill_suppress,skill_finale</t>
        </is>
      </c>
      <c r="V294" s="442" t="inlineStr">
        <is>
          <t>trait_combo_resonance</t>
        </is>
      </c>
      <c r="W294" s="457">
        <f>XLOOKUP($D294&amp;"|"&amp;$E294&amp;"|"&amp;$F294,'PET_STAT_RULES'!$A$5:$A$88,'PET_STAT_RULES'!$E$5:$E$88)</f>
        <v/>
      </c>
      <c r="X294" s="385" t="str"/>
      <c r="Y294" s="386" t="inlineStr">
        <is>
          <t>reserved</t>
        </is>
      </c>
      <c r="Z294" s="386" t="str"/>
      <c r="AA294" s="386" t="str"/>
    </row>
    <row r="295">
      <c r="A295" s="38" t="inlineStr">
        <is>
          <t>pal_294</t>
        </is>
      </c>
      <c r="B295" s="38" t="inlineStr">
        <is>
          <t>瑟菲中兽</t>
        </is>
      </c>
      <c r="C295" s="38" t="inlineStr">
        <is>
          <t>无</t>
        </is>
      </c>
      <c r="D295" s="262" t="inlineStr">
        <is>
          <t>黄金</t>
        </is>
      </c>
      <c r="E295" s="38" t="inlineStr">
        <is>
          <t>经济</t>
        </is>
      </c>
      <c r="F295" s="38" t="inlineStr">
        <is>
          <t>两格</t>
        </is>
      </c>
      <c r="G295" s="38" t="inlineStr">
        <is>
          <t>bz_van_294</t>
        </is>
      </c>
      <c r="H295" s="38" t="inlineStr">
        <is>
          <t>role_坦克, role_治疗</t>
        </is>
      </c>
      <c r="I295" s="38" t="n">
        <v>2</v>
      </c>
      <c r="J295" s="456">
        <f>XLOOKUP($D295&amp;"|"&amp;$E295&amp;"|"&amp;$F295,'PET_STAT_RULES'!$A$5:$A$88,'PET_STAT_RULES'!$C$5:$C$88)</f>
        <v/>
      </c>
      <c r="K295" s="456">
        <f>XLOOKUP($D295&amp;"|"&amp;$E295&amp;"|"&amp;$F295,'PET_STAT_RULES'!$A$5:$A$88,'PET_STAT_RULES'!$D$5:$D$88)</f>
        <v/>
      </c>
      <c r="L295" s="456">
        <f>XLOOKUP($D295&amp;"|"&amp;$E295&amp;"|"&amp;$F295,'PET_STAT_RULES'!$A$5:$A$88,'PET_STAT_RULES'!$F$5:$F$88)</f>
        <v/>
      </c>
      <c r="M295" s="456">
        <f>XLOOKUP($D295&amp;"|"&amp;$E295&amp;"|"&amp;$F295,'PET_STAT_RULES'!$A$5:$A$88,'PET_STAT_RULES'!$G$5:$G$88)</f>
        <v/>
      </c>
      <c r="N295" s="38" t="n">
        <v>2</v>
      </c>
      <c r="O295" s="38" t="inlineStr">
        <is>
          <t>none</t>
        </is>
      </c>
      <c r="P295" s="38" t="inlineStr">
        <is>
          <t>09 形状09</t>
        </is>
      </c>
      <c r="Q295" s="38" t="inlineStr">
        <is>
          <t>Golden</t>
        </is>
      </c>
      <c r="R295" s="38" t="inlineStr">
        <is>
          <t>merchant_package confirmed；来源=Serafina's Package；攻击2格；仅保留来源商人/训练师关系。</t>
        </is>
      </c>
      <c r="S295" s="38" t="n">
        <v>3</v>
      </c>
      <c r="T295" s="38" t="n">
        <v>2</v>
      </c>
      <c r="U295" s="442" t="inlineStr">
        <is>
          <t>skill_vanguard,skill_flank,skill_pierce,skill_revolve,skill_chase,skill_break,skill_suppress,skill_finale</t>
        </is>
      </c>
      <c r="V295" s="442" t="inlineStr">
        <is>
          <t>trait_combo_resonance</t>
        </is>
      </c>
      <c r="W295" s="457">
        <f>XLOOKUP($D295&amp;"|"&amp;$E295&amp;"|"&amp;$F295,'PET_STAT_RULES'!$A$5:$A$88,'PET_STAT_RULES'!$E$5:$E$88)</f>
        <v/>
      </c>
      <c r="X295" s="385" t="str"/>
      <c r="Y295" s="386" t="inlineStr">
        <is>
          <t>reserved</t>
        </is>
      </c>
      <c r="Z295" s="386" t="str"/>
      <c r="AA295" s="386" t="str"/>
    </row>
    <row r="296">
      <c r="A296" s="38" t="inlineStr">
        <is>
          <t>pal_295</t>
        </is>
      </c>
      <c r="B296" s="38" t="inlineStr">
        <is>
          <t>凯夫中兽</t>
        </is>
      </c>
      <c r="C296" s="38" t="inlineStr">
        <is>
          <t>地</t>
        </is>
      </c>
      <c r="D296" s="259" t="inlineStr">
        <is>
          <t>青铜</t>
        </is>
      </c>
      <c r="E296" s="38" t="inlineStr">
        <is>
          <t>坦克</t>
        </is>
      </c>
      <c r="F296" s="38" t="inlineStr">
        <is>
          <t>两格</t>
        </is>
      </c>
      <c r="G296" s="38" t="inlineStr">
        <is>
          <t>bz_van_295</t>
        </is>
      </c>
      <c r="H296" s="38" t="inlineStr">
        <is>
          <t>elem_草, tier_pT3</t>
        </is>
      </c>
      <c r="I296" s="38" t="n">
        <v>2</v>
      </c>
      <c r="J296" s="456">
        <f>XLOOKUP($D296&amp;"|"&amp;$E296&amp;"|"&amp;$F296,'PET_STAT_RULES'!$A$5:$A$88,'PET_STAT_RULES'!$C$5:$C$88)</f>
        <v/>
      </c>
      <c r="K296" s="456">
        <f>XLOOKUP($D296&amp;"|"&amp;$E296&amp;"|"&amp;$F296,'PET_STAT_RULES'!$A$5:$A$88,'PET_STAT_RULES'!$D$5:$D$88)</f>
        <v/>
      </c>
      <c r="L296" s="456">
        <f>XLOOKUP($D296&amp;"|"&amp;$E296&amp;"|"&amp;$F296,'PET_STAT_RULES'!$A$5:$A$88,'PET_STAT_RULES'!$F$5:$F$88)</f>
        <v/>
      </c>
      <c r="M296" s="456">
        <f>XLOOKUP($D296&amp;"|"&amp;$E296&amp;"|"&amp;$F296,'PET_STAT_RULES'!$A$5:$A$88,'PET_STAT_RULES'!$G$5:$G$88)</f>
        <v/>
      </c>
      <c r="N296" s="38" t="n">
        <v>1</v>
      </c>
      <c r="O296" s="38" t="inlineStr">
        <is>
          <t>mech_armor_flat</t>
        </is>
      </c>
      <c r="P296" s="38" t="inlineStr">
        <is>
          <t>02 形状02</t>
        </is>
      </c>
      <c r="Q296" s="38" t="inlineStr">
        <is>
          <t>Shielded</t>
        </is>
      </c>
      <c r="R296" s="38" t="inlineStr">
        <is>
          <t>merchant_package confirmed；来源=凯夫军械库的包裹；攻击1格；仅保留来源商人/训练师关系。</t>
        </is>
      </c>
      <c r="S296" s="38" t="n">
        <v>3</v>
      </c>
      <c r="T296" s="38" t="n">
        <v>1</v>
      </c>
      <c r="U296" s="442" t="inlineStr">
        <is>
          <t>skill_vanguard,skill_flank,skill_pierce,skill_revolve,skill_chase,skill_break,skill_suppress,skill_finale</t>
        </is>
      </c>
      <c r="V296" s="442" t="inlineStr">
        <is>
          <t>trait_combo_mastery</t>
        </is>
      </c>
      <c r="W296" s="457">
        <f>XLOOKUP($D296&amp;"|"&amp;$E296&amp;"|"&amp;$F296,'PET_STAT_RULES'!$A$5:$A$88,'PET_STAT_RULES'!$E$5:$E$88)</f>
        <v/>
      </c>
      <c r="X296" s="385" t="str"/>
      <c r="Y296" s="386" t="inlineStr">
        <is>
          <t>reserved</t>
        </is>
      </c>
      <c r="Z296" s="386" t="str"/>
      <c r="AA296" s="386" t="str"/>
    </row>
    <row r="297">
      <c r="A297" s="38" t="inlineStr">
        <is>
          <t>pal_296</t>
        </is>
      </c>
      <c r="B297" s="38" t="inlineStr">
        <is>
          <t>凯夫小兽</t>
        </is>
      </c>
      <c r="C297" s="38" t="inlineStr">
        <is>
          <t>地</t>
        </is>
      </c>
      <c r="D297" s="259" t="inlineStr">
        <is>
          <t>青铜</t>
        </is>
      </c>
      <c r="E297" s="38" t="inlineStr">
        <is>
          <t>坦克</t>
        </is>
      </c>
      <c r="F297" s="38" t="inlineStr">
        <is>
          <t>一格</t>
        </is>
      </c>
      <c r="G297" s="38" t="inlineStr">
        <is>
          <t>bz_van_296</t>
        </is>
      </c>
      <c r="H297" s="38" t="inlineStr">
        <is>
          <t>elem_草, tier_pT3</t>
        </is>
      </c>
      <c r="I297" s="38" t="n">
        <v>2</v>
      </c>
      <c r="J297" s="456">
        <f>XLOOKUP($D297&amp;"|"&amp;$E297&amp;"|"&amp;$F297,'PET_STAT_RULES'!$A$5:$A$88,'PET_STAT_RULES'!$C$5:$C$88)</f>
        <v/>
      </c>
      <c r="K297" s="456">
        <f>XLOOKUP($D297&amp;"|"&amp;$E297&amp;"|"&amp;$F297,'PET_STAT_RULES'!$A$5:$A$88,'PET_STAT_RULES'!$D$5:$D$88)</f>
        <v/>
      </c>
      <c r="L297" s="456">
        <f>XLOOKUP($D297&amp;"|"&amp;$E297&amp;"|"&amp;$F297,'PET_STAT_RULES'!$A$5:$A$88,'PET_STAT_RULES'!$F$5:$F$88)</f>
        <v/>
      </c>
      <c r="M297" s="456">
        <f>XLOOKUP($D297&amp;"|"&amp;$E297&amp;"|"&amp;$F297,'PET_STAT_RULES'!$A$5:$A$88,'PET_STAT_RULES'!$G$5:$G$88)</f>
        <v/>
      </c>
      <c r="N297" s="38" t="n">
        <v>3</v>
      </c>
      <c r="O297" s="38" t="inlineStr">
        <is>
          <t>mech_shield_flat</t>
        </is>
      </c>
      <c r="P297" s="38" t="inlineStr">
        <is>
          <t>16 形状16</t>
        </is>
      </c>
      <c r="Q297" s="38" t="inlineStr">
        <is>
          <t>Shielded</t>
        </is>
      </c>
      <c r="R297" s="38" t="inlineStr">
        <is>
          <t>merchant_package confirmed；来源=凯夫军械库的包裹；攻击3格；仅保留来源商人/训练师关系。</t>
        </is>
      </c>
      <c r="S297" s="38" t="n">
        <v>3</v>
      </c>
      <c r="T297" s="38" t="n">
        <v>1</v>
      </c>
      <c r="U297" s="442" t="inlineStr">
        <is>
          <t>skill_vanguard,skill_flank,skill_pierce,skill_revolve,skill_chase,skill_break,skill_suppress,skill_finale</t>
        </is>
      </c>
      <c r="V297" s="442" t="inlineStr">
        <is>
          <t>trait_combo_mastery</t>
        </is>
      </c>
      <c r="W297" s="457">
        <f>XLOOKUP($D297&amp;"|"&amp;$E297&amp;"|"&amp;$F297,'PET_STAT_RULES'!$A$5:$A$88,'PET_STAT_RULES'!$E$5:$E$88)</f>
        <v/>
      </c>
      <c r="X297" s="385" t="str"/>
      <c r="Y297" s="386" t="inlineStr">
        <is>
          <t>reserved</t>
        </is>
      </c>
      <c r="Z297" s="386" t="str"/>
      <c r="AA297" s="386" t="str"/>
    </row>
    <row r="298">
      <c r="A298" s="38" t="inlineStr">
        <is>
          <t>pal_297</t>
        </is>
      </c>
      <c r="B298" s="38" t="inlineStr">
        <is>
          <t>加瑟中兽</t>
        </is>
      </c>
      <c r="C298" s="38" t="inlineStr">
        <is>
          <t>火</t>
        </is>
      </c>
      <c r="D298" s="265" t="inlineStr">
        <is>
          <t>白银</t>
        </is>
      </c>
      <c r="E298" s="38" t="inlineStr">
        <is>
          <t>输出</t>
        </is>
      </c>
      <c r="F298" s="38" t="inlineStr">
        <is>
          <t>两格</t>
        </is>
      </c>
      <c r="G298" s="38" t="inlineStr">
        <is>
          <t>bz_van_297</t>
        </is>
      </c>
      <c r="H298" s="38" t="inlineStr">
        <is>
          <t>role_经济, role_重甲抗压</t>
        </is>
      </c>
      <c r="I298" s="38" t="n">
        <v>2</v>
      </c>
      <c r="J298" s="456">
        <f>XLOOKUP($D298&amp;"|"&amp;$E298&amp;"|"&amp;$F298,'PET_STAT_RULES'!$A$5:$A$88,'PET_STAT_RULES'!$C$5:$C$88)</f>
        <v/>
      </c>
      <c r="K298" s="456">
        <f>XLOOKUP($D298&amp;"|"&amp;$E298&amp;"|"&amp;$F298,'PET_STAT_RULES'!$A$5:$A$88,'PET_STAT_RULES'!$D$5:$D$88)</f>
        <v/>
      </c>
      <c r="L298" s="456">
        <f>XLOOKUP($D298&amp;"|"&amp;$E298&amp;"|"&amp;$F298,'PET_STAT_RULES'!$A$5:$A$88,'PET_STAT_RULES'!$F$5:$F$88)</f>
        <v/>
      </c>
      <c r="M298" s="456">
        <f>XLOOKUP($D298&amp;"|"&amp;$E298&amp;"|"&amp;$F298,'PET_STAT_RULES'!$A$5:$A$88,'PET_STAT_RULES'!$G$5:$G$88)</f>
        <v/>
      </c>
      <c r="N298" s="38" t="n">
        <v>2</v>
      </c>
      <c r="O298" s="38" t="inlineStr">
        <is>
          <t>mech_grow_atk_each_round</t>
        </is>
      </c>
      <c r="P298" s="38" t="inlineStr">
        <is>
          <t>12 形状12</t>
        </is>
      </c>
      <c r="Q298" s="38" t="inlineStr">
        <is>
          <t>Heavy</t>
        </is>
      </c>
      <c r="R298" s="38" t="inlineStr">
        <is>
          <t>merchant_package confirmed；来源=加瑟欧的包裹；攻击2格；仅保留来源商人/训练师关系。</t>
        </is>
      </c>
      <c r="S298" s="38" t="n">
        <v>3</v>
      </c>
      <c r="T298" s="38" t="n">
        <v>2</v>
      </c>
      <c r="U298" s="442" t="inlineStr">
        <is>
          <t>skill_vanguard,skill_flank,skill_pierce,skill_revolve,skill_chase,skill_break,skill_suppress,skill_finale</t>
        </is>
      </c>
      <c r="V298" s="442" t="inlineStr">
        <is>
          <t>trait_relentless</t>
        </is>
      </c>
      <c r="W298" s="457">
        <f>XLOOKUP($D298&amp;"|"&amp;$E298&amp;"|"&amp;$F298,'PET_STAT_RULES'!$A$5:$A$88,'PET_STAT_RULES'!$E$5:$E$88)</f>
        <v/>
      </c>
      <c r="X298" s="385" t="str"/>
      <c r="Y298" s="386" t="inlineStr">
        <is>
          <t>reserved</t>
        </is>
      </c>
      <c r="Z298" s="386" t="str"/>
      <c r="AA298" s="386" t="str"/>
    </row>
    <row r="299">
      <c r="A299" s="38" t="inlineStr">
        <is>
          <t>pal_298</t>
        </is>
      </c>
      <c r="B299" s="38" t="inlineStr">
        <is>
          <t>加瑟大兽</t>
        </is>
      </c>
      <c r="C299" s="38" t="inlineStr">
        <is>
          <t>草</t>
        </is>
      </c>
      <c r="D299" s="265" t="inlineStr">
        <is>
          <t>白银</t>
        </is>
      </c>
      <c r="E299" s="38" t="inlineStr">
        <is>
          <t>经济</t>
        </is>
      </c>
      <c r="F299" s="38" t="inlineStr">
        <is>
          <t>三格</t>
        </is>
      </c>
      <c r="G299" s="38" t="inlineStr">
        <is>
          <t>bz_van_298</t>
        </is>
      </c>
      <c r="H299" s="38" t="inlineStr">
        <is>
          <t>role_经济, role_重甲抗压</t>
        </is>
      </c>
      <c r="I299" s="38" t="n">
        <v>2</v>
      </c>
      <c r="J299" s="456">
        <f>XLOOKUP($D299&amp;"|"&amp;$E299&amp;"|"&amp;$F299,'PET_STAT_RULES'!$A$5:$A$88,'PET_STAT_RULES'!$C$5:$C$88)</f>
        <v/>
      </c>
      <c r="K299" s="456">
        <f>XLOOKUP($D299&amp;"|"&amp;$E299&amp;"|"&amp;$F299,'PET_STAT_RULES'!$A$5:$A$88,'PET_STAT_RULES'!$D$5:$D$88)</f>
        <v/>
      </c>
      <c r="L299" s="456">
        <f>XLOOKUP($D299&amp;"|"&amp;$E299&amp;"|"&amp;$F299,'PET_STAT_RULES'!$A$5:$A$88,'PET_STAT_RULES'!$F$5:$F$88)</f>
        <v/>
      </c>
      <c r="M299" s="456">
        <f>XLOOKUP($D299&amp;"|"&amp;$E299&amp;"|"&amp;$F299,'PET_STAT_RULES'!$A$5:$A$88,'PET_STAT_RULES'!$G$5:$G$88)</f>
        <v/>
      </c>
      <c r="N299" s="38" t="n">
        <v>2</v>
      </c>
      <c r="O299" s="38" t="inlineStr">
        <is>
          <t>none</t>
        </is>
      </c>
      <c r="P299" s="38" t="inlineStr">
        <is>
          <t>08 形状08</t>
        </is>
      </c>
      <c r="Q299" s="38" t="inlineStr">
        <is>
          <t>Golden</t>
        </is>
      </c>
      <c r="R299" s="38" t="inlineStr">
        <is>
          <t>merchant_package confirmed；来源=加瑟欧的包裹；攻击2格；仅保留来源商人/训练师关系。</t>
        </is>
      </c>
      <c r="S299" s="38" t="n">
        <v>2</v>
      </c>
      <c r="T299" s="38" t="n">
        <v>2</v>
      </c>
      <c r="U299" s="442" t="inlineStr">
        <is>
          <t>skill_vanguard,skill_flank,skill_pierce,skill_revolve,skill_chase,skill_break,skill_suppress,skill_finale</t>
        </is>
      </c>
      <c r="V299" s="442" t="inlineStr">
        <is>
          <t>trait_combo_resonance</t>
        </is>
      </c>
      <c r="W299" s="457">
        <f>XLOOKUP($D299&amp;"|"&amp;$E299&amp;"|"&amp;$F299,'PET_STAT_RULES'!$A$5:$A$88,'PET_STAT_RULES'!$E$5:$E$88)</f>
        <v/>
      </c>
      <c r="X299" s="385" t="str"/>
      <c r="Y299" s="386" t="inlineStr">
        <is>
          <t>reserved</t>
        </is>
      </c>
      <c r="Z299" s="386" t="str"/>
      <c r="AA299" s="386" t="str"/>
    </row>
    <row r="300">
      <c r="A300" s="38" t="inlineStr">
        <is>
          <t>pal_299</t>
        </is>
      </c>
      <c r="B300" s="38" t="inlineStr">
        <is>
          <t>加瑟小兽</t>
        </is>
      </c>
      <c r="C300" s="38" t="inlineStr">
        <is>
          <t>雷</t>
        </is>
      </c>
      <c r="D300" s="265" t="inlineStr">
        <is>
          <t>白银</t>
        </is>
      </c>
      <c r="E300" s="38" t="inlineStr">
        <is>
          <t>输出</t>
        </is>
      </c>
      <c r="F300" s="38" t="inlineStr">
        <is>
          <t>一格</t>
        </is>
      </c>
      <c r="G300" s="38" t="inlineStr">
        <is>
          <t>bz_van_299</t>
        </is>
      </c>
      <c r="H300" s="38" t="inlineStr">
        <is>
          <t>role_经济, role_重甲抗压</t>
        </is>
      </c>
      <c r="I300" s="38" t="n">
        <v>2</v>
      </c>
      <c r="J300" s="456">
        <f>XLOOKUP($D300&amp;"|"&amp;$E300&amp;"|"&amp;$F300,'PET_STAT_RULES'!$A$5:$A$88,'PET_STAT_RULES'!$C$5:$C$88)</f>
        <v/>
      </c>
      <c r="K300" s="456">
        <f>XLOOKUP($D300&amp;"|"&amp;$E300&amp;"|"&amp;$F300,'PET_STAT_RULES'!$A$5:$A$88,'PET_STAT_RULES'!$D$5:$D$88)</f>
        <v/>
      </c>
      <c r="L300" s="456">
        <f>XLOOKUP($D300&amp;"|"&amp;$E300&amp;"|"&amp;$F300,'PET_STAT_RULES'!$A$5:$A$88,'PET_STAT_RULES'!$F$5:$F$88)</f>
        <v/>
      </c>
      <c r="M300" s="456">
        <f>XLOOKUP($D300&amp;"|"&amp;$E300&amp;"|"&amp;$F300,'PET_STAT_RULES'!$A$5:$A$88,'PET_STAT_RULES'!$G$5:$G$88)</f>
        <v/>
      </c>
      <c r="N300" s="38" t="n">
        <v>3</v>
      </c>
      <c r="O300" s="38" t="inlineStr">
        <is>
          <t>mech_grow_atk_each_round</t>
        </is>
      </c>
      <c r="P300" s="38" t="inlineStr">
        <is>
          <t>17 形状17</t>
        </is>
      </c>
      <c r="Q300" s="38" t="inlineStr">
        <is>
          <t>Shiny</t>
        </is>
      </c>
      <c r="R300" s="38" t="inlineStr">
        <is>
          <t>merchant_package confirmed；来源=加瑟欧的包裹；攻击3格；仅保留来源商人/训练师关系。</t>
        </is>
      </c>
      <c r="S300" s="38" t="n">
        <v>3</v>
      </c>
      <c r="T300" s="38" t="n">
        <v>2</v>
      </c>
      <c r="U300" s="442" t="inlineStr">
        <is>
          <t>skill_vanguard,skill_flank,skill_pierce,skill_revolve,skill_chase,skill_break,skill_suppress,skill_finale</t>
        </is>
      </c>
      <c r="V300" s="442" t="inlineStr">
        <is>
          <t>trait_relentless</t>
        </is>
      </c>
      <c r="W300" s="457">
        <f>XLOOKUP($D300&amp;"|"&amp;$E300&amp;"|"&amp;$F300,'PET_STAT_RULES'!$A$5:$A$88,'PET_STAT_RULES'!$E$5:$E$88)</f>
        <v/>
      </c>
      <c r="X300" s="385" t="str"/>
      <c r="Y300" s="386" t="inlineStr">
        <is>
          <t>reserved</t>
        </is>
      </c>
      <c r="Z300" s="386" t="str"/>
      <c r="AA300" s="386" t="str"/>
    </row>
    <row r="301">
      <c r="A301" s="38" t="inlineStr">
        <is>
          <t>pal_300</t>
        </is>
      </c>
      <c r="B301" s="38" t="inlineStr">
        <is>
          <t>古董大兽</t>
        </is>
      </c>
      <c r="C301" s="38" t="inlineStr">
        <is>
          <t>雷</t>
        </is>
      </c>
      <c r="D301" s="265" t="inlineStr">
        <is>
          <t>白银</t>
        </is>
      </c>
      <c r="E301" s="38" t="inlineStr">
        <is>
          <t>输出</t>
        </is>
      </c>
      <c r="F301" s="38" t="inlineStr">
        <is>
          <t>三格</t>
        </is>
      </c>
      <c r="G301" s="38" t="inlineStr">
        <is>
          <t>bz_van_300</t>
        </is>
      </c>
      <c r="H301" s="38" t="inlineStr">
        <is>
          <t>elem_冰, role_经济</t>
        </is>
      </c>
      <c r="I301" s="38" t="n">
        <v>2</v>
      </c>
      <c r="J301" s="456">
        <f>XLOOKUP($D301&amp;"|"&amp;$E301&amp;"|"&amp;$F301,'PET_STAT_RULES'!$A$5:$A$88,'PET_STAT_RULES'!$C$5:$C$88)</f>
        <v/>
      </c>
      <c r="K301" s="456">
        <f>XLOOKUP($D301&amp;"|"&amp;$E301&amp;"|"&amp;$F301,'PET_STAT_RULES'!$A$5:$A$88,'PET_STAT_RULES'!$D$5:$D$88)</f>
        <v/>
      </c>
      <c r="L301" s="456">
        <f>XLOOKUP($D301&amp;"|"&amp;$E301&amp;"|"&amp;$F301,'PET_STAT_RULES'!$A$5:$A$88,'PET_STAT_RULES'!$F$5:$F$88)</f>
        <v/>
      </c>
      <c r="M301" s="456">
        <f>XLOOKUP($D301&amp;"|"&amp;$E301&amp;"|"&amp;$F301,'PET_STAT_RULES'!$A$5:$A$88,'PET_STAT_RULES'!$G$5:$G$88)</f>
        <v/>
      </c>
      <c r="N301" s="38" t="n">
        <v>2</v>
      </c>
      <c r="O301" s="38" t="inlineStr">
        <is>
          <t>mech_grow_atk_each_round</t>
        </is>
      </c>
      <c r="P301" s="38" t="inlineStr">
        <is>
          <t>07 形状07</t>
        </is>
      </c>
      <c r="Q301" s="38" t="inlineStr">
        <is>
          <t>Shiny</t>
        </is>
      </c>
      <c r="R301" s="38" t="inlineStr">
        <is>
          <t>merchant_package confirmed；来源=古董商的包裹；攻击2格；仅保留来源商人/训练师关系。</t>
        </is>
      </c>
      <c r="S301" s="38" t="n">
        <v>2</v>
      </c>
      <c r="T301" s="38" t="n">
        <v>2</v>
      </c>
      <c r="U301" s="442" t="inlineStr">
        <is>
          <t>skill_vanguard,skill_flank,skill_pierce,skill_revolve,skill_chase,skill_break,skill_suppress,skill_finale</t>
        </is>
      </c>
      <c r="V301" s="442" t="inlineStr">
        <is>
          <t>trait_relentless</t>
        </is>
      </c>
      <c r="W301" s="457">
        <f>XLOOKUP($D301&amp;"|"&amp;$E301&amp;"|"&amp;$F301,'PET_STAT_RULES'!$A$5:$A$88,'PET_STAT_RULES'!$E$5:$E$88)</f>
        <v/>
      </c>
      <c r="X301" s="385" t="str"/>
      <c r="Y301" s="386" t="inlineStr">
        <is>
          <t>reserved</t>
        </is>
      </c>
      <c r="Z301" s="386" t="str"/>
      <c r="AA301" s="386" t="str"/>
    </row>
    <row r="302">
      <c r="A302" s="38" t="inlineStr">
        <is>
          <t>pal_301</t>
        </is>
      </c>
      <c r="B302" s="38" t="inlineStr">
        <is>
          <t>古董中兽</t>
        </is>
      </c>
      <c r="C302" s="38" t="inlineStr">
        <is>
          <t>无</t>
        </is>
      </c>
      <c r="D302" s="265" t="inlineStr">
        <is>
          <t>白银</t>
        </is>
      </c>
      <c r="E302" s="38" t="inlineStr">
        <is>
          <t>输出</t>
        </is>
      </c>
      <c r="F302" s="38" t="inlineStr">
        <is>
          <t>两格</t>
        </is>
      </c>
      <c r="G302" s="38" t="inlineStr">
        <is>
          <t>bz_van_301</t>
        </is>
      </c>
      <c r="H302" s="38" t="inlineStr">
        <is>
          <t>elem_冰, role_经济</t>
        </is>
      </c>
      <c r="I302" s="38" t="n">
        <v>2</v>
      </c>
      <c r="J302" s="456">
        <f>XLOOKUP($D302&amp;"|"&amp;$E302&amp;"|"&amp;$F302,'PET_STAT_RULES'!$A$5:$A$88,'PET_STAT_RULES'!$C$5:$C$88)</f>
        <v/>
      </c>
      <c r="K302" s="456">
        <f>XLOOKUP($D302&amp;"|"&amp;$E302&amp;"|"&amp;$F302,'PET_STAT_RULES'!$A$5:$A$88,'PET_STAT_RULES'!$D$5:$D$88)</f>
        <v/>
      </c>
      <c r="L302" s="456">
        <f>XLOOKUP($D302&amp;"|"&amp;$E302&amp;"|"&amp;$F302,'PET_STAT_RULES'!$A$5:$A$88,'PET_STAT_RULES'!$F$5:$F$88)</f>
        <v/>
      </c>
      <c r="M302" s="456">
        <f>XLOOKUP($D302&amp;"|"&amp;$E302&amp;"|"&amp;$F302,'PET_STAT_RULES'!$A$5:$A$88,'PET_STAT_RULES'!$G$5:$G$88)</f>
        <v/>
      </c>
      <c r="N302" s="38" t="n">
        <v>2</v>
      </c>
      <c r="O302" s="38" t="inlineStr">
        <is>
          <t>mech_grow_atk_each_round</t>
        </is>
      </c>
      <c r="P302" s="38" t="inlineStr">
        <is>
          <t>07 形状07</t>
        </is>
      </c>
      <c r="Q302" s="38" t="inlineStr">
        <is>
          <t>Shiny</t>
        </is>
      </c>
      <c r="R302" s="38" t="inlineStr">
        <is>
          <t>merchant_package confirmed；来源=古董商的包裹；攻击2格；仅保留来源商人/训练师关系。</t>
        </is>
      </c>
      <c r="S302" s="38" t="n">
        <v>3</v>
      </c>
      <c r="T302" s="38" t="n">
        <v>2</v>
      </c>
      <c r="U302" s="442" t="inlineStr">
        <is>
          <t>skill_vanguard,skill_flank,skill_pierce,skill_revolve,skill_chase,skill_break,skill_suppress,skill_finale</t>
        </is>
      </c>
      <c r="V302" s="442" t="inlineStr">
        <is>
          <t>trait_relentless</t>
        </is>
      </c>
      <c r="W302" s="457">
        <f>XLOOKUP($D302&amp;"|"&amp;$E302&amp;"|"&amp;$F302,'PET_STAT_RULES'!$A$5:$A$88,'PET_STAT_RULES'!$E$5:$E$88)</f>
        <v/>
      </c>
      <c r="X302" s="385" t="str"/>
      <c r="Y302" s="386" t="inlineStr">
        <is>
          <t>reserved</t>
        </is>
      </c>
      <c r="Z302" s="386" t="str"/>
      <c r="AA302" s="386" t="str"/>
    </row>
    <row r="303">
      <c r="A303" s="38" t="inlineStr">
        <is>
          <t>pal_302</t>
        </is>
      </c>
      <c r="B303" s="38" t="inlineStr">
        <is>
          <t>古董小兽</t>
        </is>
      </c>
      <c r="C303" s="38" t="inlineStr">
        <is>
          <t>龙</t>
        </is>
      </c>
      <c r="D303" s="265" t="inlineStr">
        <is>
          <t>白银</t>
        </is>
      </c>
      <c r="E303" s="38" t="inlineStr">
        <is>
          <t>输出</t>
        </is>
      </c>
      <c r="F303" s="38" t="inlineStr">
        <is>
          <t>一格</t>
        </is>
      </c>
      <c r="G303" s="38" t="inlineStr">
        <is>
          <t>bz_van_302</t>
        </is>
      </c>
      <c r="H303" s="38" t="inlineStr">
        <is>
          <t>elem_冰, role_经济</t>
        </is>
      </c>
      <c r="I303" s="38" t="n">
        <v>2</v>
      </c>
      <c r="J303" s="456">
        <f>XLOOKUP($D303&amp;"|"&amp;$E303&amp;"|"&amp;$F303,'PET_STAT_RULES'!$A$5:$A$88,'PET_STAT_RULES'!$C$5:$C$88)</f>
        <v/>
      </c>
      <c r="K303" s="456">
        <f>XLOOKUP($D303&amp;"|"&amp;$E303&amp;"|"&amp;$F303,'PET_STAT_RULES'!$A$5:$A$88,'PET_STAT_RULES'!$D$5:$D$88)</f>
        <v/>
      </c>
      <c r="L303" s="456">
        <f>XLOOKUP($D303&amp;"|"&amp;$E303&amp;"|"&amp;$F303,'PET_STAT_RULES'!$A$5:$A$88,'PET_STAT_RULES'!$F$5:$F$88)</f>
        <v/>
      </c>
      <c r="M303" s="456">
        <f>XLOOKUP($D303&amp;"|"&amp;$E303&amp;"|"&amp;$F303,'PET_STAT_RULES'!$A$5:$A$88,'PET_STAT_RULES'!$G$5:$G$88)</f>
        <v/>
      </c>
      <c r="N303" s="38" t="n">
        <v>3</v>
      </c>
      <c r="O303" s="38" t="inlineStr">
        <is>
          <t>mech_grow_atk_each_round</t>
        </is>
      </c>
      <c r="P303" s="38" t="inlineStr">
        <is>
          <t>14 形状14</t>
        </is>
      </c>
      <c r="Q303" s="38" t="inlineStr">
        <is>
          <t>Heavy</t>
        </is>
      </c>
      <c r="R303" s="38" t="inlineStr">
        <is>
          <t>merchant_package confirmed；来源=古董商的包裹；攻击3格；仅保留来源商人/训练师关系。</t>
        </is>
      </c>
      <c r="S303" s="38" t="n">
        <v>3</v>
      </c>
      <c r="T303" s="38" t="n">
        <v>2</v>
      </c>
      <c r="U303" s="442" t="inlineStr">
        <is>
          <t>skill_vanguard,skill_flank,skill_pierce,skill_revolve,skill_chase,skill_break,skill_suppress,skill_finale</t>
        </is>
      </c>
      <c r="V303" s="442" t="inlineStr">
        <is>
          <t>trait_relentless</t>
        </is>
      </c>
      <c r="W303" s="457">
        <f>XLOOKUP($D303&amp;"|"&amp;$E303&amp;"|"&amp;$F303,'PET_STAT_RULES'!$A$5:$A$88,'PET_STAT_RULES'!$E$5:$E$88)</f>
        <v/>
      </c>
      <c r="X303" s="385" t="str"/>
      <c r="Y303" s="386" t="inlineStr">
        <is>
          <t>reserved</t>
        </is>
      </c>
      <c r="Z303" s="386" t="str"/>
      <c r="AA303" s="386" t="str"/>
    </row>
    <row r="304">
      <c r="A304" s="38" t="inlineStr">
        <is>
          <t>pal_303</t>
        </is>
      </c>
      <c r="B304" s="38" t="inlineStr">
        <is>
          <t>吉娜小兽</t>
        </is>
      </c>
      <c r="C304" s="38" t="inlineStr">
        <is>
          <t>水</t>
        </is>
      </c>
      <c r="D304" s="259" t="inlineStr">
        <is>
          <t>青铜</t>
        </is>
      </c>
      <c r="E304" s="38" t="inlineStr">
        <is>
          <t>输出</t>
        </is>
      </c>
      <c r="F304" s="38" t="inlineStr">
        <is>
          <t>一格</t>
        </is>
      </c>
      <c r="G304" s="38" t="inlineStr">
        <is>
          <t>bz_van_303</t>
        </is>
      </c>
      <c r="H304" s="38" t="inlineStr">
        <is>
          <t>elem_草, elem_冰</t>
        </is>
      </c>
      <c r="I304" s="38" t="n">
        <v>2</v>
      </c>
      <c r="J304" s="456">
        <f>XLOOKUP($D304&amp;"|"&amp;$E304&amp;"|"&amp;$F304,'PET_STAT_RULES'!$A$5:$A$88,'PET_STAT_RULES'!$C$5:$C$88)</f>
        <v/>
      </c>
      <c r="K304" s="456">
        <f>XLOOKUP($D304&amp;"|"&amp;$E304&amp;"|"&amp;$F304,'PET_STAT_RULES'!$A$5:$A$88,'PET_STAT_RULES'!$D$5:$D$88)</f>
        <v/>
      </c>
      <c r="L304" s="456">
        <f>XLOOKUP($D304&amp;"|"&amp;$E304&amp;"|"&amp;$F304,'PET_STAT_RULES'!$A$5:$A$88,'PET_STAT_RULES'!$F$5:$F$88)</f>
        <v/>
      </c>
      <c r="M304" s="456">
        <f>XLOOKUP($D304&amp;"|"&amp;$E304&amp;"|"&amp;$F304,'PET_STAT_RULES'!$A$5:$A$88,'PET_STAT_RULES'!$G$5:$G$88)</f>
        <v/>
      </c>
      <c r="N304" s="38" t="n">
        <v>3</v>
      </c>
      <c r="O304" s="38" t="inlineStr">
        <is>
          <t>mech_grow_atk_each_round</t>
        </is>
      </c>
      <c r="P304" s="38" t="inlineStr">
        <is>
          <t>13 形状13</t>
        </is>
      </c>
      <c r="Q304" s="38" t="inlineStr">
        <is>
          <t>Heavy</t>
        </is>
      </c>
      <c r="R304" s="38" t="inlineStr">
        <is>
          <t>merchant_package confirmed；来源=吉娜的包裹；攻击3格；仅保留来源商人/训练师关系。</t>
        </is>
      </c>
      <c r="S304" s="38" t="n">
        <v>3</v>
      </c>
      <c r="T304" s="38" t="n">
        <v>1</v>
      </c>
      <c r="U304" s="442" t="inlineStr">
        <is>
          <t>skill_vanguard,skill_flank,skill_pierce,skill_revolve,skill_chase,skill_break,skill_suppress,skill_finale</t>
        </is>
      </c>
      <c r="V304" s="442" t="inlineStr">
        <is>
          <t>trait_relentless</t>
        </is>
      </c>
      <c r="W304" s="457">
        <f>XLOOKUP($D304&amp;"|"&amp;$E304&amp;"|"&amp;$F304,'PET_STAT_RULES'!$A$5:$A$88,'PET_STAT_RULES'!$E$5:$E$88)</f>
        <v/>
      </c>
      <c r="X304" s="385" t="str"/>
      <c r="Y304" s="386" t="inlineStr">
        <is>
          <t>reserved</t>
        </is>
      </c>
      <c r="Z304" s="386" t="str"/>
      <c r="AA304" s="386" t="str"/>
    </row>
    <row r="305">
      <c r="A305" s="38" t="inlineStr">
        <is>
          <t>pal_304</t>
        </is>
      </c>
      <c r="B305" s="38" t="inlineStr">
        <is>
          <t>吉娜大兽</t>
        </is>
      </c>
      <c r="C305" s="38" t="inlineStr">
        <is>
          <t>无</t>
        </is>
      </c>
      <c r="D305" s="265" t="inlineStr">
        <is>
          <t>白银</t>
        </is>
      </c>
      <c r="E305" s="38" t="inlineStr">
        <is>
          <t>输出</t>
        </is>
      </c>
      <c r="F305" s="38" t="inlineStr">
        <is>
          <t>三格</t>
        </is>
      </c>
      <c r="G305" s="38" t="inlineStr">
        <is>
          <t>bz_van_304</t>
        </is>
      </c>
      <c r="H305" s="38" t="inlineStr">
        <is>
          <t>elem_冰, role_经济</t>
        </is>
      </c>
      <c r="I305" s="38" t="n">
        <v>2</v>
      </c>
      <c r="J305" s="456">
        <f>XLOOKUP($D305&amp;"|"&amp;$E305&amp;"|"&amp;$F305,'PET_STAT_RULES'!$A$5:$A$88,'PET_STAT_RULES'!$C$5:$C$88)</f>
        <v/>
      </c>
      <c r="K305" s="456">
        <f>XLOOKUP($D305&amp;"|"&amp;$E305&amp;"|"&amp;$F305,'PET_STAT_RULES'!$A$5:$A$88,'PET_STAT_RULES'!$D$5:$D$88)</f>
        <v/>
      </c>
      <c r="L305" s="456">
        <f>XLOOKUP($D305&amp;"|"&amp;$E305&amp;"|"&amp;$F305,'PET_STAT_RULES'!$A$5:$A$88,'PET_STAT_RULES'!$F$5:$F$88)</f>
        <v/>
      </c>
      <c r="M305" s="456">
        <f>XLOOKUP($D305&amp;"|"&amp;$E305&amp;"|"&amp;$F305,'PET_STAT_RULES'!$A$5:$A$88,'PET_STAT_RULES'!$G$5:$G$88)</f>
        <v/>
      </c>
      <c r="N305" s="38" t="n">
        <v>2</v>
      </c>
      <c r="O305" s="38" t="inlineStr">
        <is>
          <t>mech_grow_atk_each_round</t>
        </is>
      </c>
      <c r="P305" s="38" t="inlineStr">
        <is>
          <t>10 形状10</t>
        </is>
      </c>
      <c r="Q305" s="38" t="inlineStr">
        <is>
          <t>Heavy</t>
        </is>
      </c>
      <c r="R305" s="38" t="inlineStr">
        <is>
          <t>merchant_package confirmed；来源=吉娜的包裹；攻击2格；仅保留来源商人/训练师关系。</t>
        </is>
      </c>
      <c r="S305" s="38" t="n">
        <v>2</v>
      </c>
      <c r="T305" s="38" t="n">
        <v>2</v>
      </c>
      <c r="U305" s="442" t="inlineStr">
        <is>
          <t>skill_vanguard,skill_flank,skill_pierce,skill_revolve,skill_chase,skill_break,skill_suppress,skill_finale</t>
        </is>
      </c>
      <c r="V305" s="442" t="inlineStr">
        <is>
          <t>trait_relentless</t>
        </is>
      </c>
      <c r="W305" s="457">
        <f>XLOOKUP($D305&amp;"|"&amp;$E305&amp;"|"&amp;$F305,'PET_STAT_RULES'!$A$5:$A$88,'PET_STAT_RULES'!$E$5:$E$88)</f>
        <v/>
      </c>
      <c r="X305" s="385" t="str"/>
      <c r="Y305" s="386" t="inlineStr">
        <is>
          <t>reserved</t>
        </is>
      </c>
      <c r="Z305" s="386" t="str"/>
      <c r="AA305" s="386" t="str"/>
    </row>
    <row r="306">
      <c r="A306" s="38" t="inlineStr">
        <is>
          <t>pal_305</t>
        </is>
      </c>
      <c r="B306" s="38" t="inlineStr">
        <is>
          <t>吉娜中兽</t>
        </is>
      </c>
      <c r="C306" s="38" t="inlineStr">
        <is>
          <t>无</t>
        </is>
      </c>
      <c r="D306" s="259" t="inlineStr">
        <is>
          <t>青铜</t>
        </is>
      </c>
      <c r="E306" s="38" t="inlineStr">
        <is>
          <t>输出</t>
        </is>
      </c>
      <c r="F306" s="38" t="inlineStr">
        <is>
          <t>两格</t>
        </is>
      </c>
      <c r="G306" s="38" t="inlineStr">
        <is>
          <t>bz_van_305</t>
        </is>
      </c>
      <c r="H306" s="38" t="inlineStr">
        <is>
          <t>elem_草, elem_冰</t>
        </is>
      </c>
      <c r="I306" s="38" t="n">
        <v>2</v>
      </c>
      <c r="J306" s="456">
        <f>XLOOKUP($D306&amp;"|"&amp;$E306&amp;"|"&amp;$F306,'PET_STAT_RULES'!$A$5:$A$88,'PET_STAT_RULES'!$C$5:$C$88)</f>
        <v/>
      </c>
      <c r="K306" s="456">
        <f>XLOOKUP($D306&amp;"|"&amp;$E306&amp;"|"&amp;$F306,'PET_STAT_RULES'!$A$5:$A$88,'PET_STAT_RULES'!$D$5:$D$88)</f>
        <v/>
      </c>
      <c r="L306" s="456">
        <f>XLOOKUP($D306&amp;"|"&amp;$E306&amp;"|"&amp;$F306,'PET_STAT_RULES'!$A$5:$A$88,'PET_STAT_RULES'!$F$5:$F$88)</f>
        <v/>
      </c>
      <c r="M306" s="456">
        <f>XLOOKUP($D306&amp;"|"&amp;$E306&amp;"|"&amp;$F306,'PET_STAT_RULES'!$A$5:$A$88,'PET_STAT_RULES'!$G$5:$G$88)</f>
        <v/>
      </c>
      <c r="N306" s="38" t="n">
        <v>1</v>
      </c>
      <c r="O306" s="38" t="inlineStr">
        <is>
          <t>mech_grow_atk_each_round</t>
        </is>
      </c>
      <c r="P306" s="38" t="inlineStr">
        <is>
          <t>02 形状02</t>
        </is>
      </c>
      <c r="Q306" s="38" t="inlineStr">
        <is>
          <t>Heavy</t>
        </is>
      </c>
      <c r="R306" s="38" t="inlineStr">
        <is>
          <t>merchant_package confirmed；来源=吉娜的包裹；攻击1格；仅保留来源商人/训练师关系。</t>
        </is>
      </c>
      <c r="S306" s="38" t="n">
        <v>3</v>
      </c>
      <c r="T306" s="38" t="n">
        <v>1</v>
      </c>
      <c r="U306" s="442" t="inlineStr">
        <is>
          <t>skill_vanguard,skill_flank,skill_pierce,skill_revolve,skill_chase,skill_break,skill_suppress,skill_finale</t>
        </is>
      </c>
      <c r="V306" s="442" t="inlineStr">
        <is>
          <t>trait_relentless</t>
        </is>
      </c>
      <c r="W306" s="457">
        <f>XLOOKUP($D306&amp;"|"&amp;$E306&amp;"|"&amp;$F306,'PET_STAT_RULES'!$A$5:$A$88,'PET_STAT_RULES'!$E$5:$E$88)</f>
        <v/>
      </c>
      <c r="X306" s="385" t="str"/>
      <c r="Y306" s="386" t="inlineStr">
        <is>
          <t>reserved</t>
        </is>
      </c>
      <c r="Z306" s="386" t="str"/>
      <c r="AA306" s="386" t="str"/>
    </row>
    <row r="307">
      <c r="A307" s="38" t="inlineStr">
        <is>
          <t>pal_306</t>
        </is>
      </c>
      <c r="B307" s="38" t="inlineStr">
        <is>
          <t>塔季中兽</t>
        </is>
      </c>
      <c r="C307" s="38" t="inlineStr">
        <is>
          <t>龙</t>
        </is>
      </c>
      <c r="D307" s="265" t="inlineStr">
        <is>
          <t>白银</t>
        </is>
      </c>
      <c r="E307" s="38" t="inlineStr">
        <is>
          <t>输出</t>
        </is>
      </c>
      <c r="F307" s="38" t="inlineStr">
        <is>
          <t>两格</t>
        </is>
      </c>
      <c r="G307" s="38" t="inlineStr">
        <is>
          <t>bz_van_306</t>
        </is>
      </c>
      <c r="H307" s="38" t="inlineStr">
        <is>
          <t>role_经济, role_重甲抗压</t>
        </is>
      </c>
      <c r="I307" s="38" t="n">
        <v>2</v>
      </c>
      <c r="J307" s="456">
        <f>XLOOKUP($D307&amp;"|"&amp;$E307&amp;"|"&amp;$F307,'PET_STAT_RULES'!$A$5:$A$88,'PET_STAT_RULES'!$C$5:$C$88)</f>
        <v/>
      </c>
      <c r="K307" s="456">
        <f>XLOOKUP($D307&amp;"|"&amp;$E307&amp;"|"&amp;$F307,'PET_STAT_RULES'!$A$5:$A$88,'PET_STAT_RULES'!$D$5:$D$88)</f>
        <v/>
      </c>
      <c r="L307" s="456">
        <f>XLOOKUP($D307&amp;"|"&amp;$E307&amp;"|"&amp;$F307,'PET_STAT_RULES'!$A$5:$A$88,'PET_STAT_RULES'!$F$5:$F$88)</f>
        <v/>
      </c>
      <c r="M307" s="456">
        <f>XLOOKUP($D307&amp;"|"&amp;$E307&amp;"|"&amp;$F307,'PET_STAT_RULES'!$A$5:$A$88,'PET_STAT_RULES'!$G$5:$G$88)</f>
        <v/>
      </c>
      <c r="N307" s="38" t="n">
        <v>2</v>
      </c>
      <c r="O307" s="38" t="inlineStr">
        <is>
          <t>mech_grow_atk_each_round</t>
        </is>
      </c>
      <c r="P307" s="38" t="inlineStr">
        <is>
          <t>10 形状10</t>
        </is>
      </c>
      <c r="Q307" s="38" t="inlineStr">
        <is>
          <t>Heavy</t>
        </is>
      </c>
      <c r="R307" s="38" t="inlineStr">
        <is>
          <t>merchant_package confirmed；来源=塔季扬娜的包裹；攻击2格；仅保留来源商人/训练师关系。</t>
        </is>
      </c>
      <c r="S307" s="38" t="n">
        <v>3</v>
      </c>
      <c r="T307" s="38" t="n">
        <v>2</v>
      </c>
      <c r="U307" s="442" t="inlineStr">
        <is>
          <t>skill_vanguard,skill_flank,skill_pierce,skill_revolve,skill_chase,skill_break,skill_suppress,skill_finale</t>
        </is>
      </c>
      <c r="V307" s="442" t="inlineStr">
        <is>
          <t>trait_relentless</t>
        </is>
      </c>
      <c r="W307" s="457">
        <f>XLOOKUP($D307&amp;"|"&amp;$E307&amp;"|"&amp;$F307,'PET_STAT_RULES'!$A$5:$A$88,'PET_STAT_RULES'!$E$5:$E$88)</f>
        <v/>
      </c>
      <c r="X307" s="385" t="str"/>
      <c r="Y307" s="386" t="inlineStr">
        <is>
          <t>reserved</t>
        </is>
      </c>
      <c r="Z307" s="386" t="str"/>
      <c r="AA307" s="386" t="str"/>
    </row>
    <row r="308">
      <c r="A308" s="38" t="inlineStr">
        <is>
          <t>pal_307</t>
        </is>
      </c>
      <c r="B308" s="38" t="inlineStr">
        <is>
          <t>塔季大兽</t>
        </is>
      </c>
      <c r="C308" s="38" t="inlineStr">
        <is>
          <t>无</t>
        </is>
      </c>
      <c r="D308" s="265" t="inlineStr">
        <is>
          <t>白银</t>
        </is>
      </c>
      <c r="E308" s="38" t="inlineStr">
        <is>
          <t>经济</t>
        </is>
      </c>
      <c r="F308" s="38" t="inlineStr">
        <is>
          <t>三格</t>
        </is>
      </c>
      <c r="G308" s="38" t="inlineStr">
        <is>
          <t>bz_van_307</t>
        </is>
      </c>
      <c r="H308" s="38" t="inlineStr">
        <is>
          <t>role_经济, role_重甲抗压</t>
        </is>
      </c>
      <c r="I308" s="38" t="n">
        <v>2</v>
      </c>
      <c r="J308" s="456">
        <f>XLOOKUP($D308&amp;"|"&amp;$E308&amp;"|"&amp;$F308,'PET_STAT_RULES'!$A$5:$A$88,'PET_STAT_RULES'!$C$5:$C$88)</f>
        <v/>
      </c>
      <c r="K308" s="456">
        <f>XLOOKUP($D308&amp;"|"&amp;$E308&amp;"|"&amp;$F308,'PET_STAT_RULES'!$A$5:$A$88,'PET_STAT_RULES'!$D$5:$D$88)</f>
        <v/>
      </c>
      <c r="L308" s="456">
        <f>XLOOKUP($D308&amp;"|"&amp;$E308&amp;"|"&amp;$F308,'PET_STAT_RULES'!$A$5:$A$88,'PET_STAT_RULES'!$F$5:$F$88)</f>
        <v/>
      </c>
      <c r="M308" s="456">
        <f>XLOOKUP($D308&amp;"|"&amp;$E308&amp;"|"&amp;$F308,'PET_STAT_RULES'!$A$5:$A$88,'PET_STAT_RULES'!$G$5:$G$88)</f>
        <v/>
      </c>
      <c r="N308" s="38" t="n">
        <v>2</v>
      </c>
      <c r="O308" s="38" t="inlineStr">
        <is>
          <t>none</t>
        </is>
      </c>
      <c r="P308" s="38" t="inlineStr">
        <is>
          <t>08 形状08</t>
        </is>
      </c>
      <c r="Q308" s="38" t="inlineStr">
        <is>
          <t>Golden</t>
        </is>
      </c>
      <c r="R308" s="38" t="inlineStr">
        <is>
          <t>merchant_package confirmed；来源=塔季扬娜的包裹；攻击2格；仅保留来源商人/训练师关系。</t>
        </is>
      </c>
      <c r="S308" s="38" t="n">
        <v>2</v>
      </c>
      <c r="T308" s="38" t="n">
        <v>2</v>
      </c>
      <c r="U308" s="442" t="inlineStr">
        <is>
          <t>skill_vanguard,skill_flank,skill_pierce,skill_revolve,skill_chase,skill_break,skill_suppress,skill_finale</t>
        </is>
      </c>
      <c r="V308" s="442" t="inlineStr">
        <is>
          <t>trait_combo_resonance</t>
        </is>
      </c>
      <c r="W308" s="457">
        <f>XLOOKUP($D308&amp;"|"&amp;$E308&amp;"|"&amp;$F308,'PET_STAT_RULES'!$A$5:$A$88,'PET_STAT_RULES'!$E$5:$E$88)</f>
        <v/>
      </c>
      <c r="X308" s="385" t="str"/>
      <c r="Y308" s="386" t="inlineStr">
        <is>
          <t>reserved</t>
        </is>
      </c>
      <c r="Z308" s="386" t="str"/>
      <c r="AA308" s="386" t="str"/>
    </row>
    <row r="309">
      <c r="A309" s="38" t="inlineStr">
        <is>
          <t>pal_308</t>
        </is>
      </c>
      <c r="B309" s="38" t="inlineStr">
        <is>
          <t>塔季小兽</t>
        </is>
      </c>
      <c r="C309" s="38" t="inlineStr">
        <is>
          <t>水</t>
        </is>
      </c>
      <c r="D309" s="265" t="inlineStr">
        <is>
          <t>白银</t>
        </is>
      </c>
      <c r="E309" s="38" t="inlineStr">
        <is>
          <t>输出</t>
        </is>
      </c>
      <c r="F309" s="38" t="inlineStr">
        <is>
          <t>一格</t>
        </is>
      </c>
      <c r="G309" s="38" t="inlineStr">
        <is>
          <t>bz_van_308</t>
        </is>
      </c>
      <c r="H309" s="38" t="inlineStr">
        <is>
          <t>role_经济, role_重甲抗压</t>
        </is>
      </c>
      <c r="I309" s="38" t="n">
        <v>2</v>
      </c>
      <c r="J309" s="456">
        <f>XLOOKUP($D309&amp;"|"&amp;$E309&amp;"|"&amp;$F309,'PET_STAT_RULES'!$A$5:$A$88,'PET_STAT_RULES'!$C$5:$C$88)</f>
        <v/>
      </c>
      <c r="K309" s="456">
        <f>XLOOKUP($D309&amp;"|"&amp;$E309&amp;"|"&amp;$F309,'PET_STAT_RULES'!$A$5:$A$88,'PET_STAT_RULES'!$D$5:$D$88)</f>
        <v/>
      </c>
      <c r="L309" s="456">
        <f>XLOOKUP($D309&amp;"|"&amp;$E309&amp;"|"&amp;$F309,'PET_STAT_RULES'!$A$5:$A$88,'PET_STAT_RULES'!$F$5:$F$88)</f>
        <v/>
      </c>
      <c r="M309" s="456">
        <f>XLOOKUP($D309&amp;"|"&amp;$E309&amp;"|"&amp;$F309,'PET_STAT_RULES'!$A$5:$A$88,'PET_STAT_RULES'!$G$5:$G$88)</f>
        <v/>
      </c>
      <c r="N309" s="38" t="n">
        <v>3</v>
      </c>
      <c r="O309" s="38" t="inlineStr">
        <is>
          <t>mech_grow_atk_each_round</t>
        </is>
      </c>
      <c r="P309" s="38" t="inlineStr">
        <is>
          <t>13 形状13</t>
        </is>
      </c>
      <c r="Q309" s="38" t="inlineStr">
        <is>
          <t>Shiny</t>
        </is>
      </c>
      <c r="R309" s="38" t="inlineStr">
        <is>
          <t>merchant_package confirmed；来源=塔季扬娜的包裹；攻击3格；仅保留来源商人/训练师关系。</t>
        </is>
      </c>
      <c r="S309" s="38" t="n">
        <v>3</v>
      </c>
      <c r="T309" s="38" t="n">
        <v>2</v>
      </c>
      <c r="U309" s="442" t="inlineStr">
        <is>
          <t>skill_vanguard,skill_flank,skill_pierce,skill_revolve,skill_chase,skill_break,skill_suppress,skill_finale</t>
        </is>
      </c>
      <c r="V309" s="442" t="inlineStr">
        <is>
          <t>trait_relentless</t>
        </is>
      </c>
      <c r="W309" s="457">
        <f>XLOOKUP($D309&amp;"|"&amp;$E309&amp;"|"&amp;$F309,'PET_STAT_RULES'!$A$5:$A$88,'PET_STAT_RULES'!$E$5:$E$88)</f>
        <v/>
      </c>
      <c r="X309" s="385" t="str"/>
      <c r="Y309" s="386" t="inlineStr">
        <is>
          <t>reserved</t>
        </is>
      </c>
      <c r="Z309" s="386" t="str"/>
      <c r="AA309" s="386" t="str"/>
    </row>
    <row r="310">
      <c r="A310" s="38" t="inlineStr">
        <is>
          <t>pal_309</t>
        </is>
      </c>
      <c r="B310" s="38" t="inlineStr">
        <is>
          <t>奥利中兽</t>
        </is>
      </c>
      <c r="C310" s="38" t="inlineStr">
        <is>
          <t>无</t>
        </is>
      </c>
      <c r="D310" s="259" t="inlineStr">
        <is>
          <t>青铜</t>
        </is>
      </c>
      <c r="E310" s="38" t="inlineStr">
        <is>
          <t>输出</t>
        </is>
      </c>
      <c r="F310" s="38" t="inlineStr">
        <is>
          <t>两格</t>
        </is>
      </c>
      <c r="G310" s="38" t="inlineStr">
        <is>
          <t>bz_van_309</t>
        </is>
      </c>
      <c r="H310" s="38" t="inlineStr">
        <is>
          <t>elem_草, role_远点压制</t>
        </is>
      </c>
      <c r="I310" s="38" t="n">
        <v>2</v>
      </c>
      <c r="J310" s="456">
        <f>XLOOKUP($D310&amp;"|"&amp;$E310&amp;"|"&amp;$F310,'PET_STAT_RULES'!$A$5:$A$88,'PET_STAT_RULES'!$C$5:$C$88)</f>
        <v/>
      </c>
      <c r="K310" s="456">
        <f>XLOOKUP($D310&amp;"|"&amp;$E310&amp;"|"&amp;$F310,'PET_STAT_RULES'!$A$5:$A$88,'PET_STAT_RULES'!$D$5:$D$88)</f>
        <v/>
      </c>
      <c r="L310" s="456">
        <f>XLOOKUP($D310&amp;"|"&amp;$E310&amp;"|"&amp;$F310,'PET_STAT_RULES'!$A$5:$A$88,'PET_STAT_RULES'!$F$5:$F$88)</f>
        <v/>
      </c>
      <c r="M310" s="456">
        <f>XLOOKUP($D310&amp;"|"&amp;$E310&amp;"|"&amp;$F310,'PET_STAT_RULES'!$A$5:$A$88,'PET_STAT_RULES'!$G$5:$G$88)</f>
        <v/>
      </c>
      <c r="N310" s="38" t="n">
        <v>1</v>
      </c>
      <c r="O310" s="38" t="inlineStr">
        <is>
          <t>mech_grow_atk_each_round</t>
        </is>
      </c>
      <c r="P310" s="38" t="inlineStr">
        <is>
          <t>01 形状01</t>
        </is>
      </c>
      <c r="Q310" s="38" t="inlineStr">
        <is>
          <t>Shiny</t>
        </is>
      </c>
      <c r="R310" s="38" t="inlineStr">
        <is>
          <t>merchant_package confirmed；来源=奥利恩的包裹；攻击1格；仅保留来源商人/训练师关系。</t>
        </is>
      </c>
      <c r="S310" s="38" t="n">
        <v>3</v>
      </c>
      <c r="T310" s="38" t="n">
        <v>1</v>
      </c>
      <c r="U310" s="442" t="inlineStr">
        <is>
          <t>skill_vanguard,skill_flank,skill_pierce,skill_revolve,skill_chase,skill_break,skill_suppress,skill_finale</t>
        </is>
      </c>
      <c r="V310" s="442" t="inlineStr">
        <is>
          <t>trait_relentless</t>
        </is>
      </c>
      <c r="W310" s="457">
        <f>XLOOKUP($D310&amp;"|"&amp;$E310&amp;"|"&amp;$F310,'PET_STAT_RULES'!$A$5:$A$88,'PET_STAT_RULES'!$E$5:$E$88)</f>
        <v/>
      </c>
      <c r="X310" s="385" t="str"/>
      <c r="Y310" s="386" t="inlineStr">
        <is>
          <t>reserved</t>
        </is>
      </c>
      <c r="Z310" s="386" t="str"/>
      <c r="AA310" s="386" t="str"/>
    </row>
    <row r="311">
      <c r="A311" s="38" t="inlineStr">
        <is>
          <t>pal_310</t>
        </is>
      </c>
      <c r="B311" s="38" t="inlineStr">
        <is>
          <t>奥利小兽</t>
        </is>
      </c>
      <c r="C311" s="38" t="inlineStr">
        <is>
          <t>水</t>
        </is>
      </c>
      <c r="D311" s="259" t="inlineStr">
        <is>
          <t>青铜</t>
        </is>
      </c>
      <c r="E311" s="38" t="inlineStr">
        <is>
          <t>输出</t>
        </is>
      </c>
      <c r="F311" s="38" t="inlineStr">
        <is>
          <t>一格</t>
        </is>
      </c>
      <c r="G311" s="38" t="inlineStr">
        <is>
          <t>bz_van_310</t>
        </is>
      </c>
      <c r="H311" s="38" t="inlineStr">
        <is>
          <t>elem_草, role_远点压制</t>
        </is>
      </c>
      <c r="I311" s="38" t="n">
        <v>2</v>
      </c>
      <c r="J311" s="456">
        <f>XLOOKUP($D311&amp;"|"&amp;$E311&amp;"|"&amp;$F311,'PET_STAT_RULES'!$A$5:$A$88,'PET_STAT_RULES'!$C$5:$C$88)</f>
        <v/>
      </c>
      <c r="K311" s="456">
        <f>XLOOKUP($D311&amp;"|"&amp;$E311&amp;"|"&amp;$F311,'PET_STAT_RULES'!$A$5:$A$88,'PET_STAT_RULES'!$D$5:$D$88)</f>
        <v/>
      </c>
      <c r="L311" s="456">
        <f>XLOOKUP($D311&amp;"|"&amp;$E311&amp;"|"&amp;$F311,'PET_STAT_RULES'!$A$5:$A$88,'PET_STAT_RULES'!$F$5:$F$88)</f>
        <v/>
      </c>
      <c r="M311" s="456">
        <f>XLOOKUP($D311&amp;"|"&amp;$E311&amp;"|"&amp;$F311,'PET_STAT_RULES'!$A$5:$A$88,'PET_STAT_RULES'!$G$5:$G$88)</f>
        <v/>
      </c>
      <c r="N311" s="38" t="n">
        <v>3</v>
      </c>
      <c r="O311" s="38" t="inlineStr">
        <is>
          <t>mech_grow_atk_each_round</t>
        </is>
      </c>
      <c r="P311" s="38" t="inlineStr">
        <is>
          <t>15 形状15</t>
        </is>
      </c>
      <c r="Q311" s="38" t="inlineStr">
        <is>
          <t>Shiny</t>
        </is>
      </c>
      <c r="R311" s="38" t="inlineStr">
        <is>
          <t>merchant_package confirmed；来源=奥利恩的包裹；攻击3格；仅保留来源商人/训练师关系。</t>
        </is>
      </c>
      <c r="S311" s="38" t="n">
        <v>3</v>
      </c>
      <c r="T311" s="38" t="n">
        <v>1</v>
      </c>
      <c r="U311" s="442" t="inlineStr">
        <is>
          <t>skill_vanguard,skill_flank,skill_pierce,skill_revolve,skill_chase,skill_break,skill_suppress,skill_finale</t>
        </is>
      </c>
      <c r="V311" s="442" t="inlineStr">
        <is>
          <t>trait_relentless</t>
        </is>
      </c>
      <c r="W311" s="457">
        <f>XLOOKUP($D311&amp;"|"&amp;$E311&amp;"|"&amp;$F311,'PET_STAT_RULES'!$A$5:$A$88,'PET_STAT_RULES'!$E$5:$E$88)</f>
        <v/>
      </c>
      <c r="X311" s="385" t="str"/>
      <c r="Y311" s="386" t="inlineStr">
        <is>
          <t>reserved</t>
        </is>
      </c>
      <c r="Z311" s="386" t="str"/>
      <c r="AA311" s="386" t="str"/>
    </row>
    <row r="312">
      <c r="A312" s="38" t="inlineStr">
        <is>
          <t>pal_311</t>
        </is>
      </c>
      <c r="B312" s="38" t="inlineStr">
        <is>
          <t>安德大兽</t>
        </is>
      </c>
      <c r="C312" s="38" t="inlineStr">
        <is>
          <t>暗</t>
        </is>
      </c>
      <c r="D312" s="265" t="inlineStr">
        <is>
          <t>白银</t>
        </is>
      </c>
      <c r="E312" s="38" t="inlineStr">
        <is>
          <t>输出</t>
        </is>
      </c>
      <c r="F312" s="38" t="inlineStr">
        <is>
          <t>三格</t>
        </is>
      </c>
      <c r="G312" s="38" t="inlineStr">
        <is>
          <t>bz_van_311</t>
        </is>
      </c>
      <c r="H312" s="38" t="inlineStr">
        <is>
          <t>elem_火, role_经济</t>
        </is>
      </c>
      <c r="I312" s="38" t="n">
        <v>2</v>
      </c>
      <c r="J312" s="456">
        <f>XLOOKUP($D312&amp;"|"&amp;$E312&amp;"|"&amp;$F312,'PET_STAT_RULES'!$A$5:$A$88,'PET_STAT_RULES'!$C$5:$C$88)</f>
        <v/>
      </c>
      <c r="K312" s="456">
        <f>XLOOKUP($D312&amp;"|"&amp;$E312&amp;"|"&amp;$F312,'PET_STAT_RULES'!$A$5:$A$88,'PET_STAT_RULES'!$D$5:$D$88)</f>
        <v/>
      </c>
      <c r="L312" s="456">
        <f>XLOOKUP($D312&amp;"|"&amp;$E312&amp;"|"&amp;$F312,'PET_STAT_RULES'!$A$5:$A$88,'PET_STAT_RULES'!$F$5:$F$88)</f>
        <v/>
      </c>
      <c r="M312" s="456">
        <f>XLOOKUP($D312&amp;"|"&amp;$E312&amp;"|"&amp;$F312,'PET_STAT_RULES'!$A$5:$A$88,'PET_STAT_RULES'!$G$5:$G$88)</f>
        <v/>
      </c>
      <c r="N312" s="38" t="n">
        <v>2</v>
      </c>
      <c r="O312" s="38" t="inlineStr">
        <is>
          <t>mech_grow_atk_each_round</t>
        </is>
      </c>
      <c r="P312" s="38" t="inlineStr">
        <is>
          <t>12 形状12</t>
        </is>
      </c>
      <c r="Q312" s="38" t="inlineStr">
        <is>
          <t>Heavy</t>
        </is>
      </c>
      <c r="R312" s="38" t="inlineStr">
        <is>
          <t>merchant_package confirmed；来源=安德的包裹；攻击2格；仅保留来源商人/训练师关系。</t>
        </is>
      </c>
      <c r="S312" s="38" t="n">
        <v>2</v>
      </c>
      <c r="T312" s="38" t="n">
        <v>2</v>
      </c>
      <c r="U312" s="442" t="inlineStr">
        <is>
          <t>skill_vanguard,skill_flank,skill_pierce,skill_revolve,skill_chase,skill_break,skill_suppress,skill_finale</t>
        </is>
      </c>
      <c r="V312" s="442" t="inlineStr">
        <is>
          <t>trait_relentless</t>
        </is>
      </c>
      <c r="W312" s="457">
        <f>XLOOKUP($D312&amp;"|"&amp;$E312&amp;"|"&amp;$F312,'PET_STAT_RULES'!$A$5:$A$88,'PET_STAT_RULES'!$E$5:$E$88)</f>
        <v/>
      </c>
      <c r="X312" s="385" t="str"/>
      <c r="Y312" s="386" t="inlineStr">
        <is>
          <t>reserved</t>
        </is>
      </c>
      <c r="Z312" s="386" t="str"/>
      <c r="AA312" s="386" t="str"/>
    </row>
    <row r="313">
      <c r="A313" s="38" t="inlineStr">
        <is>
          <t>pal_312</t>
        </is>
      </c>
      <c r="B313" s="38" t="inlineStr">
        <is>
          <t>安德小兽</t>
        </is>
      </c>
      <c r="C313" s="38" t="inlineStr">
        <is>
          <t>草</t>
        </is>
      </c>
      <c r="D313" s="259" t="inlineStr">
        <is>
          <t>青铜</t>
        </is>
      </c>
      <c r="E313" s="38" t="inlineStr">
        <is>
          <t>输出</t>
        </is>
      </c>
      <c r="F313" s="38" t="inlineStr">
        <is>
          <t>一格</t>
        </is>
      </c>
      <c r="G313" s="38" t="inlineStr">
        <is>
          <t>bz_van_312</t>
        </is>
      </c>
      <c r="H313" s="38" t="inlineStr">
        <is>
          <t>elem_火, elem_草</t>
        </is>
      </c>
      <c r="I313" s="38" t="n">
        <v>2</v>
      </c>
      <c r="J313" s="456">
        <f>XLOOKUP($D313&amp;"|"&amp;$E313&amp;"|"&amp;$F313,'PET_STAT_RULES'!$A$5:$A$88,'PET_STAT_RULES'!$C$5:$C$88)</f>
        <v/>
      </c>
      <c r="K313" s="456">
        <f>XLOOKUP($D313&amp;"|"&amp;$E313&amp;"|"&amp;$F313,'PET_STAT_RULES'!$A$5:$A$88,'PET_STAT_RULES'!$D$5:$D$88)</f>
        <v/>
      </c>
      <c r="L313" s="456">
        <f>XLOOKUP($D313&amp;"|"&amp;$E313&amp;"|"&amp;$F313,'PET_STAT_RULES'!$A$5:$A$88,'PET_STAT_RULES'!$F$5:$F$88)</f>
        <v/>
      </c>
      <c r="M313" s="456">
        <f>XLOOKUP($D313&amp;"|"&amp;$E313&amp;"|"&amp;$F313,'PET_STAT_RULES'!$A$5:$A$88,'PET_STAT_RULES'!$G$5:$G$88)</f>
        <v/>
      </c>
      <c r="N313" s="38" t="n">
        <v>3</v>
      </c>
      <c r="O313" s="38" t="inlineStr">
        <is>
          <t>mech_grow_atk_each_round</t>
        </is>
      </c>
      <c r="P313" s="38" t="inlineStr">
        <is>
          <t>15 形状15</t>
        </is>
      </c>
      <c r="Q313" s="38" t="inlineStr">
        <is>
          <t>Shiny</t>
        </is>
      </c>
      <c r="R313" s="38" t="inlineStr">
        <is>
          <t>merchant_package confirmed；来源=安德的包裹；攻击3格；仅保留来源商人/训练师关系。</t>
        </is>
      </c>
      <c r="S313" s="38" t="n">
        <v>3</v>
      </c>
      <c r="T313" s="38" t="n">
        <v>1</v>
      </c>
      <c r="U313" s="442" t="inlineStr">
        <is>
          <t>skill_vanguard,skill_flank,skill_pierce,skill_revolve,skill_chase,skill_break,skill_suppress,skill_finale</t>
        </is>
      </c>
      <c r="V313" s="442" t="inlineStr">
        <is>
          <t>trait_relentless</t>
        </is>
      </c>
      <c r="W313" s="457">
        <f>XLOOKUP($D313&amp;"|"&amp;$E313&amp;"|"&amp;$F313,'PET_STAT_RULES'!$A$5:$A$88,'PET_STAT_RULES'!$E$5:$E$88)</f>
        <v/>
      </c>
      <c r="X313" s="385" t="str"/>
      <c r="Y313" s="386" t="inlineStr">
        <is>
          <t>reserved</t>
        </is>
      </c>
      <c r="Z313" s="386" t="str"/>
      <c r="AA313" s="386" t="str"/>
    </row>
    <row r="314">
      <c r="A314" s="38" t="inlineStr">
        <is>
          <t>pal_313</t>
        </is>
      </c>
      <c r="B314" s="38" t="inlineStr">
        <is>
          <t>安德中兽</t>
        </is>
      </c>
      <c r="C314" s="38" t="inlineStr">
        <is>
          <t>龙</t>
        </is>
      </c>
      <c r="D314" s="259" t="inlineStr">
        <is>
          <t>青铜</t>
        </is>
      </c>
      <c r="E314" s="38" t="inlineStr">
        <is>
          <t>输出</t>
        </is>
      </c>
      <c r="F314" s="38" t="inlineStr">
        <is>
          <t>两格</t>
        </is>
      </c>
      <c r="G314" s="38" t="inlineStr">
        <is>
          <t>bz_van_313</t>
        </is>
      </c>
      <c r="H314" s="38" t="inlineStr">
        <is>
          <t>elem_火, elem_草</t>
        </is>
      </c>
      <c r="I314" s="38" t="n">
        <v>2</v>
      </c>
      <c r="J314" s="456">
        <f>XLOOKUP($D314&amp;"|"&amp;$E314&amp;"|"&amp;$F314,'PET_STAT_RULES'!$A$5:$A$88,'PET_STAT_RULES'!$C$5:$C$88)</f>
        <v/>
      </c>
      <c r="K314" s="456">
        <f>XLOOKUP($D314&amp;"|"&amp;$E314&amp;"|"&amp;$F314,'PET_STAT_RULES'!$A$5:$A$88,'PET_STAT_RULES'!$D$5:$D$88)</f>
        <v/>
      </c>
      <c r="L314" s="456">
        <f>XLOOKUP($D314&amp;"|"&amp;$E314&amp;"|"&amp;$F314,'PET_STAT_RULES'!$A$5:$A$88,'PET_STAT_RULES'!$F$5:$F$88)</f>
        <v/>
      </c>
      <c r="M314" s="456">
        <f>XLOOKUP($D314&amp;"|"&amp;$E314&amp;"|"&amp;$F314,'PET_STAT_RULES'!$A$5:$A$88,'PET_STAT_RULES'!$G$5:$G$88)</f>
        <v/>
      </c>
      <c r="N314" s="38" t="n">
        <v>1</v>
      </c>
      <c r="O314" s="38" t="inlineStr">
        <is>
          <t>mech_grow_atk_each_round</t>
        </is>
      </c>
      <c r="P314" s="38" t="inlineStr">
        <is>
          <t>02 形状02</t>
        </is>
      </c>
      <c r="Q314" s="38" t="inlineStr">
        <is>
          <t>Heavy</t>
        </is>
      </c>
      <c r="R314" s="38" t="inlineStr">
        <is>
          <t>merchant_package confirmed；来源=安德的包裹；攻击1格；仅保留来源商人/训练师关系。</t>
        </is>
      </c>
      <c r="S314" s="38" t="n">
        <v>3</v>
      </c>
      <c r="T314" s="38" t="n">
        <v>1</v>
      </c>
      <c r="U314" s="442" t="inlineStr">
        <is>
          <t>skill_vanguard,skill_flank,skill_pierce,skill_revolve,skill_chase,skill_break,skill_suppress,skill_finale</t>
        </is>
      </c>
      <c r="V314" s="442" t="inlineStr">
        <is>
          <t>trait_relentless</t>
        </is>
      </c>
      <c r="W314" s="457">
        <f>XLOOKUP($D314&amp;"|"&amp;$E314&amp;"|"&amp;$F314,'PET_STAT_RULES'!$A$5:$A$88,'PET_STAT_RULES'!$E$5:$E$88)</f>
        <v/>
      </c>
      <c r="X314" s="385" t="str"/>
      <c r="Y314" s="386" t="inlineStr">
        <is>
          <t>reserved</t>
        </is>
      </c>
      <c r="Z314" s="386" t="str"/>
      <c r="AA314" s="386" t="str"/>
    </row>
    <row r="315">
      <c r="A315" s="38" t="inlineStr">
        <is>
          <t>pal_314</t>
        </is>
      </c>
      <c r="B315" s="38" t="inlineStr">
        <is>
          <t>寇特大兽</t>
        </is>
      </c>
      <c r="C315" s="38" t="inlineStr">
        <is>
          <t>龙</t>
        </is>
      </c>
      <c r="D315" s="265" t="inlineStr">
        <is>
          <t>白银</t>
        </is>
      </c>
      <c r="E315" s="38" t="inlineStr">
        <is>
          <t>输出</t>
        </is>
      </c>
      <c r="F315" s="38" t="inlineStr">
        <is>
          <t>三格</t>
        </is>
      </c>
      <c r="G315" s="38" t="inlineStr">
        <is>
          <t>bz_van_314</t>
        </is>
      </c>
      <c r="H315" s="38" t="inlineStr">
        <is>
          <t>role_经济, role_机动</t>
        </is>
      </c>
      <c r="I315" s="38" t="n">
        <v>2</v>
      </c>
      <c r="J315" s="456">
        <f>XLOOKUP($D315&amp;"|"&amp;$E315&amp;"|"&amp;$F315,'PET_STAT_RULES'!$A$5:$A$88,'PET_STAT_RULES'!$C$5:$C$88)</f>
        <v/>
      </c>
      <c r="K315" s="456">
        <f>XLOOKUP($D315&amp;"|"&amp;$E315&amp;"|"&amp;$F315,'PET_STAT_RULES'!$A$5:$A$88,'PET_STAT_RULES'!$D$5:$D$88)</f>
        <v/>
      </c>
      <c r="L315" s="456">
        <f>XLOOKUP($D315&amp;"|"&amp;$E315&amp;"|"&amp;$F315,'PET_STAT_RULES'!$A$5:$A$88,'PET_STAT_RULES'!$F$5:$F$88)</f>
        <v/>
      </c>
      <c r="M315" s="456">
        <f>XLOOKUP($D315&amp;"|"&amp;$E315&amp;"|"&amp;$F315,'PET_STAT_RULES'!$A$5:$A$88,'PET_STAT_RULES'!$G$5:$G$88)</f>
        <v/>
      </c>
      <c r="N315" s="38" t="n">
        <v>2</v>
      </c>
      <c r="O315" s="38" t="inlineStr">
        <is>
          <t>mech_grow_atk_each_round</t>
        </is>
      </c>
      <c r="P315" s="38" t="inlineStr">
        <is>
          <t>05 形状05</t>
        </is>
      </c>
      <c r="Q315" s="38" t="inlineStr">
        <is>
          <t>Shiny</t>
        </is>
      </c>
      <c r="R315" s="38" t="inlineStr">
        <is>
          <t>merchant_package confirmed；来源=寇特的包裹；攻击2格；仅保留来源商人/训练师关系。</t>
        </is>
      </c>
      <c r="S315" s="38" t="n">
        <v>2</v>
      </c>
      <c r="T315" s="38" t="n">
        <v>2</v>
      </c>
      <c r="U315" s="442" t="inlineStr">
        <is>
          <t>skill_vanguard,skill_flank,skill_pierce,skill_revolve,skill_chase,skill_break,skill_suppress,skill_finale</t>
        </is>
      </c>
      <c r="V315" s="442" t="inlineStr">
        <is>
          <t>trait_relentless</t>
        </is>
      </c>
      <c r="W315" s="457">
        <f>XLOOKUP($D315&amp;"|"&amp;$E315&amp;"|"&amp;$F315,'PET_STAT_RULES'!$A$5:$A$88,'PET_STAT_RULES'!$E$5:$E$88)</f>
        <v/>
      </c>
      <c r="X315" s="385" t="str"/>
      <c r="Y315" s="386" t="inlineStr">
        <is>
          <t>reserved</t>
        </is>
      </c>
      <c r="Z315" s="386" t="str"/>
      <c r="AA315" s="386" t="str"/>
    </row>
    <row r="316">
      <c r="A316" s="38" t="inlineStr">
        <is>
          <t>pal_315</t>
        </is>
      </c>
      <c r="B316" s="38" t="inlineStr">
        <is>
          <t>寇特小兽</t>
        </is>
      </c>
      <c r="C316" s="38" t="inlineStr">
        <is>
          <t>暗</t>
        </is>
      </c>
      <c r="D316" s="259" t="inlineStr">
        <is>
          <t>青铜</t>
        </is>
      </c>
      <c r="E316" s="38" t="inlineStr">
        <is>
          <t>输出</t>
        </is>
      </c>
      <c r="F316" s="38" t="inlineStr">
        <is>
          <t>一格</t>
        </is>
      </c>
      <c r="G316" s="38" t="inlineStr">
        <is>
          <t>bz_van_315</t>
        </is>
      </c>
      <c r="H316" s="38" t="inlineStr">
        <is>
          <t>elem_草, role_机动</t>
        </is>
      </c>
      <c r="I316" s="38" t="n">
        <v>2</v>
      </c>
      <c r="J316" s="456">
        <f>XLOOKUP($D316&amp;"|"&amp;$E316&amp;"|"&amp;$F316,'PET_STAT_RULES'!$A$5:$A$88,'PET_STAT_RULES'!$C$5:$C$88)</f>
        <v/>
      </c>
      <c r="K316" s="456">
        <f>XLOOKUP($D316&amp;"|"&amp;$E316&amp;"|"&amp;$F316,'PET_STAT_RULES'!$A$5:$A$88,'PET_STAT_RULES'!$D$5:$D$88)</f>
        <v/>
      </c>
      <c r="L316" s="456">
        <f>XLOOKUP($D316&amp;"|"&amp;$E316&amp;"|"&amp;$F316,'PET_STAT_RULES'!$A$5:$A$88,'PET_STAT_RULES'!$F$5:$F$88)</f>
        <v/>
      </c>
      <c r="M316" s="456">
        <f>XLOOKUP($D316&amp;"|"&amp;$E316&amp;"|"&amp;$F316,'PET_STAT_RULES'!$A$5:$A$88,'PET_STAT_RULES'!$G$5:$G$88)</f>
        <v/>
      </c>
      <c r="N316" s="38" t="n">
        <v>3</v>
      </c>
      <c r="O316" s="38" t="inlineStr">
        <is>
          <t>mech_grow_atk_each_round</t>
        </is>
      </c>
      <c r="P316" s="38" t="inlineStr">
        <is>
          <t>15 形状15</t>
        </is>
      </c>
      <c r="Q316" s="38" t="inlineStr">
        <is>
          <t>Heavy</t>
        </is>
      </c>
      <c r="R316" s="38" t="inlineStr">
        <is>
          <t>merchant_package confirmed；来源=寇特的包裹；攻击3格；仅保留来源商人/训练师关系。</t>
        </is>
      </c>
      <c r="S316" s="38" t="n">
        <v>3</v>
      </c>
      <c r="T316" s="38" t="n">
        <v>1</v>
      </c>
      <c r="U316" s="442" t="inlineStr">
        <is>
          <t>skill_vanguard,skill_flank,skill_pierce,skill_revolve,skill_chase,skill_break,skill_suppress,skill_finale</t>
        </is>
      </c>
      <c r="V316" s="442" t="inlineStr">
        <is>
          <t>trait_relentless</t>
        </is>
      </c>
      <c r="W316" s="457">
        <f>XLOOKUP($D316&amp;"|"&amp;$E316&amp;"|"&amp;$F316,'PET_STAT_RULES'!$A$5:$A$88,'PET_STAT_RULES'!$E$5:$E$88)</f>
        <v/>
      </c>
      <c r="X316" s="385" t="str"/>
      <c r="Y316" s="386" t="inlineStr">
        <is>
          <t>reserved</t>
        </is>
      </c>
      <c r="Z316" s="386" t="str"/>
      <c r="AA316" s="386" t="str"/>
    </row>
    <row r="317">
      <c r="A317" s="38" t="inlineStr">
        <is>
          <t>pal_316</t>
        </is>
      </c>
      <c r="B317" s="38" t="inlineStr">
        <is>
          <t>寇特中兽</t>
        </is>
      </c>
      <c r="C317" s="38" t="inlineStr">
        <is>
          <t>火</t>
        </is>
      </c>
      <c r="D317" s="259" t="inlineStr">
        <is>
          <t>青铜</t>
        </is>
      </c>
      <c r="E317" s="38" t="inlineStr">
        <is>
          <t>输出</t>
        </is>
      </c>
      <c r="F317" s="38" t="inlineStr">
        <is>
          <t>两格</t>
        </is>
      </c>
      <c r="G317" s="38" t="inlineStr">
        <is>
          <t>bz_van_316</t>
        </is>
      </c>
      <c r="H317" s="38" t="inlineStr">
        <is>
          <t>elem_草, role_机动</t>
        </is>
      </c>
      <c r="I317" s="38" t="n">
        <v>2</v>
      </c>
      <c r="J317" s="456">
        <f>XLOOKUP($D317&amp;"|"&amp;$E317&amp;"|"&amp;$F317,'PET_STAT_RULES'!$A$5:$A$88,'PET_STAT_RULES'!$C$5:$C$88)</f>
        <v/>
      </c>
      <c r="K317" s="456">
        <f>XLOOKUP($D317&amp;"|"&amp;$E317&amp;"|"&amp;$F317,'PET_STAT_RULES'!$A$5:$A$88,'PET_STAT_RULES'!$D$5:$D$88)</f>
        <v/>
      </c>
      <c r="L317" s="456">
        <f>XLOOKUP($D317&amp;"|"&amp;$E317&amp;"|"&amp;$F317,'PET_STAT_RULES'!$A$5:$A$88,'PET_STAT_RULES'!$F$5:$F$88)</f>
        <v/>
      </c>
      <c r="M317" s="456">
        <f>XLOOKUP($D317&amp;"|"&amp;$E317&amp;"|"&amp;$F317,'PET_STAT_RULES'!$A$5:$A$88,'PET_STAT_RULES'!$G$5:$G$88)</f>
        <v/>
      </c>
      <c r="N317" s="38" t="n">
        <v>1</v>
      </c>
      <c r="O317" s="38" t="inlineStr">
        <is>
          <t>mech_grow_atk_each_round</t>
        </is>
      </c>
      <c r="P317" s="38" t="inlineStr">
        <is>
          <t>03 形状03</t>
        </is>
      </c>
      <c r="Q317" s="38" t="inlineStr">
        <is>
          <t>Shiny</t>
        </is>
      </c>
      <c r="R317" s="38" t="inlineStr">
        <is>
          <t>merchant_package confirmed；来源=寇特的包裹；攻击1格；仅保留来源商人/训练师关系。</t>
        </is>
      </c>
      <c r="S317" s="38" t="n">
        <v>3</v>
      </c>
      <c r="T317" s="38" t="n">
        <v>1</v>
      </c>
      <c r="U317" s="442" t="inlineStr">
        <is>
          <t>skill_vanguard,skill_flank,skill_pierce,skill_revolve,skill_chase,skill_break,skill_suppress,skill_finale</t>
        </is>
      </c>
      <c r="V317" s="442" t="inlineStr">
        <is>
          <t>trait_relentless</t>
        </is>
      </c>
      <c r="W317" s="457">
        <f>XLOOKUP($D317&amp;"|"&amp;$E317&amp;"|"&amp;$F317,'PET_STAT_RULES'!$A$5:$A$88,'PET_STAT_RULES'!$E$5:$E$88)</f>
        <v/>
      </c>
      <c r="X317" s="385" t="str"/>
      <c r="Y317" s="386" t="inlineStr">
        <is>
          <t>reserved</t>
        </is>
      </c>
      <c r="Z317" s="386" t="str"/>
      <c r="AA317" s="386" t="str"/>
    </row>
    <row r="318">
      <c r="A318" s="38" t="inlineStr">
        <is>
          <t>pal_317</t>
        </is>
      </c>
      <c r="B318" s="38" t="inlineStr">
        <is>
          <t>库里中兽</t>
        </is>
      </c>
      <c r="C318" s="38" t="inlineStr">
        <is>
          <t>龙</t>
        </is>
      </c>
      <c r="D318" s="259" t="inlineStr">
        <is>
          <t>青铜</t>
        </is>
      </c>
      <c r="E318" s="38" t="inlineStr">
        <is>
          <t>输出</t>
        </is>
      </c>
      <c r="F318" s="38" t="inlineStr">
        <is>
          <t>两格</t>
        </is>
      </c>
      <c r="G318" s="38" t="inlineStr">
        <is>
          <t>bz_van_317</t>
        </is>
      </c>
      <c r="H318" s="38" t="inlineStr">
        <is>
          <t>elem_草</t>
        </is>
      </c>
      <c r="I318" s="38" t="n">
        <v>1</v>
      </c>
      <c r="J318" s="456">
        <f>XLOOKUP($D318&amp;"|"&amp;$E318&amp;"|"&amp;$F318,'PET_STAT_RULES'!$A$5:$A$88,'PET_STAT_RULES'!$C$5:$C$88)</f>
        <v/>
      </c>
      <c r="K318" s="456">
        <f>XLOOKUP($D318&amp;"|"&amp;$E318&amp;"|"&amp;$F318,'PET_STAT_RULES'!$A$5:$A$88,'PET_STAT_RULES'!$D$5:$D$88)</f>
        <v/>
      </c>
      <c r="L318" s="456">
        <f>XLOOKUP($D318&amp;"|"&amp;$E318&amp;"|"&amp;$F318,'PET_STAT_RULES'!$A$5:$A$88,'PET_STAT_RULES'!$F$5:$F$88)</f>
        <v/>
      </c>
      <c r="M318" s="456">
        <f>XLOOKUP($D318&amp;"|"&amp;$E318&amp;"|"&amp;$F318,'PET_STAT_RULES'!$A$5:$A$88,'PET_STAT_RULES'!$G$5:$G$88)</f>
        <v/>
      </c>
      <c r="N318" s="38" t="n">
        <v>1</v>
      </c>
      <c r="O318" s="38" t="inlineStr">
        <is>
          <t>mech_grow_atk_each_round</t>
        </is>
      </c>
      <c r="P318" s="38" t="inlineStr">
        <is>
          <t>01 形状01</t>
        </is>
      </c>
      <c r="Q318" s="38" t="inlineStr">
        <is>
          <t>Shiny</t>
        </is>
      </c>
      <c r="R318" s="38" t="inlineStr">
        <is>
          <t>merchant_package confirmed；来源=库里欧的包裹；攻击1格；仅保留来源商人/训练师关系。</t>
        </is>
      </c>
      <c r="S318" s="38" t="n">
        <v>3</v>
      </c>
      <c r="T318" s="38" t="n">
        <v>1</v>
      </c>
      <c r="U318" s="442" t="inlineStr">
        <is>
          <t>skill_vanguard,skill_flank,skill_pierce,skill_revolve,skill_chase,skill_break,skill_suppress,skill_finale</t>
        </is>
      </c>
      <c r="V318" s="442" t="inlineStr">
        <is>
          <t>trait_relentless</t>
        </is>
      </c>
      <c r="W318" s="457">
        <f>XLOOKUP($D318&amp;"|"&amp;$E318&amp;"|"&amp;$F318,'PET_STAT_RULES'!$A$5:$A$88,'PET_STAT_RULES'!$E$5:$E$88)</f>
        <v/>
      </c>
      <c r="X318" s="385" t="str"/>
      <c r="Y318" s="386" t="inlineStr">
        <is>
          <t>reserved</t>
        </is>
      </c>
      <c r="Z318" s="386" t="str"/>
      <c r="AA318" s="386" t="str"/>
    </row>
    <row r="319">
      <c r="A319" s="38" t="inlineStr">
        <is>
          <t>pal_318</t>
        </is>
      </c>
      <c r="B319" s="38" t="inlineStr">
        <is>
          <t>库里小兽</t>
        </is>
      </c>
      <c r="C319" s="38" t="inlineStr">
        <is>
          <t>无</t>
        </is>
      </c>
      <c r="D319" s="259" t="inlineStr">
        <is>
          <t>青铜</t>
        </is>
      </c>
      <c r="E319" s="38" t="inlineStr">
        <is>
          <t>输出</t>
        </is>
      </c>
      <c r="F319" s="38" t="inlineStr">
        <is>
          <t>一格</t>
        </is>
      </c>
      <c r="G319" s="38" t="inlineStr">
        <is>
          <t>bz_van_318</t>
        </is>
      </c>
      <c r="H319" s="38" t="inlineStr">
        <is>
          <t>elem_草</t>
        </is>
      </c>
      <c r="I319" s="38" t="n">
        <v>1</v>
      </c>
      <c r="J319" s="456">
        <f>XLOOKUP($D319&amp;"|"&amp;$E319&amp;"|"&amp;$F319,'PET_STAT_RULES'!$A$5:$A$88,'PET_STAT_RULES'!$C$5:$C$88)</f>
        <v/>
      </c>
      <c r="K319" s="456">
        <f>XLOOKUP($D319&amp;"|"&amp;$E319&amp;"|"&amp;$F319,'PET_STAT_RULES'!$A$5:$A$88,'PET_STAT_RULES'!$D$5:$D$88)</f>
        <v/>
      </c>
      <c r="L319" s="456">
        <f>XLOOKUP($D319&amp;"|"&amp;$E319&amp;"|"&amp;$F319,'PET_STAT_RULES'!$A$5:$A$88,'PET_STAT_RULES'!$F$5:$F$88)</f>
        <v/>
      </c>
      <c r="M319" s="456">
        <f>XLOOKUP($D319&amp;"|"&amp;$E319&amp;"|"&amp;$F319,'PET_STAT_RULES'!$A$5:$A$88,'PET_STAT_RULES'!$G$5:$G$88)</f>
        <v/>
      </c>
      <c r="N319" s="38" t="n">
        <v>3</v>
      </c>
      <c r="O319" s="38" t="inlineStr">
        <is>
          <t>mech_grow_atk_each_round</t>
        </is>
      </c>
      <c r="P319" s="38" t="inlineStr">
        <is>
          <t>18 形状18</t>
        </is>
      </c>
      <c r="Q319" s="38" t="inlineStr">
        <is>
          <t>Heavy</t>
        </is>
      </c>
      <c r="R319" s="38" t="inlineStr">
        <is>
          <t>merchant_package confirmed；来源=库里欧的包裹；攻击3格；仅保留来源商人/训练师关系。</t>
        </is>
      </c>
      <c r="S319" s="38" t="n">
        <v>3</v>
      </c>
      <c r="T319" s="38" t="n">
        <v>1</v>
      </c>
      <c r="U319" s="442" t="inlineStr">
        <is>
          <t>skill_vanguard,skill_flank,skill_pierce,skill_revolve,skill_chase,skill_break,skill_suppress,skill_finale</t>
        </is>
      </c>
      <c r="V319" s="442" t="inlineStr">
        <is>
          <t>trait_relentless</t>
        </is>
      </c>
      <c r="W319" s="457">
        <f>XLOOKUP($D319&amp;"|"&amp;$E319&amp;"|"&amp;$F319,'PET_STAT_RULES'!$A$5:$A$88,'PET_STAT_RULES'!$E$5:$E$88)</f>
        <v/>
      </c>
      <c r="X319" s="385" t="str"/>
      <c r="Y319" s="386" t="inlineStr">
        <is>
          <t>reserved</t>
        </is>
      </c>
      <c r="Z319" s="386" t="str"/>
      <c r="AA319" s="386" t="str"/>
    </row>
    <row r="320">
      <c r="A320" s="38" t="inlineStr">
        <is>
          <t>pal_319</t>
        </is>
      </c>
      <c r="B320" s="38" t="inlineStr">
        <is>
          <t>库里大兽</t>
        </is>
      </c>
      <c r="C320" s="38" t="inlineStr">
        <is>
          <t>水</t>
        </is>
      </c>
      <c r="D320" s="265" t="inlineStr">
        <is>
          <t>白银</t>
        </is>
      </c>
      <c r="E320" s="38" t="inlineStr">
        <is>
          <t>输出</t>
        </is>
      </c>
      <c r="F320" s="38" t="inlineStr">
        <is>
          <t>三格</t>
        </is>
      </c>
      <c r="G320" s="38" t="inlineStr">
        <is>
          <t>bz_van_319</t>
        </is>
      </c>
      <c r="H320" s="38" t="inlineStr">
        <is>
          <t>elem_草, role_经济</t>
        </is>
      </c>
      <c r="I320" s="38" t="n">
        <v>2</v>
      </c>
      <c r="J320" s="456">
        <f>XLOOKUP($D320&amp;"|"&amp;$E320&amp;"|"&amp;$F320,'PET_STAT_RULES'!$A$5:$A$88,'PET_STAT_RULES'!$C$5:$C$88)</f>
        <v/>
      </c>
      <c r="K320" s="456">
        <f>XLOOKUP($D320&amp;"|"&amp;$E320&amp;"|"&amp;$F320,'PET_STAT_RULES'!$A$5:$A$88,'PET_STAT_RULES'!$D$5:$D$88)</f>
        <v/>
      </c>
      <c r="L320" s="456">
        <f>XLOOKUP($D320&amp;"|"&amp;$E320&amp;"|"&amp;$F320,'PET_STAT_RULES'!$A$5:$A$88,'PET_STAT_RULES'!$F$5:$F$88)</f>
        <v/>
      </c>
      <c r="M320" s="456">
        <f>XLOOKUP($D320&amp;"|"&amp;$E320&amp;"|"&amp;$F320,'PET_STAT_RULES'!$A$5:$A$88,'PET_STAT_RULES'!$G$5:$G$88)</f>
        <v/>
      </c>
      <c r="N320" s="38" t="n">
        <v>2</v>
      </c>
      <c r="O320" s="38" t="inlineStr">
        <is>
          <t>mech_grow_atk_each_round</t>
        </is>
      </c>
      <c r="P320" s="38" t="inlineStr">
        <is>
          <t>09 形状09</t>
        </is>
      </c>
      <c r="Q320" s="38" t="inlineStr">
        <is>
          <t>Shiny</t>
        </is>
      </c>
      <c r="R320" s="38" t="inlineStr">
        <is>
          <t>merchant_package confirmed；来源=库里欧的包裹；攻击2格；仅保留来源商人/训练师关系。</t>
        </is>
      </c>
      <c r="S320" s="38" t="n">
        <v>2</v>
      </c>
      <c r="T320" s="38" t="n">
        <v>2</v>
      </c>
      <c r="U320" s="442" t="inlineStr">
        <is>
          <t>skill_vanguard,skill_flank,skill_pierce,skill_revolve,skill_chase,skill_break,skill_suppress,skill_finale</t>
        </is>
      </c>
      <c r="V320" s="442" t="inlineStr">
        <is>
          <t>trait_relentless</t>
        </is>
      </c>
      <c r="W320" s="457">
        <f>XLOOKUP($D320&amp;"|"&amp;$E320&amp;"|"&amp;$F320,'PET_STAT_RULES'!$A$5:$A$88,'PET_STAT_RULES'!$E$5:$E$88)</f>
        <v/>
      </c>
      <c r="X320" s="385" t="str"/>
      <c r="Y320" s="386" t="inlineStr">
        <is>
          <t>reserved</t>
        </is>
      </c>
      <c r="Z320" s="386" t="str"/>
      <c r="AA320" s="386" t="str"/>
    </row>
    <row r="321">
      <c r="A321" s="38" t="inlineStr">
        <is>
          <t>pal_320</t>
        </is>
      </c>
      <c r="B321" s="38" t="inlineStr">
        <is>
          <t>戈迪小兽</t>
        </is>
      </c>
      <c r="C321" s="38" t="inlineStr">
        <is>
          <t>草</t>
        </is>
      </c>
      <c r="D321" s="265" t="inlineStr">
        <is>
          <t>白银</t>
        </is>
      </c>
      <c r="E321" s="38" t="inlineStr">
        <is>
          <t>经济</t>
        </is>
      </c>
      <c r="F321" s="38" t="inlineStr">
        <is>
          <t>一格</t>
        </is>
      </c>
      <c r="G321" s="38" t="inlineStr">
        <is>
          <t>bz_van_320</t>
        </is>
      </c>
      <c r="H321" s="38" t="inlineStr">
        <is>
          <t>role_坦克, role_经济</t>
        </is>
      </c>
      <c r="I321" s="38" t="n">
        <v>2</v>
      </c>
      <c r="J321" s="456">
        <f>XLOOKUP($D321&amp;"|"&amp;$E321&amp;"|"&amp;$F321,'PET_STAT_RULES'!$A$5:$A$88,'PET_STAT_RULES'!$C$5:$C$88)</f>
        <v/>
      </c>
      <c r="K321" s="456">
        <f>XLOOKUP($D321&amp;"|"&amp;$E321&amp;"|"&amp;$F321,'PET_STAT_RULES'!$A$5:$A$88,'PET_STAT_RULES'!$D$5:$D$88)</f>
        <v/>
      </c>
      <c r="L321" s="456">
        <f>XLOOKUP($D321&amp;"|"&amp;$E321&amp;"|"&amp;$F321,'PET_STAT_RULES'!$A$5:$A$88,'PET_STAT_RULES'!$F$5:$F$88)</f>
        <v/>
      </c>
      <c r="M321" s="456">
        <f>XLOOKUP($D321&amp;"|"&amp;$E321&amp;"|"&amp;$F321,'PET_STAT_RULES'!$A$5:$A$88,'PET_STAT_RULES'!$G$5:$G$88)</f>
        <v/>
      </c>
      <c r="N321" s="38" t="n">
        <v>3</v>
      </c>
      <c r="O321" s="38" t="inlineStr">
        <is>
          <t>none</t>
        </is>
      </c>
      <c r="P321" s="38" t="inlineStr">
        <is>
          <t>18 形状18</t>
        </is>
      </c>
      <c r="Q321" s="38" t="inlineStr">
        <is>
          <t>Golden</t>
        </is>
      </c>
      <c r="R321" s="38" t="inlineStr">
        <is>
          <t>merchant_package confirmed；来源=戈尔迪的包裹；攻击3格；仅保留来源商人/训练师关系。</t>
        </is>
      </c>
      <c r="S321" s="38" t="n">
        <v>3</v>
      </c>
      <c r="T321" s="38" t="n">
        <v>2</v>
      </c>
      <c r="U321" s="442" t="inlineStr">
        <is>
          <t>skill_vanguard,skill_flank,skill_pierce,skill_revolve,skill_chase,skill_break,skill_suppress,skill_finale</t>
        </is>
      </c>
      <c r="V321" s="442" t="inlineStr">
        <is>
          <t>trait_combo_resonance</t>
        </is>
      </c>
      <c r="W321" s="457">
        <f>XLOOKUP($D321&amp;"|"&amp;$E321&amp;"|"&amp;$F321,'PET_STAT_RULES'!$A$5:$A$88,'PET_STAT_RULES'!$E$5:$E$88)</f>
        <v/>
      </c>
      <c r="X321" s="385" t="str"/>
      <c r="Y321" s="386" t="inlineStr">
        <is>
          <t>reserved</t>
        </is>
      </c>
      <c r="Z321" s="386" t="str"/>
      <c r="AA321" s="386" t="str"/>
    </row>
    <row r="322">
      <c r="A322" s="38" t="inlineStr">
        <is>
          <t>pal_321</t>
        </is>
      </c>
      <c r="B322" s="38" t="inlineStr">
        <is>
          <t>戈迪中兽</t>
        </is>
      </c>
      <c r="C322" s="38" t="inlineStr">
        <is>
          <t>龙</t>
        </is>
      </c>
      <c r="D322" s="265" t="inlineStr">
        <is>
          <t>白银</t>
        </is>
      </c>
      <c r="E322" s="38" t="inlineStr">
        <is>
          <t>经济</t>
        </is>
      </c>
      <c r="F322" s="38" t="inlineStr">
        <is>
          <t>两格</t>
        </is>
      </c>
      <c r="G322" s="38" t="inlineStr">
        <is>
          <t>bz_van_321</t>
        </is>
      </c>
      <c r="H322" s="38" t="inlineStr">
        <is>
          <t>role_坦克, role_经济</t>
        </is>
      </c>
      <c r="I322" s="38" t="n">
        <v>2</v>
      </c>
      <c r="J322" s="456">
        <f>XLOOKUP($D322&amp;"|"&amp;$E322&amp;"|"&amp;$F322,'PET_STAT_RULES'!$A$5:$A$88,'PET_STAT_RULES'!$C$5:$C$88)</f>
        <v/>
      </c>
      <c r="K322" s="456">
        <f>XLOOKUP($D322&amp;"|"&amp;$E322&amp;"|"&amp;$F322,'PET_STAT_RULES'!$A$5:$A$88,'PET_STAT_RULES'!$D$5:$D$88)</f>
        <v/>
      </c>
      <c r="L322" s="456">
        <f>XLOOKUP($D322&amp;"|"&amp;$E322&amp;"|"&amp;$F322,'PET_STAT_RULES'!$A$5:$A$88,'PET_STAT_RULES'!$F$5:$F$88)</f>
        <v/>
      </c>
      <c r="M322" s="456">
        <f>XLOOKUP($D322&amp;"|"&amp;$E322&amp;"|"&amp;$F322,'PET_STAT_RULES'!$A$5:$A$88,'PET_STAT_RULES'!$G$5:$G$88)</f>
        <v/>
      </c>
      <c r="N322" s="38" t="n">
        <v>2</v>
      </c>
      <c r="O322" s="38" t="inlineStr">
        <is>
          <t>none</t>
        </is>
      </c>
      <c r="P322" s="38" t="inlineStr">
        <is>
          <t>08 形状08</t>
        </is>
      </c>
      <c r="Q322" s="38" t="inlineStr">
        <is>
          <t>Golden</t>
        </is>
      </c>
      <c r="R322" s="38" t="inlineStr">
        <is>
          <t>merchant_package confirmed；来源=戈尔迪的包裹；攻击2格；仅保留来源商人/训练师关系。</t>
        </is>
      </c>
      <c r="S322" s="38" t="n">
        <v>3</v>
      </c>
      <c r="T322" s="38" t="n">
        <v>2</v>
      </c>
      <c r="U322" s="442" t="inlineStr">
        <is>
          <t>skill_vanguard,skill_flank,skill_pierce,skill_revolve,skill_chase,skill_break,skill_suppress,skill_finale</t>
        </is>
      </c>
      <c r="V322" s="442" t="inlineStr">
        <is>
          <t>trait_combo_resonance</t>
        </is>
      </c>
      <c r="W322" s="457">
        <f>XLOOKUP($D322&amp;"|"&amp;$E322&amp;"|"&amp;$F322,'PET_STAT_RULES'!$A$5:$A$88,'PET_STAT_RULES'!$E$5:$E$88)</f>
        <v/>
      </c>
      <c r="X322" s="385" t="str"/>
      <c r="Y322" s="386" t="inlineStr">
        <is>
          <t>reserved</t>
        </is>
      </c>
      <c r="Z322" s="386" t="str"/>
      <c r="AA322" s="386" t="str"/>
    </row>
    <row r="323">
      <c r="A323" s="38" t="inlineStr">
        <is>
          <t>pal_322</t>
        </is>
      </c>
      <c r="B323" s="38" t="inlineStr">
        <is>
          <t>戈迪大兽</t>
        </is>
      </c>
      <c r="C323" s="38" t="inlineStr">
        <is>
          <t>龙</t>
        </is>
      </c>
      <c r="D323" s="265" t="inlineStr">
        <is>
          <t>白银</t>
        </is>
      </c>
      <c r="E323" s="38" t="inlineStr">
        <is>
          <t>经济</t>
        </is>
      </c>
      <c r="F323" s="38" t="inlineStr">
        <is>
          <t>三格</t>
        </is>
      </c>
      <c r="G323" s="38" t="inlineStr">
        <is>
          <t>bz_van_322</t>
        </is>
      </c>
      <c r="H323" s="38" t="inlineStr">
        <is>
          <t>role_坦克, role_经济</t>
        </is>
      </c>
      <c r="I323" s="38" t="n">
        <v>2</v>
      </c>
      <c r="J323" s="456">
        <f>XLOOKUP($D323&amp;"|"&amp;$E323&amp;"|"&amp;$F323,'PET_STAT_RULES'!$A$5:$A$88,'PET_STAT_RULES'!$C$5:$C$88)</f>
        <v/>
      </c>
      <c r="K323" s="456">
        <f>XLOOKUP($D323&amp;"|"&amp;$E323&amp;"|"&amp;$F323,'PET_STAT_RULES'!$A$5:$A$88,'PET_STAT_RULES'!$D$5:$D$88)</f>
        <v/>
      </c>
      <c r="L323" s="456">
        <f>XLOOKUP($D323&amp;"|"&amp;$E323&amp;"|"&amp;$F323,'PET_STAT_RULES'!$A$5:$A$88,'PET_STAT_RULES'!$F$5:$F$88)</f>
        <v/>
      </c>
      <c r="M323" s="456">
        <f>XLOOKUP($D323&amp;"|"&amp;$E323&amp;"|"&amp;$F323,'PET_STAT_RULES'!$A$5:$A$88,'PET_STAT_RULES'!$G$5:$G$88)</f>
        <v/>
      </c>
      <c r="N323" s="38" t="n">
        <v>2</v>
      </c>
      <c r="O323" s="38" t="inlineStr">
        <is>
          <t>none</t>
        </is>
      </c>
      <c r="P323" s="38" t="inlineStr">
        <is>
          <t>05 形状05</t>
        </is>
      </c>
      <c r="Q323" s="38" t="inlineStr">
        <is>
          <t>Golden</t>
        </is>
      </c>
      <c r="R323" s="38" t="inlineStr">
        <is>
          <t>merchant_package confirmed；来源=戈尔迪的包裹；攻击2格；仅保留来源商人/训练师关系。</t>
        </is>
      </c>
      <c r="S323" s="38" t="n">
        <v>2</v>
      </c>
      <c r="T323" s="38" t="n">
        <v>2</v>
      </c>
      <c r="U323" s="442" t="inlineStr">
        <is>
          <t>skill_vanguard,skill_flank,skill_pierce,skill_revolve,skill_chase,skill_break,skill_suppress,skill_finale</t>
        </is>
      </c>
      <c r="V323" s="442" t="inlineStr">
        <is>
          <t>trait_combo_resonance</t>
        </is>
      </c>
      <c r="W323" s="457">
        <f>XLOOKUP($D323&amp;"|"&amp;$E323&amp;"|"&amp;$F323,'PET_STAT_RULES'!$A$5:$A$88,'PET_STAT_RULES'!$E$5:$E$88)</f>
        <v/>
      </c>
      <c r="X323" s="385" t="str"/>
      <c r="Y323" s="386" t="inlineStr">
        <is>
          <t>reserved</t>
        </is>
      </c>
      <c r="Z323" s="386" t="str"/>
      <c r="AA323" s="386" t="str"/>
    </row>
    <row r="324">
      <c r="A324" s="38" t="inlineStr">
        <is>
          <t>pal_323</t>
        </is>
      </c>
      <c r="B324" s="38" t="inlineStr">
        <is>
          <t>托克大兽</t>
        </is>
      </c>
      <c r="C324" s="38" t="inlineStr">
        <is>
          <t>水</t>
        </is>
      </c>
      <c r="D324" s="265" t="inlineStr">
        <is>
          <t>白银</t>
        </is>
      </c>
      <c r="E324" s="38" t="inlineStr">
        <is>
          <t>输出</t>
        </is>
      </c>
      <c r="F324" s="38" t="inlineStr">
        <is>
          <t>三格</t>
        </is>
      </c>
      <c r="G324" s="38" t="inlineStr">
        <is>
          <t>bz_van_323</t>
        </is>
      </c>
      <c r="H324" s="38" t="inlineStr">
        <is>
          <t>role_经济, special_merchant</t>
        </is>
      </c>
      <c r="I324" s="38" t="n">
        <v>2</v>
      </c>
      <c r="J324" s="456">
        <f>XLOOKUP($D324&amp;"|"&amp;$E324&amp;"|"&amp;$F324,'PET_STAT_RULES'!$A$5:$A$88,'PET_STAT_RULES'!$C$5:$C$88)</f>
        <v/>
      </c>
      <c r="K324" s="456">
        <f>XLOOKUP($D324&amp;"|"&amp;$E324&amp;"|"&amp;$F324,'PET_STAT_RULES'!$A$5:$A$88,'PET_STAT_RULES'!$D$5:$D$88)</f>
        <v/>
      </c>
      <c r="L324" s="456">
        <f>XLOOKUP($D324&amp;"|"&amp;$E324&amp;"|"&amp;$F324,'PET_STAT_RULES'!$A$5:$A$88,'PET_STAT_RULES'!$F$5:$F$88)</f>
        <v/>
      </c>
      <c r="M324" s="456">
        <f>XLOOKUP($D324&amp;"|"&amp;$E324&amp;"|"&amp;$F324,'PET_STAT_RULES'!$A$5:$A$88,'PET_STAT_RULES'!$G$5:$G$88)</f>
        <v/>
      </c>
      <c r="N324" s="38" t="n">
        <v>2</v>
      </c>
      <c r="O324" s="38" t="inlineStr">
        <is>
          <t>mech_grow_atk_each_round</t>
        </is>
      </c>
      <c r="P324" s="38" t="inlineStr">
        <is>
          <t>09 形状09</t>
        </is>
      </c>
      <c r="Q324" s="38" t="inlineStr">
        <is>
          <t>Shiny</t>
        </is>
      </c>
      <c r="R324" s="38" t="inlineStr">
        <is>
          <t>merchant_package confirmed；来源=托克钟表店的包裹；攻击2格；仅保留来源商人/训练师关系。</t>
        </is>
      </c>
      <c r="S324" s="38" t="n">
        <v>2</v>
      </c>
      <c r="T324" s="38" t="n">
        <v>2</v>
      </c>
      <c r="U324" s="442" t="inlineStr">
        <is>
          <t>skill_vanguard,skill_flank,skill_pierce,skill_revolve,skill_chase,skill_break,skill_suppress,skill_finale</t>
        </is>
      </c>
      <c r="V324" s="442" t="inlineStr">
        <is>
          <t>trait_relentless</t>
        </is>
      </c>
      <c r="W324" s="457">
        <f>XLOOKUP($D324&amp;"|"&amp;$E324&amp;"|"&amp;$F324,'PET_STAT_RULES'!$A$5:$A$88,'PET_STAT_RULES'!$E$5:$E$88)</f>
        <v/>
      </c>
      <c r="X324" s="385" t="str"/>
      <c r="Y324" s="386" t="inlineStr">
        <is>
          <t>reserved</t>
        </is>
      </c>
      <c r="Z324" s="386" t="str"/>
      <c r="AA324" s="386" t="str"/>
    </row>
    <row r="325">
      <c r="A325" s="38" t="inlineStr">
        <is>
          <t>pal_324</t>
        </is>
      </c>
      <c r="B325" s="38" t="inlineStr">
        <is>
          <t>托克中兽</t>
        </is>
      </c>
      <c r="C325" s="38" t="inlineStr">
        <is>
          <t>地</t>
        </is>
      </c>
      <c r="D325" s="265" t="inlineStr">
        <is>
          <t>白银</t>
        </is>
      </c>
      <c r="E325" s="38" t="inlineStr">
        <is>
          <t>输出</t>
        </is>
      </c>
      <c r="F325" s="38" t="inlineStr">
        <is>
          <t>两格</t>
        </is>
      </c>
      <c r="G325" s="38" t="inlineStr">
        <is>
          <t>bz_van_324</t>
        </is>
      </c>
      <c r="H325" s="38" t="inlineStr">
        <is>
          <t>role_经济, special_merchant</t>
        </is>
      </c>
      <c r="I325" s="38" t="n">
        <v>2</v>
      </c>
      <c r="J325" s="456">
        <f>XLOOKUP($D325&amp;"|"&amp;$E325&amp;"|"&amp;$F325,'PET_STAT_RULES'!$A$5:$A$88,'PET_STAT_RULES'!$C$5:$C$88)</f>
        <v/>
      </c>
      <c r="K325" s="456">
        <f>XLOOKUP($D325&amp;"|"&amp;$E325&amp;"|"&amp;$F325,'PET_STAT_RULES'!$A$5:$A$88,'PET_STAT_RULES'!$D$5:$D$88)</f>
        <v/>
      </c>
      <c r="L325" s="456">
        <f>XLOOKUP($D325&amp;"|"&amp;$E325&amp;"|"&amp;$F325,'PET_STAT_RULES'!$A$5:$A$88,'PET_STAT_RULES'!$F$5:$F$88)</f>
        <v/>
      </c>
      <c r="M325" s="456">
        <f>XLOOKUP($D325&amp;"|"&amp;$E325&amp;"|"&amp;$F325,'PET_STAT_RULES'!$A$5:$A$88,'PET_STAT_RULES'!$G$5:$G$88)</f>
        <v/>
      </c>
      <c r="N325" s="38" t="n">
        <v>2</v>
      </c>
      <c r="O325" s="38" t="inlineStr">
        <is>
          <t>mech_grow_atk_each_round</t>
        </is>
      </c>
      <c r="P325" s="38" t="inlineStr">
        <is>
          <t>09 形状09</t>
        </is>
      </c>
      <c r="Q325" s="38" t="inlineStr">
        <is>
          <t>Shiny</t>
        </is>
      </c>
      <c r="R325" s="38" t="inlineStr">
        <is>
          <t>merchant_package confirmed；来源=托克钟表店的包裹；攻击2格；仅保留来源商人/训练师关系。</t>
        </is>
      </c>
      <c r="S325" s="38" t="n">
        <v>3</v>
      </c>
      <c r="T325" s="38" t="n">
        <v>2</v>
      </c>
      <c r="U325" s="442" t="inlineStr">
        <is>
          <t>skill_vanguard,skill_flank,skill_pierce,skill_revolve,skill_chase,skill_break,skill_suppress,skill_finale</t>
        </is>
      </c>
      <c r="V325" s="442" t="inlineStr">
        <is>
          <t>trait_relentless</t>
        </is>
      </c>
      <c r="W325" s="457">
        <f>XLOOKUP($D325&amp;"|"&amp;$E325&amp;"|"&amp;$F325,'PET_STAT_RULES'!$A$5:$A$88,'PET_STAT_RULES'!$E$5:$E$88)</f>
        <v/>
      </c>
      <c r="X325" s="385" t="str"/>
      <c r="Y325" s="386" t="inlineStr">
        <is>
          <t>reserved</t>
        </is>
      </c>
      <c r="Z325" s="386" t="str"/>
      <c r="AA325" s="386" t="str"/>
    </row>
    <row r="326">
      <c r="A326" s="38" t="inlineStr">
        <is>
          <t>pal_325</t>
        </is>
      </c>
      <c r="B326" s="38" t="inlineStr">
        <is>
          <t>托克小兽</t>
        </is>
      </c>
      <c r="C326" s="38" t="inlineStr">
        <is>
          <t>水</t>
        </is>
      </c>
      <c r="D326" s="259" t="inlineStr">
        <is>
          <t>青铜</t>
        </is>
      </c>
      <c r="E326" s="38" t="inlineStr">
        <is>
          <t>输出</t>
        </is>
      </c>
      <c r="F326" s="38" t="inlineStr">
        <is>
          <t>一格</t>
        </is>
      </c>
      <c r="G326" s="38" t="inlineStr">
        <is>
          <t>bz_van_325</t>
        </is>
      </c>
      <c r="H326" s="38" t="inlineStr">
        <is>
          <t>elem_草, special_merchant</t>
        </is>
      </c>
      <c r="I326" s="38" t="n">
        <v>2</v>
      </c>
      <c r="J326" s="456">
        <f>XLOOKUP($D326&amp;"|"&amp;$E326&amp;"|"&amp;$F326,'PET_STAT_RULES'!$A$5:$A$88,'PET_STAT_RULES'!$C$5:$C$88)</f>
        <v/>
      </c>
      <c r="K326" s="456">
        <f>XLOOKUP($D326&amp;"|"&amp;$E326&amp;"|"&amp;$F326,'PET_STAT_RULES'!$A$5:$A$88,'PET_STAT_RULES'!$D$5:$D$88)</f>
        <v/>
      </c>
      <c r="L326" s="456">
        <f>XLOOKUP($D326&amp;"|"&amp;$E326&amp;"|"&amp;$F326,'PET_STAT_RULES'!$A$5:$A$88,'PET_STAT_RULES'!$F$5:$F$88)</f>
        <v/>
      </c>
      <c r="M326" s="456">
        <f>XLOOKUP($D326&amp;"|"&amp;$E326&amp;"|"&amp;$F326,'PET_STAT_RULES'!$A$5:$A$88,'PET_STAT_RULES'!$G$5:$G$88)</f>
        <v/>
      </c>
      <c r="N326" s="38" t="n">
        <v>3</v>
      </c>
      <c r="O326" s="38" t="inlineStr">
        <is>
          <t>mech_grow_atk_each_round</t>
        </is>
      </c>
      <c r="P326" s="38" t="inlineStr">
        <is>
          <t>16 形状16</t>
        </is>
      </c>
      <c r="Q326" s="38" t="inlineStr">
        <is>
          <t>Heavy</t>
        </is>
      </c>
      <c r="R326" s="38" t="inlineStr">
        <is>
          <t>merchant_package confirmed；来源=托克钟表店的包裹；攻击3格；仅保留来源商人/训练师关系。</t>
        </is>
      </c>
      <c r="S326" s="38" t="n">
        <v>3</v>
      </c>
      <c r="T326" s="38" t="n">
        <v>1</v>
      </c>
      <c r="U326" s="442" t="inlineStr">
        <is>
          <t>skill_vanguard,skill_flank,skill_pierce,skill_revolve,skill_chase,skill_break,skill_suppress,skill_finale</t>
        </is>
      </c>
      <c r="V326" s="442" t="inlineStr">
        <is>
          <t>trait_relentless</t>
        </is>
      </c>
      <c r="W326" s="457">
        <f>XLOOKUP($D326&amp;"|"&amp;$E326&amp;"|"&amp;$F326,'PET_STAT_RULES'!$A$5:$A$88,'PET_STAT_RULES'!$E$5:$E$88)</f>
        <v/>
      </c>
      <c r="X326" s="385" t="str"/>
      <c r="Y326" s="386" t="inlineStr">
        <is>
          <t>reserved</t>
        </is>
      </c>
      <c r="Z326" s="386" t="str"/>
      <c r="AA326" s="386" t="str"/>
    </row>
    <row r="327">
      <c r="A327" s="38" t="inlineStr">
        <is>
          <t>pal_326</t>
        </is>
      </c>
      <c r="B327" s="38" t="inlineStr">
        <is>
          <t>谢尔小兽</t>
        </is>
      </c>
      <c r="C327" s="38" t="inlineStr">
        <is>
          <t>草</t>
        </is>
      </c>
      <c r="D327" s="259" t="inlineStr">
        <is>
          <t>青铜</t>
        </is>
      </c>
      <c r="E327" s="38" t="inlineStr">
        <is>
          <t>输出</t>
        </is>
      </c>
      <c r="F327" s="38" t="inlineStr">
        <is>
          <t>一格</t>
        </is>
      </c>
      <c r="G327" s="38" t="inlineStr">
        <is>
          <t>bz_van_326</t>
        </is>
      </c>
      <c r="H327" s="38" t="inlineStr">
        <is>
          <t>elem_草, role_抗压承伤</t>
        </is>
      </c>
      <c r="I327" s="38" t="n">
        <v>2</v>
      </c>
      <c r="J327" s="456">
        <f>XLOOKUP($D327&amp;"|"&amp;$E327&amp;"|"&amp;$F327,'PET_STAT_RULES'!$A$5:$A$88,'PET_STAT_RULES'!$C$5:$C$88)</f>
        <v/>
      </c>
      <c r="K327" s="456">
        <f>XLOOKUP($D327&amp;"|"&amp;$E327&amp;"|"&amp;$F327,'PET_STAT_RULES'!$A$5:$A$88,'PET_STAT_RULES'!$D$5:$D$88)</f>
        <v/>
      </c>
      <c r="L327" s="456">
        <f>XLOOKUP($D327&amp;"|"&amp;$E327&amp;"|"&amp;$F327,'PET_STAT_RULES'!$A$5:$A$88,'PET_STAT_RULES'!$F$5:$F$88)</f>
        <v/>
      </c>
      <c r="M327" s="456">
        <f>XLOOKUP($D327&amp;"|"&amp;$E327&amp;"|"&amp;$F327,'PET_STAT_RULES'!$A$5:$A$88,'PET_STAT_RULES'!$G$5:$G$88)</f>
        <v/>
      </c>
      <c r="N327" s="38" t="n">
        <v>3</v>
      </c>
      <c r="O327" s="38" t="inlineStr">
        <is>
          <t>mech_grow_atk_each_round</t>
        </is>
      </c>
      <c r="P327" s="38" t="inlineStr">
        <is>
          <t>13 形状13</t>
        </is>
      </c>
      <c r="Q327" s="38" t="inlineStr">
        <is>
          <t>Shiny</t>
        </is>
      </c>
      <c r="R327" s="38" t="inlineStr">
        <is>
          <t>merchant_package confirmed；来源=收容所谢尔比的包裹；攻击3格；仅保留来源商人/训练师关系。</t>
        </is>
      </c>
      <c r="S327" s="38" t="n">
        <v>3</v>
      </c>
      <c r="T327" s="38" t="n">
        <v>1</v>
      </c>
      <c r="U327" s="442" t="inlineStr">
        <is>
          <t>skill_vanguard,skill_flank,skill_pierce,skill_revolve,skill_chase,skill_break,skill_suppress,skill_finale</t>
        </is>
      </c>
      <c r="V327" s="442" t="inlineStr">
        <is>
          <t>trait_relentless</t>
        </is>
      </c>
      <c r="W327" s="457">
        <f>XLOOKUP($D327&amp;"|"&amp;$E327&amp;"|"&amp;$F327,'PET_STAT_RULES'!$A$5:$A$88,'PET_STAT_RULES'!$E$5:$E$88)</f>
        <v/>
      </c>
      <c r="X327" s="385" t="str"/>
      <c r="Y327" s="386" t="inlineStr">
        <is>
          <t>reserved</t>
        </is>
      </c>
      <c r="Z327" s="386" t="str"/>
      <c r="AA327" s="386" t="str"/>
    </row>
    <row r="328">
      <c r="A328" s="38" t="inlineStr">
        <is>
          <t>pal_327</t>
        </is>
      </c>
      <c r="B328" s="38" t="inlineStr">
        <is>
          <t>谢尔中兽</t>
        </is>
      </c>
      <c r="C328" s="38" t="inlineStr">
        <is>
          <t>暗</t>
        </is>
      </c>
      <c r="D328" s="265" t="inlineStr">
        <is>
          <t>白银</t>
        </is>
      </c>
      <c r="E328" s="38" t="inlineStr">
        <is>
          <t>输出</t>
        </is>
      </c>
      <c r="F328" s="38" t="inlineStr">
        <is>
          <t>两格</t>
        </is>
      </c>
      <c r="G328" s="38" t="inlineStr">
        <is>
          <t>bz_van_327</t>
        </is>
      </c>
      <c r="H328" s="38" t="inlineStr">
        <is>
          <t>role_经济, role_抗压承伤</t>
        </is>
      </c>
      <c r="I328" s="38" t="n">
        <v>2</v>
      </c>
      <c r="J328" s="456">
        <f>XLOOKUP($D328&amp;"|"&amp;$E328&amp;"|"&amp;$F328,'PET_STAT_RULES'!$A$5:$A$88,'PET_STAT_RULES'!$C$5:$C$88)</f>
        <v/>
      </c>
      <c r="K328" s="456">
        <f>XLOOKUP($D328&amp;"|"&amp;$E328&amp;"|"&amp;$F328,'PET_STAT_RULES'!$A$5:$A$88,'PET_STAT_RULES'!$D$5:$D$88)</f>
        <v/>
      </c>
      <c r="L328" s="456">
        <f>XLOOKUP($D328&amp;"|"&amp;$E328&amp;"|"&amp;$F328,'PET_STAT_RULES'!$A$5:$A$88,'PET_STAT_RULES'!$F$5:$F$88)</f>
        <v/>
      </c>
      <c r="M328" s="456">
        <f>XLOOKUP($D328&amp;"|"&amp;$E328&amp;"|"&amp;$F328,'PET_STAT_RULES'!$A$5:$A$88,'PET_STAT_RULES'!$G$5:$G$88)</f>
        <v/>
      </c>
      <c r="N328" s="38" t="n">
        <v>2</v>
      </c>
      <c r="O328" s="38" t="inlineStr">
        <is>
          <t>mech_grow_atk_each_round</t>
        </is>
      </c>
      <c r="P328" s="38" t="inlineStr">
        <is>
          <t>09 形状09</t>
        </is>
      </c>
      <c r="Q328" s="38" t="inlineStr">
        <is>
          <t>Shiny</t>
        </is>
      </c>
      <c r="R328" s="38" t="inlineStr">
        <is>
          <t>merchant_package confirmed；来源=收容所谢尔比的包裹；攻击2格；仅保留来源商人/训练师关系。</t>
        </is>
      </c>
      <c r="S328" s="38" t="n">
        <v>3</v>
      </c>
      <c r="T328" s="38" t="n">
        <v>2</v>
      </c>
      <c r="U328" s="442" t="inlineStr">
        <is>
          <t>skill_vanguard,skill_flank,skill_pierce,skill_revolve,skill_chase,skill_break,skill_suppress,skill_finale</t>
        </is>
      </c>
      <c r="V328" s="442" t="inlineStr">
        <is>
          <t>trait_relentless</t>
        </is>
      </c>
      <c r="W328" s="457">
        <f>XLOOKUP($D328&amp;"|"&amp;$E328&amp;"|"&amp;$F328,'PET_STAT_RULES'!$A$5:$A$88,'PET_STAT_RULES'!$E$5:$E$88)</f>
        <v/>
      </c>
      <c r="X328" s="385" t="str"/>
      <c r="Y328" s="386" t="inlineStr">
        <is>
          <t>reserved</t>
        </is>
      </c>
      <c r="Z328" s="386" t="str"/>
      <c r="AA328" s="386" t="str"/>
    </row>
    <row r="329">
      <c r="A329" s="38" t="inlineStr">
        <is>
          <t>pal_328</t>
        </is>
      </c>
      <c r="B329" s="38" t="inlineStr">
        <is>
          <t>谢尔大兽</t>
        </is>
      </c>
      <c r="C329" s="38" t="inlineStr">
        <is>
          <t>龙</t>
        </is>
      </c>
      <c r="D329" s="265" t="inlineStr">
        <is>
          <t>白银</t>
        </is>
      </c>
      <c r="E329" s="38" t="inlineStr">
        <is>
          <t>经济</t>
        </is>
      </c>
      <c r="F329" s="38" t="inlineStr">
        <is>
          <t>三格</t>
        </is>
      </c>
      <c r="G329" s="38" t="inlineStr">
        <is>
          <t>bz_van_328</t>
        </is>
      </c>
      <c r="H329" s="38" t="inlineStr">
        <is>
          <t>role_经济, role_抗压承伤</t>
        </is>
      </c>
      <c r="I329" s="38" t="n">
        <v>2</v>
      </c>
      <c r="J329" s="456">
        <f>XLOOKUP($D329&amp;"|"&amp;$E329&amp;"|"&amp;$F329,'PET_STAT_RULES'!$A$5:$A$88,'PET_STAT_RULES'!$C$5:$C$88)</f>
        <v/>
      </c>
      <c r="K329" s="456">
        <f>XLOOKUP($D329&amp;"|"&amp;$E329&amp;"|"&amp;$F329,'PET_STAT_RULES'!$A$5:$A$88,'PET_STAT_RULES'!$D$5:$D$88)</f>
        <v/>
      </c>
      <c r="L329" s="456">
        <f>XLOOKUP($D329&amp;"|"&amp;$E329&amp;"|"&amp;$F329,'PET_STAT_RULES'!$A$5:$A$88,'PET_STAT_RULES'!$F$5:$F$88)</f>
        <v/>
      </c>
      <c r="M329" s="456">
        <f>XLOOKUP($D329&amp;"|"&amp;$E329&amp;"|"&amp;$F329,'PET_STAT_RULES'!$A$5:$A$88,'PET_STAT_RULES'!$G$5:$G$88)</f>
        <v/>
      </c>
      <c r="N329" s="38" t="n">
        <v>2</v>
      </c>
      <c r="O329" s="38" t="inlineStr">
        <is>
          <t>none</t>
        </is>
      </c>
      <c r="P329" s="38" t="inlineStr">
        <is>
          <t>10 形状10</t>
        </is>
      </c>
      <c r="Q329" s="38" t="inlineStr">
        <is>
          <t>Golden</t>
        </is>
      </c>
      <c r="R329" s="38" t="inlineStr">
        <is>
          <t>merchant_package confirmed；来源=收容所谢尔比的包裹；攻击2格；仅保留来源商人/训练师关系。</t>
        </is>
      </c>
      <c r="S329" s="38" t="n">
        <v>2</v>
      </c>
      <c r="T329" s="38" t="n">
        <v>2</v>
      </c>
      <c r="U329" s="442" t="inlineStr">
        <is>
          <t>skill_vanguard,skill_flank,skill_pierce,skill_revolve,skill_chase,skill_break,skill_suppress,skill_finale</t>
        </is>
      </c>
      <c r="V329" s="442" t="inlineStr">
        <is>
          <t>trait_combo_resonance</t>
        </is>
      </c>
      <c r="W329" s="457">
        <f>XLOOKUP($D329&amp;"|"&amp;$E329&amp;"|"&amp;$F329,'PET_STAT_RULES'!$A$5:$A$88,'PET_STAT_RULES'!$E$5:$E$88)</f>
        <v/>
      </c>
      <c r="X329" s="385" t="str"/>
      <c r="Y329" s="386" t="inlineStr">
        <is>
          <t>reserved</t>
        </is>
      </c>
      <c r="Z329" s="386" t="str"/>
      <c r="AA329" s="386" t="str"/>
    </row>
    <row r="330">
      <c r="A330" s="38" t="inlineStr">
        <is>
          <t>pal_329</t>
        </is>
      </c>
      <c r="B330" s="38" t="inlineStr">
        <is>
          <t>杰杰大兽</t>
        </is>
      </c>
      <c r="C330" s="38" t="inlineStr">
        <is>
          <t>火</t>
        </is>
      </c>
      <c r="D330" s="265" t="inlineStr">
        <is>
          <t>白银</t>
        </is>
      </c>
      <c r="E330" s="38" t="inlineStr">
        <is>
          <t>输出</t>
        </is>
      </c>
      <c r="F330" s="38" t="inlineStr">
        <is>
          <t>三格</t>
        </is>
      </c>
      <c r="G330" s="38" t="inlineStr">
        <is>
          <t>bz_van_329</t>
        </is>
      </c>
      <c r="H330" s="38" t="inlineStr">
        <is>
          <t>elem_雷, role_经济</t>
        </is>
      </c>
      <c r="I330" s="38" t="n">
        <v>2</v>
      </c>
      <c r="J330" s="456">
        <f>XLOOKUP($D330&amp;"|"&amp;$E330&amp;"|"&amp;$F330,'PET_STAT_RULES'!$A$5:$A$88,'PET_STAT_RULES'!$C$5:$C$88)</f>
        <v/>
      </c>
      <c r="K330" s="456">
        <f>XLOOKUP($D330&amp;"|"&amp;$E330&amp;"|"&amp;$F330,'PET_STAT_RULES'!$A$5:$A$88,'PET_STAT_RULES'!$D$5:$D$88)</f>
        <v/>
      </c>
      <c r="L330" s="456">
        <f>XLOOKUP($D330&amp;"|"&amp;$E330&amp;"|"&amp;$F330,'PET_STAT_RULES'!$A$5:$A$88,'PET_STAT_RULES'!$F$5:$F$88)</f>
        <v/>
      </c>
      <c r="M330" s="456">
        <f>XLOOKUP($D330&amp;"|"&amp;$E330&amp;"|"&amp;$F330,'PET_STAT_RULES'!$A$5:$A$88,'PET_STAT_RULES'!$G$5:$G$88)</f>
        <v/>
      </c>
      <c r="N330" s="38" t="n">
        <v>2</v>
      </c>
      <c r="O330" s="38" t="inlineStr">
        <is>
          <t>mech_grow_atk_each_round</t>
        </is>
      </c>
      <c r="P330" s="38" t="inlineStr">
        <is>
          <t>12 形状12</t>
        </is>
      </c>
      <c r="Q330" s="38" t="inlineStr">
        <is>
          <t>Heavy</t>
        </is>
      </c>
      <c r="R330" s="38" t="inlineStr">
        <is>
          <t>merchant_package confirmed；来源=杰杰的包裹；攻击2格；仅保留来源商人/训练师关系。</t>
        </is>
      </c>
      <c r="S330" s="38" t="n">
        <v>2</v>
      </c>
      <c r="T330" s="38" t="n">
        <v>2</v>
      </c>
      <c r="U330" s="442" t="inlineStr">
        <is>
          <t>skill_vanguard,skill_flank,skill_pierce,skill_revolve,skill_chase,skill_break,skill_suppress,skill_finale</t>
        </is>
      </c>
      <c r="V330" s="442" t="inlineStr">
        <is>
          <t>trait_relentless</t>
        </is>
      </c>
      <c r="W330" s="457">
        <f>XLOOKUP($D330&amp;"|"&amp;$E330&amp;"|"&amp;$F330,'PET_STAT_RULES'!$A$5:$A$88,'PET_STAT_RULES'!$E$5:$E$88)</f>
        <v/>
      </c>
      <c r="X330" s="385" t="str"/>
      <c r="Y330" s="386" t="inlineStr">
        <is>
          <t>reserved</t>
        </is>
      </c>
      <c r="Z330" s="386" t="str"/>
      <c r="AA330" s="386" t="str"/>
    </row>
    <row r="331">
      <c r="A331" s="38" t="inlineStr">
        <is>
          <t>pal_330</t>
        </is>
      </c>
      <c r="B331" s="38" t="inlineStr">
        <is>
          <t>杰杰中兽</t>
        </is>
      </c>
      <c r="C331" s="38" t="inlineStr">
        <is>
          <t>地</t>
        </is>
      </c>
      <c r="D331" s="259" t="inlineStr">
        <is>
          <t>青铜</t>
        </is>
      </c>
      <c r="E331" s="38" t="inlineStr">
        <is>
          <t>输出</t>
        </is>
      </c>
      <c r="F331" s="38" t="inlineStr">
        <is>
          <t>两格</t>
        </is>
      </c>
      <c r="G331" s="38" t="inlineStr">
        <is>
          <t>bz_van_330</t>
        </is>
      </c>
      <c r="H331" s="38" t="inlineStr">
        <is>
          <t>elem_草, elem_雷</t>
        </is>
      </c>
      <c r="I331" s="38" t="n">
        <v>2</v>
      </c>
      <c r="J331" s="456">
        <f>XLOOKUP($D331&amp;"|"&amp;$E331&amp;"|"&amp;$F331,'PET_STAT_RULES'!$A$5:$A$88,'PET_STAT_RULES'!$C$5:$C$88)</f>
        <v/>
      </c>
      <c r="K331" s="456">
        <f>XLOOKUP($D331&amp;"|"&amp;$E331&amp;"|"&amp;$F331,'PET_STAT_RULES'!$A$5:$A$88,'PET_STAT_RULES'!$D$5:$D$88)</f>
        <v/>
      </c>
      <c r="L331" s="456">
        <f>XLOOKUP($D331&amp;"|"&amp;$E331&amp;"|"&amp;$F331,'PET_STAT_RULES'!$A$5:$A$88,'PET_STAT_RULES'!$F$5:$F$88)</f>
        <v/>
      </c>
      <c r="M331" s="456">
        <f>XLOOKUP($D331&amp;"|"&amp;$E331&amp;"|"&amp;$F331,'PET_STAT_RULES'!$A$5:$A$88,'PET_STAT_RULES'!$G$5:$G$88)</f>
        <v/>
      </c>
      <c r="N331" s="38" t="n">
        <v>1</v>
      </c>
      <c r="O331" s="38" t="inlineStr">
        <is>
          <t>mech_grow_atk_each_round</t>
        </is>
      </c>
      <c r="P331" s="38" t="inlineStr">
        <is>
          <t>03 形状03</t>
        </is>
      </c>
      <c r="Q331" s="38" t="inlineStr">
        <is>
          <t>Shiny</t>
        </is>
      </c>
      <c r="R331" s="38" t="inlineStr">
        <is>
          <t>merchant_package confirmed；来源=杰杰的包裹；攻击1格；仅保留来源商人/训练师关系。</t>
        </is>
      </c>
      <c r="S331" s="38" t="n">
        <v>3</v>
      </c>
      <c r="T331" s="38" t="n">
        <v>1</v>
      </c>
      <c r="U331" s="442" t="inlineStr">
        <is>
          <t>skill_vanguard,skill_flank,skill_pierce,skill_revolve,skill_chase,skill_break,skill_suppress,skill_finale</t>
        </is>
      </c>
      <c r="V331" s="442" t="inlineStr">
        <is>
          <t>trait_relentless</t>
        </is>
      </c>
      <c r="W331" s="457">
        <f>XLOOKUP($D331&amp;"|"&amp;$E331&amp;"|"&amp;$F331,'PET_STAT_RULES'!$A$5:$A$88,'PET_STAT_RULES'!$E$5:$E$88)</f>
        <v/>
      </c>
      <c r="X331" s="385" t="str"/>
      <c r="Y331" s="386" t="inlineStr">
        <is>
          <t>reserved</t>
        </is>
      </c>
      <c r="Z331" s="386" t="str"/>
      <c r="AA331" s="386" t="str"/>
    </row>
    <row r="332">
      <c r="A332" s="38" t="inlineStr">
        <is>
          <t>pal_331</t>
        </is>
      </c>
      <c r="B332" s="38" t="inlineStr">
        <is>
          <t>橡君大兽</t>
        </is>
      </c>
      <c r="C332" s="38" t="inlineStr">
        <is>
          <t>草</t>
        </is>
      </c>
      <c r="D332" s="265" t="inlineStr">
        <is>
          <t>白银</t>
        </is>
      </c>
      <c r="E332" s="38" t="inlineStr">
        <is>
          <t>输出</t>
        </is>
      </c>
      <c r="F332" s="38" t="inlineStr">
        <is>
          <t>三格</t>
        </is>
      </c>
      <c r="G332" s="38" t="inlineStr">
        <is>
          <t>bz_van_331</t>
        </is>
      </c>
      <c r="H332" s="38" t="inlineStr">
        <is>
          <t>role_经济, role_机动压制</t>
        </is>
      </c>
      <c r="I332" s="38" t="n">
        <v>2</v>
      </c>
      <c r="J332" s="456">
        <f>XLOOKUP($D332&amp;"|"&amp;$E332&amp;"|"&amp;$F332,'PET_STAT_RULES'!$A$5:$A$88,'PET_STAT_RULES'!$C$5:$C$88)</f>
        <v/>
      </c>
      <c r="K332" s="456">
        <f>XLOOKUP($D332&amp;"|"&amp;$E332&amp;"|"&amp;$F332,'PET_STAT_RULES'!$A$5:$A$88,'PET_STAT_RULES'!$D$5:$D$88)</f>
        <v/>
      </c>
      <c r="L332" s="456">
        <f>XLOOKUP($D332&amp;"|"&amp;$E332&amp;"|"&amp;$F332,'PET_STAT_RULES'!$A$5:$A$88,'PET_STAT_RULES'!$F$5:$F$88)</f>
        <v/>
      </c>
      <c r="M332" s="456">
        <f>XLOOKUP($D332&amp;"|"&amp;$E332&amp;"|"&amp;$F332,'PET_STAT_RULES'!$A$5:$A$88,'PET_STAT_RULES'!$G$5:$G$88)</f>
        <v/>
      </c>
      <c r="N332" s="38" t="n">
        <v>2</v>
      </c>
      <c r="O332" s="38" t="inlineStr">
        <is>
          <t>mech_grow_atk_each_round</t>
        </is>
      </c>
      <c r="P332" s="38" t="inlineStr">
        <is>
          <t>12 形状12</t>
        </is>
      </c>
      <c r="Q332" s="38" t="inlineStr">
        <is>
          <t>Heavy</t>
        </is>
      </c>
      <c r="R332" s="38" t="inlineStr">
        <is>
          <t>merchant_package confirmed；来源=橡树君的包裹；攻击2格；仅保留来源商人/训练师关系。</t>
        </is>
      </c>
      <c r="S332" s="38" t="n">
        <v>2</v>
      </c>
      <c r="T332" s="38" t="n">
        <v>2</v>
      </c>
      <c r="U332" s="442" t="inlineStr">
        <is>
          <t>skill_vanguard,skill_flank,skill_pierce,skill_revolve,skill_chase,skill_break,skill_suppress,skill_finale</t>
        </is>
      </c>
      <c r="V332" s="442" t="inlineStr">
        <is>
          <t>trait_relentless</t>
        </is>
      </c>
      <c r="W332" s="457">
        <f>XLOOKUP($D332&amp;"|"&amp;$E332&amp;"|"&amp;$F332,'PET_STAT_RULES'!$A$5:$A$88,'PET_STAT_RULES'!$E$5:$E$88)</f>
        <v/>
      </c>
      <c r="X332" s="385" t="str"/>
      <c r="Y332" s="386" t="inlineStr">
        <is>
          <t>reserved</t>
        </is>
      </c>
      <c r="Z332" s="386" t="str"/>
      <c r="AA332" s="386" t="str"/>
    </row>
    <row r="333">
      <c r="A333" s="38" t="inlineStr">
        <is>
          <t>pal_332</t>
        </is>
      </c>
      <c r="B333" s="38" t="inlineStr">
        <is>
          <t>橡君小兽</t>
        </is>
      </c>
      <c r="C333" s="38" t="inlineStr">
        <is>
          <t>龙</t>
        </is>
      </c>
      <c r="D333" s="259" t="inlineStr">
        <is>
          <t>青铜</t>
        </is>
      </c>
      <c r="E333" s="38" t="inlineStr">
        <is>
          <t>输出</t>
        </is>
      </c>
      <c r="F333" s="38" t="inlineStr">
        <is>
          <t>一格</t>
        </is>
      </c>
      <c r="G333" s="38" t="inlineStr">
        <is>
          <t>bz_van_332</t>
        </is>
      </c>
      <c r="H333" s="38" t="inlineStr">
        <is>
          <t>elem_草, role_机动压制</t>
        </is>
      </c>
      <c r="I333" s="38" t="n">
        <v>2</v>
      </c>
      <c r="J333" s="456">
        <f>XLOOKUP($D333&amp;"|"&amp;$E333&amp;"|"&amp;$F333,'PET_STAT_RULES'!$A$5:$A$88,'PET_STAT_RULES'!$C$5:$C$88)</f>
        <v/>
      </c>
      <c r="K333" s="456">
        <f>XLOOKUP($D333&amp;"|"&amp;$E333&amp;"|"&amp;$F333,'PET_STAT_RULES'!$A$5:$A$88,'PET_STAT_RULES'!$D$5:$D$88)</f>
        <v/>
      </c>
      <c r="L333" s="456">
        <f>XLOOKUP($D333&amp;"|"&amp;$E333&amp;"|"&amp;$F333,'PET_STAT_RULES'!$A$5:$A$88,'PET_STAT_RULES'!$F$5:$F$88)</f>
        <v/>
      </c>
      <c r="M333" s="456">
        <f>XLOOKUP($D333&amp;"|"&amp;$E333&amp;"|"&amp;$F333,'PET_STAT_RULES'!$A$5:$A$88,'PET_STAT_RULES'!$G$5:$G$88)</f>
        <v/>
      </c>
      <c r="N333" s="38" t="n">
        <v>3</v>
      </c>
      <c r="O333" s="38" t="inlineStr">
        <is>
          <t>mech_grow_atk_each_round</t>
        </is>
      </c>
      <c r="P333" s="38" t="inlineStr">
        <is>
          <t>13 形状13</t>
        </is>
      </c>
      <c r="Q333" s="38" t="inlineStr">
        <is>
          <t>Shiny</t>
        </is>
      </c>
      <c r="R333" s="38" t="inlineStr">
        <is>
          <t>merchant_package confirmed；来源=橡树君的包裹；攻击3格；仅保留来源商人/训练师关系。</t>
        </is>
      </c>
      <c r="S333" s="38" t="n">
        <v>3</v>
      </c>
      <c r="T333" s="38" t="n">
        <v>1</v>
      </c>
      <c r="U333" s="442" t="inlineStr">
        <is>
          <t>skill_vanguard,skill_flank,skill_pierce,skill_revolve,skill_chase,skill_break,skill_suppress,skill_finale</t>
        </is>
      </c>
      <c r="V333" s="442" t="inlineStr">
        <is>
          <t>trait_relentless</t>
        </is>
      </c>
      <c r="W333" s="457">
        <f>XLOOKUP($D333&amp;"|"&amp;$E333&amp;"|"&amp;$F333,'PET_STAT_RULES'!$A$5:$A$88,'PET_STAT_RULES'!$E$5:$E$88)</f>
        <v/>
      </c>
      <c r="X333" s="385" t="str"/>
      <c r="Y333" s="386" t="inlineStr">
        <is>
          <t>reserved</t>
        </is>
      </c>
      <c r="Z333" s="386" t="str"/>
      <c r="AA333" s="386" t="str"/>
    </row>
    <row r="334">
      <c r="A334" s="38" t="inlineStr">
        <is>
          <t>pal_333</t>
        </is>
      </c>
      <c r="B334" s="38" t="inlineStr">
        <is>
          <t>橡君中兽</t>
        </is>
      </c>
      <c r="C334" s="38" t="inlineStr">
        <is>
          <t>水</t>
        </is>
      </c>
      <c r="D334" s="259" t="inlineStr">
        <is>
          <t>青铜</t>
        </is>
      </c>
      <c r="E334" s="38" t="inlineStr">
        <is>
          <t>输出</t>
        </is>
      </c>
      <c r="F334" s="38" t="inlineStr">
        <is>
          <t>两格</t>
        </is>
      </c>
      <c r="G334" s="38" t="inlineStr">
        <is>
          <t>bz_van_333</t>
        </is>
      </c>
      <c r="H334" s="38" t="inlineStr">
        <is>
          <t>elem_草, role_机动压制</t>
        </is>
      </c>
      <c r="I334" s="38" t="n">
        <v>2</v>
      </c>
      <c r="J334" s="456">
        <f>XLOOKUP($D334&amp;"|"&amp;$E334&amp;"|"&amp;$F334,'PET_STAT_RULES'!$A$5:$A$88,'PET_STAT_RULES'!$C$5:$C$88)</f>
        <v/>
      </c>
      <c r="K334" s="456">
        <f>XLOOKUP($D334&amp;"|"&amp;$E334&amp;"|"&amp;$F334,'PET_STAT_RULES'!$A$5:$A$88,'PET_STAT_RULES'!$D$5:$D$88)</f>
        <v/>
      </c>
      <c r="L334" s="456">
        <f>XLOOKUP($D334&amp;"|"&amp;$E334&amp;"|"&amp;$F334,'PET_STAT_RULES'!$A$5:$A$88,'PET_STAT_RULES'!$F$5:$F$88)</f>
        <v/>
      </c>
      <c r="M334" s="456">
        <f>XLOOKUP($D334&amp;"|"&amp;$E334&amp;"|"&amp;$F334,'PET_STAT_RULES'!$A$5:$A$88,'PET_STAT_RULES'!$G$5:$G$88)</f>
        <v/>
      </c>
      <c r="N334" s="38" t="n">
        <v>1</v>
      </c>
      <c r="O334" s="38" t="inlineStr">
        <is>
          <t>mech_grow_atk_each_round</t>
        </is>
      </c>
      <c r="P334" s="38" t="inlineStr">
        <is>
          <t>03 形状03</t>
        </is>
      </c>
      <c r="Q334" s="38" t="inlineStr">
        <is>
          <t>Shiny</t>
        </is>
      </c>
      <c r="R334" s="38" t="inlineStr">
        <is>
          <t>merchant_package confirmed；来源=橡树君的包裹；攻击1格；仅保留来源商人/训练师关系。</t>
        </is>
      </c>
      <c r="S334" s="38" t="n">
        <v>3</v>
      </c>
      <c r="T334" s="38" t="n">
        <v>1</v>
      </c>
      <c r="U334" s="442" t="inlineStr">
        <is>
          <t>skill_vanguard,skill_flank,skill_pierce,skill_revolve,skill_chase,skill_break,skill_suppress,skill_finale</t>
        </is>
      </c>
      <c r="V334" s="442" t="inlineStr">
        <is>
          <t>trait_relentless</t>
        </is>
      </c>
      <c r="W334" s="457">
        <f>XLOOKUP($D334&amp;"|"&amp;$E334&amp;"|"&amp;$F334,'PET_STAT_RULES'!$A$5:$A$88,'PET_STAT_RULES'!$E$5:$E$88)</f>
        <v/>
      </c>
      <c r="X334" s="385" t="str"/>
      <c r="Y334" s="386" t="inlineStr">
        <is>
          <t>reserved</t>
        </is>
      </c>
      <c r="Z334" s="386" t="str"/>
      <c r="AA334" s="386" t="str"/>
    </row>
    <row r="335">
      <c r="A335" s="38" t="inlineStr">
        <is>
          <t>pal_334</t>
        </is>
      </c>
      <c r="B335" s="38" t="inlineStr">
        <is>
          <t>波尔小兽</t>
        </is>
      </c>
      <c r="C335" s="38" t="inlineStr">
        <is>
          <t>水</t>
        </is>
      </c>
      <c r="D335" s="262" t="inlineStr">
        <is>
          <t>黄金</t>
        </is>
      </c>
      <c r="E335" s="38" t="inlineStr">
        <is>
          <t>经济</t>
        </is>
      </c>
      <c r="F335" s="38" t="inlineStr">
        <is>
          <t>一格</t>
        </is>
      </c>
      <c r="G335" s="38" t="inlineStr">
        <is>
          <t>bz_van_334</t>
        </is>
      </c>
      <c r="H335" s="38" t="inlineStr">
        <is>
          <t>role_坦克, role_风系铺场</t>
        </is>
      </c>
      <c r="I335" s="38" t="n">
        <v>2</v>
      </c>
      <c r="J335" s="456">
        <f>XLOOKUP($D335&amp;"|"&amp;$E335&amp;"|"&amp;$F335,'PET_STAT_RULES'!$A$5:$A$88,'PET_STAT_RULES'!$C$5:$C$88)</f>
        <v/>
      </c>
      <c r="K335" s="456">
        <f>XLOOKUP($D335&amp;"|"&amp;$E335&amp;"|"&amp;$F335,'PET_STAT_RULES'!$A$5:$A$88,'PET_STAT_RULES'!$D$5:$D$88)</f>
        <v/>
      </c>
      <c r="L335" s="456">
        <f>XLOOKUP($D335&amp;"|"&amp;$E335&amp;"|"&amp;$F335,'PET_STAT_RULES'!$A$5:$A$88,'PET_STAT_RULES'!$F$5:$F$88)</f>
        <v/>
      </c>
      <c r="M335" s="456">
        <f>XLOOKUP($D335&amp;"|"&amp;$E335&amp;"|"&amp;$F335,'PET_STAT_RULES'!$A$5:$A$88,'PET_STAT_RULES'!$G$5:$G$88)</f>
        <v/>
      </c>
      <c r="N335" s="38" t="n">
        <v>3</v>
      </c>
      <c r="O335" s="38" t="inlineStr">
        <is>
          <t>none</t>
        </is>
      </c>
      <c r="P335" s="38" t="inlineStr">
        <is>
          <t>14 形状14</t>
        </is>
      </c>
      <c r="Q335" s="38" t="inlineStr">
        <is>
          <t>Golden</t>
        </is>
      </c>
      <c r="R335" s="38" t="inlineStr">
        <is>
          <t>merchant_package confirmed；来源=波尔的包裹；攻击3格；仅保留来源商人/训练师关系。</t>
        </is>
      </c>
      <c r="S335" s="38" t="n">
        <v>3</v>
      </c>
      <c r="T335" s="38" t="n">
        <v>2</v>
      </c>
      <c r="U335" s="442" t="inlineStr">
        <is>
          <t>skill_vanguard,skill_flank,skill_pierce,skill_revolve,skill_chase,skill_break,skill_suppress,skill_finale</t>
        </is>
      </c>
      <c r="V335" s="442" t="inlineStr">
        <is>
          <t>trait_combo_resonance</t>
        </is>
      </c>
      <c r="W335" s="457">
        <f>XLOOKUP($D335&amp;"|"&amp;$E335&amp;"|"&amp;$F335,'PET_STAT_RULES'!$A$5:$A$88,'PET_STAT_RULES'!$E$5:$E$88)</f>
        <v/>
      </c>
      <c r="X335" s="385" t="str"/>
      <c r="Y335" s="386" t="inlineStr">
        <is>
          <t>reserved</t>
        </is>
      </c>
      <c r="Z335" s="386" t="str"/>
      <c r="AA335" s="386" t="str"/>
    </row>
    <row r="336">
      <c r="A336" s="38" t="inlineStr">
        <is>
          <t>pal_335</t>
        </is>
      </c>
      <c r="B336" s="38" t="inlineStr">
        <is>
          <t>波尔大兽</t>
        </is>
      </c>
      <c r="C336" s="38" t="inlineStr">
        <is>
          <t>水</t>
        </is>
      </c>
      <c r="D336" s="265" t="inlineStr">
        <is>
          <t>白银</t>
        </is>
      </c>
      <c r="E336" s="38" t="inlineStr">
        <is>
          <t>输出</t>
        </is>
      </c>
      <c r="F336" s="38" t="inlineStr">
        <is>
          <t>三格</t>
        </is>
      </c>
      <c r="G336" s="38" t="inlineStr">
        <is>
          <t>bz_van_335</t>
        </is>
      </c>
      <c r="H336" s="38" t="inlineStr">
        <is>
          <t>role_经济, role_风系铺场</t>
        </is>
      </c>
      <c r="I336" s="38" t="n">
        <v>2</v>
      </c>
      <c r="J336" s="456">
        <f>XLOOKUP($D336&amp;"|"&amp;$E336&amp;"|"&amp;$F336,'PET_STAT_RULES'!$A$5:$A$88,'PET_STAT_RULES'!$C$5:$C$88)</f>
        <v/>
      </c>
      <c r="K336" s="456">
        <f>XLOOKUP($D336&amp;"|"&amp;$E336&amp;"|"&amp;$F336,'PET_STAT_RULES'!$A$5:$A$88,'PET_STAT_RULES'!$D$5:$D$88)</f>
        <v/>
      </c>
      <c r="L336" s="456">
        <f>XLOOKUP($D336&amp;"|"&amp;$E336&amp;"|"&amp;$F336,'PET_STAT_RULES'!$A$5:$A$88,'PET_STAT_RULES'!$F$5:$F$88)</f>
        <v/>
      </c>
      <c r="M336" s="456">
        <f>XLOOKUP($D336&amp;"|"&amp;$E336&amp;"|"&amp;$F336,'PET_STAT_RULES'!$A$5:$A$88,'PET_STAT_RULES'!$G$5:$G$88)</f>
        <v/>
      </c>
      <c r="N336" s="38" t="n">
        <v>2</v>
      </c>
      <c r="O336" s="38" t="inlineStr">
        <is>
          <t>mech_grow_atk_each_round</t>
        </is>
      </c>
      <c r="P336" s="38" t="inlineStr">
        <is>
          <t>06 形状06</t>
        </is>
      </c>
      <c r="Q336" s="38" t="inlineStr">
        <is>
          <t>Heavy</t>
        </is>
      </c>
      <c r="R336" s="38" t="inlineStr">
        <is>
          <t>merchant_package confirmed；来源=波尔的包裹；攻击2格；仅保留来源商人/训练师关系。</t>
        </is>
      </c>
      <c r="S336" s="38" t="n">
        <v>2</v>
      </c>
      <c r="T336" s="38" t="n">
        <v>2</v>
      </c>
      <c r="U336" s="442" t="inlineStr">
        <is>
          <t>skill_vanguard,skill_flank,skill_pierce,skill_revolve,skill_chase,skill_break,skill_suppress,skill_finale</t>
        </is>
      </c>
      <c r="V336" s="442" t="inlineStr">
        <is>
          <t>trait_relentless</t>
        </is>
      </c>
      <c r="W336" s="457">
        <f>XLOOKUP($D336&amp;"|"&amp;$E336&amp;"|"&amp;$F336,'PET_STAT_RULES'!$A$5:$A$88,'PET_STAT_RULES'!$E$5:$E$88)</f>
        <v/>
      </c>
      <c r="X336" s="385" t="str"/>
      <c r="Y336" s="386" t="inlineStr">
        <is>
          <t>reserved</t>
        </is>
      </c>
      <c r="Z336" s="386" t="str"/>
      <c r="AA336" s="386" t="str"/>
    </row>
    <row r="337">
      <c r="A337" s="38" t="inlineStr">
        <is>
          <t>pal_336</t>
        </is>
      </c>
      <c r="B337" s="38" t="inlineStr">
        <is>
          <t>波尔中兽</t>
        </is>
      </c>
      <c r="C337" s="38" t="inlineStr">
        <is>
          <t>龙</t>
        </is>
      </c>
      <c r="D337" s="262" t="inlineStr">
        <is>
          <t>黄金</t>
        </is>
      </c>
      <c r="E337" s="38" t="inlineStr">
        <is>
          <t>经济</t>
        </is>
      </c>
      <c r="F337" s="38" t="inlineStr">
        <is>
          <t>两格</t>
        </is>
      </c>
      <c r="G337" s="38" t="inlineStr">
        <is>
          <t>bz_van_336</t>
        </is>
      </c>
      <c r="H337" s="38" t="inlineStr">
        <is>
          <t>role_坦克, role_风系铺场</t>
        </is>
      </c>
      <c r="I337" s="38" t="n">
        <v>2</v>
      </c>
      <c r="J337" s="456">
        <f>XLOOKUP($D337&amp;"|"&amp;$E337&amp;"|"&amp;$F337,'PET_STAT_RULES'!$A$5:$A$88,'PET_STAT_RULES'!$C$5:$C$88)</f>
        <v/>
      </c>
      <c r="K337" s="456">
        <f>XLOOKUP($D337&amp;"|"&amp;$E337&amp;"|"&amp;$F337,'PET_STAT_RULES'!$A$5:$A$88,'PET_STAT_RULES'!$D$5:$D$88)</f>
        <v/>
      </c>
      <c r="L337" s="456">
        <f>XLOOKUP($D337&amp;"|"&amp;$E337&amp;"|"&amp;$F337,'PET_STAT_RULES'!$A$5:$A$88,'PET_STAT_RULES'!$F$5:$F$88)</f>
        <v/>
      </c>
      <c r="M337" s="456">
        <f>XLOOKUP($D337&amp;"|"&amp;$E337&amp;"|"&amp;$F337,'PET_STAT_RULES'!$A$5:$A$88,'PET_STAT_RULES'!$G$5:$G$88)</f>
        <v/>
      </c>
      <c r="N337" s="38" t="n">
        <v>2</v>
      </c>
      <c r="O337" s="38" t="inlineStr">
        <is>
          <t>none</t>
        </is>
      </c>
      <c r="P337" s="38" t="inlineStr">
        <is>
          <t>08 形状08</t>
        </is>
      </c>
      <c r="Q337" s="38" t="inlineStr">
        <is>
          <t>Golden</t>
        </is>
      </c>
      <c r="R337" s="38" t="inlineStr">
        <is>
          <t>merchant_package confirmed；来源=波尔的包裹；攻击2格；仅保留来源商人/训练师关系。</t>
        </is>
      </c>
      <c r="S337" s="38" t="n">
        <v>3</v>
      </c>
      <c r="T337" s="38" t="n">
        <v>2</v>
      </c>
      <c r="U337" s="442" t="inlineStr">
        <is>
          <t>skill_vanguard,skill_flank,skill_pierce,skill_revolve,skill_chase,skill_break,skill_suppress,skill_finale</t>
        </is>
      </c>
      <c r="V337" s="442" t="inlineStr">
        <is>
          <t>trait_combo_resonance</t>
        </is>
      </c>
      <c r="W337" s="457">
        <f>XLOOKUP($D337&amp;"|"&amp;$E337&amp;"|"&amp;$F337,'PET_STAT_RULES'!$A$5:$A$88,'PET_STAT_RULES'!$E$5:$E$88)</f>
        <v/>
      </c>
      <c r="X337" s="385" t="str"/>
      <c r="Y337" s="386" t="inlineStr">
        <is>
          <t>reserved</t>
        </is>
      </c>
      <c r="Z337" s="386" t="str"/>
      <c r="AA337" s="386" t="str"/>
    </row>
    <row r="338">
      <c r="A338" s="38" t="inlineStr">
        <is>
          <t>pal_337</t>
        </is>
      </c>
      <c r="B338" s="38" t="inlineStr">
        <is>
          <t>试家大兽</t>
        </is>
      </c>
      <c r="C338" s="38" t="inlineStr">
        <is>
          <t>冰</t>
        </is>
      </c>
      <c r="D338" s="265" t="inlineStr">
        <is>
          <t>白银</t>
        </is>
      </c>
      <c r="E338" s="38" t="inlineStr">
        <is>
          <t>输出</t>
        </is>
      </c>
      <c r="F338" s="38" t="inlineStr">
        <is>
          <t>三格</t>
        </is>
      </c>
      <c r="G338" s="38" t="inlineStr">
        <is>
          <t>bz_van_337</t>
        </is>
      </c>
      <c r="H338" s="38" t="inlineStr">
        <is>
          <t>role_经济, role_抗压承伤</t>
        </is>
      </c>
      <c r="I338" s="38" t="n">
        <v>2</v>
      </c>
      <c r="J338" s="456">
        <f>XLOOKUP($D338&amp;"|"&amp;$E338&amp;"|"&amp;$F338,'PET_STAT_RULES'!$A$5:$A$88,'PET_STAT_RULES'!$C$5:$C$88)</f>
        <v/>
      </c>
      <c r="K338" s="456">
        <f>XLOOKUP($D338&amp;"|"&amp;$E338&amp;"|"&amp;$F338,'PET_STAT_RULES'!$A$5:$A$88,'PET_STAT_RULES'!$D$5:$D$88)</f>
        <v/>
      </c>
      <c r="L338" s="456">
        <f>XLOOKUP($D338&amp;"|"&amp;$E338&amp;"|"&amp;$F338,'PET_STAT_RULES'!$A$5:$A$88,'PET_STAT_RULES'!$F$5:$F$88)</f>
        <v/>
      </c>
      <c r="M338" s="456">
        <f>XLOOKUP($D338&amp;"|"&amp;$E338&amp;"|"&amp;$F338,'PET_STAT_RULES'!$A$5:$A$88,'PET_STAT_RULES'!$G$5:$G$88)</f>
        <v/>
      </c>
      <c r="N338" s="38" t="n">
        <v>2</v>
      </c>
      <c r="O338" s="38" t="inlineStr">
        <is>
          <t>mech_grow_atk_each_round</t>
        </is>
      </c>
      <c r="P338" s="38" t="inlineStr">
        <is>
          <t>10 形状10</t>
        </is>
      </c>
      <c r="Q338" s="38" t="inlineStr">
        <is>
          <t>Heavy</t>
        </is>
      </c>
      <c r="R338" s="38" t="inlineStr">
        <is>
          <t>merchant_package confirmed；来源=测试家的包裹；攻击2格；仅保留来源商人/训练师关系。</t>
        </is>
      </c>
      <c r="S338" s="38" t="n">
        <v>2</v>
      </c>
      <c r="T338" s="38" t="n">
        <v>2</v>
      </c>
      <c r="U338" s="442" t="inlineStr">
        <is>
          <t>skill_vanguard,skill_flank,skill_pierce,skill_revolve,skill_chase,skill_break,skill_suppress,skill_finale</t>
        </is>
      </c>
      <c r="V338" s="442" t="inlineStr">
        <is>
          <t>trait_relentless</t>
        </is>
      </c>
      <c r="W338" s="457">
        <f>XLOOKUP($D338&amp;"|"&amp;$E338&amp;"|"&amp;$F338,'PET_STAT_RULES'!$A$5:$A$88,'PET_STAT_RULES'!$E$5:$E$88)</f>
        <v/>
      </c>
      <c r="X338" s="385" t="str"/>
      <c r="Y338" s="386" t="inlineStr">
        <is>
          <t>reserved</t>
        </is>
      </c>
      <c r="Z338" s="386" t="str"/>
      <c r="AA338" s="386" t="str"/>
    </row>
    <row r="339">
      <c r="A339" s="38" t="inlineStr">
        <is>
          <t>pal_338</t>
        </is>
      </c>
      <c r="B339" s="38" t="inlineStr">
        <is>
          <t>试家中兽</t>
        </is>
      </c>
      <c r="C339" s="38" t="inlineStr">
        <is>
          <t>无</t>
        </is>
      </c>
      <c r="D339" s="265" t="inlineStr">
        <is>
          <t>白银</t>
        </is>
      </c>
      <c r="E339" s="38" t="inlineStr">
        <is>
          <t>输出</t>
        </is>
      </c>
      <c r="F339" s="38" t="inlineStr">
        <is>
          <t>两格</t>
        </is>
      </c>
      <c r="G339" s="38" t="inlineStr">
        <is>
          <t>bz_van_338</t>
        </is>
      </c>
      <c r="H339" s="38" t="inlineStr">
        <is>
          <t>role_经济, role_抗压承伤</t>
        </is>
      </c>
      <c r="I339" s="38" t="n">
        <v>2</v>
      </c>
      <c r="J339" s="456">
        <f>XLOOKUP($D339&amp;"|"&amp;$E339&amp;"|"&amp;$F339,'PET_STAT_RULES'!$A$5:$A$88,'PET_STAT_RULES'!$C$5:$C$88)</f>
        <v/>
      </c>
      <c r="K339" s="456">
        <f>XLOOKUP($D339&amp;"|"&amp;$E339&amp;"|"&amp;$F339,'PET_STAT_RULES'!$A$5:$A$88,'PET_STAT_RULES'!$D$5:$D$88)</f>
        <v/>
      </c>
      <c r="L339" s="456">
        <f>XLOOKUP($D339&amp;"|"&amp;$E339&amp;"|"&amp;$F339,'PET_STAT_RULES'!$A$5:$A$88,'PET_STAT_RULES'!$F$5:$F$88)</f>
        <v/>
      </c>
      <c r="M339" s="456">
        <f>XLOOKUP($D339&amp;"|"&amp;$E339&amp;"|"&amp;$F339,'PET_STAT_RULES'!$A$5:$A$88,'PET_STAT_RULES'!$G$5:$G$88)</f>
        <v/>
      </c>
      <c r="N339" s="38" t="n">
        <v>2</v>
      </c>
      <c r="O339" s="38" t="inlineStr">
        <is>
          <t>mech_grow_atk_each_round</t>
        </is>
      </c>
      <c r="P339" s="38" t="inlineStr">
        <is>
          <t>08 形状08</t>
        </is>
      </c>
      <c r="Q339" s="38" t="inlineStr">
        <is>
          <t>Heavy</t>
        </is>
      </c>
      <c r="R339" s="38" t="inlineStr">
        <is>
          <t>merchant_package confirmed；来源=测试家的包裹；攻击2格；仅保留来源商人/训练师关系。</t>
        </is>
      </c>
      <c r="S339" s="38" t="n">
        <v>3</v>
      </c>
      <c r="T339" s="38" t="n">
        <v>2</v>
      </c>
      <c r="U339" s="442" t="inlineStr">
        <is>
          <t>skill_vanguard,skill_flank,skill_pierce,skill_revolve,skill_chase,skill_break,skill_suppress,skill_finale</t>
        </is>
      </c>
      <c r="V339" s="442" t="inlineStr">
        <is>
          <t>trait_relentless</t>
        </is>
      </c>
      <c r="W339" s="457">
        <f>XLOOKUP($D339&amp;"|"&amp;$E339&amp;"|"&amp;$F339,'PET_STAT_RULES'!$A$5:$A$88,'PET_STAT_RULES'!$E$5:$E$88)</f>
        <v/>
      </c>
      <c r="X339" s="385" t="str"/>
      <c r="Y339" s="386" t="inlineStr">
        <is>
          <t>reserved</t>
        </is>
      </c>
      <c r="Z339" s="386" t="str"/>
      <c r="AA339" s="386" t="str"/>
    </row>
    <row r="340">
      <c r="A340" s="38" t="inlineStr">
        <is>
          <t>pal_339</t>
        </is>
      </c>
      <c r="B340" s="38" t="inlineStr">
        <is>
          <t>试家小兽</t>
        </is>
      </c>
      <c r="C340" s="38" t="inlineStr">
        <is>
          <t>草</t>
        </is>
      </c>
      <c r="D340" s="265" t="inlineStr">
        <is>
          <t>白银</t>
        </is>
      </c>
      <c r="E340" s="38" t="inlineStr">
        <is>
          <t>输出</t>
        </is>
      </c>
      <c r="F340" s="38" t="inlineStr">
        <is>
          <t>一格</t>
        </is>
      </c>
      <c r="G340" s="38" t="inlineStr">
        <is>
          <t>bz_van_339</t>
        </is>
      </c>
      <c r="H340" s="38" t="inlineStr">
        <is>
          <t>role_经济, role_抗压承伤</t>
        </is>
      </c>
      <c r="I340" s="38" t="n">
        <v>2</v>
      </c>
      <c r="J340" s="456">
        <f>XLOOKUP($D340&amp;"|"&amp;$E340&amp;"|"&amp;$F340,'PET_STAT_RULES'!$A$5:$A$88,'PET_STAT_RULES'!$C$5:$C$88)</f>
        <v/>
      </c>
      <c r="K340" s="456">
        <f>XLOOKUP($D340&amp;"|"&amp;$E340&amp;"|"&amp;$F340,'PET_STAT_RULES'!$A$5:$A$88,'PET_STAT_RULES'!$D$5:$D$88)</f>
        <v/>
      </c>
      <c r="L340" s="456">
        <f>XLOOKUP($D340&amp;"|"&amp;$E340&amp;"|"&amp;$F340,'PET_STAT_RULES'!$A$5:$A$88,'PET_STAT_RULES'!$F$5:$F$88)</f>
        <v/>
      </c>
      <c r="M340" s="456">
        <f>XLOOKUP($D340&amp;"|"&amp;$E340&amp;"|"&amp;$F340,'PET_STAT_RULES'!$A$5:$A$88,'PET_STAT_RULES'!$G$5:$G$88)</f>
        <v/>
      </c>
      <c r="N340" s="38" t="n">
        <v>3</v>
      </c>
      <c r="O340" s="38" t="inlineStr">
        <is>
          <t>mech_grow_atk_each_round</t>
        </is>
      </c>
      <c r="P340" s="38" t="inlineStr">
        <is>
          <t>13 形状13</t>
        </is>
      </c>
      <c r="Q340" s="38" t="inlineStr">
        <is>
          <t>Shiny</t>
        </is>
      </c>
      <c r="R340" s="38" t="inlineStr">
        <is>
          <t>merchant_package confirmed；来源=测试家的包裹；攻击3格；仅保留来源商人/训练师关系。</t>
        </is>
      </c>
      <c r="S340" s="38" t="n">
        <v>3</v>
      </c>
      <c r="T340" s="38" t="n">
        <v>2</v>
      </c>
      <c r="U340" s="442" t="inlineStr">
        <is>
          <t>skill_vanguard,skill_flank,skill_pierce,skill_revolve,skill_chase,skill_break,skill_suppress,skill_finale</t>
        </is>
      </c>
      <c r="V340" s="442" t="inlineStr">
        <is>
          <t>trait_relentless</t>
        </is>
      </c>
      <c r="W340" s="457">
        <f>XLOOKUP($D340&amp;"|"&amp;$E340&amp;"|"&amp;$F340,'PET_STAT_RULES'!$A$5:$A$88,'PET_STAT_RULES'!$E$5:$E$88)</f>
        <v/>
      </c>
      <c r="X340" s="385" t="str"/>
      <c r="Y340" s="386" t="inlineStr">
        <is>
          <t>reserved</t>
        </is>
      </c>
      <c r="Z340" s="386" t="str"/>
      <c r="AA340" s="386" t="str"/>
    </row>
    <row r="341">
      <c r="A341" s="38" t="inlineStr">
        <is>
          <t>pal_340</t>
        </is>
      </c>
      <c r="B341" s="38" t="inlineStr">
        <is>
          <t>爱拉中兽</t>
        </is>
      </c>
      <c r="C341" s="38" t="inlineStr">
        <is>
          <t>龙</t>
        </is>
      </c>
      <c r="D341" s="259" t="inlineStr">
        <is>
          <t>青铜</t>
        </is>
      </c>
      <c r="E341" s="38" t="inlineStr">
        <is>
          <t>输出</t>
        </is>
      </c>
      <c r="F341" s="38" t="inlineStr">
        <is>
          <t>两格</t>
        </is>
      </c>
      <c r="G341" s="38" t="inlineStr">
        <is>
          <t>bz_van_340</t>
        </is>
      </c>
      <c r="H341" s="38" t="inlineStr">
        <is>
          <t>night_base, elem_草</t>
        </is>
      </c>
      <c r="I341" s="38" t="n">
        <v>2</v>
      </c>
      <c r="J341" s="456">
        <f>XLOOKUP($D341&amp;"|"&amp;$E341&amp;"|"&amp;$F341,'PET_STAT_RULES'!$A$5:$A$88,'PET_STAT_RULES'!$C$5:$C$88)</f>
        <v/>
      </c>
      <c r="K341" s="456">
        <f>XLOOKUP($D341&amp;"|"&amp;$E341&amp;"|"&amp;$F341,'PET_STAT_RULES'!$A$5:$A$88,'PET_STAT_RULES'!$D$5:$D$88)</f>
        <v/>
      </c>
      <c r="L341" s="456">
        <f>XLOOKUP($D341&amp;"|"&amp;$E341&amp;"|"&amp;$F341,'PET_STAT_RULES'!$A$5:$A$88,'PET_STAT_RULES'!$F$5:$F$88)</f>
        <v/>
      </c>
      <c r="M341" s="456">
        <f>XLOOKUP($D341&amp;"|"&amp;$E341&amp;"|"&amp;$F341,'PET_STAT_RULES'!$A$5:$A$88,'PET_STAT_RULES'!$G$5:$G$88)</f>
        <v/>
      </c>
      <c r="N341" s="38" t="n">
        <v>1</v>
      </c>
      <c r="O341" s="38" t="inlineStr">
        <is>
          <t>mech_grow_atk_each_round</t>
        </is>
      </c>
      <c r="P341" s="38" t="inlineStr">
        <is>
          <t>02 形状02</t>
        </is>
      </c>
      <c r="Q341" s="38" t="inlineStr">
        <is>
          <t>Heavy</t>
        </is>
      </c>
      <c r="R341" s="38" t="inlineStr">
        <is>
          <t>merchant_package confirmed；来源=爱伊拉的包裹；攻击1格；仅保留来源商人/训练师关系。</t>
        </is>
      </c>
      <c r="S341" s="38" t="n">
        <v>3</v>
      </c>
      <c r="T341" s="38" t="n">
        <v>1</v>
      </c>
      <c r="U341" s="442" t="inlineStr">
        <is>
          <t>skill_vanguard,skill_flank,skill_pierce,skill_revolve,skill_chase,skill_break,skill_suppress,skill_finale</t>
        </is>
      </c>
      <c r="V341" s="442" t="inlineStr">
        <is>
          <t>trait_relentless</t>
        </is>
      </c>
      <c r="W341" s="457">
        <f>XLOOKUP($D341&amp;"|"&amp;$E341&amp;"|"&amp;$F341,'PET_STAT_RULES'!$A$5:$A$88,'PET_STAT_RULES'!$E$5:$E$88)</f>
        <v/>
      </c>
      <c r="X341" s="385" t="str"/>
      <c r="Y341" s="386" t="inlineStr">
        <is>
          <t>reserved</t>
        </is>
      </c>
      <c r="Z341" s="386" t="str"/>
      <c r="AA341" s="386" t="str"/>
    </row>
    <row r="342">
      <c r="A342" s="38" t="inlineStr">
        <is>
          <t>pal_341</t>
        </is>
      </c>
      <c r="B342" s="38" t="inlineStr">
        <is>
          <t>爱拉大兽</t>
        </is>
      </c>
      <c r="C342" s="38" t="inlineStr">
        <is>
          <t>冰</t>
        </is>
      </c>
      <c r="D342" s="265" t="inlineStr">
        <is>
          <t>白银</t>
        </is>
      </c>
      <c r="E342" s="38" t="inlineStr">
        <is>
          <t>输出</t>
        </is>
      </c>
      <c r="F342" s="38" t="inlineStr">
        <is>
          <t>三格</t>
        </is>
      </c>
      <c r="G342" s="38" t="inlineStr">
        <is>
          <t>bz_van_341</t>
        </is>
      </c>
      <c r="H342" s="38" t="inlineStr">
        <is>
          <t>night_base, role_经济</t>
        </is>
      </c>
      <c r="I342" s="38" t="n">
        <v>2</v>
      </c>
      <c r="J342" s="456">
        <f>XLOOKUP($D342&amp;"|"&amp;$E342&amp;"|"&amp;$F342,'PET_STAT_RULES'!$A$5:$A$88,'PET_STAT_RULES'!$C$5:$C$88)</f>
        <v/>
      </c>
      <c r="K342" s="456">
        <f>XLOOKUP($D342&amp;"|"&amp;$E342&amp;"|"&amp;$F342,'PET_STAT_RULES'!$A$5:$A$88,'PET_STAT_RULES'!$D$5:$D$88)</f>
        <v/>
      </c>
      <c r="L342" s="456">
        <f>XLOOKUP($D342&amp;"|"&amp;$E342&amp;"|"&amp;$F342,'PET_STAT_RULES'!$A$5:$A$88,'PET_STAT_RULES'!$F$5:$F$88)</f>
        <v/>
      </c>
      <c r="M342" s="456">
        <f>XLOOKUP($D342&amp;"|"&amp;$E342&amp;"|"&amp;$F342,'PET_STAT_RULES'!$A$5:$A$88,'PET_STAT_RULES'!$G$5:$G$88)</f>
        <v/>
      </c>
      <c r="N342" s="38" t="n">
        <v>2</v>
      </c>
      <c r="O342" s="38" t="inlineStr">
        <is>
          <t>mech_grow_atk_each_round</t>
        </is>
      </c>
      <c r="P342" s="38" t="inlineStr">
        <is>
          <t>06 形状06</t>
        </is>
      </c>
      <c r="Q342" s="38" t="inlineStr">
        <is>
          <t>Heavy</t>
        </is>
      </c>
      <c r="R342" s="38" t="inlineStr">
        <is>
          <t>merchant_package confirmed；来源=爱伊拉的包裹；攻击2格；仅保留来源商人/训练师关系。</t>
        </is>
      </c>
      <c r="S342" s="38" t="n">
        <v>2</v>
      </c>
      <c r="T342" s="38" t="n">
        <v>2</v>
      </c>
      <c r="U342" s="442" t="inlineStr">
        <is>
          <t>skill_vanguard,skill_flank,skill_pierce,skill_revolve,skill_chase,skill_break,skill_suppress,skill_finale</t>
        </is>
      </c>
      <c r="V342" s="442" t="inlineStr">
        <is>
          <t>trait_relentless</t>
        </is>
      </c>
      <c r="W342" s="457">
        <f>XLOOKUP($D342&amp;"|"&amp;$E342&amp;"|"&amp;$F342,'PET_STAT_RULES'!$A$5:$A$88,'PET_STAT_RULES'!$E$5:$E$88)</f>
        <v/>
      </c>
      <c r="X342" s="385" t="str"/>
      <c r="Y342" s="386" t="inlineStr">
        <is>
          <t>reserved</t>
        </is>
      </c>
      <c r="Z342" s="386" t="str"/>
      <c r="AA342" s="386" t="str"/>
    </row>
    <row r="343">
      <c r="A343" s="38" t="inlineStr">
        <is>
          <t>pal_342</t>
        </is>
      </c>
      <c r="B343" s="38" t="inlineStr">
        <is>
          <t>爱拉小兽</t>
        </is>
      </c>
      <c r="C343" s="38" t="inlineStr">
        <is>
          <t>冰</t>
        </is>
      </c>
      <c r="D343" s="259" t="inlineStr">
        <is>
          <t>青铜</t>
        </is>
      </c>
      <c r="E343" s="38" t="inlineStr">
        <is>
          <t>输出</t>
        </is>
      </c>
      <c r="F343" s="38" t="inlineStr">
        <is>
          <t>一格</t>
        </is>
      </c>
      <c r="G343" s="38" t="inlineStr">
        <is>
          <t>bz_van_342</t>
        </is>
      </c>
      <c r="H343" s="38" t="inlineStr">
        <is>
          <t>night_base, elem_草</t>
        </is>
      </c>
      <c r="I343" s="38" t="n">
        <v>2</v>
      </c>
      <c r="J343" s="456">
        <f>XLOOKUP($D343&amp;"|"&amp;$E343&amp;"|"&amp;$F343,'PET_STAT_RULES'!$A$5:$A$88,'PET_STAT_RULES'!$C$5:$C$88)</f>
        <v/>
      </c>
      <c r="K343" s="456">
        <f>XLOOKUP($D343&amp;"|"&amp;$E343&amp;"|"&amp;$F343,'PET_STAT_RULES'!$A$5:$A$88,'PET_STAT_RULES'!$D$5:$D$88)</f>
        <v/>
      </c>
      <c r="L343" s="456">
        <f>XLOOKUP($D343&amp;"|"&amp;$E343&amp;"|"&amp;$F343,'PET_STAT_RULES'!$A$5:$A$88,'PET_STAT_RULES'!$F$5:$F$88)</f>
        <v/>
      </c>
      <c r="M343" s="456">
        <f>XLOOKUP($D343&amp;"|"&amp;$E343&amp;"|"&amp;$F343,'PET_STAT_RULES'!$A$5:$A$88,'PET_STAT_RULES'!$G$5:$G$88)</f>
        <v/>
      </c>
      <c r="N343" s="38" t="n">
        <v>3</v>
      </c>
      <c r="O343" s="38" t="inlineStr">
        <is>
          <t>mech_grow_atk_each_round</t>
        </is>
      </c>
      <c r="P343" s="38" t="inlineStr">
        <is>
          <t>17 形状17</t>
        </is>
      </c>
      <c r="Q343" s="38" t="inlineStr">
        <is>
          <t>Heavy</t>
        </is>
      </c>
      <c r="R343" s="38" t="inlineStr">
        <is>
          <t>merchant_package confirmed；来源=爱伊拉的包裹；攻击3格；仅保留来源商人/训练师关系。</t>
        </is>
      </c>
      <c r="S343" s="38" t="n">
        <v>3</v>
      </c>
      <c r="T343" s="38" t="n">
        <v>1</v>
      </c>
      <c r="U343" s="442" t="inlineStr">
        <is>
          <t>skill_vanguard,skill_flank,skill_pierce,skill_revolve,skill_chase,skill_break,skill_suppress,skill_finale</t>
        </is>
      </c>
      <c r="V343" s="442" t="inlineStr">
        <is>
          <t>trait_relentless</t>
        </is>
      </c>
      <c r="W343" s="457">
        <f>XLOOKUP($D343&amp;"|"&amp;$E343&amp;"|"&amp;$F343,'PET_STAT_RULES'!$A$5:$A$88,'PET_STAT_RULES'!$E$5:$E$88)</f>
        <v/>
      </c>
      <c r="X343" s="385" t="str"/>
      <c r="Y343" s="386" t="inlineStr">
        <is>
          <t>reserved</t>
        </is>
      </c>
      <c r="Z343" s="386" t="str"/>
      <c r="AA343" s="386" t="str"/>
    </row>
    <row r="344">
      <c r="A344" s="38" t="inlineStr">
        <is>
          <t>pal_343</t>
        </is>
      </c>
      <c r="B344" s="38" t="inlineStr">
        <is>
          <t>瓦尔大兽</t>
        </is>
      </c>
      <c r="C344" s="38" t="inlineStr">
        <is>
          <t>地</t>
        </is>
      </c>
      <c r="D344" s="265" t="inlineStr">
        <is>
          <t>白银</t>
        </is>
      </c>
      <c r="E344" s="38" t="inlineStr">
        <is>
          <t>输出</t>
        </is>
      </c>
      <c r="F344" s="38" t="inlineStr">
        <is>
          <t>三格</t>
        </is>
      </c>
      <c r="G344" s="38" t="inlineStr">
        <is>
          <t>bz_van_343</t>
        </is>
      </c>
      <c r="H344" s="38" t="inlineStr">
        <is>
          <t>elem_暗, role_经济</t>
        </is>
      </c>
      <c r="I344" s="38" t="n">
        <v>2</v>
      </c>
      <c r="J344" s="456">
        <f>XLOOKUP($D344&amp;"|"&amp;$E344&amp;"|"&amp;$F344,'PET_STAT_RULES'!$A$5:$A$88,'PET_STAT_RULES'!$C$5:$C$88)</f>
        <v/>
      </c>
      <c r="K344" s="456">
        <f>XLOOKUP($D344&amp;"|"&amp;$E344&amp;"|"&amp;$F344,'PET_STAT_RULES'!$A$5:$A$88,'PET_STAT_RULES'!$D$5:$D$88)</f>
        <v/>
      </c>
      <c r="L344" s="456">
        <f>XLOOKUP($D344&amp;"|"&amp;$E344&amp;"|"&amp;$F344,'PET_STAT_RULES'!$A$5:$A$88,'PET_STAT_RULES'!$F$5:$F$88)</f>
        <v/>
      </c>
      <c r="M344" s="456">
        <f>XLOOKUP($D344&amp;"|"&amp;$E344&amp;"|"&amp;$F344,'PET_STAT_RULES'!$A$5:$A$88,'PET_STAT_RULES'!$G$5:$G$88)</f>
        <v/>
      </c>
      <c r="N344" s="38" t="n">
        <v>2</v>
      </c>
      <c r="O344" s="38" t="inlineStr">
        <is>
          <t>mech_grow_atk_each_round</t>
        </is>
      </c>
      <c r="P344" s="38" t="inlineStr">
        <is>
          <t>07 形状07</t>
        </is>
      </c>
      <c r="Q344" s="38" t="inlineStr">
        <is>
          <t>Shiny</t>
        </is>
      </c>
      <c r="R344" s="38" t="inlineStr">
        <is>
          <t>merchant_package confirmed；来源=瓦尔帕克的包裹；攻击2格；仅保留来源商人/训练师关系。</t>
        </is>
      </c>
      <c r="S344" s="38" t="n">
        <v>2</v>
      </c>
      <c r="T344" s="38" t="n">
        <v>2</v>
      </c>
      <c r="U344" s="442" t="inlineStr">
        <is>
          <t>skill_vanguard,skill_flank,skill_pierce,skill_revolve,skill_chase,skill_break,skill_suppress,skill_finale</t>
        </is>
      </c>
      <c r="V344" s="442" t="inlineStr">
        <is>
          <t>trait_relentless</t>
        </is>
      </c>
      <c r="W344" s="457">
        <f>XLOOKUP($D344&amp;"|"&amp;$E344&amp;"|"&amp;$F344,'PET_STAT_RULES'!$A$5:$A$88,'PET_STAT_RULES'!$E$5:$E$88)</f>
        <v/>
      </c>
      <c r="X344" s="385" t="str"/>
      <c r="Y344" s="386" t="inlineStr">
        <is>
          <t>reserved</t>
        </is>
      </c>
      <c r="Z344" s="386" t="str"/>
      <c r="AA344" s="386" t="str"/>
    </row>
    <row r="345">
      <c r="A345" s="38" t="inlineStr">
        <is>
          <t>pal_344</t>
        </is>
      </c>
      <c r="B345" s="38" t="inlineStr">
        <is>
          <t>瓦尔小兽</t>
        </is>
      </c>
      <c r="C345" s="38" t="inlineStr">
        <is>
          <t>火</t>
        </is>
      </c>
      <c r="D345" s="259" t="inlineStr">
        <is>
          <t>青铜</t>
        </is>
      </c>
      <c r="E345" s="38" t="inlineStr">
        <is>
          <t>输出</t>
        </is>
      </c>
      <c r="F345" s="38" t="inlineStr">
        <is>
          <t>一格</t>
        </is>
      </c>
      <c r="G345" s="38" t="inlineStr">
        <is>
          <t>bz_van_344</t>
        </is>
      </c>
      <c r="H345" s="38" t="inlineStr">
        <is>
          <t>elem_草, elem_暗</t>
        </is>
      </c>
      <c r="I345" s="38" t="n">
        <v>2</v>
      </c>
      <c r="J345" s="456">
        <f>XLOOKUP($D345&amp;"|"&amp;$E345&amp;"|"&amp;$F345,'PET_STAT_RULES'!$A$5:$A$88,'PET_STAT_RULES'!$C$5:$C$88)</f>
        <v/>
      </c>
      <c r="K345" s="456">
        <f>XLOOKUP($D345&amp;"|"&amp;$E345&amp;"|"&amp;$F345,'PET_STAT_RULES'!$A$5:$A$88,'PET_STAT_RULES'!$D$5:$D$88)</f>
        <v/>
      </c>
      <c r="L345" s="456">
        <f>XLOOKUP($D345&amp;"|"&amp;$E345&amp;"|"&amp;$F345,'PET_STAT_RULES'!$A$5:$A$88,'PET_STAT_RULES'!$F$5:$F$88)</f>
        <v/>
      </c>
      <c r="M345" s="456">
        <f>XLOOKUP($D345&amp;"|"&amp;$E345&amp;"|"&amp;$F345,'PET_STAT_RULES'!$A$5:$A$88,'PET_STAT_RULES'!$G$5:$G$88)</f>
        <v/>
      </c>
      <c r="N345" s="38" t="n">
        <v>3</v>
      </c>
      <c r="O345" s="38" t="inlineStr">
        <is>
          <t>mech_grow_atk_each_round</t>
        </is>
      </c>
      <c r="P345" s="38" t="inlineStr">
        <is>
          <t>17 形状17</t>
        </is>
      </c>
      <c r="Q345" s="38" t="inlineStr">
        <is>
          <t>Heavy</t>
        </is>
      </c>
      <c r="R345" s="38" t="inlineStr">
        <is>
          <t>merchant_package confirmed；来源=瓦尔帕克的包裹；攻击3格；仅保留来源商人/训练师关系。</t>
        </is>
      </c>
      <c r="S345" s="38" t="n">
        <v>3</v>
      </c>
      <c r="T345" s="38" t="n">
        <v>1</v>
      </c>
      <c r="U345" s="442" t="inlineStr">
        <is>
          <t>skill_vanguard,skill_flank,skill_pierce,skill_revolve,skill_chase,skill_break,skill_suppress,skill_finale</t>
        </is>
      </c>
      <c r="V345" s="442" t="inlineStr">
        <is>
          <t>trait_relentless</t>
        </is>
      </c>
      <c r="W345" s="457">
        <f>XLOOKUP($D345&amp;"|"&amp;$E345&amp;"|"&amp;$F345,'PET_STAT_RULES'!$A$5:$A$88,'PET_STAT_RULES'!$E$5:$E$88)</f>
        <v/>
      </c>
      <c r="X345" s="385" t="str"/>
      <c r="Y345" s="386" t="inlineStr">
        <is>
          <t>reserved</t>
        </is>
      </c>
      <c r="Z345" s="386" t="str"/>
      <c r="AA345" s="386" t="str"/>
    </row>
    <row r="346">
      <c r="A346" s="38" t="inlineStr">
        <is>
          <t>pal_345</t>
        </is>
      </c>
      <c r="B346" s="38" t="inlineStr">
        <is>
          <t>瓦尔中兽</t>
        </is>
      </c>
      <c r="C346" s="38" t="inlineStr">
        <is>
          <t>火</t>
        </is>
      </c>
      <c r="D346" s="259" t="inlineStr">
        <is>
          <t>青铜</t>
        </is>
      </c>
      <c r="E346" s="38" t="inlineStr">
        <is>
          <t>输出</t>
        </is>
      </c>
      <c r="F346" s="38" t="inlineStr">
        <is>
          <t>两格</t>
        </is>
      </c>
      <c r="G346" s="38" t="inlineStr">
        <is>
          <t>bz_van_345</t>
        </is>
      </c>
      <c r="H346" s="38" t="inlineStr">
        <is>
          <t>elem_草, elem_暗</t>
        </is>
      </c>
      <c r="I346" s="38" t="n">
        <v>2</v>
      </c>
      <c r="J346" s="456">
        <f>XLOOKUP($D346&amp;"|"&amp;$E346&amp;"|"&amp;$F346,'PET_STAT_RULES'!$A$5:$A$88,'PET_STAT_RULES'!$C$5:$C$88)</f>
        <v/>
      </c>
      <c r="K346" s="456">
        <f>XLOOKUP($D346&amp;"|"&amp;$E346&amp;"|"&amp;$F346,'PET_STAT_RULES'!$A$5:$A$88,'PET_STAT_RULES'!$D$5:$D$88)</f>
        <v/>
      </c>
      <c r="L346" s="456">
        <f>XLOOKUP($D346&amp;"|"&amp;$E346&amp;"|"&amp;$F346,'PET_STAT_RULES'!$A$5:$A$88,'PET_STAT_RULES'!$F$5:$F$88)</f>
        <v/>
      </c>
      <c r="M346" s="456">
        <f>XLOOKUP($D346&amp;"|"&amp;$E346&amp;"|"&amp;$F346,'PET_STAT_RULES'!$A$5:$A$88,'PET_STAT_RULES'!$G$5:$G$88)</f>
        <v/>
      </c>
      <c r="N346" s="38" t="n">
        <v>1</v>
      </c>
      <c r="O346" s="38" t="inlineStr">
        <is>
          <t>mech_grow_atk_each_round</t>
        </is>
      </c>
      <c r="P346" s="38" t="inlineStr">
        <is>
          <t>03 形状03</t>
        </is>
      </c>
      <c r="Q346" s="38" t="inlineStr">
        <is>
          <t>Shiny</t>
        </is>
      </c>
      <c r="R346" s="38" t="inlineStr">
        <is>
          <t>merchant_package confirmed；来源=瓦尔帕克的包裹；攻击1格；仅保留来源商人/训练师关系。</t>
        </is>
      </c>
      <c r="S346" s="38" t="n">
        <v>3</v>
      </c>
      <c r="T346" s="38" t="n">
        <v>1</v>
      </c>
      <c r="U346" s="442" t="inlineStr">
        <is>
          <t>skill_vanguard,skill_flank,skill_pierce,skill_revolve,skill_chase,skill_break,skill_suppress,skill_finale</t>
        </is>
      </c>
      <c r="V346" s="442" t="inlineStr">
        <is>
          <t>trait_relentless</t>
        </is>
      </c>
      <c r="W346" s="457">
        <f>XLOOKUP($D346&amp;"|"&amp;$E346&amp;"|"&amp;$F346,'PET_STAT_RULES'!$A$5:$A$88,'PET_STAT_RULES'!$E$5:$E$88)</f>
        <v/>
      </c>
      <c r="X346" s="385" t="str"/>
      <c r="Y346" s="386" t="inlineStr">
        <is>
          <t>reserved</t>
        </is>
      </c>
      <c r="Z346" s="386" t="str"/>
      <c r="AA346" s="386" t="str"/>
    </row>
    <row r="347">
      <c r="A347" s="38" t="inlineStr">
        <is>
          <t>pal_346</t>
        </is>
      </c>
      <c r="B347" s="38" t="inlineStr">
        <is>
          <t>米兹中兽</t>
        </is>
      </c>
      <c r="C347" s="38" t="inlineStr">
        <is>
          <t>水</t>
        </is>
      </c>
      <c r="D347" s="259" t="inlineStr">
        <is>
          <t>青铜</t>
        </is>
      </c>
      <c r="E347" s="38" t="inlineStr">
        <is>
          <t>输出</t>
        </is>
      </c>
      <c r="F347" s="38" t="inlineStr">
        <is>
          <t>两格</t>
        </is>
      </c>
      <c r="G347" s="38" t="inlineStr">
        <is>
          <t>bz_van_346</t>
        </is>
      </c>
      <c r="H347" s="38" t="inlineStr">
        <is>
          <t>elem_草, elem_地</t>
        </is>
      </c>
      <c r="I347" s="38" t="n">
        <v>2</v>
      </c>
      <c r="J347" s="456">
        <f>XLOOKUP($D347&amp;"|"&amp;$E347&amp;"|"&amp;$F347,'PET_STAT_RULES'!$A$5:$A$88,'PET_STAT_RULES'!$C$5:$C$88)</f>
        <v/>
      </c>
      <c r="K347" s="456">
        <f>XLOOKUP($D347&amp;"|"&amp;$E347&amp;"|"&amp;$F347,'PET_STAT_RULES'!$A$5:$A$88,'PET_STAT_RULES'!$D$5:$D$88)</f>
        <v/>
      </c>
      <c r="L347" s="456">
        <f>XLOOKUP($D347&amp;"|"&amp;$E347&amp;"|"&amp;$F347,'PET_STAT_RULES'!$A$5:$A$88,'PET_STAT_RULES'!$F$5:$F$88)</f>
        <v/>
      </c>
      <c r="M347" s="456">
        <f>XLOOKUP($D347&amp;"|"&amp;$E347&amp;"|"&amp;$F347,'PET_STAT_RULES'!$A$5:$A$88,'PET_STAT_RULES'!$G$5:$G$88)</f>
        <v/>
      </c>
      <c r="N347" s="38" t="n">
        <v>1</v>
      </c>
      <c r="O347" s="38" t="inlineStr">
        <is>
          <t>mech_grow_atk_each_round</t>
        </is>
      </c>
      <c r="P347" s="38" t="inlineStr">
        <is>
          <t>03 形状03</t>
        </is>
      </c>
      <c r="Q347" s="38" t="inlineStr">
        <is>
          <t>Shiny</t>
        </is>
      </c>
      <c r="R347" s="38" t="inlineStr">
        <is>
          <t>merchant_package confirmed；来源=米兹沃斯的包裹；攻击1格；仅保留来源商人/训练师关系。</t>
        </is>
      </c>
      <c r="S347" s="38" t="n">
        <v>3</v>
      </c>
      <c r="T347" s="38" t="n">
        <v>1</v>
      </c>
      <c r="U347" s="442" t="inlineStr">
        <is>
          <t>skill_vanguard,skill_flank,skill_pierce,skill_revolve,skill_chase,skill_break,skill_suppress,skill_finale</t>
        </is>
      </c>
      <c r="V347" s="442" t="inlineStr">
        <is>
          <t>trait_relentless</t>
        </is>
      </c>
      <c r="W347" s="457">
        <f>XLOOKUP($D347&amp;"|"&amp;$E347&amp;"|"&amp;$F347,'PET_STAT_RULES'!$A$5:$A$88,'PET_STAT_RULES'!$E$5:$E$88)</f>
        <v/>
      </c>
      <c r="X347" s="385" t="str"/>
      <c r="Y347" s="386" t="inlineStr">
        <is>
          <t>reserved</t>
        </is>
      </c>
      <c r="Z347" s="386" t="str"/>
      <c r="AA347" s="386" t="str"/>
    </row>
    <row r="348">
      <c r="A348" s="38" t="inlineStr">
        <is>
          <t>pal_347</t>
        </is>
      </c>
      <c r="B348" s="38" t="inlineStr">
        <is>
          <t>米兹大兽</t>
        </is>
      </c>
      <c r="C348" s="38" t="inlineStr">
        <is>
          <t>地</t>
        </is>
      </c>
      <c r="D348" s="265" t="inlineStr">
        <is>
          <t>白银</t>
        </is>
      </c>
      <c r="E348" s="38" t="inlineStr">
        <is>
          <t>输出</t>
        </is>
      </c>
      <c r="F348" s="38" t="inlineStr">
        <is>
          <t>三格</t>
        </is>
      </c>
      <c r="G348" s="38" t="inlineStr">
        <is>
          <t>bz_van_347</t>
        </is>
      </c>
      <c r="H348" s="38" t="inlineStr">
        <is>
          <t>elem_地, role_经济</t>
        </is>
      </c>
      <c r="I348" s="38" t="n">
        <v>2</v>
      </c>
      <c r="J348" s="456">
        <f>XLOOKUP($D348&amp;"|"&amp;$E348&amp;"|"&amp;$F348,'PET_STAT_RULES'!$A$5:$A$88,'PET_STAT_RULES'!$C$5:$C$88)</f>
        <v/>
      </c>
      <c r="K348" s="456">
        <f>XLOOKUP($D348&amp;"|"&amp;$E348&amp;"|"&amp;$F348,'PET_STAT_RULES'!$A$5:$A$88,'PET_STAT_RULES'!$D$5:$D$88)</f>
        <v/>
      </c>
      <c r="L348" s="456">
        <f>XLOOKUP($D348&amp;"|"&amp;$E348&amp;"|"&amp;$F348,'PET_STAT_RULES'!$A$5:$A$88,'PET_STAT_RULES'!$F$5:$F$88)</f>
        <v/>
      </c>
      <c r="M348" s="456">
        <f>XLOOKUP($D348&amp;"|"&amp;$E348&amp;"|"&amp;$F348,'PET_STAT_RULES'!$A$5:$A$88,'PET_STAT_RULES'!$G$5:$G$88)</f>
        <v/>
      </c>
      <c r="N348" s="38" t="n">
        <v>2</v>
      </c>
      <c r="O348" s="38" t="inlineStr">
        <is>
          <t>mech_grow_atk_each_round</t>
        </is>
      </c>
      <c r="P348" s="38" t="inlineStr">
        <is>
          <t>09 形状09</t>
        </is>
      </c>
      <c r="Q348" s="38" t="inlineStr">
        <is>
          <t>Shiny</t>
        </is>
      </c>
      <c r="R348" s="38" t="inlineStr">
        <is>
          <t>merchant_package confirmed；来源=米兹沃斯的包裹；攻击2格；仅保留来源商人/训练师关系。</t>
        </is>
      </c>
      <c r="S348" s="38" t="n">
        <v>2</v>
      </c>
      <c r="T348" s="38" t="n">
        <v>2</v>
      </c>
      <c r="U348" s="442" t="inlineStr">
        <is>
          <t>skill_vanguard,skill_flank,skill_pierce,skill_revolve,skill_chase,skill_break,skill_suppress,skill_finale</t>
        </is>
      </c>
      <c r="V348" s="442" t="inlineStr">
        <is>
          <t>trait_relentless</t>
        </is>
      </c>
      <c r="W348" s="457">
        <f>XLOOKUP($D348&amp;"|"&amp;$E348&amp;"|"&amp;$F348,'PET_STAT_RULES'!$A$5:$A$88,'PET_STAT_RULES'!$E$5:$E$88)</f>
        <v/>
      </c>
      <c r="X348" s="385" t="str"/>
      <c r="Y348" s="386" t="inlineStr">
        <is>
          <t>reserved</t>
        </is>
      </c>
      <c r="Z348" s="386" t="str"/>
      <c r="AA348" s="386" t="str"/>
    </row>
    <row r="349">
      <c r="A349" s="38" t="inlineStr">
        <is>
          <t>pal_348</t>
        </is>
      </c>
      <c r="B349" s="38" t="inlineStr">
        <is>
          <t>米兹小兽</t>
        </is>
      </c>
      <c r="C349" s="38" t="inlineStr">
        <is>
          <t>地</t>
        </is>
      </c>
      <c r="D349" s="259" t="inlineStr">
        <is>
          <t>青铜</t>
        </is>
      </c>
      <c r="E349" s="38" t="inlineStr">
        <is>
          <t>输出</t>
        </is>
      </c>
      <c r="F349" s="38" t="inlineStr">
        <is>
          <t>一格</t>
        </is>
      </c>
      <c r="G349" s="38" t="inlineStr">
        <is>
          <t>bz_van_348</t>
        </is>
      </c>
      <c r="H349" s="38" t="inlineStr">
        <is>
          <t>elem_草, elem_地</t>
        </is>
      </c>
      <c r="I349" s="38" t="n">
        <v>2</v>
      </c>
      <c r="J349" s="456">
        <f>XLOOKUP($D349&amp;"|"&amp;$E349&amp;"|"&amp;$F349,'PET_STAT_RULES'!$A$5:$A$88,'PET_STAT_RULES'!$C$5:$C$88)</f>
        <v/>
      </c>
      <c r="K349" s="456">
        <f>XLOOKUP($D349&amp;"|"&amp;$E349&amp;"|"&amp;$F349,'PET_STAT_RULES'!$A$5:$A$88,'PET_STAT_RULES'!$D$5:$D$88)</f>
        <v/>
      </c>
      <c r="L349" s="456">
        <f>XLOOKUP($D349&amp;"|"&amp;$E349&amp;"|"&amp;$F349,'PET_STAT_RULES'!$A$5:$A$88,'PET_STAT_RULES'!$F$5:$F$88)</f>
        <v/>
      </c>
      <c r="M349" s="456">
        <f>XLOOKUP($D349&amp;"|"&amp;$E349&amp;"|"&amp;$F349,'PET_STAT_RULES'!$A$5:$A$88,'PET_STAT_RULES'!$G$5:$G$88)</f>
        <v/>
      </c>
      <c r="N349" s="38" t="n">
        <v>3</v>
      </c>
      <c r="O349" s="38" t="inlineStr">
        <is>
          <t>mech_grow_atk_each_round</t>
        </is>
      </c>
      <c r="P349" s="38" t="inlineStr">
        <is>
          <t>13 形状13</t>
        </is>
      </c>
      <c r="Q349" s="38" t="inlineStr">
        <is>
          <t>Shiny</t>
        </is>
      </c>
      <c r="R349" s="38" t="inlineStr">
        <is>
          <t>merchant_package confirmed；来源=米兹沃斯的包裹；攻击3格；仅保留来源商人/训练师关系。</t>
        </is>
      </c>
      <c r="S349" s="38" t="n">
        <v>3</v>
      </c>
      <c r="T349" s="38" t="n">
        <v>1</v>
      </c>
      <c r="U349" s="442" t="inlineStr">
        <is>
          <t>skill_vanguard,skill_flank,skill_pierce,skill_revolve,skill_chase,skill_break,skill_suppress,skill_finale</t>
        </is>
      </c>
      <c r="V349" s="442" t="inlineStr">
        <is>
          <t>trait_relentless</t>
        </is>
      </c>
      <c r="W349" s="457">
        <f>XLOOKUP($D349&amp;"|"&amp;$E349&amp;"|"&amp;$F349,'PET_STAT_RULES'!$A$5:$A$88,'PET_STAT_RULES'!$E$5:$E$88)</f>
        <v/>
      </c>
      <c r="X349" s="385" t="str"/>
      <c r="Y349" s="386" t="inlineStr">
        <is>
          <t>reserved</t>
        </is>
      </c>
      <c r="Z349" s="386" t="str"/>
      <c r="AA349" s="386" t="str"/>
    </row>
    <row r="350">
      <c r="A350" s="38" t="inlineStr">
        <is>
          <t>pal_349</t>
        </is>
      </c>
      <c r="B350" s="38" t="inlineStr">
        <is>
          <t>米透小兽</t>
        </is>
      </c>
      <c r="C350" s="38" t="inlineStr">
        <is>
          <t>无</t>
        </is>
      </c>
      <c r="D350" s="259" t="inlineStr">
        <is>
          <t>青铜</t>
        </is>
      </c>
      <c r="E350" s="38" t="inlineStr">
        <is>
          <t>输出</t>
        </is>
      </c>
      <c r="F350" s="38" t="inlineStr">
        <is>
          <t>一格</t>
        </is>
      </c>
      <c r="G350" s="38" t="inlineStr">
        <is>
          <t>bz_van_349</t>
        </is>
      </c>
      <c r="H350" s="38" t="inlineStr">
        <is>
          <t>elem_草, elem_无</t>
        </is>
      </c>
      <c r="I350" s="38" t="n">
        <v>2</v>
      </c>
      <c r="J350" s="456">
        <f>XLOOKUP($D350&amp;"|"&amp;$E350&amp;"|"&amp;$F350,'PET_STAT_RULES'!$A$5:$A$88,'PET_STAT_RULES'!$C$5:$C$88)</f>
        <v/>
      </c>
      <c r="K350" s="456">
        <f>XLOOKUP($D350&amp;"|"&amp;$E350&amp;"|"&amp;$F350,'PET_STAT_RULES'!$A$5:$A$88,'PET_STAT_RULES'!$D$5:$D$88)</f>
        <v/>
      </c>
      <c r="L350" s="456">
        <f>XLOOKUP($D350&amp;"|"&amp;$E350&amp;"|"&amp;$F350,'PET_STAT_RULES'!$A$5:$A$88,'PET_STAT_RULES'!$F$5:$F$88)</f>
        <v/>
      </c>
      <c r="M350" s="456">
        <f>XLOOKUP($D350&amp;"|"&amp;$E350&amp;"|"&amp;$F350,'PET_STAT_RULES'!$A$5:$A$88,'PET_STAT_RULES'!$G$5:$G$88)</f>
        <v/>
      </c>
      <c r="N350" s="38" t="n">
        <v>3</v>
      </c>
      <c r="O350" s="38" t="inlineStr">
        <is>
          <t>mech_grow_atk_each_round</t>
        </is>
      </c>
      <c r="P350" s="38" t="inlineStr">
        <is>
          <t>15 形状15</t>
        </is>
      </c>
      <c r="Q350" s="38" t="inlineStr">
        <is>
          <t>Shiny</t>
        </is>
      </c>
      <c r="R350" s="38" t="inlineStr">
        <is>
          <t>merchant_package confirmed；来源=米透的包裹；攻击3格；仅保留来源商人/训练师关系。</t>
        </is>
      </c>
      <c r="S350" s="38" t="n">
        <v>3</v>
      </c>
      <c r="T350" s="38" t="n">
        <v>1</v>
      </c>
      <c r="U350" s="442" t="inlineStr">
        <is>
          <t>skill_vanguard,skill_flank,skill_pierce,skill_revolve,skill_chase,skill_break,skill_suppress,skill_finale</t>
        </is>
      </c>
      <c r="V350" s="442" t="inlineStr">
        <is>
          <t>trait_relentless</t>
        </is>
      </c>
      <c r="W350" s="457">
        <f>XLOOKUP($D350&amp;"|"&amp;$E350&amp;"|"&amp;$F350,'PET_STAT_RULES'!$A$5:$A$88,'PET_STAT_RULES'!$E$5:$E$88)</f>
        <v/>
      </c>
      <c r="X350" s="385" t="str"/>
      <c r="Y350" s="386" t="inlineStr">
        <is>
          <t>reserved</t>
        </is>
      </c>
      <c r="Z350" s="386" t="str"/>
      <c r="AA350" s="386" t="str"/>
    </row>
    <row r="351">
      <c r="A351" s="38" t="inlineStr">
        <is>
          <t>pal_350</t>
        </is>
      </c>
      <c r="B351" s="38" t="inlineStr">
        <is>
          <t>米透大兽</t>
        </is>
      </c>
      <c r="C351" s="38" t="inlineStr">
        <is>
          <t>无</t>
        </is>
      </c>
      <c r="D351" s="265" t="inlineStr">
        <is>
          <t>白银</t>
        </is>
      </c>
      <c r="E351" s="38" t="inlineStr">
        <is>
          <t>输出</t>
        </is>
      </c>
      <c r="F351" s="38" t="inlineStr">
        <is>
          <t>三格</t>
        </is>
      </c>
      <c r="G351" s="38" t="inlineStr">
        <is>
          <t>bz_van_350</t>
        </is>
      </c>
      <c r="H351" s="38" t="inlineStr">
        <is>
          <t>elem_无, role_经济</t>
        </is>
      </c>
      <c r="I351" s="38" t="n">
        <v>2</v>
      </c>
      <c r="J351" s="456">
        <f>XLOOKUP($D351&amp;"|"&amp;$E351&amp;"|"&amp;$F351,'PET_STAT_RULES'!$A$5:$A$88,'PET_STAT_RULES'!$C$5:$C$88)</f>
        <v/>
      </c>
      <c r="K351" s="456">
        <f>XLOOKUP($D351&amp;"|"&amp;$E351&amp;"|"&amp;$F351,'PET_STAT_RULES'!$A$5:$A$88,'PET_STAT_RULES'!$D$5:$D$88)</f>
        <v/>
      </c>
      <c r="L351" s="456">
        <f>XLOOKUP($D351&amp;"|"&amp;$E351&amp;"|"&amp;$F351,'PET_STAT_RULES'!$A$5:$A$88,'PET_STAT_RULES'!$F$5:$F$88)</f>
        <v/>
      </c>
      <c r="M351" s="456">
        <f>XLOOKUP($D351&amp;"|"&amp;$E351&amp;"|"&amp;$F351,'PET_STAT_RULES'!$A$5:$A$88,'PET_STAT_RULES'!$G$5:$G$88)</f>
        <v/>
      </c>
      <c r="N351" s="38" t="n">
        <v>2</v>
      </c>
      <c r="O351" s="38" t="inlineStr">
        <is>
          <t>mech_grow_atk_each_round</t>
        </is>
      </c>
      <c r="P351" s="38" t="inlineStr">
        <is>
          <t>06 形状06</t>
        </is>
      </c>
      <c r="Q351" s="38" t="inlineStr">
        <is>
          <t>Heavy</t>
        </is>
      </c>
      <c r="R351" s="38" t="inlineStr">
        <is>
          <t>merchant_package confirmed；来源=米透的包裹；攻击2格；仅保留来源商人/训练师关系。</t>
        </is>
      </c>
      <c r="S351" s="38" t="n">
        <v>2</v>
      </c>
      <c r="T351" s="38" t="n">
        <v>2</v>
      </c>
      <c r="U351" s="442" t="inlineStr">
        <is>
          <t>skill_vanguard,skill_flank,skill_pierce,skill_revolve,skill_chase,skill_break,skill_suppress,skill_finale</t>
        </is>
      </c>
      <c r="V351" s="442" t="inlineStr">
        <is>
          <t>trait_relentless</t>
        </is>
      </c>
      <c r="W351" s="457">
        <f>XLOOKUP($D351&amp;"|"&amp;$E351&amp;"|"&amp;$F351,'PET_STAT_RULES'!$A$5:$A$88,'PET_STAT_RULES'!$E$5:$E$88)</f>
        <v/>
      </c>
      <c r="X351" s="385" t="str"/>
      <c r="Y351" s="386" t="inlineStr">
        <is>
          <t>reserved</t>
        </is>
      </c>
      <c r="Z351" s="386" t="str"/>
      <c r="AA351" s="386" t="str"/>
    </row>
    <row r="352">
      <c r="A352" s="38" t="inlineStr">
        <is>
          <t>pal_351</t>
        </is>
      </c>
      <c r="B352" s="38" t="inlineStr">
        <is>
          <t>米透中兽</t>
        </is>
      </c>
      <c r="C352" s="38" t="inlineStr">
        <is>
          <t>水</t>
        </is>
      </c>
      <c r="D352" s="265" t="inlineStr">
        <is>
          <t>白银</t>
        </is>
      </c>
      <c r="E352" s="38" t="inlineStr">
        <is>
          <t>输出</t>
        </is>
      </c>
      <c r="F352" s="38" t="inlineStr">
        <is>
          <t>两格</t>
        </is>
      </c>
      <c r="G352" s="38" t="inlineStr">
        <is>
          <t>bz_van_351</t>
        </is>
      </c>
      <c r="H352" s="38" t="inlineStr">
        <is>
          <t>elem_无, role_经济</t>
        </is>
      </c>
      <c r="I352" s="38" t="n">
        <v>2</v>
      </c>
      <c r="J352" s="456">
        <f>XLOOKUP($D352&amp;"|"&amp;$E352&amp;"|"&amp;$F352,'PET_STAT_RULES'!$A$5:$A$88,'PET_STAT_RULES'!$C$5:$C$88)</f>
        <v/>
      </c>
      <c r="K352" s="456">
        <f>XLOOKUP($D352&amp;"|"&amp;$E352&amp;"|"&amp;$F352,'PET_STAT_RULES'!$A$5:$A$88,'PET_STAT_RULES'!$D$5:$D$88)</f>
        <v/>
      </c>
      <c r="L352" s="456">
        <f>XLOOKUP($D352&amp;"|"&amp;$E352&amp;"|"&amp;$F352,'PET_STAT_RULES'!$A$5:$A$88,'PET_STAT_RULES'!$F$5:$F$88)</f>
        <v/>
      </c>
      <c r="M352" s="456">
        <f>XLOOKUP($D352&amp;"|"&amp;$E352&amp;"|"&amp;$F352,'PET_STAT_RULES'!$A$5:$A$88,'PET_STAT_RULES'!$G$5:$G$88)</f>
        <v/>
      </c>
      <c r="N352" s="38" t="n">
        <v>2</v>
      </c>
      <c r="O352" s="38" t="inlineStr">
        <is>
          <t>mech_grow_atk_each_round</t>
        </is>
      </c>
      <c r="P352" s="38" t="inlineStr">
        <is>
          <t>07 形状07</t>
        </is>
      </c>
      <c r="Q352" s="38" t="inlineStr">
        <is>
          <t>Shiny</t>
        </is>
      </c>
      <c r="R352" s="38" t="inlineStr">
        <is>
          <t>merchant_package confirmed；来源=米透的包裹；攻击2格；仅保留来源商人/训练师关系。</t>
        </is>
      </c>
      <c r="S352" s="38" t="n">
        <v>3</v>
      </c>
      <c r="T352" s="38" t="n">
        <v>2</v>
      </c>
      <c r="U352" s="442" t="inlineStr">
        <is>
          <t>skill_vanguard,skill_flank,skill_pierce,skill_revolve,skill_chase,skill_break,skill_suppress,skill_finale</t>
        </is>
      </c>
      <c r="V352" s="442" t="inlineStr">
        <is>
          <t>trait_relentless</t>
        </is>
      </c>
      <c r="W352" s="457">
        <f>XLOOKUP($D352&amp;"|"&amp;$E352&amp;"|"&amp;$F352,'PET_STAT_RULES'!$A$5:$A$88,'PET_STAT_RULES'!$E$5:$E$88)</f>
        <v/>
      </c>
      <c r="X352" s="385" t="str"/>
      <c r="Y352" s="386" t="inlineStr">
        <is>
          <t>reserved</t>
        </is>
      </c>
      <c r="Z352" s="386" t="str"/>
      <c r="AA352" s="386" t="str"/>
    </row>
    <row r="353">
      <c r="A353" s="38" t="inlineStr">
        <is>
          <t>pal_352</t>
        </is>
      </c>
      <c r="B353" s="38" t="inlineStr">
        <is>
          <t>自瞄大兽</t>
        </is>
      </c>
      <c r="C353" s="38" t="inlineStr">
        <is>
          <t>水</t>
        </is>
      </c>
      <c r="D353" s="265" t="inlineStr">
        <is>
          <t>白银</t>
        </is>
      </c>
      <c r="E353" s="38" t="inlineStr">
        <is>
          <t>输出</t>
        </is>
      </c>
      <c r="F353" s="38" t="inlineStr">
        <is>
          <t>三格</t>
        </is>
      </c>
      <c r="G353" s="38" t="inlineStr">
        <is>
          <t>bz_van_352</t>
        </is>
      </c>
      <c r="H353" s="38" t="inlineStr">
        <is>
          <t>role_经济, tier_pT1</t>
        </is>
      </c>
      <c r="I353" s="38" t="n">
        <v>2</v>
      </c>
      <c r="J353" s="456">
        <f>XLOOKUP($D353&amp;"|"&amp;$E353&amp;"|"&amp;$F353,'PET_STAT_RULES'!$A$5:$A$88,'PET_STAT_RULES'!$C$5:$C$88)</f>
        <v/>
      </c>
      <c r="K353" s="456">
        <f>XLOOKUP($D353&amp;"|"&amp;$E353&amp;"|"&amp;$F353,'PET_STAT_RULES'!$A$5:$A$88,'PET_STAT_RULES'!$D$5:$D$88)</f>
        <v/>
      </c>
      <c r="L353" s="456">
        <f>XLOOKUP($D353&amp;"|"&amp;$E353&amp;"|"&amp;$F353,'PET_STAT_RULES'!$A$5:$A$88,'PET_STAT_RULES'!$F$5:$F$88)</f>
        <v/>
      </c>
      <c r="M353" s="456">
        <f>XLOOKUP($D353&amp;"|"&amp;$E353&amp;"|"&amp;$F353,'PET_STAT_RULES'!$A$5:$A$88,'PET_STAT_RULES'!$G$5:$G$88)</f>
        <v/>
      </c>
      <c r="N353" s="38" t="n">
        <v>2</v>
      </c>
      <c r="O353" s="38" t="inlineStr">
        <is>
          <t>mech_grow_atk_each_round</t>
        </is>
      </c>
      <c r="P353" s="38" t="inlineStr">
        <is>
          <t>11 形状11</t>
        </is>
      </c>
      <c r="Q353" s="38" t="inlineStr">
        <is>
          <t>Shiny</t>
        </is>
      </c>
      <c r="R353" s="38" t="inlineStr">
        <is>
          <t>merchant_package confirmed；来源=自瞄机的包裹；攻击2格；仅保留来源商人/训练师关系。</t>
        </is>
      </c>
      <c r="S353" s="38" t="n">
        <v>2</v>
      </c>
      <c r="T353" s="38" t="n">
        <v>2</v>
      </c>
      <c r="U353" s="442" t="inlineStr">
        <is>
          <t>skill_vanguard,skill_flank,skill_pierce,skill_revolve,skill_chase,skill_break,skill_suppress,skill_finale</t>
        </is>
      </c>
      <c r="V353" s="442" t="inlineStr">
        <is>
          <t>trait_relentless</t>
        </is>
      </c>
      <c r="W353" s="457">
        <f>XLOOKUP($D353&amp;"|"&amp;$E353&amp;"|"&amp;$F353,'PET_STAT_RULES'!$A$5:$A$88,'PET_STAT_RULES'!$E$5:$E$88)</f>
        <v/>
      </c>
      <c r="X353" s="385" t="str"/>
      <c r="Y353" s="386" t="inlineStr">
        <is>
          <t>reserved</t>
        </is>
      </c>
      <c r="Z353" s="386" t="str"/>
      <c r="AA353" s="386" t="str"/>
    </row>
    <row r="354">
      <c r="A354" s="38" t="inlineStr">
        <is>
          <t>pal_353</t>
        </is>
      </c>
      <c r="B354" s="38" t="inlineStr">
        <is>
          <t>自瞄中兽</t>
        </is>
      </c>
      <c r="C354" s="38" t="inlineStr">
        <is>
          <t>地</t>
        </is>
      </c>
      <c r="D354" s="265" t="inlineStr">
        <is>
          <t>白银</t>
        </is>
      </c>
      <c r="E354" s="38" t="inlineStr">
        <is>
          <t>输出</t>
        </is>
      </c>
      <c r="F354" s="38" t="inlineStr">
        <is>
          <t>两格</t>
        </is>
      </c>
      <c r="G354" s="38" t="inlineStr">
        <is>
          <t>bz_van_353</t>
        </is>
      </c>
      <c r="H354" s="38" t="inlineStr">
        <is>
          <t>role_经济, tier_pT1</t>
        </is>
      </c>
      <c r="I354" s="38" t="n">
        <v>2</v>
      </c>
      <c r="J354" s="456">
        <f>XLOOKUP($D354&amp;"|"&amp;$E354&amp;"|"&amp;$F354,'PET_STAT_RULES'!$A$5:$A$88,'PET_STAT_RULES'!$C$5:$C$88)</f>
        <v/>
      </c>
      <c r="K354" s="456">
        <f>XLOOKUP($D354&amp;"|"&amp;$E354&amp;"|"&amp;$F354,'PET_STAT_RULES'!$A$5:$A$88,'PET_STAT_RULES'!$D$5:$D$88)</f>
        <v/>
      </c>
      <c r="L354" s="456">
        <f>XLOOKUP($D354&amp;"|"&amp;$E354&amp;"|"&amp;$F354,'PET_STAT_RULES'!$A$5:$A$88,'PET_STAT_RULES'!$F$5:$F$88)</f>
        <v/>
      </c>
      <c r="M354" s="456">
        <f>XLOOKUP($D354&amp;"|"&amp;$E354&amp;"|"&amp;$F354,'PET_STAT_RULES'!$A$5:$A$88,'PET_STAT_RULES'!$G$5:$G$88)</f>
        <v/>
      </c>
      <c r="N354" s="38" t="n">
        <v>2</v>
      </c>
      <c r="O354" s="38" t="inlineStr">
        <is>
          <t>mech_grow_atk_each_round</t>
        </is>
      </c>
      <c r="P354" s="38" t="inlineStr">
        <is>
          <t>05 形状05</t>
        </is>
      </c>
      <c r="Q354" s="38" t="inlineStr">
        <is>
          <t>Shiny</t>
        </is>
      </c>
      <c r="R354" s="38" t="inlineStr">
        <is>
          <t>merchant_package confirmed；来源=自瞄机的包裹；攻击2格；仅保留来源商人/训练师关系。</t>
        </is>
      </c>
      <c r="S354" s="38" t="n">
        <v>3</v>
      </c>
      <c r="T354" s="38" t="n">
        <v>2</v>
      </c>
      <c r="U354" s="442" t="inlineStr">
        <is>
          <t>skill_vanguard,skill_flank,skill_pierce,skill_revolve,skill_chase,skill_break,skill_suppress,skill_finale</t>
        </is>
      </c>
      <c r="V354" s="442" t="inlineStr">
        <is>
          <t>trait_relentless</t>
        </is>
      </c>
      <c r="W354" s="457">
        <f>XLOOKUP($D354&amp;"|"&amp;$E354&amp;"|"&amp;$F354,'PET_STAT_RULES'!$A$5:$A$88,'PET_STAT_RULES'!$E$5:$E$88)</f>
        <v/>
      </c>
      <c r="X354" s="385" t="str"/>
      <c r="Y354" s="386" t="inlineStr">
        <is>
          <t>reserved</t>
        </is>
      </c>
      <c r="Z354" s="386" t="str"/>
      <c r="AA354" s="386" t="str"/>
    </row>
    <row r="355">
      <c r="A355" s="38" t="inlineStr">
        <is>
          <t>pal_354</t>
        </is>
      </c>
      <c r="B355" s="38" t="inlineStr">
        <is>
          <t>自瞄小兽</t>
        </is>
      </c>
      <c r="C355" s="38" t="inlineStr">
        <is>
          <t>水</t>
        </is>
      </c>
      <c r="D355" s="265" t="inlineStr">
        <is>
          <t>白银</t>
        </is>
      </c>
      <c r="E355" s="38" t="inlineStr">
        <is>
          <t>输出</t>
        </is>
      </c>
      <c r="F355" s="38" t="inlineStr">
        <is>
          <t>一格</t>
        </is>
      </c>
      <c r="G355" s="38" t="inlineStr">
        <is>
          <t>bz_van_354</t>
        </is>
      </c>
      <c r="H355" s="38" t="inlineStr">
        <is>
          <t>role_经济, tier_pT1</t>
        </is>
      </c>
      <c r="I355" s="38" t="n">
        <v>2</v>
      </c>
      <c r="J355" s="456">
        <f>XLOOKUP($D355&amp;"|"&amp;$E355&amp;"|"&amp;$F355,'PET_STAT_RULES'!$A$5:$A$88,'PET_STAT_RULES'!$C$5:$C$88)</f>
        <v/>
      </c>
      <c r="K355" s="456">
        <f>XLOOKUP($D355&amp;"|"&amp;$E355&amp;"|"&amp;$F355,'PET_STAT_RULES'!$A$5:$A$88,'PET_STAT_RULES'!$D$5:$D$88)</f>
        <v/>
      </c>
      <c r="L355" s="456">
        <f>XLOOKUP($D355&amp;"|"&amp;$E355&amp;"|"&amp;$F355,'PET_STAT_RULES'!$A$5:$A$88,'PET_STAT_RULES'!$F$5:$F$88)</f>
        <v/>
      </c>
      <c r="M355" s="456">
        <f>XLOOKUP($D355&amp;"|"&amp;$E355&amp;"|"&amp;$F355,'PET_STAT_RULES'!$A$5:$A$88,'PET_STAT_RULES'!$G$5:$G$88)</f>
        <v/>
      </c>
      <c r="N355" s="38" t="n">
        <v>3</v>
      </c>
      <c r="O355" s="38" t="inlineStr">
        <is>
          <t>mech_grow_atk_each_round</t>
        </is>
      </c>
      <c r="P355" s="38" t="inlineStr">
        <is>
          <t>13 形状13</t>
        </is>
      </c>
      <c r="Q355" s="38" t="inlineStr">
        <is>
          <t>Heavy</t>
        </is>
      </c>
      <c r="R355" s="38" t="inlineStr">
        <is>
          <t>merchant_package confirmed；来源=自瞄机的包裹；攻击3格；仅保留来源商人/训练师关系。</t>
        </is>
      </c>
      <c r="S355" s="38" t="n">
        <v>3</v>
      </c>
      <c r="T355" s="38" t="n">
        <v>2</v>
      </c>
      <c r="U355" s="442" t="inlineStr">
        <is>
          <t>skill_vanguard,skill_flank,skill_pierce,skill_revolve,skill_chase,skill_break,skill_suppress,skill_finale</t>
        </is>
      </c>
      <c r="V355" s="442" t="inlineStr">
        <is>
          <t>trait_relentless</t>
        </is>
      </c>
      <c r="W355" s="457">
        <f>XLOOKUP($D355&amp;"|"&amp;$E355&amp;"|"&amp;$F355,'PET_STAT_RULES'!$A$5:$A$88,'PET_STAT_RULES'!$E$5:$E$88)</f>
        <v/>
      </c>
      <c r="X355" s="385" t="str"/>
      <c r="Y355" s="386" t="inlineStr">
        <is>
          <t>reserved</t>
        </is>
      </c>
      <c r="Z355" s="386" t="str"/>
      <c r="AA355" s="386" t="str"/>
    </row>
    <row r="356">
      <c r="A356" s="38" t="inlineStr">
        <is>
          <t>pal_355</t>
        </is>
      </c>
      <c r="B356" s="38" t="inlineStr">
        <is>
          <t>葵仙中兽</t>
        </is>
      </c>
      <c r="C356" s="38" t="inlineStr">
        <is>
          <t>无</t>
        </is>
      </c>
      <c r="D356" s="259" t="inlineStr">
        <is>
          <t>青铜</t>
        </is>
      </c>
      <c r="E356" s="38" t="inlineStr">
        <is>
          <t>输出</t>
        </is>
      </c>
      <c r="F356" s="38" t="inlineStr">
        <is>
          <t>两格</t>
        </is>
      </c>
      <c r="G356" s="38" t="inlineStr">
        <is>
          <t>bz_van_355</t>
        </is>
      </c>
      <c r="H356" s="38" t="inlineStr">
        <is>
          <t>elem_草, role_机动压制</t>
        </is>
      </c>
      <c r="I356" s="38" t="n">
        <v>2</v>
      </c>
      <c r="J356" s="456">
        <f>XLOOKUP($D356&amp;"|"&amp;$E356&amp;"|"&amp;$F356,'PET_STAT_RULES'!$A$5:$A$88,'PET_STAT_RULES'!$C$5:$C$88)</f>
        <v/>
      </c>
      <c r="K356" s="456">
        <f>XLOOKUP($D356&amp;"|"&amp;$E356&amp;"|"&amp;$F356,'PET_STAT_RULES'!$A$5:$A$88,'PET_STAT_RULES'!$D$5:$D$88)</f>
        <v/>
      </c>
      <c r="L356" s="456">
        <f>XLOOKUP($D356&amp;"|"&amp;$E356&amp;"|"&amp;$F356,'PET_STAT_RULES'!$A$5:$A$88,'PET_STAT_RULES'!$F$5:$F$88)</f>
        <v/>
      </c>
      <c r="M356" s="456">
        <f>XLOOKUP($D356&amp;"|"&amp;$E356&amp;"|"&amp;$F356,'PET_STAT_RULES'!$A$5:$A$88,'PET_STAT_RULES'!$G$5:$G$88)</f>
        <v/>
      </c>
      <c r="N356" s="38" t="n">
        <v>1</v>
      </c>
      <c r="O356" s="38" t="inlineStr">
        <is>
          <t>mech_grow_atk_each_round</t>
        </is>
      </c>
      <c r="P356" s="38" t="inlineStr">
        <is>
          <t>02 形状02</t>
        </is>
      </c>
      <c r="Q356" s="38" t="inlineStr">
        <is>
          <t>Heavy</t>
        </is>
      </c>
      <c r="R356" s="38" t="inlineStr">
        <is>
          <t>merchant_package confirmed；来源=葵仙子的包裹；攻击1格；仅保留来源商人/训练师关系。</t>
        </is>
      </c>
      <c r="S356" s="38" t="n">
        <v>3</v>
      </c>
      <c r="T356" s="38" t="n">
        <v>1</v>
      </c>
      <c r="U356" s="442" t="inlineStr">
        <is>
          <t>skill_vanguard,skill_flank,skill_pierce,skill_revolve,skill_chase,skill_break,skill_suppress,skill_finale</t>
        </is>
      </c>
      <c r="V356" s="442" t="inlineStr">
        <is>
          <t>trait_relentless</t>
        </is>
      </c>
      <c r="W356" s="457">
        <f>XLOOKUP($D356&amp;"|"&amp;$E356&amp;"|"&amp;$F356,'PET_STAT_RULES'!$A$5:$A$88,'PET_STAT_RULES'!$E$5:$E$88)</f>
        <v/>
      </c>
      <c r="X356" s="385" t="str"/>
      <c r="Y356" s="386" t="inlineStr">
        <is>
          <t>reserved</t>
        </is>
      </c>
      <c r="Z356" s="386" t="str"/>
      <c r="AA356" s="386" t="str"/>
    </row>
    <row r="357">
      <c r="A357" s="38" t="inlineStr">
        <is>
          <t>pal_356</t>
        </is>
      </c>
      <c r="B357" s="38" t="inlineStr">
        <is>
          <t>葵仙小兽</t>
        </is>
      </c>
      <c r="C357" s="38" t="inlineStr">
        <is>
          <t>龙</t>
        </is>
      </c>
      <c r="D357" s="259" t="inlineStr">
        <is>
          <t>青铜</t>
        </is>
      </c>
      <c r="E357" s="38" t="inlineStr">
        <is>
          <t>输出</t>
        </is>
      </c>
      <c r="F357" s="38" t="inlineStr">
        <is>
          <t>一格</t>
        </is>
      </c>
      <c r="G357" s="38" t="inlineStr">
        <is>
          <t>bz_van_356</t>
        </is>
      </c>
      <c r="H357" s="38" t="inlineStr">
        <is>
          <t>elem_草, role_机动压制</t>
        </is>
      </c>
      <c r="I357" s="38" t="n">
        <v>2</v>
      </c>
      <c r="J357" s="456">
        <f>XLOOKUP($D357&amp;"|"&amp;$E357&amp;"|"&amp;$F357,'PET_STAT_RULES'!$A$5:$A$88,'PET_STAT_RULES'!$C$5:$C$88)</f>
        <v/>
      </c>
      <c r="K357" s="456">
        <f>XLOOKUP($D357&amp;"|"&amp;$E357&amp;"|"&amp;$F357,'PET_STAT_RULES'!$A$5:$A$88,'PET_STAT_RULES'!$D$5:$D$88)</f>
        <v/>
      </c>
      <c r="L357" s="456">
        <f>XLOOKUP($D357&amp;"|"&amp;$E357&amp;"|"&amp;$F357,'PET_STAT_RULES'!$A$5:$A$88,'PET_STAT_RULES'!$F$5:$F$88)</f>
        <v/>
      </c>
      <c r="M357" s="456">
        <f>XLOOKUP($D357&amp;"|"&amp;$E357&amp;"|"&amp;$F357,'PET_STAT_RULES'!$A$5:$A$88,'PET_STAT_RULES'!$G$5:$G$88)</f>
        <v/>
      </c>
      <c r="N357" s="38" t="n">
        <v>3</v>
      </c>
      <c r="O357" s="38" t="inlineStr">
        <is>
          <t>mech_grow_atk_each_round</t>
        </is>
      </c>
      <c r="P357" s="38" t="inlineStr">
        <is>
          <t>16 形状16</t>
        </is>
      </c>
      <c r="Q357" s="38" t="inlineStr">
        <is>
          <t>Shiny</t>
        </is>
      </c>
      <c r="R357" s="38" t="inlineStr">
        <is>
          <t>merchant_package confirmed；来源=葵仙子的包裹；攻击3格；仅保留来源商人/训练师关系。</t>
        </is>
      </c>
      <c r="S357" s="38" t="n">
        <v>3</v>
      </c>
      <c r="T357" s="38" t="n">
        <v>1</v>
      </c>
      <c r="U357" s="442" t="inlineStr">
        <is>
          <t>skill_vanguard,skill_flank,skill_pierce,skill_revolve,skill_chase,skill_break,skill_suppress,skill_finale</t>
        </is>
      </c>
      <c r="V357" s="442" t="inlineStr">
        <is>
          <t>trait_relentless</t>
        </is>
      </c>
      <c r="W357" s="457">
        <f>XLOOKUP($D357&amp;"|"&amp;$E357&amp;"|"&amp;$F357,'PET_STAT_RULES'!$A$5:$A$88,'PET_STAT_RULES'!$E$5:$E$88)</f>
        <v/>
      </c>
      <c r="X357" s="385" t="str"/>
      <c r="Y357" s="386" t="inlineStr">
        <is>
          <t>reserved</t>
        </is>
      </c>
      <c r="Z357" s="386" t="str"/>
      <c r="AA357" s="386" t="str"/>
    </row>
    <row r="358">
      <c r="A358" s="38" t="inlineStr">
        <is>
          <t>pal_357</t>
        </is>
      </c>
      <c r="B358" s="38" t="inlineStr">
        <is>
          <t>葵仙大兽</t>
        </is>
      </c>
      <c r="C358" s="38" t="inlineStr">
        <is>
          <t>水</t>
        </is>
      </c>
      <c r="D358" s="265" t="inlineStr">
        <is>
          <t>白银</t>
        </is>
      </c>
      <c r="E358" s="38" t="inlineStr">
        <is>
          <t>输出</t>
        </is>
      </c>
      <c r="F358" s="38" t="inlineStr">
        <is>
          <t>三格</t>
        </is>
      </c>
      <c r="G358" s="38" t="inlineStr">
        <is>
          <t>bz_van_357</t>
        </is>
      </c>
      <c r="H358" s="38" t="inlineStr">
        <is>
          <t>role_经济, role_机动压制</t>
        </is>
      </c>
      <c r="I358" s="38" t="n">
        <v>2</v>
      </c>
      <c r="J358" s="456">
        <f>XLOOKUP($D358&amp;"|"&amp;$E358&amp;"|"&amp;$F358,'PET_STAT_RULES'!$A$5:$A$88,'PET_STAT_RULES'!$C$5:$C$88)</f>
        <v/>
      </c>
      <c r="K358" s="456">
        <f>XLOOKUP($D358&amp;"|"&amp;$E358&amp;"|"&amp;$F358,'PET_STAT_RULES'!$A$5:$A$88,'PET_STAT_RULES'!$D$5:$D$88)</f>
        <v/>
      </c>
      <c r="L358" s="456">
        <f>XLOOKUP($D358&amp;"|"&amp;$E358&amp;"|"&amp;$F358,'PET_STAT_RULES'!$A$5:$A$88,'PET_STAT_RULES'!$F$5:$F$88)</f>
        <v/>
      </c>
      <c r="M358" s="456">
        <f>XLOOKUP($D358&amp;"|"&amp;$E358&amp;"|"&amp;$F358,'PET_STAT_RULES'!$A$5:$A$88,'PET_STAT_RULES'!$G$5:$G$88)</f>
        <v/>
      </c>
      <c r="N358" s="38" t="n">
        <v>2</v>
      </c>
      <c r="O358" s="38" t="inlineStr">
        <is>
          <t>mech_grow_atk_each_round</t>
        </is>
      </c>
      <c r="P358" s="38" t="inlineStr">
        <is>
          <t>12 形状12</t>
        </is>
      </c>
      <c r="Q358" s="38" t="inlineStr">
        <is>
          <t>Heavy</t>
        </is>
      </c>
      <c r="R358" s="38" t="inlineStr">
        <is>
          <t>merchant_package confirmed；来源=葵仙子的包裹；攻击2格；仅保留来源商人/训练师关系。</t>
        </is>
      </c>
      <c r="S358" s="38" t="n">
        <v>2</v>
      </c>
      <c r="T358" s="38" t="n">
        <v>2</v>
      </c>
      <c r="U358" s="442" t="inlineStr">
        <is>
          <t>skill_vanguard,skill_flank,skill_pierce,skill_revolve,skill_chase,skill_break,skill_suppress,skill_finale</t>
        </is>
      </c>
      <c r="V358" s="442" t="inlineStr">
        <is>
          <t>trait_relentless</t>
        </is>
      </c>
      <c r="W358" s="457">
        <f>XLOOKUP($D358&amp;"|"&amp;$E358&amp;"|"&amp;$F358,'PET_STAT_RULES'!$A$5:$A$88,'PET_STAT_RULES'!$E$5:$E$88)</f>
        <v/>
      </c>
      <c r="X358" s="385" t="str"/>
      <c r="Y358" s="386" t="inlineStr">
        <is>
          <t>reserved</t>
        </is>
      </c>
      <c r="Z358" s="386" t="str"/>
      <c r="AA358" s="386" t="str"/>
    </row>
    <row r="359">
      <c r="A359" s="38" t="inlineStr">
        <is>
          <t>pal_358</t>
        </is>
      </c>
      <c r="B359" s="38" t="inlineStr">
        <is>
          <t>西尔小兽</t>
        </is>
      </c>
      <c r="C359" s="38" t="inlineStr">
        <is>
          <t>暗</t>
        </is>
      </c>
      <c r="D359" s="259" t="inlineStr">
        <is>
          <t>青铜</t>
        </is>
      </c>
      <c r="E359" s="38" t="inlineStr">
        <is>
          <t>输出</t>
        </is>
      </c>
      <c r="F359" s="38" t="inlineStr">
        <is>
          <t>一格</t>
        </is>
      </c>
      <c r="G359" s="38" t="inlineStr">
        <is>
          <t>bz_van_358</t>
        </is>
      </c>
      <c r="H359" s="38" t="inlineStr">
        <is>
          <t>elem_草, role_经济</t>
        </is>
      </c>
      <c r="I359" s="38" t="n">
        <v>2</v>
      </c>
      <c r="J359" s="456">
        <f>XLOOKUP($D359&amp;"|"&amp;$E359&amp;"|"&amp;$F359,'PET_STAT_RULES'!$A$5:$A$88,'PET_STAT_RULES'!$C$5:$C$88)</f>
        <v/>
      </c>
      <c r="K359" s="456">
        <f>XLOOKUP($D359&amp;"|"&amp;$E359&amp;"|"&amp;$F359,'PET_STAT_RULES'!$A$5:$A$88,'PET_STAT_RULES'!$D$5:$D$88)</f>
        <v/>
      </c>
      <c r="L359" s="456">
        <f>XLOOKUP($D359&amp;"|"&amp;$E359&amp;"|"&amp;$F359,'PET_STAT_RULES'!$A$5:$A$88,'PET_STAT_RULES'!$F$5:$F$88)</f>
        <v/>
      </c>
      <c r="M359" s="456">
        <f>XLOOKUP($D359&amp;"|"&amp;$E359&amp;"|"&amp;$F359,'PET_STAT_RULES'!$A$5:$A$88,'PET_STAT_RULES'!$G$5:$G$88)</f>
        <v/>
      </c>
      <c r="N359" s="38" t="n">
        <v>3</v>
      </c>
      <c r="O359" s="38" t="inlineStr">
        <is>
          <t>mech_grow_atk_each_round</t>
        </is>
      </c>
      <c r="P359" s="38" t="inlineStr">
        <is>
          <t>14 形状14</t>
        </is>
      </c>
      <c r="Q359" s="38" t="inlineStr">
        <is>
          <t>Heavy</t>
        </is>
      </c>
      <c r="R359" s="38" t="inlineStr">
        <is>
          <t>merchant_package confirmed；来源=西尔维娅的包裹；攻击3格；仅保留来源商人/训练师关系。</t>
        </is>
      </c>
      <c r="S359" s="38" t="n">
        <v>3</v>
      </c>
      <c r="T359" s="38" t="n">
        <v>1</v>
      </c>
      <c r="U359" s="442" t="inlineStr">
        <is>
          <t>skill_vanguard,skill_flank,skill_pierce,skill_revolve,skill_chase,skill_break,skill_suppress,skill_finale</t>
        </is>
      </c>
      <c r="V359" s="442" t="inlineStr">
        <is>
          <t>trait_relentless</t>
        </is>
      </c>
      <c r="W359" s="457">
        <f>XLOOKUP($D359&amp;"|"&amp;$E359&amp;"|"&amp;$F359,'PET_STAT_RULES'!$A$5:$A$88,'PET_STAT_RULES'!$E$5:$E$88)</f>
        <v/>
      </c>
      <c r="X359" s="385" t="str"/>
      <c r="Y359" s="386" t="inlineStr">
        <is>
          <t>reserved</t>
        </is>
      </c>
      <c r="Z359" s="386" t="str"/>
      <c r="AA359" s="386" t="str"/>
    </row>
    <row r="360">
      <c r="A360" s="38" t="inlineStr">
        <is>
          <t>pal_359</t>
        </is>
      </c>
      <c r="B360" s="38" t="inlineStr">
        <is>
          <t>西尔大兽</t>
        </is>
      </c>
      <c r="C360" s="38" t="inlineStr">
        <is>
          <t>草</t>
        </is>
      </c>
      <c r="D360" s="265" t="inlineStr">
        <is>
          <t>白银</t>
        </is>
      </c>
      <c r="E360" s="38" t="inlineStr">
        <is>
          <t>输出</t>
        </is>
      </c>
      <c r="F360" s="38" t="inlineStr">
        <is>
          <t>三格</t>
        </is>
      </c>
      <c r="G360" s="38" t="inlineStr">
        <is>
          <t>bz_van_359</t>
        </is>
      </c>
      <c r="H360" s="38" t="inlineStr">
        <is>
          <t>role_经济</t>
        </is>
      </c>
      <c r="I360" s="38" t="n">
        <v>1</v>
      </c>
      <c r="J360" s="456">
        <f>XLOOKUP($D360&amp;"|"&amp;$E360&amp;"|"&amp;$F360,'PET_STAT_RULES'!$A$5:$A$88,'PET_STAT_RULES'!$C$5:$C$88)</f>
        <v/>
      </c>
      <c r="K360" s="456">
        <f>XLOOKUP($D360&amp;"|"&amp;$E360&amp;"|"&amp;$F360,'PET_STAT_RULES'!$A$5:$A$88,'PET_STAT_RULES'!$D$5:$D$88)</f>
        <v/>
      </c>
      <c r="L360" s="456">
        <f>XLOOKUP($D360&amp;"|"&amp;$E360&amp;"|"&amp;$F360,'PET_STAT_RULES'!$A$5:$A$88,'PET_STAT_RULES'!$F$5:$F$88)</f>
        <v/>
      </c>
      <c r="M360" s="456">
        <f>XLOOKUP($D360&amp;"|"&amp;$E360&amp;"|"&amp;$F360,'PET_STAT_RULES'!$A$5:$A$88,'PET_STAT_RULES'!$G$5:$G$88)</f>
        <v/>
      </c>
      <c r="N360" s="38" t="n">
        <v>2</v>
      </c>
      <c r="O360" s="38" t="inlineStr">
        <is>
          <t>mech_grow_atk_each_round</t>
        </is>
      </c>
      <c r="P360" s="38" t="inlineStr">
        <is>
          <t>11 形状11</t>
        </is>
      </c>
      <c r="Q360" s="38" t="inlineStr">
        <is>
          <t>Shiny</t>
        </is>
      </c>
      <c r="R360" s="38" t="inlineStr">
        <is>
          <t>merchant_package confirmed；来源=西尔维娅的包裹；攻击2格；仅保留来源商人/训练师关系。</t>
        </is>
      </c>
      <c r="S360" s="38" t="n">
        <v>2</v>
      </c>
      <c r="T360" s="38" t="n">
        <v>2</v>
      </c>
      <c r="U360" s="442" t="inlineStr">
        <is>
          <t>skill_vanguard,skill_flank,skill_pierce,skill_revolve,skill_chase,skill_break,skill_suppress,skill_finale</t>
        </is>
      </c>
      <c r="V360" s="442" t="inlineStr">
        <is>
          <t>trait_relentless</t>
        </is>
      </c>
      <c r="W360" s="457">
        <f>XLOOKUP($D360&amp;"|"&amp;$E360&amp;"|"&amp;$F360,'PET_STAT_RULES'!$A$5:$A$88,'PET_STAT_RULES'!$E$5:$E$88)</f>
        <v/>
      </c>
      <c r="X360" s="385" t="str"/>
      <c r="Y360" s="386" t="inlineStr">
        <is>
          <t>reserved</t>
        </is>
      </c>
      <c r="Z360" s="386" t="str"/>
      <c r="AA360" s="386" t="str"/>
    </row>
    <row r="361">
      <c r="A361" s="38" t="inlineStr">
        <is>
          <t>pal_360</t>
        </is>
      </c>
      <c r="B361" s="38" t="inlineStr">
        <is>
          <t>西尔中兽</t>
        </is>
      </c>
      <c r="C361" s="38" t="inlineStr">
        <is>
          <t>暗</t>
        </is>
      </c>
      <c r="D361" s="259" t="inlineStr">
        <is>
          <t>青铜</t>
        </is>
      </c>
      <c r="E361" s="38" t="inlineStr">
        <is>
          <t>输出</t>
        </is>
      </c>
      <c r="F361" s="38" t="inlineStr">
        <is>
          <t>两格</t>
        </is>
      </c>
      <c r="G361" s="38" t="inlineStr">
        <is>
          <t>bz_van_360</t>
        </is>
      </c>
      <c r="H361" s="38" t="inlineStr">
        <is>
          <t>elem_草, role_经济</t>
        </is>
      </c>
      <c r="I361" s="38" t="n">
        <v>2</v>
      </c>
      <c r="J361" s="456">
        <f>XLOOKUP($D361&amp;"|"&amp;$E361&amp;"|"&amp;$F361,'PET_STAT_RULES'!$A$5:$A$88,'PET_STAT_RULES'!$C$5:$C$88)</f>
        <v/>
      </c>
      <c r="K361" s="456">
        <f>XLOOKUP($D361&amp;"|"&amp;$E361&amp;"|"&amp;$F361,'PET_STAT_RULES'!$A$5:$A$88,'PET_STAT_RULES'!$D$5:$D$88)</f>
        <v/>
      </c>
      <c r="L361" s="456">
        <f>XLOOKUP($D361&amp;"|"&amp;$E361&amp;"|"&amp;$F361,'PET_STAT_RULES'!$A$5:$A$88,'PET_STAT_RULES'!$F$5:$F$88)</f>
        <v/>
      </c>
      <c r="M361" s="456">
        <f>XLOOKUP($D361&amp;"|"&amp;$E361&amp;"|"&amp;$F361,'PET_STAT_RULES'!$A$5:$A$88,'PET_STAT_RULES'!$G$5:$G$88)</f>
        <v/>
      </c>
      <c r="N361" s="38" t="n">
        <v>1</v>
      </c>
      <c r="O361" s="38" t="inlineStr">
        <is>
          <t>mech_grow_atk_each_round</t>
        </is>
      </c>
      <c r="P361" s="38" t="inlineStr">
        <is>
          <t>02 形状02</t>
        </is>
      </c>
      <c r="Q361" s="38" t="inlineStr">
        <is>
          <t>Heavy</t>
        </is>
      </c>
      <c r="R361" s="38" t="inlineStr">
        <is>
          <t>merchant_package confirmed；来源=西尔维娅的包裹；攻击1格；仅保留来源商人/训练师关系。</t>
        </is>
      </c>
      <c r="S361" s="38" t="n">
        <v>3</v>
      </c>
      <c r="T361" s="38" t="n">
        <v>1</v>
      </c>
      <c r="U361" s="442" t="inlineStr">
        <is>
          <t>skill_vanguard,skill_flank,skill_pierce,skill_revolve,skill_chase,skill_break,skill_suppress,skill_finale</t>
        </is>
      </c>
      <c r="V361" s="442" t="inlineStr">
        <is>
          <t>trait_relentless</t>
        </is>
      </c>
      <c r="W361" s="457">
        <f>XLOOKUP($D361&amp;"|"&amp;$E361&amp;"|"&amp;$F361,'PET_STAT_RULES'!$A$5:$A$88,'PET_STAT_RULES'!$E$5:$E$88)</f>
        <v/>
      </c>
      <c r="X361" s="385" t="str"/>
      <c r="Y361" s="386" t="inlineStr">
        <is>
          <t>reserved</t>
        </is>
      </c>
      <c r="Z361" s="386" t="str"/>
      <c r="AA361" s="386" t="str"/>
    </row>
    <row r="362">
      <c r="A362" s="38" t="inlineStr">
        <is>
          <t>pal_361</t>
        </is>
      </c>
      <c r="B362" s="38" t="inlineStr">
        <is>
          <t>诺提中兽</t>
        </is>
      </c>
      <c r="C362" s="38" t="inlineStr">
        <is>
          <t>草</t>
        </is>
      </c>
      <c r="D362" s="259" t="inlineStr">
        <is>
          <t>青铜</t>
        </is>
      </c>
      <c r="E362" s="38" t="inlineStr">
        <is>
          <t>输出</t>
        </is>
      </c>
      <c r="F362" s="38" t="inlineStr">
        <is>
          <t>两格</t>
        </is>
      </c>
      <c r="G362" s="38" t="inlineStr">
        <is>
          <t>bz_van_361</t>
        </is>
      </c>
      <c r="H362" s="38" t="inlineStr">
        <is>
          <t>elem_草, role_输出</t>
        </is>
      </c>
      <c r="I362" s="38" t="n">
        <v>2</v>
      </c>
      <c r="J362" s="456">
        <f>XLOOKUP($D362&amp;"|"&amp;$E362&amp;"|"&amp;$F362,'PET_STAT_RULES'!$A$5:$A$88,'PET_STAT_RULES'!$C$5:$C$88)</f>
        <v/>
      </c>
      <c r="K362" s="456">
        <f>XLOOKUP($D362&amp;"|"&amp;$E362&amp;"|"&amp;$F362,'PET_STAT_RULES'!$A$5:$A$88,'PET_STAT_RULES'!$D$5:$D$88)</f>
        <v/>
      </c>
      <c r="L362" s="456">
        <f>XLOOKUP($D362&amp;"|"&amp;$E362&amp;"|"&amp;$F362,'PET_STAT_RULES'!$A$5:$A$88,'PET_STAT_RULES'!$F$5:$F$88)</f>
        <v/>
      </c>
      <c r="M362" s="456">
        <f>XLOOKUP($D362&amp;"|"&amp;$E362&amp;"|"&amp;$F362,'PET_STAT_RULES'!$A$5:$A$88,'PET_STAT_RULES'!$G$5:$G$88)</f>
        <v/>
      </c>
      <c r="N362" s="38" t="n">
        <v>1</v>
      </c>
      <c r="O362" s="38" t="inlineStr">
        <is>
          <t>mech_grow_atk_each_round</t>
        </is>
      </c>
      <c r="P362" s="38" t="inlineStr">
        <is>
          <t>01 形状01</t>
        </is>
      </c>
      <c r="Q362" s="38" t="inlineStr">
        <is>
          <t>Shiny</t>
        </is>
      </c>
      <c r="R362" s="38" t="inlineStr">
        <is>
          <t>merchant_package confirmed；来源=诺提卡的包裹；攻击1格；仅保留来源商人/训练师关系。</t>
        </is>
      </c>
      <c r="S362" s="38" t="n">
        <v>3</v>
      </c>
      <c r="T362" s="38" t="n">
        <v>1</v>
      </c>
      <c r="U362" s="442" t="inlineStr">
        <is>
          <t>skill_vanguard,skill_flank,skill_pierce,skill_revolve,skill_chase,skill_break,skill_suppress,skill_finale</t>
        </is>
      </c>
      <c r="V362" s="442" t="inlineStr">
        <is>
          <t>trait_relentless</t>
        </is>
      </c>
      <c r="W362" s="457">
        <f>XLOOKUP($D362&amp;"|"&amp;$E362&amp;"|"&amp;$F362,'PET_STAT_RULES'!$A$5:$A$88,'PET_STAT_RULES'!$E$5:$E$88)</f>
        <v/>
      </c>
      <c r="X362" s="385" t="str"/>
      <c r="Y362" s="386" t="inlineStr">
        <is>
          <t>reserved</t>
        </is>
      </c>
      <c r="Z362" s="386" t="str"/>
      <c r="AA362" s="386" t="str"/>
    </row>
    <row r="363">
      <c r="A363" s="38" t="inlineStr">
        <is>
          <t>pal_362</t>
        </is>
      </c>
      <c r="B363" s="38" t="inlineStr">
        <is>
          <t>诺提小兽</t>
        </is>
      </c>
      <c r="C363" s="38" t="inlineStr">
        <is>
          <t>火</t>
        </is>
      </c>
      <c r="D363" s="259" t="inlineStr">
        <is>
          <t>青铜</t>
        </is>
      </c>
      <c r="E363" s="38" t="inlineStr">
        <is>
          <t>输出</t>
        </is>
      </c>
      <c r="F363" s="38" t="inlineStr">
        <is>
          <t>一格</t>
        </is>
      </c>
      <c r="G363" s="38" t="inlineStr">
        <is>
          <t>bz_van_362</t>
        </is>
      </c>
      <c r="H363" s="38" t="inlineStr">
        <is>
          <t>elem_草, role_输出</t>
        </is>
      </c>
      <c r="I363" s="38" t="n">
        <v>2</v>
      </c>
      <c r="J363" s="456">
        <f>XLOOKUP($D363&amp;"|"&amp;$E363&amp;"|"&amp;$F363,'PET_STAT_RULES'!$A$5:$A$88,'PET_STAT_RULES'!$C$5:$C$88)</f>
        <v/>
      </c>
      <c r="K363" s="456">
        <f>XLOOKUP($D363&amp;"|"&amp;$E363&amp;"|"&amp;$F363,'PET_STAT_RULES'!$A$5:$A$88,'PET_STAT_RULES'!$D$5:$D$88)</f>
        <v/>
      </c>
      <c r="L363" s="456">
        <f>XLOOKUP($D363&amp;"|"&amp;$E363&amp;"|"&amp;$F363,'PET_STAT_RULES'!$A$5:$A$88,'PET_STAT_RULES'!$F$5:$F$88)</f>
        <v/>
      </c>
      <c r="M363" s="456">
        <f>XLOOKUP($D363&amp;"|"&amp;$E363&amp;"|"&amp;$F363,'PET_STAT_RULES'!$A$5:$A$88,'PET_STAT_RULES'!$G$5:$G$88)</f>
        <v/>
      </c>
      <c r="N363" s="38" t="n">
        <v>3</v>
      </c>
      <c r="O363" s="38" t="inlineStr">
        <is>
          <t>mech_grow_atk_each_round</t>
        </is>
      </c>
      <c r="P363" s="38" t="inlineStr">
        <is>
          <t>18 形状18</t>
        </is>
      </c>
      <c r="Q363" s="38" t="inlineStr">
        <is>
          <t>Heavy</t>
        </is>
      </c>
      <c r="R363" s="38" t="inlineStr">
        <is>
          <t>merchant_package confirmed；来源=诺提卡的包裹；攻击3格；仅保留来源商人/训练师关系。</t>
        </is>
      </c>
      <c r="S363" s="38" t="n">
        <v>3</v>
      </c>
      <c r="T363" s="38" t="n">
        <v>1</v>
      </c>
      <c r="U363" s="442" t="inlineStr">
        <is>
          <t>skill_vanguard,skill_flank,skill_pierce,skill_revolve,skill_chase,skill_break,skill_suppress,skill_finale</t>
        </is>
      </c>
      <c r="V363" s="442" t="inlineStr">
        <is>
          <t>trait_relentless</t>
        </is>
      </c>
      <c r="W363" s="457">
        <f>XLOOKUP($D363&amp;"|"&amp;$E363&amp;"|"&amp;$F363,'PET_STAT_RULES'!$A$5:$A$88,'PET_STAT_RULES'!$E$5:$E$88)</f>
        <v/>
      </c>
      <c r="X363" s="385" t="str"/>
      <c r="Y363" s="386" t="inlineStr">
        <is>
          <t>reserved</t>
        </is>
      </c>
      <c r="Z363" s="386" t="str"/>
      <c r="AA363" s="386" t="str"/>
    </row>
    <row r="364">
      <c r="A364" s="38" t="inlineStr">
        <is>
          <t>pal_363</t>
        </is>
      </c>
      <c r="B364" s="38" t="inlineStr">
        <is>
          <t>诺提大兽</t>
        </is>
      </c>
      <c r="C364" s="38" t="inlineStr">
        <is>
          <t>草</t>
        </is>
      </c>
      <c r="D364" s="265" t="inlineStr">
        <is>
          <t>白银</t>
        </is>
      </c>
      <c r="E364" s="38" t="inlineStr">
        <is>
          <t>输出</t>
        </is>
      </c>
      <c r="F364" s="38" t="inlineStr">
        <is>
          <t>三格</t>
        </is>
      </c>
      <c r="G364" s="38" t="inlineStr">
        <is>
          <t>bz_van_363</t>
        </is>
      </c>
      <c r="H364" s="38" t="inlineStr">
        <is>
          <t>role_输出, role_经济</t>
        </is>
      </c>
      <c r="I364" s="38" t="n">
        <v>2</v>
      </c>
      <c r="J364" s="456">
        <f>XLOOKUP($D364&amp;"|"&amp;$E364&amp;"|"&amp;$F364,'PET_STAT_RULES'!$A$5:$A$88,'PET_STAT_RULES'!$C$5:$C$88)</f>
        <v/>
      </c>
      <c r="K364" s="456">
        <f>XLOOKUP($D364&amp;"|"&amp;$E364&amp;"|"&amp;$F364,'PET_STAT_RULES'!$A$5:$A$88,'PET_STAT_RULES'!$D$5:$D$88)</f>
        <v/>
      </c>
      <c r="L364" s="456">
        <f>XLOOKUP($D364&amp;"|"&amp;$E364&amp;"|"&amp;$F364,'PET_STAT_RULES'!$A$5:$A$88,'PET_STAT_RULES'!$F$5:$F$88)</f>
        <v/>
      </c>
      <c r="M364" s="456">
        <f>XLOOKUP($D364&amp;"|"&amp;$E364&amp;"|"&amp;$F364,'PET_STAT_RULES'!$A$5:$A$88,'PET_STAT_RULES'!$G$5:$G$88)</f>
        <v/>
      </c>
      <c r="N364" s="38" t="n">
        <v>2</v>
      </c>
      <c r="O364" s="38" t="inlineStr">
        <is>
          <t>mech_grow_atk_each_round</t>
        </is>
      </c>
      <c r="P364" s="38" t="inlineStr">
        <is>
          <t>09 形状09</t>
        </is>
      </c>
      <c r="Q364" s="38" t="inlineStr">
        <is>
          <t>Shiny</t>
        </is>
      </c>
      <c r="R364" s="38" t="inlineStr">
        <is>
          <t>merchant_package confirmed；来源=诺提卡的包裹；攻击2格；仅保留来源商人/训练师关系。</t>
        </is>
      </c>
      <c r="S364" s="38" t="n">
        <v>2</v>
      </c>
      <c r="T364" s="38" t="n">
        <v>2</v>
      </c>
      <c r="U364" s="442" t="inlineStr">
        <is>
          <t>skill_vanguard,skill_flank,skill_pierce,skill_revolve,skill_chase,skill_break,skill_suppress,skill_finale</t>
        </is>
      </c>
      <c r="V364" s="442" t="inlineStr">
        <is>
          <t>trait_relentless</t>
        </is>
      </c>
      <c r="W364" s="457">
        <f>XLOOKUP($D364&amp;"|"&amp;$E364&amp;"|"&amp;$F364,'PET_STAT_RULES'!$A$5:$A$88,'PET_STAT_RULES'!$E$5:$E$88)</f>
        <v/>
      </c>
      <c r="X364" s="385" t="str"/>
      <c r="Y364" s="386" t="inlineStr">
        <is>
          <t>reserved</t>
        </is>
      </c>
      <c r="Z364" s="386" t="str"/>
      <c r="AA364" s="386" t="str"/>
    </row>
    <row r="365">
      <c r="A365" s="38" t="inlineStr">
        <is>
          <t>pal_364</t>
        </is>
      </c>
      <c r="B365" s="38" t="inlineStr">
        <is>
          <t>路克小兽</t>
        </is>
      </c>
      <c r="C365" s="38" t="inlineStr">
        <is>
          <t>暗</t>
        </is>
      </c>
      <c r="D365" s="262" t="inlineStr">
        <is>
          <t>黄金</t>
        </is>
      </c>
      <c r="E365" s="38" t="inlineStr">
        <is>
          <t>经济</t>
        </is>
      </c>
      <c r="F365" s="38" t="inlineStr">
        <is>
          <t>一格</t>
        </is>
      </c>
      <c r="G365" s="38" t="inlineStr">
        <is>
          <t>bz_van_364</t>
        </is>
      </c>
      <c r="H365" s="38" t="inlineStr">
        <is>
          <t>role_坦克, role_控制</t>
        </is>
      </c>
      <c r="I365" s="38" t="n">
        <v>2</v>
      </c>
      <c r="J365" s="456">
        <f>XLOOKUP($D365&amp;"|"&amp;$E365&amp;"|"&amp;$F365,'PET_STAT_RULES'!$A$5:$A$88,'PET_STAT_RULES'!$C$5:$C$88)</f>
        <v/>
      </c>
      <c r="K365" s="456">
        <f>XLOOKUP($D365&amp;"|"&amp;$E365&amp;"|"&amp;$F365,'PET_STAT_RULES'!$A$5:$A$88,'PET_STAT_RULES'!$D$5:$D$88)</f>
        <v/>
      </c>
      <c r="L365" s="456">
        <f>XLOOKUP($D365&amp;"|"&amp;$E365&amp;"|"&amp;$F365,'PET_STAT_RULES'!$A$5:$A$88,'PET_STAT_RULES'!$F$5:$F$88)</f>
        <v/>
      </c>
      <c r="M365" s="456">
        <f>XLOOKUP($D365&amp;"|"&amp;$E365&amp;"|"&amp;$F365,'PET_STAT_RULES'!$A$5:$A$88,'PET_STAT_RULES'!$G$5:$G$88)</f>
        <v/>
      </c>
      <c r="N365" s="38" t="n">
        <v>3</v>
      </c>
      <c r="O365" s="38" t="inlineStr">
        <is>
          <t>none</t>
        </is>
      </c>
      <c r="P365" s="38" t="inlineStr">
        <is>
          <t>18 形状18</t>
        </is>
      </c>
      <c r="Q365" s="38" t="inlineStr">
        <is>
          <t>Golden</t>
        </is>
      </c>
      <c r="R365" s="38" t="inlineStr">
        <is>
          <t>merchant_package confirmed；来源=路克斯的包裹；攻击3格；仅保留来源商人/训练师关系。</t>
        </is>
      </c>
      <c r="S365" s="38" t="n">
        <v>3</v>
      </c>
      <c r="T365" s="38" t="n">
        <v>2</v>
      </c>
      <c r="U365" s="442" t="inlineStr">
        <is>
          <t>skill_vanguard,skill_flank,skill_pierce,skill_revolve,skill_chase,skill_break,skill_suppress,skill_finale</t>
        </is>
      </c>
      <c r="V365" s="442" t="inlineStr">
        <is>
          <t>trait_combo_resonance</t>
        </is>
      </c>
      <c r="W365" s="457">
        <f>XLOOKUP($D365&amp;"|"&amp;$E365&amp;"|"&amp;$F365,'PET_STAT_RULES'!$A$5:$A$88,'PET_STAT_RULES'!$E$5:$E$88)</f>
        <v/>
      </c>
      <c r="X365" s="385" t="str"/>
      <c r="Y365" s="386" t="inlineStr">
        <is>
          <t>reserved</t>
        </is>
      </c>
      <c r="Z365" s="386" t="str"/>
      <c r="AA365" s="386" t="str"/>
    </row>
    <row r="366">
      <c r="A366" s="38" t="inlineStr">
        <is>
          <t>pal_365</t>
        </is>
      </c>
      <c r="B366" s="38" t="inlineStr">
        <is>
          <t>路克中兽</t>
        </is>
      </c>
      <c r="C366" s="38" t="inlineStr">
        <is>
          <t>草</t>
        </is>
      </c>
      <c r="D366" s="262" t="inlineStr">
        <is>
          <t>黄金</t>
        </is>
      </c>
      <c r="E366" s="38" t="inlineStr">
        <is>
          <t>经济</t>
        </is>
      </c>
      <c r="F366" s="38" t="inlineStr">
        <is>
          <t>两格</t>
        </is>
      </c>
      <c r="G366" s="38" t="inlineStr">
        <is>
          <t>bz_van_365</t>
        </is>
      </c>
      <c r="H366" s="38" t="inlineStr">
        <is>
          <t>role_坦克, role_控制</t>
        </is>
      </c>
      <c r="I366" s="38" t="n">
        <v>2</v>
      </c>
      <c r="J366" s="456">
        <f>XLOOKUP($D366&amp;"|"&amp;$E366&amp;"|"&amp;$F366,'PET_STAT_RULES'!$A$5:$A$88,'PET_STAT_RULES'!$C$5:$C$88)</f>
        <v/>
      </c>
      <c r="K366" s="456">
        <f>XLOOKUP($D366&amp;"|"&amp;$E366&amp;"|"&amp;$F366,'PET_STAT_RULES'!$A$5:$A$88,'PET_STAT_RULES'!$D$5:$D$88)</f>
        <v/>
      </c>
      <c r="L366" s="456">
        <f>XLOOKUP($D366&amp;"|"&amp;$E366&amp;"|"&amp;$F366,'PET_STAT_RULES'!$A$5:$A$88,'PET_STAT_RULES'!$F$5:$F$88)</f>
        <v/>
      </c>
      <c r="M366" s="456">
        <f>XLOOKUP($D366&amp;"|"&amp;$E366&amp;"|"&amp;$F366,'PET_STAT_RULES'!$A$5:$A$88,'PET_STAT_RULES'!$G$5:$G$88)</f>
        <v/>
      </c>
      <c r="N366" s="38" t="n">
        <v>2</v>
      </c>
      <c r="O366" s="38" t="inlineStr">
        <is>
          <t>none</t>
        </is>
      </c>
      <c r="P366" s="38" t="inlineStr">
        <is>
          <t>11 形状11</t>
        </is>
      </c>
      <c r="Q366" s="38" t="inlineStr">
        <is>
          <t>Golden</t>
        </is>
      </c>
      <c r="R366" s="38" t="inlineStr">
        <is>
          <t>merchant_package confirmed；来源=路克斯的包裹；攻击2格；仅保留来源商人/训练师关系。</t>
        </is>
      </c>
      <c r="S366" s="38" t="n">
        <v>3</v>
      </c>
      <c r="T366" s="38" t="n">
        <v>2</v>
      </c>
      <c r="U366" s="442" t="inlineStr">
        <is>
          <t>skill_vanguard,skill_flank,skill_pierce,skill_revolve,skill_chase,skill_break,skill_suppress,skill_finale</t>
        </is>
      </c>
      <c r="V366" s="442" t="inlineStr">
        <is>
          <t>trait_combo_resonance</t>
        </is>
      </c>
      <c r="W366" s="457">
        <f>XLOOKUP($D366&amp;"|"&amp;$E366&amp;"|"&amp;$F366,'PET_STAT_RULES'!$A$5:$A$88,'PET_STAT_RULES'!$E$5:$E$88)</f>
        <v/>
      </c>
      <c r="X366" s="385" t="str"/>
      <c r="Y366" s="386" t="inlineStr">
        <is>
          <t>reserved</t>
        </is>
      </c>
      <c r="Z366" s="386" t="str"/>
      <c r="AA366" s="386" t="str"/>
    </row>
    <row r="367">
      <c r="A367" s="38" t="inlineStr">
        <is>
          <t>pal_366</t>
        </is>
      </c>
      <c r="B367" s="38" t="inlineStr">
        <is>
          <t>路克大兽</t>
        </is>
      </c>
      <c r="C367" s="38" t="inlineStr">
        <is>
          <t>水</t>
        </is>
      </c>
      <c r="D367" s="262" t="inlineStr">
        <is>
          <t>黄金</t>
        </is>
      </c>
      <c r="E367" s="38" t="inlineStr">
        <is>
          <t>经济</t>
        </is>
      </c>
      <c r="F367" s="38" t="inlineStr">
        <is>
          <t>三格</t>
        </is>
      </c>
      <c r="G367" s="38" t="inlineStr">
        <is>
          <t>bz_van_366</t>
        </is>
      </c>
      <c r="H367" s="38" t="inlineStr">
        <is>
          <t>role_坦克, role_控制</t>
        </is>
      </c>
      <c r="I367" s="38" t="n">
        <v>2</v>
      </c>
      <c r="J367" s="456">
        <f>XLOOKUP($D367&amp;"|"&amp;$E367&amp;"|"&amp;$F367,'PET_STAT_RULES'!$A$5:$A$88,'PET_STAT_RULES'!$C$5:$C$88)</f>
        <v/>
      </c>
      <c r="K367" s="456">
        <f>XLOOKUP($D367&amp;"|"&amp;$E367&amp;"|"&amp;$F367,'PET_STAT_RULES'!$A$5:$A$88,'PET_STAT_RULES'!$D$5:$D$88)</f>
        <v/>
      </c>
      <c r="L367" s="456">
        <f>XLOOKUP($D367&amp;"|"&amp;$E367&amp;"|"&amp;$F367,'PET_STAT_RULES'!$A$5:$A$88,'PET_STAT_RULES'!$F$5:$F$88)</f>
        <v/>
      </c>
      <c r="M367" s="456">
        <f>XLOOKUP($D367&amp;"|"&amp;$E367&amp;"|"&amp;$F367,'PET_STAT_RULES'!$A$5:$A$88,'PET_STAT_RULES'!$G$5:$G$88)</f>
        <v/>
      </c>
      <c r="N367" s="38" t="n">
        <v>2</v>
      </c>
      <c r="O367" s="38" t="inlineStr">
        <is>
          <t>none</t>
        </is>
      </c>
      <c r="P367" s="38" t="inlineStr">
        <is>
          <t>09 形状09</t>
        </is>
      </c>
      <c r="Q367" s="38" t="inlineStr">
        <is>
          <t>Golden</t>
        </is>
      </c>
      <c r="R367" s="38" t="inlineStr">
        <is>
          <t>merchant_package confirmed；来源=路克斯的包裹；攻击2格；仅保留来源商人/训练师关系。</t>
        </is>
      </c>
      <c r="S367" s="38" t="n">
        <v>2</v>
      </c>
      <c r="T367" s="38" t="n">
        <v>2</v>
      </c>
      <c r="U367" s="442" t="inlineStr">
        <is>
          <t>skill_vanguard,skill_flank,skill_pierce,skill_revolve,skill_chase,skill_break,skill_suppress,skill_finale</t>
        </is>
      </c>
      <c r="V367" s="442" t="inlineStr">
        <is>
          <t>trait_combo_resonance</t>
        </is>
      </c>
      <c r="W367" s="457">
        <f>XLOOKUP($D367&amp;"|"&amp;$E367&amp;"|"&amp;$F367,'PET_STAT_RULES'!$A$5:$A$88,'PET_STAT_RULES'!$E$5:$E$88)</f>
        <v/>
      </c>
      <c r="X367" s="385" t="str"/>
      <c r="Y367" s="386" t="inlineStr">
        <is>
          <t>reserved</t>
        </is>
      </c>
      <c r="Z367" s="386" t="str"/>
      <c r="AA367" s="386" t="str"/>
    </row>
    <row r="368">
      <c r="A368" s="38" t="inlineStr">
        <is>
          <t>pal_367</t>
        </is>
      </c>
      <c r="B368" s="38" t="inlineStr">
        <is>
          <t>针羽大兽</t>
        </is>
      </c>
      <c r="C368" s="38" t="inlineStr">
        <is>
          <t>火</t>
        </is>
      </c>
      <c r="D368" s="265" t="inlineStr">
        <is>
          <t>白银</t>
        </is>
      </c>
      <c r="E368" s="38" t="inlineStr">
        <is>
          <t>输出</t>
        </is>
      </c>
      <c r="F368" s="38" t="inlineStr">
        <is>
          <t>三格</t>
        </is>
      </c>
      <c r="G368" s="38" t="inlineStr">
        <is>
          <t>bz_van_367</t>
        </is>
      </c>
      <c r="H368" s="38" t="inlineStr">
        <is>
          <t>elem_草, role_经济</t>
        </is>
      </c>
      <c r="I368" s="38" t="n">
        <v>2</v>
      </c>
      <c r="J368" s="456">
        <f>XLOOKUP($D368&amp;"|"&amp;$E368&amp;"|"&amp;$F368,'PET_STAT_RULES'!$A$5:$A$88,'PET_STAT_RULES'!$C$5:$C$88)</f>
        <v/>
      </c>
      <c r="K368" s="456">
        <f>XLOOKUP($D368&amp;"|"&amp;$E368&amp;"|"&amp;$F368,'PET_STAT_RULES'!$A$5:$A$88,'PET_STAT_RULES'!$D$5:$D$88)</f>
        <v/>
      </c>
      <c r="L368" s="456">
        <f>XLOOKUP($D368&amp;"|"&amp;$E368&amp;"|"&amp;$F368,'PET_STAT_RULES'!$A$5:$A$88,'PET_STAT_RULES'!$F$5:$F$88)</f>
        <v/>
      </c>
      <c r="M368" s="456">
        <f>XLOOKUP($D368&amp;"|"&amp;$E368&amp;"|"&amp;$F368,'PET_STAT_RULES'!$A$5:$A$88,'PET_STAT_RULES'!$G$5:$G$88)</f>
        <v/>
      </c>
      <c r="N368" s="38" t="n">
        <v>2</v>
      </c>
      <c r="O368" s="38" t="inlineStr">
        <is>
          <t>mech_grow_atk_each_round</t>
        </is>
      </c>
      <c r="P368" s="38" t="inlineStr">
        <is>
          <t>12 形状12</t>
        </is>
      </c>
      <c r="Q368" s="38" t="inlineStr">
        <is>
          <t>Heavy</t>
        </is>
      </c>
      <c r="R368" s="38" t="inlineStr">
        <is>
          <t>merchant_package confirmed；来源=针羽的包裹；攻击2格；仅保留来源商人/训练师关系。</t>
        </is>
      </c>
      <c r="S368" s="38" t="n">
        <v>2</v>
      </c>
      <c r="T368" s="38" t="n">
        <v>2</v>
      </c>
      <c r="U368" s="442" t="inlineStr">
        <is>
          <t>skill_vanguard,skill_flank,skill_pierce,skill_revolve,skill_chase,skill_break,skill_suppress,skill_finale</t>
        </is>
      </c>
      <c r="V368" s="442" t="inlineStr">
        <is>
          <t>trait_relentless</t>
        </is>
      </c>
      <c r="W368" s="457">
        <f>XLOOKUP($D368&amp;"|"&amp;$E368&amp;"|"&amp;$F368,'PET_STAT_RULES'!$A$5:$A$88,'PET_STAT_RULES'!$E$5:$E$88)</f>
        <v/>
      </c>
      <c r="X368" s="385" t="str"/>
      <c r="Y368" s="386" t="inlineStr">
        <is>
          <t>reserved</t>
        </is>
      </c>
      <c r="Z368" s="386" t="str"/>
      <c r="AA368" s="386" t="str"/>
    </row>
    <row r="369">
      <c r="A369" s="38" t="inlineStr">
        <is>
          <t>pal_368</t>
        </is>
      </c>
      <c r="B369" s="38" t="inlineStr">
        <is>
          <t>针羽小兽</t>
        </is>
      </c>
      <c r="C369" s="38" t="inlineStr">
        <is>
          <t>冰</t>
        </is>
      </c>
      <c r="D369" s="265" t="inlineStr">
        <is>
          <t>白银</t>
        </is>
      </c>
      <c r="E369" s="38" t="inlineStr">
        <is>
          <t>输出</t>
        </is>
      </c>
      <c r="F369" s="38" t="inlineStr">
        <is>
          <t>一格</t>
        </is>
      </c>
      <c r="G369" s="38" t="inlineStr">
        <is>
          <t>bz_van_368</t>
        </is>
      </c>
      <c r="H369" s="38" t="inlineStr">
        <is>
          <t>elem_草, role_经济</t>
        </is>
      </c>
      <c r="I369" s="38" t="n">
        <v>2</v>
      </c>
      <c r="J369" s="456">
        <f>XLOOKUP($D369&amp;"|"&amp;$E369&amp;"|"&amp;$F369,'PET_STAT_RULES'!$A$5:$A$88,'PET_STAT_RULES'!$C$5:$C$88)</f>
        <v/>
      </c>
      <c r="K369" s="456">
        <f>XLOOKUP($D369&amp;"|"&amp;$E369&amp;"|"&amp;$F369,'PET_STAT_RULES'!$A$5:$A$88,'PET_STAT_RULES'!$D$5:$D$88)</f>
        <v/>
      </c>
      <c r="L369" s="456">
        <f>XLOOKUP($D369&amp;"|"&amp;$E369&amp;"|"&amp;$F369,'PET_STAT_RULES'!$A$5:$A$88,'PET_STAT_RULES'!$F$5:$F$88)</f>
        <v/>
      </c>
      <c r="M369" s="456">
        <f>XLOOKUP($D369&amp;"|"&amp;$E369&amp;"|"&amp;$F369,'PET_STAT_RULES'!$A$5:$A$88,'PET_STAT_RULES'!$G$5:$G$88)</f>
        <v/>
      </c>
      <c r="N369" s="38" t="n">
        <v>3</v>
      </c>
      <c r="O369" s="38" t="inlineStr">
        <is>
          <t>mech_grow_atk_each_round</t>
        </is>
      </c>
      <c r="P369" s="38" t="inlineStr">
        <is>
          <t>16 形状16</t>
        </is>
      </c>
      <c r="Q369" s="38" t="inlineStr">
        <is>
          <t>Shiny</t>
        </is>
      </c>
      <c r="R369" s="38" t="inlineStr">
        <is>
          <t>merchant_package confirmed；来源=针羽的包裹；攻击3格；仅保留来源商人/训练师关系。</t>
        </is>
      </c>
      <c r="S369" s="38" t="n">
        <v>3</v>
      </c>
      <c r="T369" s="38" t="n">
        <v>2</v>
      </c>
      <c r="U369" s="442" t="inlineStr">
        <is>
          <t>skill_vanguard,skill_flank,skill_pierce,skill_revolve,skill_chase,skill_break,skill_suppress,skill_finale</t>
        </is>
      </c>
      <c r="V369" s="442" t="inlineStr">
        <is>
          <t>trait_relentless</t>
        </is>
      </c>
      <c r="W369" s="457">
        <f>XLOOKUP($D369&amp;"|"&amp;$E369&amp;"|"&amp;$F369,'PET_STAT_RULES'!$A$5:$A$88,'PET_STAT_RULES'!$E$5:$E$88)</f>
        <v/>
      </c>
      <c r="X369" s="385" t="str"/>
      <c r="Y369" s="386" t="inlineStr">
        <is>
          <t>reserved</t>
        </is>
      </c>
      <c r="Z369" s="386" t="str"/>
      <c r="AA369" s="386" t="str"/>
    </row>
    <row r="370">
      <c r="A370" s="38" t="inlineStr">
        <is>
          <t>pal_369</t>
        </is>
      </c>
      <c r="B370" s="38" t="inlineStr">
        <is>
          <t>针羽中兽</t>
        </is>
      </c>
      <c r="C370" s="38" t="inlineStr">
        <is>
          <t>无</t>
        </is>
      </c>
      <c r="D370" s="265" t="inlineStr">
        <is>
          <t>白银</t>
        </is>
      </c>
      <c r="E370" s="38" t="inlineStr">
        <is>
          <t>输出</t>
        </is>
      </c>
      <c r="F370" s="38" t="inlineStr">
        <is>
          <t>两格</t>
        </is>
      </c>
      <c r="G370" s="38" t="inlineStr">
        <is>
          <t>bz_van_369</t>
        </is>
      </c>
      <c r="H370" s="38" t="inlineStr">
        <is>
          <t>elem_草, role_经济</t>
        </is>
      </c>
      <c r="I370" s="38" t="n">
        <v>2</v>
      </c>
      <c r="J370" s="456">
        <f>XLOOKUP($D370&amp;"|"&amp;$E370&amp;"|"&amp;$F370,'PET_STAT_RULES'!$A$5:$A$88,'PET_STAT_RULES'!$C$5:$C$88)</f>
        <v/>
      </c>
      <c r="K370" s="456">
        <f>XLOOKUP($D370&amp;"|"&amp;$E370&amp;"|"&amp;$F370,'PET_STAT_RULES'!$A$5:$A$88,'PET_STAT_RULES'!$D$5:$D$88)</f>
        <v/>
      </c>
      <c r="L370" s="456">
        <f>XLOOKUP($D370&amp;"|"&amp;$E370&amp;"|"&amp;$F370,'PET_STAT_RULES'!$A$5:$A$88,'PET_STAT_RULES'!$F$5:$F$88)</f>
        <v/>
      </c>
      <c r="M370" s="456">
        <f>XLOOKUP($D370&amp;"|"&amp;$E370&amp;"|"&amp;$F370,'PET_STAT_RULES'!$A$5:$A$88,'PET_STAT_RULES'!$G$5:$G$88)</f>
        <v/>
      </c>
      <c r="N370" s="38" t="n">
        <v>2</v>
      </c>
      <c r="O370" s="38" t="inlineStr">
        <is>
          <t>mech_grow_atk_each_round</t>
        </is>
      </c>
      <c r="P370" s="38" t="inlineStr">
        <is>
          <t>08 形状08</t>
        </is>
      </c>
      <c r="Q370" s="38" t="inlineStr">
        <is>
          <t>Heavy</t>
        </is>
      </c>
      <c r="R370" s="38" t="inlineStr">
        <is>
          <t>merchant_package confirmed；来源=针羽的包裹；攻击2格；仅保留来源商人/训练师关系。</t>
        </is>
      </c>
      <c r="S370" s="38" t="n">
        <v>3</v>
      </c>
      <c r="T370" s="38" t="n">
        <v>2</v>
      </c>
      <c r="U370" s="442" t="inlineStr">
        <is>
          <t>skill_vanguard,skill_flank,skill_pierce,skill_revolve,skill_chase,skill_break,skill_suppress,skill_finale</t>
        </is>
      </c>
      <c r="V370" s="442" t="inlineStr">
        <is>
          <t>trait_relentless</t>
        </is>
      </c>
      <c r="W370" s="457">
        <f>XLOOKUP($D370&amp;"|"&amp;$E370&amp;"|"&amp;$F370,'PET_STAT_RULES'!$A$5:$A$88,'PET_STAT_RULES'!$E$5:$E$88)</f>
        <v/>
      </c>
      <c r="X370" s="385" t="str"/>
      <c r="Y370" s="386" t="inlineStr">
        <is>
          <t>reserved</t>
        </is>
      </c>
      <c r="Z370" s="386" t="str"/>
      <c r="AA370" s="386" t="str"/>
    </row>
  </sheetData>
  <dataValidations count="1">
    <dataValidation sqref="N2:O128" showDropDown="0" showInputMessage="0" showErrorMessage="0" allowBlank="0" type="whole" operator="between">
      <formula1>0</formula1>
      <formula2>99</formula2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1"/>
  <sheetViews>
    <sheetView showGridLines="0" workbookViewId="0">
      <selection activeCell="A1" sqref="A1"/>
    </sheetView>
  </sheetViews>
  <sheetFormatPr baseColWidth="8" defaultRowHeight="15"/>
  <cols>
    <col width="16" customWidth="1" style="439" min="1" max="1"/>
    <col width="16" customWidth="1" style="439" min="2" max="2"/>
    <col width="14" customWidth="1" style="439" min="3" max="3"/>
    <col width="22" customWidth="1" style="439" min="4" max="4"/>
    <col width="14" customWidth="1" style="439" min="5" max="5"/>
    <col width="12" customWidth="1" style="439" min="6" max="6"/>
    <col width="12" customWidth="1" style="439" min="7" max="7"/>
    <col width="12" customWidth="1" style="439" min="8" max="8"/>
    <col width="12" customWidth="1" style="439" min="9" max="9"/>
    <col width="12" customWidth="1" style="439" min="10" max="10"/>
    <col width="14" customWidth="1" style="439" min="11" max="11"/>
    <col width="10" customWidth="1" style="439" min="12" max="12"/>
    <col width="52" customWidth="1" style="439" min="13" max="13"/>
  </cols>
  <sheetData>
    <row r="1" ht="32" customHeight="1" s="439">
      <c r="A1" s="240" t="inlineStr">
        <is>
          <t>shop_store_id</t>
        </is>
      </c>
      <c r="B1" s="240" t="inlineStr">
        <is>
          <t>name</t>
        </is>
      </c>
      <c r="C1" s="240" t="inlineStr">
        <is>
          <t>store_type</t>
        </is>
      </c>
      <c r="D1" s="240" t="inlineStr">
        <is>
          <t>tags</t>
        </is>
      </c>
      <c r="E1" s="240" t="inlineStr">
        <is>
          <t>default_slots</t>
        </is>
      </c>
      <c r="F1" s="240" t="inlineStr">
        <is>
          <t>unlock_day</t>
        </is>
      </c>
      <c r="G1" s="240" t="inlineStr">
        <is>
          <t>stall_count</t>
        </is>
      </c>
      <c r="H1" s="240" t="inlineStr">
        <is>
          <t>day1_stalls</t>
        </is>
      </c>
      <c r="I1" s="240" t="inlineStr">
        <is>
          <t>day2_stalls</t>
        </is>
      </c>
      <c r="J1" s="240" t="inlineStr">
        <is>
          <t>day3_stalls</t>
        </is>
      </c>
      <c r="K1" s="240" t="inlineStr">
        <is>
          <t>price_rule</t>
        </is>
      </c>
      <c r="L1" s="240" t="inlineStr">
        <is>
          <t>status</t>
        </is>
      </c>
      <c r="M1" s="240" t="inlineStr">
        <is>
          <t>note</t>
        </is>
      </c>
    </row>
    <row r="2">
      <c r="A2" s="38" t="inlineStr">
        <is>
          <t>night_base</t>
        </is>
      </c>
      <c r="B2" s="38" t="inlineStr">
        <is>
          <t>寅将军</t>
        </is>
      </c>
      <c r="C2" s="38" t="inlineStr">
        <is>
          <t>商品地点</t>
        </is>
      </c>
      <c r="D2" s="38" t="inlineStr">
        <is>
          <t>水系、输出</t>
        </is>
      </c>
      <c r="E2" s="38" t="n">
        <v>3</v>
      </c>
      <c r="F2" s="38" t="n">
        <v>1</v>
      </c>
      <c r="G2" s="38" t="n">
        <v>2</v>
      </c>
      <c r="H2" s="38" t="n">
        <v>1</v>
      </c>
      <c r="I2" s="38" t="n">
        <v>1</v>
      </c>
      <c r="J2" s="38" t="n">
        <v>1</v>
      </c>
      <c r="K2" s="38" t="inlineStr">
        <is>
          <t>按宠物品质</t>
        </is>
      </c>
      <c r="L2" s="38" t="inlineStr">
        <is>
          <t>正式</t>
        </is>
      </c>
      <c r="M2" s="38" t="inlineStr">
        <is>
          <t>独立摊位 Aila、Herma；关系候选 70 只；抽取时先选摊位，不合并来源货池。</t>
        </is>
      </c>
    </row>
    <row r="3">
      <c r="A3" s="38" t="inlineStr">
        <is>
          <t>elem_火</t>
        </is>
      </c>
      <c r="B3" s="38" t="inlineStr">
        <is>
          <t>熊山君</t>
        </is>
      </c>
      <c r="C3" s="38" t="inlineStr">
        <is>
          <t>商品地点</t>
        </is>
      </c>
      <c r="D3" s="38" t="inlineStr">
        <is>
          <t>一格</t>
        </is>
      </c>
      <c r="E3" s="38" t="n">
        <v>3</v>
      </c>
      <c r="F3" s="38" t="n">
        <v>1</v>
      </c>
      <c r="G3" s="38" t="n">
        <v>2</v>
      </c>
      <c r="H3" s="38" t="n">
        <v>1</v>
      </c>
      <c r="I3" s="38" t="n">
        <v>1</v>
      </c>
      <c r="J3" s="38" t="n">
        <v>1</v>
      </c>
      <c r="K3" s="38" t="inlineStr">
        <is>
          <t>按宠物品质</t>
        </is>
      </c>
      <c r="L3" s="38" t="inlineStr">
        <is>
          <t>正式</t>
        </is>
      </c>
      <c r="M3" s="38" t="inlineStr">
        <is>
          <t>独立摊位 Ande、Aero；关系候选 67 只；抽取时先选摊位，不合并来源货池。</t>
        </is>
      </c>
    </row>
    <row r="4">
      <c r="A4" s="38" t="inlineStr">
        <is>
          <t>elem_水</t>
        </is>
      </c>
      <c r="B4" s="38" t="inlineStr">
        <is>
          <t>特处士</t>
        </is>
      </c>
      <c r="C4" s="38" t="inlineStr">
        <is>
          <t>训练/商品地点</t>
        </is>
      </c>
      <c r="D4" s="38" t="inlineStr">
        <is>
          <t>一格、两格、三格、技能宠、品质</t>
        </is>
      </c>
      <c r="E4" s="38" t="n">
        <v>3</v>
      </c>
      <c r="F4" s="38" t="n">
        <v>1</v>
      </c>
      <c r="G4" s="38" t="n">
        <v>2</v>
      </c>
      <c r="H4" s="38" t="n">
        <v>1</v>
      </c>
      <c r="I4" s="38" t="n">
        <v>1</v>
      </c>
      <c r="J4" s="38" t="n">
        <v>1</v>
      </c>
      <c r="K4" s="38" t="inlineStr">
        <is>
          <t>按宠物品质</t>
        </is>
      </c>
      <c r="L4" s="38" t="inlineStr">
        <is>
          <t>正式</t>
        </is>
      </c>
      <c r="M4" s="38" t="inlineStr">
        <is>
          <t>独立摊位 Barkun、Adira；关系候选 218 只；抽取时先选摊位，不合并来源货池。</t>
        </is>
      </c>
    </row>
    <row r="5">
      <c r="A5" s="38" t="inlineStr">
        <is>
          <t>elem_草</t>
        </is>
      </c>
      <c r="B5" s="38" t="inlineStr">
        <is>
          <t>刘伯钦</t>
        </is>
      </c>
      <c r="C5" s="38" t="inlineStr">
        <is>
          <t>商品地点</t>
        </is>
      </c>
      <c r="D5" s="38" t="inlineStr">
        <is>
          <t>品质</t>
        </is>
      </c>
      <c r="E5" s="38" t="n">
        <v>10</v>
      </c>
      <c r="F5" s="38" t="n">
        <v>1</v>
      </c>
      <c r="G5" s="38" t="n">
        <v>2</v>
      </c>
      <c r="H5" s="38" t="n">
        <v>1</v>
      </c>
      <c r="I5" s="38" t="n">
        <v>1</v>
      </c>
      <c r="J5" s="38" t="n">
        <v>1</v>
      </c>
      <c r="K5" s="38" t="inlineStr">
        <is>
          <t>按宠物品质</t>
        </is>
      </c>
      <c r="L5" s="38" t="inlineStr">
        <is>
          <t>正式</t>
        </is>
      </c>
      <c r="M5" s="38" t="inlineStr">
        <is>
          <t>独立摊位 Curio、Pinfeather；关系候选 40 只；抽取时先选摊位，不合并来源货池。</t>
        </is>
      </c>
    </row>
    <row r="6">
      <c r="A6" s="38" t="inlineStr">
        <is>
          <t>elem_雷</t>
        </is>
      </c>
      <c r="B6" s="38" t="inlineStr">
        <is>
          <t>孙悟空</t>
        </is>
      </c>
      <c r="C6" s="38" t="inlineStr">
        <is>
          <t>训练/商品地点</t>
        </is>
      </c>
      <c r="D6" s="38" t="inlineStr">
        <is>
          <t>技能宠、品质</t>
        </is>
      </c>
      <c r="E6" s="38" t="n">
        <v>3</v>
      </c>
      <c r="F6" s="38" t="n">
        <v>1</v>
      </c>
      <c r="G6" s="38" t="n">
        <v>2</v>
      </c>
      <c r="H6" s="38" t="n">
        <v>1</v>
      </c>
      <c r="I6" s="38" t="n">
        <v>1</v>
      </c>
      <c r="J6" s="38" t="n">
        <v>1</v>
      </c>
      <c r="K6" s="38" t="inlineStr">
        <is>
          <t>按宠物品质</t>
        </is>
      </c>
      <c r="L6" s="38" t="inlineStr">
        <is>
          <t>正式</t>
        </is>
      </c>
      <c r="M6" s="38" t="inlineStr">
        <is>
          <t>独立摊位 Jay Jay、Argenta；关系候选 225 只；抽取时先选摊位，不合并来源货池。</t>
        </is>
      </c>
    </row>
    <row r="7">
      <c r="A7" s="38" t="inlineStr">
        <is>
          <t>elem_冰</t>
        </is>
      </c>
      <c r="B7" s="38" t="inlineStr">
        <is>
          <t>小白龙</t>
        </is>
      </c>
      <c r="C7" s="38" t="inlineStr">
        <is>
          <t>商品地点</t>
        </is>
      </c>
      <c r="D7" s="38" t="inlineStr">
        <is>
          <t>输出</t>
        </is>
      </c>
      <c r="E7" s="38" t="n">
        <v>3</v>
      </c>
      <c r="F7" s="38" t="n">
        <v>1</v>
      </c>
      <c r="G7" s="38" t="n">
        <v>2</v>
      </c>
      <c r="H7" s="38" t="n">
        <v>1</v>
      </c>
      <c r="I7" s="38" t="n">
        <v>0</v>
      </c>
      <c r="J7" s="38" t="n">
        <v>0</v>
      </c>
      <c r="K7" s="38" t="inlineStr">
        <is>
          <t>按宠物品质</t>
        </is>
      </c>
      <c r="L7" s="38" t="inlineStr">
        <is>
          <t>正式</t>
        </is>
      </c>
      <c r="M7" s="38" t="inlineStr">
        <is>
          <t>独立摊位 Kina、The Antiquarian；关系候选 83 只；抽取时先选摊位，不合并来源货池。</t>
        </is>
      </c>
    </row>
    <row r="8">
      <c r="A8" s="38" t="inlineStr">
        <is>
          <t>elem_地</t>
        </is>
      </c>
      <c r="B8" s="38" t="inlineStr">
        <is>
          <t>金池长老</t>
        </is>
      </c>
      <c r="C8" s="38" t="inlineStr">
        <is>
          <t>训练/商品地点</t>
        </is>
      </c>
      <c r="D8" s="38" t="inlineStr">
        <is>
          <t>一格、两格、三格、技能宠</t>
        </is>
      </c>
      <c r="E8" s="38" t="n">
        <v>3</v>
      </c>
      <c r="F8" s="38" t="n">
        <v>1</v>
      </c>
      <c r="G8" s="38" t="n">
        <v>2</v>
      </c>
      <c r="H8" s="38" t="n">
        <v>1</v>
      </c>
      <c r="I8" s="38" t="n">
        <v>1</v>
      </c>
      <c r="J8" s="38" t="n">
        <v>1</v>
      </c>
      <c r="K8" s="38" t="inlineStr">
        <is>
          <t>按宠物品质</t>
        </is>
      </c>
      <c r="L8" s="38" t="inlineStr">
        <is>
          <t>正式</t>
        </is>
      </c>
      <c r="M8" s="38" t="inlineStr">
        <is>
          <t>独立摊位 Midsworth、Old Zane；关系候选 89 只；抽取时先选摊位，不合并来源货池。</t>
        </is>
      </c>
    </row>
    <row r="9">
      <c r="A9" s="38" t="inlineStr">
        <is>
          <t>elem_暗</t>
        </is>
      </c>
      <c r="B9" s="38" t="inlineStr">
        <is>
          <t>黑熊精</t>
        </is>
      </c>
      <c r="C9" s="38" t="inlineStr">
        <is>
          <t>商品地点</t>
        </is>
      </c>
      <c r="D9" s="38" t="inlineStr">
        <is>
          <t>综合</t>
        </is>
      </c>
      <c r="E9" s="38" t="n">
        <v>3</v>
      </c>
      <c r="F9" s="38" t="n">
        <v>1</v>
      </c>
      <c r="G9" s="38" t="n">
        <v>2</v>
      </c>
      <c r="H9" s="38" t="n">
        <v>1</v>
      </c>
      <c r="I9" s="38" t="n">
        <v>1</v>
      </c>
      <c r="J9" s="38" t="n">
        <v>1</v>
      </c>
      <c r="K9" s="38" t="inlineStr">
        <is>
          <t>按宠物品质</t>
        </is>
      </c>
      <c r="L9" s="38" t="inlineStr">
        <is>
          <t>正式</t>
        </is>
      </c>
      <c r="M9" s="38" t="inlineStr">
        <is>
          <t>独立摊位 Valpak、Mr. Morland；关系候选 20 只；抽取时先选摊位，不合并来源货池。</t>
        </is>
      </c>
    </row>
    <row r="10">
      <c r="A10" s="38" t="inlineStr">
        <is>
          <t>elem_龙</t>
        </is>
      </c>
      <c r="B10" s="38" t="inlineStr">
        <is>
          <t>凌虚子</t>
        </is>
      </c>
      <c r="C10" s="38" t="inlineStr">
        <is>
          <t>训练/商品地点</t>
        </is>
      </c>
      <c r="D10" s="38" t="inlineStr">
        <is>
          <t>坦克、技能宠</t>
        </is>
      </c>
      <c r="E10" s="38" t="n">
        <v>3</v>
      </c>
      <c r="F10" s="38" t="n">
        <v>1</v>
      </c>
      <c r="G10" s="38" t="n">
        <v>2</v>
      </c>
      <c r="H10" s="38" t="n">
        <v>1</v>
      </c>
      <c r="I10" s="38" t="n">
        <v>1</v>
      </c>
      <c r="J10" s="38" t="n">
        <v>1</v>
      </c>
      <c r="K10" s="38" t="inlineStr">
        <is>
          <t>按宠物品质</t>
        </is>
      </c>
      <c r="L10" s="38" t="inlineStr">
        <is>
          <t>正式</t>
        </is>
      </c>
      <c r="M10" s="38" t="inlineStr">
        <is>
          <t>独立摊位 Nufu、Proteus；关系候选 145 只；抽取时先选摊位，不合并来源货池。</t>
        </is>
      </c>
    </row>
    <row r="11">
      <c r="A11" s="38" t="inlineStr">
        <is>
          <t>elem_无</t>
        </is>
      </c>
      <c r="B11" s="38" t="inlineStr">
        <is>
          <t>苍狼精</t>
        </is>
      </c>
      <c r="C11" s="38" t="inlineStr">
        <is>
          <t>训练/商品地点</t>
        </is>
      </c>
      <c r="D11" s="38" t="inlineStr">
        <is>
          <t>两格、技能宠、品质</t>
        </is>
      </c>
      <c r="E11" s="38" t="n">
        <v>3</v>
      </c>
      <c r="F11" s="38" t="n">
        <v>2</v>
      </c>
      <c r="G11" s="38" t="n">
        <v>2</v>
      </c>
      <c r="H11" s="38" t="n">
        <v>0</v>
      </c>
      <c r="I11" s="38" t="n">
        <v>1</v>
      </c>
      <c r="J11" s="38" t="n">
        <v>1</v>
      </c>
      <c r="K11" s="38" t="inlineStr">
        <is>
          <t>按宠物品质</t>
        </is>
      </c>
      <c r="L11" s="38" t="inlineStr">
        <is>
          <t>正式</t>
        </is>
      </c>
      <c r="M11" s="38" t="inlineStr">
        <is>
          <t>独立摊位 Mittel、Orlin；关系候选 177 只；抽取时先选摊位，不合并来源货池。</t>
        </is>
      </c>
    </row>
    <row r="12">
      <c r="A12" s="38" t="inlineStr">
        <is>
          <t>role_召唤</t>
        </is>
      </c>
      <c r="B12" s="38" t="inlineStr">
        <is>
          <t>猪八戒</t>
        </is>
      </c>
      <c r="C12" s="38" t="inlineStr">
        <is>
          <t>训练/商品地点</t>
        </is>
      </c>
      <c r="D12" s="38" t="inlineStr">
        <is>
          <t>一格、两格、三格、输出、技能宠</t>
        </is>
      </c>
      <c r="E12" s="38" t="n">
        <v>3</v>
      </c>
      <c r="F12" s="38" t="n">
        <v>2</v>
      </c>
      <c r="G12" s="38" t="n">
        <v>2</v>
      </c>
      <c r="H12" s="38" t="n">
        <v>0</v>
      </c>
      <c r="I12" s="38" t="n">
        <v>1</v>
      </c>
      <c r="J12" s="38" t="n">
        <v>1</v>
      </c>
      <c r="K12" s="38" t="inlineStr">
        <is>
          <t>按宠物品质</t>
        </is>
      </c>
      <c r="L12" s="38" t="inlineStr">
        <is>
          <t>正式</t>
        </is>
      </c>
      <c r="M12" s="38" t="inlineStr">
        <is>
          <t>独立摊位 Quixel、Vermir；关系候选 111 只；抽取时先选摊位，不合并来源货池。</t>
        </is>
      </c>
    </row>
    <row r="13">
      <c r="A13" s="38" t="inlineStr">
        <is>
          <t>role_坦克</t>
        </is>
      </c>
      <c r="B13" s="38" t="inlineStr">
        <is>
          <t>黄风怪</t>
        </is>
      </c>
      <c r="C13" s="38" t="inlineStr">
        <is>
          <t>训练/商品地点</t>
        </is>
      </c>
      <c r="D13" s="38" t="inlineStr">
        <is>
          <t>输出、技能宠、品质</t>
        </is>
      </c>
      <c r="E13" s="38" t="n">
        <v>3</v>
      </c>
      <c r="F13" s="38" t="n">
        <v>4</v>
      </c>
      <c r="G13" s="38" t="n">
        <v>2</v>
      </c>
      <c r="H13" s="38" t="n">
        <v>0</v>
      </c>
      <c r="I13" s="38" t="n">
        <v>0</v>
      </c>
      <c r="J13" s="38" t="n">
        <v>0</v>
      </c>
      <c r="K13" s="38" t="inlineStr">
        <is>
          <t>按宠物品质</t>
        </is>
      </c>
      <c r="L13" s="38" t="inlineStr">
        <is>
          <t>正式</t>
        </is>
      </c>
      <c r="M13" s="38" t="inlineStr">
        <is>
          <t>独立摊位 Goldie、Ryukon；关系候选 192 只；抽取时先选摊位，不合并来源货池。</t>
        </is>
      </c>
    </row>
    <row r="14">
      <c r="A14" s="38" t="inlineStr">
        <is>
          <t>role_控制</t>
        </is>
      </c>
      <c r="B14" s="38" t="inlineStr">
        <is>
          <t>灵吉菩萨</t>
        </is>
      </c>
      <c r="C14" s="38" t="inlineStr">
        <is>
          <t>训练/商品地点</t>
        </is>
      </c>
      <c r="D14" s="38" t="inlineStr">
        <is>
          <t>技能宠、品质</t>
        </is>
      </c>
      <c r="E14" s="38" t="n">
        <v>3</v>
      </c>
      <c r="F14" s="38" t="n">
        <v>4</v>
      </c>
      <c r="G14" s="38" t="n">
        <v>2</v>
      </c>
      <c r="H14" s="38" t="n">
        <v>0</v>
      </c>
      <c r="I14" s="38" t="n">
        <v>0</v>
      </c>
      <c r="J14" s="38" t="n">
        <v>0</v>
      </c>
      <c r="K14" s="38" t="inlineStr">
        <is>
          <t>按宠物品质</t>
        </is>
      </c>
      <c r="L14" s="38" t="inlineStr">
        <is>
          <t>正式</t>
        </is>
      </c>
      <c r="M14" s="38" t="inlineStr">
        <is>
          <t>独立摊位 Luxe、Bjorn；关系候选 145 只；抽取时先选摊位，不合并来源货池。</t>
        </is>
      </c>
    </row>
    <row r="15">
      <c r="A15" s="38" t="inlineStr">
        <is>
          <t>role_治疗</t>
        </is>
      </c>
      <c r="B15" s="38" t="inlineStr">
        <is>
          <t>沙悟净</t>
        </is>
      </c>
      <c r="C15" s="38" t="inlineStr">
        <is>
          <t>训练/商品地点</t>
        </is>
      </c>
      <c r="D15" s="38" t="inlineStr">
        <is>
          <t>技能宠</t>
        </is>
      </c>
      <c r="E15" s="38" t="n">
        <v>3</v>
      </c>
      <c r="F15" s="38" t="n">
        <v>5</v>
      </c>
      <c r="G15" s="38" t="n">
        <v>2</v>
      </c>
      <c r="H15" s="38" t="n">
        <v>0</v>
      </c>
      <c r="I15" s="38" t="n">
        <v>0</v>
      </c>
      <c r="J15" s="38" t="n">
        <v>0</v>
      </c>
      <c r="K15" s="38" t="inlineStr">
        <is>
          <t>按宠物品质</t>
        </is>
      </c>
      <c r="L15" s="38" t="inlineStr">
        <is>
          <t>正式</t>
        </is>
      </c>
      <c r="M15" s="38" t="inlineStr">
        <is>
          <t>独立摊位 Serafina、Malafang；关系候选 87 只；抽取时先选摊位，不合并来源货池。</t>
        </is>
      </c>
    </row>
    <row r="16">
      <c r="A16" s="38" t="inlineStr">
        <is>
          <t>role_输出</t>
        </is>
      </c>
      <c r="B16" s="38" t="inlineStr">
        <is>
          <t>沙僧</t>
        </is>
      </c>
      <c r="C16" s="38" t="inlineStr">
        <is>
          <t>训练/商品地点</t>
        </is>
      </c>
      <c r="D16" s="38" t="inlineStr">
        <is>
          <t>水系、技能宠</t>
        </is>
      </c>
      <c r="E16" s="38" t="n">
        <v>3</v>
      </c>
      <c r="F16" s="38" t="n">
        <v>6</v>
      </c>
      <c r="G16" s="38" t="n">
        <v>2</v>
      </c>
      <c r="H16" s="38" t="n">
        <v>0</v>
      </c>
      <c r="I16" s="38" t="n">
        <v>0</v>
      </c>
      <c r="J16" s="38" t="n">
        <v>0</v>
      </c>
      <c r="K16" s="38" t="inlineStr">
        <is>
          <t>按宠物品质</t>
        </is>
      </c>
      <c r="L16" s="38" t="inlineStr">
        <is>
          <t>正式</t>
        </is>
      </c>
      <c r="M16" s="38" t="inlineStr">
        <is>
          <t>独立摊位 Nautica、Professor Riggle；关系候选 81 只；抽取时先选摊位，不合并来源货池。</t>
        </is>
      </c>
    </row>
    <row r="17">
      <c r="A17" s="38" t="inlineStr">
        <is>
          <t>role_经济</t>
        </is>
      </c>
      <c r="B17" s="38" t="inlineStr">
        <is>
          <t>黎山老母</t>
        </is>
      </c>
      <c r="C17" s="38" t="inlineStr">
        <is>
          <t>训练/商品地点</t>
        </is>
      </c>
      <c r="D17" s="38" t="inlineStr">
        <is>
          <t>技能宠、品质</t>
        </is>
      </c>
      <c r="E17" s="38" t="n">
        <v>3</v>
      </c>
      <c r="F17" s="38" t="n">
        <v>5</v>
      </c>
      <c r="G17" s="38" t="n">
        <v>2</v>
      </c>
      <c r="H17" s="38" t="n">
        <v>0</v>
      </c>
      <c r="I17" s="38" t="n">
        <v>0</v>
      </c>
      <c r="J17" s="38" t="n">
        <v>0</v>
      </c>
      <c r="K17" s="38" t="inlineStr">
        <is>
          <t>按宠物品质</t>
        </is>
      </c>
      <c r="L17" s="38" t="inlineStr">
        <is>
          <t>正式</t>
        </is>
      </c>
      <c r="M17" s="38" t="inlineStr">
        <is>
          <t>独立摊位 Silvia、Slohmor Lumbra；关系候选 83 只；抽取时先选摊位，不合并来源货池。</t>
        </is>
      </c>
    </row>
    <row r="18">
      <c r="A18" s="38" t="inlineStr">
        <is>
          <t>role_机动</t>
        </is>
      </c>
      <c r="B18" s="38" t="inlineStr">
        <is>
          <t>观音</t>
        </is>
      </c>
      <c r="C18" s="38" t="inlineStr">
        <is>
          <t>商品地点</t>
        </is>
      </c>
      <c r="D18" s="38" t="inlineStr">
        <is>
          <t>综合</t>
        </is>
      </c>
      <c r="E18" s="38" t="n">
        <v>3</v>
      </c>
      <c r="F18" s="38" t="n">
        <v>6</v>
      </c>
      <c r="G18" s="38" t="n">
        <v>2</v>
      </c>
      <c r="H18" s="38" t="n">
        <v>0</v>
      </c>
      <c r="I18" s="38" t="n">
        <v>0</v>
      </c>
      <c r="J18" s="38" t="n">
        <v>0</v>
      </c>
      <c r="K18" s="38" t="inlineStr">
        <is>
          <t>按宠物品质</t>
        </is>
      </c>
      <c r="L18" s="38" t="inlineStr">
        <is>
          <t>正式</t>
        </is>
      </c>
      <c r="M18" s="38" t="inlineStr">
        <is>
          <t>独立摊位 Colt、Prospero；关系候选 36 只；抽取时先选摊位，不合并来源货池。</t>
        </is>
      </c>
    </row>
    <row r="19">
      <c r="A19" s="38" t="inlineStr">
        <is>
          <t>special_merchant</t>
        </is>
      </c>
      <c r="B19" s="38" t="inlineStr">
        <is>
          <t>普贤</t>
        </is>
      </c>
      <c r="C19" s="38" t="inlineStr">
        <is>
          <t>训练/商品地点</t>
        </is>
      </c>
      <c r="D19" s="38" t="inlineStr">
        <is>
          <t>技能宠</t>
        </is>
      </c>
      <c r="E19" s="38" t="n">
        <v>3</v>
      </c>
      <c r="F19" s="38" t="n">
        <v>4</v>
      </c>
      <c r="G19" s="38" t="n">
        <v>2</v>
      </c>
      <c r="H19" s="38" t="n">
        <v>0</v>
      </c>
      <c r="I19" s="38" t="n">
        <v>0</v>
      </c>
      <c r="J19" s="38" t="n">
        <v>0</v>
      </c>
      <c r="K19" s="38" t="inlineStr">
        <is>
          <t>按宠物品质</t>
        </is>
      </c>
      <c r="L19" s="38" t="inlineStr">
        <is>
          <t>正式</t>
        </is>
      </c>
      <c r="M19" s="38" t="inlineStr">
        <is>
          <t>独立摊位 Tok's Clocks、Zara；关系候选 80 只；抽取时先选摊位，不合并来源货池。</t>
        </is>
      </c>
    </row>
    <row r="20">
      <c r="A20" s="38" t="inlineStr">
        <is>
          <t>elite_high</t>
        </is>
      </c>
      <c r="B20" s="38" t="inlineStr">
        <is>
          <t>文殊</t>
        </is>
      </c>
      <c r="C20" s="38" t="inlineStr">
        <is>
          <t>商品地点</t>
        </is>
      </c>
      <c r="D20" s="38" t="inlineStr">
        <is>
          <t>综合</t>
        </is>
      </c>
      <c r="E20" s="38" t="n">
        <v>3</v>
      </c>
      <c r="F20" s="38" t="n">
        <v>4</v>
      </c>
      <c r="G20" s="38" t="n">
        <v>2</v>
      </c>
      <c r="H20" s="38" t="n">
        <v>0</v>
      </c>
      <c r="I20" s="38" t="n">
        <v>0</v>
      </c>
      <c r="J20" s="38" t="n">
        <v>0</v>
      </c>
      <c r="K20" s="38" t="inlineStr">
        <is>
          <t>按宠物品质</t>
        </is>
      </c>
      <c r="L20" s="38" t="inlineStr">
        <is>
          <t>正式</t>
        </is>
      </c>
      <c r="M20" s="38" t="inlineStr">
        <is>
          <t>独立摊位 Chronos、Vanessa；关系候选 37 只；抽取时先选摊位，不合并来源货池。</t>
        </is>
      </c>
    </row>
    <row r="21">
      <c r="A21" s="38" t="inlineStr">
        <is>
          <t>tier_pT1</t>
        </is>
      </c>
      <c r="B21" s="38" t="inlineStr">
        <is>
          <t>镇元大仙</t>
        </is>
      </c>
      <c r="C21" s="38" t="inlineStr">
        <is>
          <t>训练/商品地点</t>
        </is>
      </c>
      <c r="D21" s="38" t="inlineStr">
        <is>
          <t>输出、技能宠</t>
        </is>
      </c>
      <c r="E21" s="38" t="n">
        <v>3</v>
      </c>
      <c r="F21" s="38" t="n">
        <v>4</v>
      </c>
      <c r="G21" s="38" t="n">
        <v>2</v>
      </c>
      <c r="H21" s="38" t="n">
        <v>0</v>
      </c>
      <c r="I21" s="38" t="n">
        <v>0</v>
      </c>
      <c r="J21" s="38" t="n">
        <v>0</v>
      </c>
      <c r="K21" s="38" t="inlineStr">
        <is>
          <t>按宠物品质</t>
        </is>
      </c>
      <c r="L21" s="38" t="inlineStr">
        <is>
          <t>正式</t>
        </is>
      </c>
      <c r="M21" s="38" t="inlineStr">
        <is>
          <t>独立摊位 Aimbot、C4；关系候选 34 只；抽取时先选摊位，不合并来源货池。</t>
        </is>
      </c>
    </row>
    <row r="22">
      <c r="A22" s="38" t="inlineStr">
        <is>
          <t>tier_pT2</t>
        </is>
      </c>
      <c r="B22" s="38" t="inlineStr">
        <is>
          <t>观音菩萨</t>
        </is>
      </c>
      <c r="C22" s="38" t="inlineStr">
        <is>
          <t>训练/商品地点</t>
        </is>
      </c>
      <c r="D22" s="38" t="inlineStr">
        <is>
          <t>水系、坦克、技能宠</t>
        </is>
      </c>
      <c r="E22" s="38" t="n">
        <v>3</v>
      </c>
      <c r="F22" s="38" t="n">
        <v>4</v>
      </c>
      <c r="G22" s="38" t="n">
        <v>2</v>
      </c>
      <c r="H22" s="38" t="n">
        <v>0</v>
      </c>
      <c r="I22" s="38" t="n">
        <v>0</v>
      </c>
      <c r="J22" s="38" t="n">
        <v>0</v>
      </c>
      <c r="K22" s="38" t="inlineStr">
        <is>
          <t>按宠物品质</t>
        </is>
      </c>
      <c r="L22" s="38" t="inlineStr">
        <is>
          <t>正式</t>
        </is>
      </c>
      <c r="M22" s="38" t="inlineStr">
        <is>
          <t>独立摊位 Hef、Regenald；关系候选 32 只；抽取时先选摊位，不合并来源货池。</t>
        </is>
      </c>
    </row>
    <row r="23">
      <c r="A23" s="38" t="inlineStr">
        <is>
          <t>tier_pT3</t>
        </is>
      </c>
      <c r="B23" s="38" t="inlineStr">
        <is>
          <t>白骨精</t>
        </is>
      </c>
      <c r="C23" s="38" t="inlineStr">
        <is>
          <t>商品地点</t>
        </is>
      </c>
      <c r="D23" s="38" t="inlineStr">
        <is>
          <t>水系、坦克</t>
        </is>
      </c>
      <c r="E23" s="38" t="n">
        <v>3</v>
      </c>
      <c r="F23" s="38" t="n">
        <v>5</v>
      </c>
      <c r="G23" s="38" t="n">
        <v>2</v>
      </c>
      <c r="H23" s="38" t="n">
        <v>0</v>
      </c>
      <c r="I23" s="38" t="n">
        <v>0</v>
      </c>
      <c r="J23" s="38" t="n">
        <v>0</v>
      </c>
      <c r="K23" s="38" t="inlineStr">
        <is>
          <t>按宠物品质</t>
        </is>
      </c>
      <c r="L23" s="38" t="inlineStr">
        <is>
          <t>正式</t>
        </is>
      </c>
      <c r="M23" s="38" t="inlineStr">
        <is>
          <t>独立摊位 Kev's Armory、Gastro；关系候选 17 只；抽取时先选摊位，不合并来源货池。</t>
        </is>
      </c>
    </row>
    <row r="24">
      <c r="A24" s="38" t="inlineStr">
        <is>
          <t>role_召唤铺场</t>
        </is>
      </c>
      <c r="B24" s="38" t="inlineStr">
        <is>
          <t>黄袍怪</t>
        </is>
      </c>
      <c r="C24" s="38" t="inlineStr">
        <is>
          <t>训练/商品地点</t>
        </is>
      </c>
      <c r="D24" s="38" t="inlineStr">
        <is>
          <t>坦克、技能宠</t>
        </is>
      </c>
      <c r="E24" s="38" t="n">
        <v>3</v>
      </c>
      <c r="F24" s="38" t="n">
        <v>4</v>
      </c>
      <c r="G24" s="38" t="n">
        <v>2</v>
      </c>
      <c r="H24" s="38" t="n">
        <v>0</v>
      </c>
      <c r="I24" s="38" t="n">
        <v>0</v>
      </c>
      <c r="J24" s="38" t="n">
        <v>0</v>
      </c>
      <c r="K24" s="38" t="inlineStr">
        <is>
          <t>按宠物品质</t>
        </is>
      </c>
      <c r="L24" s="38" t="inlineStr">
        <is>
          <t>正式</t>
        </is>
      </c>
      <c r="M24" s="38" t="inlineStr">
        <is>
          <t>独立摊位 Cobweb、Fortis；关系候选 37 只；抽取时先选摊位，不合并来源货池。</t>
        </is>
      </c>
    </row>
    <row r="25">
      <c r="A25" s="38" t="inlineStr">
        <is>
          <t>role_机动压制</t>
        </is>
      </c>
      <c r="B25" s="38" t="inlineStr">
        <is>
          <t>百花羞</t>
        </is>
      </c>
      <c r="C25" s="38" t="inlineStr">
        <is>
          <t>商品地点</t>
        </is>
      </c>
      <c r="D25" s="38" t="inlineStr">
        <is>
          <t>综合</t>
        </is>
      </c>
      <c r="E25" s="38" t="n">
        <v>3</v>
      </c>
      <c r="F25" s="38" t="n">
        <v>4</v>
      </c>
      <c r="G25" s="38" t="n">
        <v>2</v>
      </c>
      <c r="H25" s="38" t="n">
        <v>0</v>
      </c>
      <c r="I25" s="38" t="n">
        <v>0</v>
      </c>
      <c r="J25" s="38" t="n">
        <v>0</v>
      </c>
      <c r="K25" s="38" t="inlineStr">
        <is>
          <t>按宠物品质</t>
        </is>
      </c>
      <c r="L25" s="38" t="inlineStr">
        <is>
          <t>正式</t>
        </is>
      </c>
      <c r="M25" s="38" t="inlineStr">
        <is>
          <t>独立摊位 Dryad、Lord Oak；关系候选 30 只；抽取时先选摊位，不合并来源货池。</t>
        </is>
      </c>
    </row>
    <row r="26">
      <c r="A26" s="38" t="inlineStr">
        <is>
          <t>role_抗压承伤</t>
        </is>
      </c>
      <c r="B26" s="38" t="inlineStr">
        <is>
          <t>宝象国国王</t>
        </is>
      </c>
      <c r="C26" s="38" t="inlineStr">
        <is>
          <t>商品地点</t>
        </is>
      </c>
      <c r="D26" s="38" t="inlineStr">
        <is>
          <t>综合</t>
        </is>
      </c>
      <c r="E26" s="38" t="n">
        <v>3</v>
      </c>
      <c r="F26" s="38" t="n">
        <v>4</v>
      </c>
      <c r="G26" s="38" t="n">
        <v>2</v>
      </c>
      <c r="H26" s="38" t="n">
        <v>0</v>
      </c>
      <c r="I26" s="38" t="n">
        <v>0</v>
      </c>
      <c r="J26" s="38" t="n">
        <v>0</v>
      </c>
      <c r="K26" s="38" t="inlineStr">
        <is>
          <t>按宠物品质</t>
        </is>
      </c>
      <c r="L26" s="38" t="inlineStr">
        <is>
          <t>正式</t>
        </is>
      </c>
      <c r="M26" s="38" t="inlineStr">
        <is>
          <t>独立摊位 The Tester、Shelter Shelby；关系候选 21 只；抽取时先选摊位，不合并来源货池。</t>
        </is>
      </c>
    </row>
    <row r="27">
      <c r="A27" s="38" t="inlineStr">
        <is>
          <t>role_重甲抗压</t>
        </is>
      </c>
      <c r="B27" s="38" t="inlineStr">
        <is>
          <t>金角大王</t>
        </is>
      </c>
      <c r="C27" s="38" t="inlineStr">
        <is>
          <t>商品地点</t>
        </is>
      </c>
      <c r="D27" s="38" t="inlineStr">
        <is>
          <t>综合</t>
        </is>
      </c>
      <c r="E27" s="38" t="n">
        <v>3</v>
      </c>
      <c r="F27" s="38" t="n">
        <v>4</v>
      </c>
      <c r="G27" s="38" t="n">
        <v>2</v>
      </c>
      <c r="H27" s="38" t="n">
        <v>0</v>
      </c>
      <c r="I27" s="38" t="n">
        <v>0</v>
      </c>
      <c r="J27" s="38" t="n">
        <v>0</v>
      </c>
      <c r="K27" s="38" t="inlineStr">
        <is>
          <t>按宠物品质</t>
        </is>
      </c>
      <c r="L27" s="38" t="inlineStr">
        <is>
          <t>正式</t>
        </is>
      </c>
      <c r="M27" s="38" t="inlineStr">
        <is>
          <t>独立摊位 Gaseo、Tatiana；关系候选 17 只；抽取时先选摊位，不合并来源货池。</t>
        </is>
      </c>
    </row>
    <row r="28">
      <c r="A28" s="38" t="inlineStr">
        <is>
          <t>role_远点压制</t>
        </is>
      </c>
      <c r="B28" s="38" t="inlineStr">
        <is>
          <t>银角大王</t>
        </is>
      </c>
      <c r="C28" s="38" t="inlineStr">
        <is>
          <t>商品地点</t>
        </is>
      </c>
      <c r="D28" s="38" t="inlineStr">
        <is>
          <t>综合</t>
        </is>
      </c>
      <c r="E28" s="38" t="n">
        <v>3</v>
      </c>
      <c r="F28" s="38" t="n">
        <v>6</v>
      </c>
      <c r="G28" s="38" t="n">
        <v>1</v>
      </c>
      <c r="H28" s="38" t="n">
        <v>0</v>
      </c>
      <c r="I28" s="38" t="n">
        <v>0</v>
      </c>
      <c r="J28" s="38" t="n">
        <v>0</v>
      </c>
      <c r="K28" s="38" t="inlineStr">
        <is>
          <t>按宠物品质</t>
        </is>
      </c>
      <c r="L28" s="38" t="inlineStr">
        <is>
          <t>正式</t>
        </is>
      </c>
      <c r="M28" s="38" t="inlineStr">
        <is>
          <t>独立摊位 Orion；关系候选 18 只；抽取时先选摊位，不合并来源货池。</t>
        </is>
      </c>
    </row>
    <row r="29">
      <c r="A29" s="38" t="inlineStr">
        <is>
          <t>role_风系铺场</t>
        </is>
      </c>
      <c r="B29" s="38" t="inlineStr">
        <is>
          <t>九尾狐</t>
        </is>
      </c>
      <c r="C29" s="38" t="inlineStr">
        <is>
          <t>商品地点</t>
        </is>
      </c>
      <c r="D29" s="38" t="inlineStr">
        <is>
          <t>三格</t>
        </is>
      </c>
      <c r="E29" s="38" t="n">
        <v>3</v>
      </c>
      <c r="F29" s="38" t="n">
        <v>5</v>
      </c>
      <c r="G29" s="38" t="n">
        <v>1</v>
      </c>
      <c r="H29" s="38" t="n">
        <v>0</v>
      </c>
      <c r="I29" s="38" t="n">
        <v>0</v>
      </c>
      <c r="J29" s="38" t="n">
        <v>0</v>
      </c>
      <c r="K29" s="38" t="inlineStr">
        <is>
          <t>按宠物品质</t>
        </is>
      </c>
      <c r="L29" s="38" t="inlineStr">
        <is>
          <t>正式</t>
        </is>
      </c>
      <c r="M29" s="38" t="inlineStr">
        <is>
          <t>独立摊位 Pol；关系候选 14 只；抽取时先选摊位，不合并来源货池。</t>
        </is>
      </c>
    </row>
    <row r="30">
      <c r="A30" s="38" t="inlineStr">
        <is>
          <t>role_风系牵制</t>
        </is>
      </c>
      <c r="B30" s="38" t="inlineStr">
        <is>
          <t>狐阿七</t>
        </is>
      </c>
      <c r="C30" s="38" t="inlineStr">
        <is>
          <t>商品地点</t>
        </is>
      </c>
      <c r="D30" s="38" t="inlineStr">
        <is>
          <t>综合</t>
        </is>
      </c>
      <c r="E30" s="38" t="n">
        <v>3</v>
      </c>
      <c r="F30" s="38" t="n">
        <v>4</v>
      </c>
      <c r="G30" s="38" t="n">
        <v>1</v>
      </c>
      <c r="H30" s="38" t="n">
        <v>0</v>
      </c>
      <c r="I30" s="38" t="n">
        <v>0</v>
      </c>
      <c r="J30" s="38" t="n">
        <v>0</v>
      </c>
      <c r="K30" s="38" t="inlineStr">
        <is>
          <t>按宠物品质</t>
        </is>
      </c>
      <c r="L30" s="38" t="inlineStr">
        <is>
          <t>正式</t>
        </is>
      </c>
      <c r="M30" s="38" t="inlineStr">
        <is>
          <t>独立摊位 Freiya；关系候选 9 只；抽取时先选摊位，不合并来源货池。</t>
        </is>
      </c>
    </row>
    <row r="31">
      <c r="A31" s="38" t="inlineStr">
        <is>
          <t>role_火系压制</t>
        </is>
      </c>
      <c r="B31" s="38" t="inlineStr">
        <is>
          <t>狮猁王</t>
        </is>
      </c>
      <c r="C31" s="38" t="inlineStr">
        <is>
          <t>商品地点</t>
        </is>
      </c>
      <c r="D31" s="38" t="inlineStr">
        <is>
          <t>综合</t>
        </is>
      </c>
      <c r="E31" s="38" t="n">
        <v>3</v>
      </c>
      <c r="F31" s="38" t="n">
        <v>6</v>
      </c>
      <c r="G31" s="38" t="n">
        <v>1</v>
      </c>
      <c r="H31" s="38" t="n">
        <v>0</v>
      </c>
      <c r="I31" s="38" t="n">
        <v>0</v>
      </c>
      <c r="J31" s="38" t="n">
        <v>0</v>
      </c>
      <c r="K31" s="38" t="inlineStr">
        <is>
          <t>按宠物品质</t>
        </is>
      </c>
      <c r="L31" s="38" t="inlineStr">
        <is>
          <t>正式</t>
        </is>
      </c>
      <c r="M31" s="38" t="inlineStr">
        <is>
          <t>独立摊位 Knightshade；关系候选 14 只；抽取时先选摊位，不合并来源货池。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95"/>
  <sheetViews>
    <sheetView workbookViewId="0">
      <selection activeCell="A1" sqref="A1"/>
    </sheetView>
  </sheetViews>
  <sheetFormatPr baseColWidth="8" defaultRowHeight="15"/>
  <cols>
    <col width="22" customWidth="1" style="439" min="1" max="1"/>
    <col width="10" customWidth="1" style="439" min="2" max="2"/>
    <col width="10" customWidth="1" style="439" min="3" max="3"/>
    <col width="10" customWidth="1" style="439" min="4" max="4"/>
    <col width="28" customWidth="1" style="439" min="5" max="5"/>
    <col width="10" customWidth="1" style="439" min="6" max="6"/>
    <col width="18" customWidth="1" style="439" min="7" max="7"/>
    <col width="15" customWidth="1" style="439" min="8" max="8"/>
    <col width="36" customWidth="1" style="439" min="9" max="9"/>
  </cols>
  <sheetData>
    <row r="1">
      <c r="A1" t="inlineStr">
        <is>
          <t>wave_id</t>
        </is>
      </c>
      <c r="B1" t="inlineStr">
        <is>
          <t>day</t>
        </is>
      </c>
      <c r="C1" t="inlineStr">
        <is>
          <t>period</t>
        </is>
      </c>
      <c r="D1" t="inlineStr">
        <is>
          <t>round</t>
        </is>
      </c>
      <c r="E1" t="inlineStr">
        <is>
          <t>enemy_pool</t>
        </is>
      </c>
      <c r="F1" t="inlineStr">
        <is>
          <t>count</t>
        </is>
      </c>
      <c r="G1" t="inlineStr">
        <is>
          <t>quality_weights</t>
        </is>
      </c>
      <c r="H1" t="inlineStr">
        <is>
          <t>target_threat</t>
        </is>
      </c>
      <c r="I1" t="inlineStr">
        <is>
          <t>design_goal</t>
        </is>
      </c>
    </row>
    <row r="2">
      <c r="A2" t="inlineStr">
        <is>
          <t>wave_d01_morning</t>
        </is>
      </c>
      <c r="B2" t="inlineStr">
        <is>
          <t>1</t>
        </is>
      </c>
      <c r="C2" t="inlineStr">
        <is>
          <t>上午</t>
        </is>
      </c>
      <c r="D2" t="inlineStr">
        <is>
          <t>1</t>
        </is>
      </c>
      <c r="E2" t="inlineStr">
        <is>
          <t>1,2,3,4,5</t>
        </is>
      </c>
      <c r="F2" t="inlineStr">
        <is>
          <t>2</t>
        </is>
      </c>
      <c r="G2" t="inlineStr">
        <is>
          <t>90,10,0,0</t>
        </is>
      </c>
      <c r="H2" t="inlineStr">
        <is>
          <t>124.3</t>
        </is>
      </c>
      <c r="I2" t="inlineStr">
        <is>
          <t>池-数量；品质权重=青铜,白银,黄金,钻石</t>
        </is>
      </c>
    </row>
    <row r="3">
      <c r="A3" t="inlineStr">
        <is>
          <t>wave_d01_morning</t>
        </is>
      </c>
      <c r="B3" t="inlineStr">
        <is>
          <t>1</t>
        </is>
      </c>
      <c r="C3" t="inlineStr">
        <is>
          <t>上午</t>
        </is>
      </c>
      <c r="D3" t="inlineStr">
        <is>
          <t>2</t>
        </is>
      </c>
      <c r="E3" t="inlineStr">
        <is>
          <t>1,2,3,4,5</t>
        </is>
      </c>
      <c r="F3" t="inlineStr">
        <is>
          <t>3</t>
        </is>
      </c>
      <c r="G3" t="inlineStr">
        <is>
          <t>90,10,0,1</t>
        </is>
      </c>
      <c r="H3" t="inlineStr">
        <is>
          <t>189</t>
        </is>
      </c>
      <c r="I3" t="inlineStr">
        <is>
          <t>池-数量；品质权重=青铜,白银,黄金,钻石</t>
        </is>
      </c>
    </row>
    <row r="4">
      <c r="A4" t="inlineStr">
        <is>
          <t>wave_d01_morning</t>
        </is>
      </c>
      <c r="B4" t="inlineStr">
        <is>
          <t>1</t>
        </is>
      </c>
      <c r="C4" t="inlineStr">
        <is>
          <t>上午</t>
        </is>
      </c>
      <c r="D4" t="inlineStr">
        <is>
          <t>3</t>
        </is>
      </c>
      <c r="E4" t="inlineStr">
        <is>
          <t>1,2,3,4,5</t>
        </is>
      </c>
      <c r="F4" t="inlineStr">
        <is>
          <t>4</t>
        </is>
      </c>
      <c r="G4" t="inlineStr">
        <is>
          <t>90,10,0,2</t>
        </is>
      </c>
      <c r="H4" t="inlineStr">
        <is>
          <t>255.4</t>
        </is>
      </c>
      <c r="I4" t="inlineStr">
        <is>
          <t>池-数量；品质权重=青铜,白银,黄金,钻石</t>
        </is>
      </c>
    </row>
    <row r="5">
      <c r="A5" t="inlineStr">
        <is>
          <t>wave_d01_morning</t>
        </is>
      </c>
      <c r="B5" t="inlineStr">
        <is>
          <t>1</t>
        </is>
      </c>
      <c r="C5" t="inlineStr">
        <is>
          <t>上午</t>
        </is>
      </c>
      <c r="D5" t="inlineStr">
        <is>
          <t>4</t>
        </is>
      </c>
      <c r="E5" t="inlineStr">
        <is>
          <t>1,2,3,4,5</t>
        </is>
      </c>
      <c r="F5" t="inlineStr">
        <is>
          <t>5</t>
        </is>
      </c>
      <c r="G5" t="inlineStr">
        <is>
          <t>90,10,0,3</t>
        </is>
      </c>
      <c r="H5" t="inlineStr">
        <is>
          <t>323.3</t>
        </is>
      </c>
      <c r="I5" t="inlineStr">
        <is>
          <t>池-数量；品质权重=青铜,白银,黄金,钻石</t>
        </is>
      </c>
    </row>
    <row r="6">
      <c r="A6" t="inlineStr">
        <is>
          <t>wave_d01_morning</t>
        </is>
      </c>
      <c r="B6" t="inlineStr">
        <is>
          <t>1</t>
        </is>
      </c>
      <c r="C6" t="inlineStr">
        <is>
          <t>上午</t>
        </is>
      </c>
      <c r="D6" t="inlineStr">
        <is>
          <t>5</t>
        </is>
      </c>
      <c r="E6" t="inlineStr">
        <is>
          <t>1,2,3,4,5</t>
        </is>
      </c>
      <c r="F6" t="inlineStr">
        <is>
          <t>6</t>
        </is>
      </c>
      <c r="G6" t="inlineStr">
        <is>
          <t>90,10,0,4</t>
        </is>
      </c>
      <c r="H6" t="inlineStr">
        <is>
          <t>392.8</t>
        </is>
      </c>
      <c r="I6" t="inlineStr">
        <is>
          <t>池-数量；品质权重=青铜,白银,黄金,钻石</t>
        </is>
      </c>
    </row>
    <row r="7">
      <c r="A7" t="inlineStr">
        <is>
          <t>wave_d01_afternoon</t>
        </is>
      </c>
      <c r="B7" t="inlineStr">
        <is>
          <t>1</t>
        </is>
      </c>
      <c r="C7" t="inlineStr">
        <is>
          <t>下午</t>
        </is>
      </c>
      <c r="D7" t="inlineStr">
        <is>
          <t>1</t>
        </is>
      </c>
      <c r="E7" t="inlineStr">
        <is>
          <t>1,2,3,4,5</t>
        </is>
      </c>
      <c r="F7" t="inlineStr">
        <is>
          <t>2</t>
        </is>
      </c>
      <c r="G7" t="inlineStr">
        <is>
          <t>90,10,0,0</t>
        </is>
      </c>
      <c r="H7" t="inlineStr">
        <is>
          <t>124.3</t>
        </is>
      </c>
      <c r="I7" t="inlineStr">
        <is>
          <t>池-数量；品质权重=青铜,白银,黄金,钻石</t>
        </is>
      </c>
    </row>
    <row r="8">
      <c r="A8" t="inlineStr">
        <is>
          <t>wave_d01_afternoon</t>
        </is>
      </c>
      <c r="B8" t="inlineStr">
        <is>
          <t>1</t>
        </is>
      </c>
      <c r="C8" t="inlineStr">
        <is>
          <t>下午</t>
        </is>
      </c>
      <c r="D8" t="inlineStr">
        <is>
          <t>2</t>
        </is>
      </c>
      <c r="E8" t="inlineStr">
        <is>
          <t>1,2,3,4,5</t>
        </is>
      </c>
      <c r="F8" t="inlineStr">
        <is>
          <t>3</t>
        </is>
      </c>
      <c r="G8" t="inlineStr">
        <is>
          <t>90,10,0,1</t>
        </is>
      </c>
      <c r="H8" t="inlineStr">
        <is>
          <t>189</t>
        </is>
      </c>
      <c r="I8" t="inlineStr">
        <is>
          <t>池-数量；品质权重=青铜,白银,黄金,钻石</t>
        </is>
      </c>
    </row>
    <row r="9">
      <c r="A9" t="inlineStr">
        <is>
          <t>wave_d01_afternoon</t>
        </is>
      </c>
      <c r="B9" t="inlineStr">
        <is>
          <t>1</t>
        </is>
      </c>
      <c r="C9" t="inlineStr">
        <is>
          <t>下午</t>
        </is>
      </c>
      <c r="D9" t="inlineStr">
        <is>
          <t>3</t>
        </is>
      </c>
      <c r="E9" t="inlineStr">
        <is>
          <t>1,2,3,4,5</t>
        </is>
      </c>
      <c r="F9" t="inlineStr">
        <is>
          <t>4</t>
        </is>
      </c>
      <c r="G9" t="inlineStr">
        <is>
          <t>90,10,0,2</t>
        </is>
      </c>
      <c r="H9" t="inlineStr">
        <is>
          <t>255.4</t>
        </is>
      </c>
      <c r="I9" t="inlineStr">
        <is>
          <t>池-数量；品质权重=青铜,白银,黄金,钻石</t>
        </is>
      </c>
    </row>
    <row r="10">
      <c r="A10" t="inlineStr">
        <is>
          <t>wave_d01_afternoon</t>
        </is>
      </c>
      <c r="B10" t="inlineStr">
        <is>
          <t>1</t>
        </is>
      </c>
      <c r="C10" t="inlineStr">
        <is>
          <t>下午</t>
        </is>
      </c>
      <c r="D10" t="inlineStr">
        <is>
          <t>4</t>
        </is>
      </c>
      <c r="E10" t="inlineStr">
        <is>
          <t>1,2,3,4,5</t>
        </is>
      </c>
      <c r="F10" t="inlineStr">
        <is>
          <t>5</t>
        </is>
      </c>
      <c r="G10" t="inlineStr">
        <is>
          <t>90,10,0,3</t>
        </is>
      </c>
      <c r="H10" t="inlineStr">
        <is>
          <t>323.3</t>
        </is>
      </c>
      <c r="I10" t="inlineStr">
        <is>
          <t>池-数量；品质权重=青铜,白银,黄金,钻石</t>
        </is>
      </c>
    </row>
    <row r="11">
      <c r="A11" t="inlineStr">
        <is>
          <t>wave_d01_afternoon</t>
        </is>
      </c>
      <c r="B11" t="inlineStr">
        <is>
          <t>1</t>
        </is>
      </c>
      <c r="C11" t="inlineStr">
        <is>
          <t>下午</t>
        </is>
      </c>
      <c r="D11" t="inlineStr">
        <is>
          <t>5</t>
        </is>
      </c>
      <c r="E11" t="inlineStr">
        <is>
          <t>1,2,3,4,5</t>
        </is>
      </c>
      <c r="F11" t="inlineStr">
        <is>
          <t>6</t>
        </is>
      </c>
      <c r="G11" t="inlineStr">
        <is>
          <t>90,10,0,4</t>
        </is>
      </c>
      <c r="H11" t="inlineStr">
        <is>
          <t>392.8</t>
        </is>
      </c>
      <c r="I11" t="inlineStr">
        <is>
          <t>池-数量；品质权重=青铜,白银,黄金,钻石</t>
        </is>
      </c>
    </row>
    <row r="12">
      <c r="A12" t="inlineStr">
        <is>
          <t>wave_d02_morning</t>
        </is>
      </c>
      <c r="B12" t="inlineStr">
        <is>
          <t>2</t>
        </is>
      </c>
      <c r="C12" t="inlineStr">
        <is>
          <t>上午</t>
        </is>
      </c>
      <c r="D12" t="inlineStr">
        <is>
          <t>1</t>
        </is>
      </c>
      <c r="E12" t="inlineStr">
        <is>
          <t>1,2,3,4,5</t>
        </is>
      </c>
      <c r="F12" t="inlineStr">
        <is>
          <t>2</t>
        </is>
      </c>
      <c r="G12" t="inlineStr">
        <is>
          <t>90,10,0,0</t>
        </is>
      </c>
      <c r="H12" t="inlineStr">
        <is>
          <t>124.3</t>
        </is>
      </c>
      <c r="I12" t="inlineStr">
        <is>
          <t>池-数量；品质权重=青铜,白银,黄金,钻石</t>
        </is>
      </c>
    </row>
    <row r="13">
      <c r="A13" t="inlineStr">
        <is>
          <t>wave_d02_morning</t>
        </is>
      </c>
      <c r="B13" t="inlineStr">
        <is>
          <t>2</t>
        </is>
      </c>
      <c r="C13" t="inlineStr">
        <is>
          <t>上午</t>
        </is>
      </c>
      <c r="D13" t="inlineStr">
        <is>
          <t>2</t>
        </is>
      </c>
      <c r="E13" t="inlineStr">
        <is>
          <t>1,2,3,4,5</t>
        </is>
      </c>
      <c r="F13" t="inlineStr">
        <is>
          <t>3</t>
        </is>
      </c>
      <c r="G13" t="inlineStr">
        <is>
          <t>90,10,0,1</t>
        </is>
      </c>
      <c r="H13" t="inlineStr">
        <is>
          <t>189</t>
        </is>
      </c>
      <c r="I13" t="inlineStr">
        <is>
          <t>池-数量；品质权重=青铜,白银,黄金,钻石</t>
        </is>
      </c>
    </row>
    <row r="14">
      <c r="A14" t="inlineStr">
        <is>
          <t>wave_d02_morning</t>
        </is>
      </c>
      <c r="B14" t="inlineStr">
        <is>
          <t>2</t>
        </is>
      </c>
      <c r="C14" t="inlineStr">
        <is>
          <t>上午</t>
        </is>
      </c>
      <c r="D14" t="inlineStr">
        <is>
          <t>3</t>
        </is>
      </c>
      <c r="E14" t="inlineStr">
        <is>
          <t>1,2,3,4,5</t>
        </is>
      </c>
      <c r="F14" t="inlineStr">
        <is>
          <t>4</t>
        </is>
      </c>
      <c r="G14" t="inlineStr">
        <is>
          <t>90,10,0,2</t>
        </is>
      </c>
      <c r="H14" t="inlineStr">
        <is>
          <t>255.4</t>
        </is>
      </c>
      <c r="I14" t="inlineStr">
        <is>
          <t>池-数量；品质权重=青铜,白银,黄金,钻石</t>
        </is>
      </c>
    </row>
    <row r="15">
      <c r="A15" t="inlineStr">
        <is>
          <t>wave_d02_morning</t>
        </is>
      </c>
      <c r="B15" t="inlineStr">
        <is>
          <t>2</t>
        </is>
      </c>
      <c r="C15" t="inlineStr">
        <is>
          <t>上午</t>
        </is>
      </c>
      <c r="D15" t="inlineStr">
        <is>
          <t>4</t>
        </is>
      </c>
      <c r="E15" t="inlineStr">
        <is>
          <t>1,2,3,4,5</t>
        </is>
      </c>
      <c r="F15" t="inlineStr">
        <is>
          <t>5</t>
        </is>
      </c>
      <c r="G15" t="inlineStr">
        <is>
          <t>90,10,0,3</t>
        </is>
      </c>
      <c r="H15" t="inlineStr">
        <is>
          <t>323.3</t>
        </is>
      </c>
      <c r="I15" t="inlineStr">
        <is>
          <t>池-数量；品质权重=青铜,白银,黄金,钻石</t>
        </is>
      </c>
    </row>
    <row r="16">
      <c r="A16" t="inlineStr">
        <is>
          <t>wave_d02_morning</t>
        </is>
      </c>
      <c r="B16" t="inlineStr">
        <is>
          <t>2</t>
        </is>
      </c>
      <c r="C16" t="inlineStr">
        <is>
          <t>上午</t>
        </is>
      </c>
      <c r="D16" t="inlineStr">
        <is>
          <t>5</t>
        </is>
      </c>
      <c r="E16" t="inlineStr">
        <is>
          <t>1,2,3,4,5</t>
        </is>
      </c>
      <c r="F16" t="inlineStr">
        <is>
          <t>6</t>
        </is>
      </c>
      <c r="G16" t="inlineStr">
        <is>
          <t>90,10,0,4</t>
        </is>
      </c>
      <c r="H16" t="inlineStr">
        <is>
          <t>392.8</t>
        </is>
      </c>
      <c r="I16" t="inlineStr">
        <is>
          <t>池-数量；品质权重=青铜,白银,黄金,钻石</t>
        </is>
      </c>
    </row>
    <row r="17">
      <c r="A17" t="inlineStr">
        <is>
          <t>wave_d02_afternoon</t>
        </is>
      </c>
      <c r="B17" t="inlineStr">
        <is>
          <t>2</t>
        </is>
      </c>
      <c r="C17" t="inlineStr">
        <is>
          <t>下午</t>
        </is>
      </c>
      <c r="D17" t="inlineStr">
        <is>
          <t>1</t>
        </is>
      </c>
      <c r="E17" t="inlineStr">
        <is>
          <t>1,2,3,4,5</t>
        </is>
      </c>
      <c r="F17" t="inlineStr">
        <is>
          <t>2</t>
        </is>
      </c>
      <c r="G17" t="inlineStr">
        <is>
          <t>90,10,0,0</t>
        </is>
      </c>
      <c r="H17" t="inlineStr">
        <is>
          <t>124.3</t>
        </is>
      </c>
      <c r="I17" t="inlineStr">
        <is>
          <t>池-数量；品质权重=青铜,白银,黄金,钻石</t>
        </is>
      </c>
    </row>
    <row r="18">
      <c r="A18" t="inlineStr">
        <is>
          <t>wave_d02_afternoon</t>
        </is>
      </c>
      <c r="B18" t="inlineStr">
        <is>
          <t>2</t>
        </is>
      </c>
      <c r="C18" t="inlineStr">
        <is>
          <t>下午</t>
        </is>
      </c>
      <c r="D18" t="inlineStr">
        <is>
          <t>2</t>
        </is>
      </c>
      <c r="E18" t="inlineStr">
        <is>
          <t>1,2,3,4,5</t>
        </is>
      </c>
      <c r="F18" t="inlineStr">
        <is>
          <t>3</t>
        </is>
      </c>
      <c r="G18" t="inlineStr">
        <is>
          <t>90,10,0,1</t>
        </is>
      </c>
      <c r="H18" t="inlineStr">
        <is>
          <t>189</t>
        </is>
      </c>
      <c r="I18" t="inlineStr">
        <is>
          <t>池-数量；品质权重=青铜,白银,黄金,钻石</t>
        </is>
      </c>
    </row>
    <row r="19">
      <c r="A19" t="inlineStr">
        <is>
          <t>wave_d02_afternoon</t>
        </is>
      </c>
      <c r="B19" t="inlineStr">
        <is>
          <t>2</t>
        </is>
      </c>
      <c r="C19" t="inlineStr">
        <is>
          <t>下午</t>
        </is>
      </c>
      <c r="D19" t="inlineStr">
        <is>
          <t>2</t>
        </is>
      </c>
      <c r="E19" t="inlineStr">
        <is>
          <t>1,2,3,4,5</t>
        </is>
      </c>
      <c r="F19" t="inlineStr">
        <is>
          <t>3</t>
        </is>
      </c>
      <c r="G19" t="inlineStr">
        <is>
          <t>90,10,0,1</t>
        </is>
      </c>
      <c r="H19" t="inlineStr">
        <is>
          <t>189</t>
        </is>
      </c>
      <c r="I19" t="inlineStr">
        <is>
          <t>池-数量；品质权重=青铜,白银,黄金,钻石</t>
        </is>
      </c>
    </row>
    <row r="20">
      <c r="A20" t="inlineStr">
        <is>
          <t>wave_d02_afternoon</t>
        </is>
      </c>
      <c r="B20" t="inlineStr">
        <is>
          <t>2</t>
        </is>
      </c>
      <c r="C20" t="inlineStr">
        <is>
          <t>下午</t>
        </is>
      </c>
      <c r="D20" t="inlineStr">
        <is>
          <t>3</t>
        </is>
      </c>
      <c r="E20" t="inlineStr">
        <is>
          <t>1,2,3,4,5</t>
        </is>
      </c>
      <c r="F20" t="inlineStr">
        <is>
          <t>4</t>
        </is>
      </c>
      <c r="G20" t="inlineStr">
        <is>
          <t>90,10,0,2</t>
        </is>
      </c>
      <c r="H20" t="inlineStr">
        <is>
          <t>255.4</t>
        </is>
      </c>
      <c r="I20" t="inlineStr">
        <is>
          <t>池-数量；品质权重=青铜,白银,黄金,钻石</t>
        </is>
      </c>
    </row>
    <row r="21">
      <c r="A21" t="inlineStr">
        <is>
          <t>wave_d02_afternoon</t>
        </is>
      </c>
      <c r="B21" t="inlineStr">
        <is>
          <t>2</t>
        </is>
      </c>
      <c r="C21" t="inlineStr">
        <is>
          <t>下午</t>
        </is>
      </c>
      <c r="D21" t="inlineStr">
        <is>
          <t>4</t>
        </is>
      </c>
      <c r="E21" t="inlineStr">
        <is>
          <t>1,2,3,4,5</t>
        </is>
      </c>
      <c r="F21" t="inlineStr">
        <is>
          <t>5</t>
        </is>
      </c>
      <c r="G21" t="inlineStr">
        <is>
          <t>90,10,0,3</t>
        </is>
      </c>
      <c r="H21" t="inlineStr">
        <is>
          <t>323.3</t>
        </is>
      </c>
      <c r="I21" t="inlineStr">
        <is>
          <t>池-数量；品质权重=青铜,白银,黄金,钻石</t>
        </is>
      </c>
    </row>
    <row r="22">
      <c r="A22" t="inlineStr">
        <is>
          <t>wave_d02_afternoon</t>
        </is>
      </c>
      <c r="B22" t="inlineStr">
        <is>
          <t>2</t>
        </is>
      </c>
      <c r="C22" t="inlineStr">
        <is>
          <t>下午</t>
        </is>
      </c>
      <c r="D22" t="inlineStr">
        <is>
          <t>5</t>
        </is>
      </c>
      <c r="E22" t="inlineStr">
        <is>
          <t>1,2,3,4,5</t>
        </is>
      </c>
      <c r="F22" t="inlineStr">
        <is>
          <t>6</t>
        </is>
      </c>
      <c r="G22" t="inlineStr">
        <is>
          <t>90,10,0,4</t>
        </is>
      </c>
      <c r="H22" t="inlineStr">
        <is>
          <t>392.8</t>
        </is>
      </c>
      <c r="I22" t="inlineStr">
        <is>
          <t>池-数量；品质权重=青铜,白银,黄金,钻石</t>
        </is>
      </c>
    </row>
    <row r="23">
      <c r="A23" t="inlineStr">
        <is>
          <t>wave_d03_morning</t>
        </is>
      </c>
      <c r="B23" t="inlineStr">
        <is>
          <t>3</t>
        </is>
      </c>
      <c r="C23" t="inlineStr">
        <is>
          <t>上午</t>
        </is>
      </c>
      <c r="D23" t="inlineStr">
        <is>
          <t>1</t>
        </is>
      </c>
      <c r="E23" t="inlineStr">
        <is>
          <t>1,2,3,4,5</t>
        </is>
      </c>
      <c r="F23" t="inlineStr">
        <is>
          <t>2</t>
        </is>
      </c>
      <c r="G23" t="inlineStr">
        <is>
          <t>90,10,0,0</t>
        </is>
      </c>
      <c r="H23" t="inlineStr">
        <is>
          <t>124.3</t>
        </is>
      </c>
      <c r="I23" t="inlineStr">
        <is>
          <t>池-数量；品质权重=青铜,白银,黄金,钻石</t>
        </is>
      </c>
    </row>
    <row r="24">
      <c r="A24" t="inlineStr">
        <is>
          <t>wave_d03_morning</t>
        </is>
      </c>
      <c r="B24" t="inlineStr">
        <is>
          <t>3</t>
        </is>
      </c>
      <c r="C24" t="inlineStr">
        <is>
          <t>上午</t>
        </is>
      </c>
      <c r="D24" t="inlineStr">
        <is>
          <t>2</t>
        </is>
      </c>
      <c r="E24" t="inlineStr">
        <is>
          <t>1,2,3,4,5</t>
        </is>
      </c>
      <c r="F24" t="inlineStr">
        <is>
          <t>3</t>
        </is>
      </c>
      <c r="G24" t="inlineStr">
        <is>
          <t>90,10,0,1</t>
        </is>
      </c>
      <c r="H24" t="inlineStr">
        <is>
          <t>189</t>
        </is>
      </c>
      <c r="I24" t="inlineStr">
        <is>
          <t>池-数量；品质权重=青铜,白银,黄金,钻石</t>
        </is>
      </c>
    </row>
    <row r="25">
      <c r="A25" t="inlineStr">
        <is>
          <t>wave_d03_morning</t>
        </is>
      </c>
      <c r="B25" t="inlineStr">
        <is>
          <t>3</t>
        </is>
      </c>
      <c r="C25" t="inlineStr">
        <is>
          <t>上午</t>
        </is>
      </c>
      <c r="D25" t="inlineStr">
        <is>
          <t>3</t>
        </is>
      </c>
      <c r="E25" t="inlineStr">
        <is>
          <t>1,2,3,4,5</t>
        </is>
      </c>
      <c r="F25" t="inlineStr">
        <is>
          <t>4</t>
        </is>
      </c>
      <c r="G25" t="inlineStr">
        <is>
          <t>90,10,0,2</t>
        </is>
      </c>
      <c r="H25" t="inlineStr">
        <is>
          <t>255.4</t>
        </is>
      </c>
      <c r="I25" t="inlineStr">
        <is>
          <t>池-数量；品质权重=青铜,白银,黄金,钻石</t>
        </is>
      </c>
    </row>
    <row r="26">
      <c r="A26" t="inlineStr">
        <is>
          <t>wave_d03_morning</t>
        </is>
      </c>
      <c r="B26" t="inlineStr">
        <is>
          <t>3</t>
        </is>
      </c>
      <c r="C26" t="inlineStr">
        <is>
          <t>上午</t>
        </is>
      </c>
      <c r="D26" t="inlineStr">
        <is>
          <t>4</t>
        </is>
      </c>
      <c r="E26" t="inlineStr">
        <is>
          <t>1,2,3,4,5</t>
        </is>
      </c>
      <c r="F26" t="inlineStr">
        <is>
          <t>5</t>
        </is>
      </c>
      <c r="G26" t="inlineStr">
        <is>
          <t>90,10,0,3</t>
        </is>
      </c>
      <c r="H26" t="inlineStr">
        <is>
          <t>323.3</t>
        </is>
      </c>
      <c r="I26" t="inlineStr">
        <is>
          <t>池-数量；品质权重=青铜,白银,黄金,钻石</t>
        </is>
      </c>
    </row>
    <row r="27">
      <c r="A27" t="inlineStr">
        <is>
          <t>wave_d03_morning</t>
        </is>
      </c>
      <c r="B27" t="inlineStr">
        <is>
          <t>3</t>
        </is>
      </c>
      <c r="C27" t="inlineStr">
        <is>
          <t>上午</t>
        </is>
      </c>
      <c r="D27" t="inlineStr">
        <is>
          <t>5</t>
        </is>
      </c>
      <c r="E27" t="inlineStr">
        <is>
          <t>1,2,3,4,5</t>
        </is>
      </c>
      <c r="F27" t="inlineStr">
        <is>
          <t>6</t>
        </is>
      </c>
      <c r="G27" t="inlineStr">
        <is>
          <t>90,10,0,4</t>
        </is>
      </c>
      <c r="H27" t="inlineStr">
        <is>
          <t>392.8</t>
        </is>
      </c>
      <c r="I27" t="inlineStr">
        <is>
          <t>池-数量；品质权重=青铜,白银,黄金,钻石</t>
        </is>
      </c>
    </row>
    <row r="28">
      <c r="A28" t="inlineStr">
        <is>
          <t>wave_d03_afternoon</t>
        </is>
      </c>
      <c r="B28" t="inlineStr">
        <is>
          <t>3</t>
        </is>
      </c>
      <c r="C28" t="inlineStr">
        <is>
          <t>下午</t>
        </is>
      </c>
      <c r="D28" t="inlineStr">
        <is>
          <t>1</t>
        </is>
      </c>
      <c r="E28" t="inlineStr">
        <is>
          <t>1,2,3,4,5</t>
        </is>
      </c>
      <c r="F28" t="inlineStr">
        <is>
          <t>2</t>
        </is>
      </c>
      <c r="G28" t="inlineStr">
        <is>
          <t>90,10,0,0</t>
        </is>
      </c>
      <c r="H28" t="inlineStr">
        <is>
          <t>124.3</t>
        </is>
      </c>
      <c r="I28" t="inlineStr">
        <is>
          <t>池-数量；品质权重=青铜,白银,黄金,钻石</t>
        </is>
      </c>
    </row>
    <row r="29">
      <c r="A29" t="inlineStr">
        <is>
          <t>wave_d03_afternoon</t>
        </is>
      </c>
      <c r="B29" t="inlineStr">
        <is>
          <t>3</t>
        </is>
      </c>
      <c r="C29" t="inlineStr">
        <is>
          <t>下午</t>
        </is>
      </c>
      <c r="D29" t="inlineStr">
        <is>
          <t>2</t>
        </is>
      </c>
      <c r="E29" t="inlineStr">
        <is>
          <t>1,2,3,4,5</t>
        </is>
      </c>
      <c r="F29" t="inlineStr">
        <is>
          <t>3</t>
        </is>
      </c>
      <c r="G29" t="inlineStr">
        <is>
          <t>90,10,0,1</t>
        </is>
      </c>
      <c r="H29" t="inlineStr">
        <is>
          <t>189</t>
        </is>
      </c>
      <c r="I29" t="inlineStr">
        <is>
          <t>池-数量；品质权重=青铜,白银,黄金,钻石</t>
        </is>
      </c>
    </row>
    <row r="30">
      <c r="A30" t="inlineStr">
        <is>
          <t>wave_d03_afternoon</t>
        </is>
      </c>
      <c r="B30" t="inlineStr">
        <is>
          <t>3</t>
        </is>
      </c>
      <c r="C30" t="inlineStr">
        <is>
          <t>下午</t>
        </is>
      </c>
      <c r="D30" t="inlineStr">
        <is>
          <t>3</t>
        </is>
      </c>
      <c r="E30" t="inlineStr">
        <is>
          <t>1,2,3,4,5</t>
        </is>
      </c>
      <c r="F30" t="inlineStr">
        <is>
          <t>4</t>
        </is>
      </c>
      <c r="G30" t="inlineStr">
        <is>
          <t>90,10,0,2</t>
        </is>
      </c>
      <c r="H30" t="inlineStr">
        <is>
          <t>255.4</t>
        </is>
      </c>
      <c r="I30" t="inlineStr">
        <is>
          <t>池-数量；品质权重=青铜,白银,黄金,钻石</t>
        </is>
      </c>
    </row>
    <row r="31">
      <c r="A31" t="inlineStr">
        <is>
          <t>wave_d03_afternoon</t>
        </is>
      </c>
      <c r="B31" t="inlineStr">
        <is>
          <t>3</t>
        </is>
      </c>
      <c r="C31" t="inlineStr">
        <is>
          <t>下午</t>
        </is>
      </c>
      <c r="D31" t="inlineStr">
        <is>
          <t>4</t>
        </is>
      </c>
      <c r="E31" t="inlineStr">
        <is>
          <t>1,2,3,4,5</t>
        </is>
      </c>
      <c r="F31" t="inlineStr">
        <is>
          <t>5</t>
        </is>
      </c>
      <c r="G31" t="inlineStr">
        <is>
          <t>90,10,0,3</t>
        </is>
      </c>
      <c r="H31" t="inlineStr">
        <is>
          <t>323.3</t>
        </is>
      </c>
      <c r="I31" t="inlineStr">
        <is>
          <t>池-数量；品质权重=青铜,白银,黄金,钻石</t>
        </is>
      </c>
    </row>
    <row r="32">
      <c r="A32" t="inlineStr">
        <is>
          <t>wave_d03_afternoon</t>
        </is>
      </c>
      <c r="B32" t="inlineStr">
        <is>
          <t>3</t>
        </is>
      </c>
      <c r="C32" t="inlineStr">
        <is>
          <t>下午</t>
        </is>
      </c>
      <c r="D32" t="inlineStr">
        <is>
          <t>5</t>
        </is>
      </c>
      <c r="E32" t="inlineStr">
        <is>
          <t>1,2,3,4,5</t>
        </is>
      </c>
      <c r="F32" t="inlineStr">
        <is>
          <t>6</t>
        </is>
      </c>
      <c r="G32" t="inlineStr">
        <is>
          <t>90,10,0,4</t>
        </is>
      </c>
      <c r="H32" t="inlineStr">
        <is>
          <t>392.8</t>
        </is>
      </c>
      <c r="I32" t="inlineStr">
        <is>
          <t>池-数量；品质权重=青铜,白银,黄金,钻石</t>
        </is>
      </c>
    </row>
    <row r="33">
      <c r="A33" t="inlineStr">
        <is>
          <t>wave_d04_morning</t>
        </is>
      </c>
      <c r="B33" t="inlineStr">
        <is>
          <t>4</t>
        </is>
      </c>
      <c r="C33" t="inlineStr">
        <is>
          <t>上午</t>
        </is>
      </c>
      <c r="D33" t="inlineStr">
        <is>
          <t>1</t>
        </is>
      </c>
      <c r="E33" t="inlineStr">
        <is>
          <t>1,2,3,4,5</t>
        </is>
      </c>
      <c r="F33" t="inlineStr">
        <is>
          <t>2</t>
        </is>
      </c>
      <c r="G33" t="inlineStr">
        <is>
          <t>90,10,0,0</t>
        </is>
      </c>
      <c r="H33" t="inlineStr">
        <is>
          <t>124.3</t>
        </is>
      </c>
      <c r="I33" t="inlineStr">
        <is>
          <t>池-数量；品质权重=青铜,白银,黄金,钻石</t>
        </is>
      </c>
    </row>
    <row r="34">
      <c r="A34" t="inlineStr">
        <is>
          <t>wave_d04_morning</t>
        </is>
      </c>
      <c r="B34" t="inlineStr">
        <is>
          <t>4</t>
        </is>
      </c>
      <c r="C34" t="inlineStr">
        <is>
          <t>上午</t>
        </is>
      </c>
      <c r="D34" t="inlineStr">
        <is>
          <t>2</t>
        </is>
      </c>
      <c r="E34" t="inlineStr">
        <is>
          <t>1,2,3,4,5</t>
        </is>
      </c>
      <c r="F34" t="inlineStr">
        <is>
          <t>3</t>
        </is>
      </c>
      <c r="G34" t="inlineStr">
        <is>
          <t>90,10,0,1</t>
        </is>
      </c>
      <c r="H34" t="inlineStr">
        <is>
          <t>189</t>
        </is>
      </c>
      <c r="I34" t="inlineStr">
        <is>
          <t>池-数量；品质权重=青铜,白银,黄金,钻石</t>
        </is>
      </c>
    </row>
    <row r="35">
      <c r="A35" t="inlineStr">
        <is>
          <t>wave_d04_morning</t>
        </is>
      </c>
      <c r="B35" t="inlineStr">
        <is>
          <t>4</t>
        </is>
      </c>
      <c r="C35" t="inlineStr">
        <is>
          <t>上午</t>
        </is>
      </c>
      <c r="D35" t="inlineStr">
        <is>
          <t>3</t>
        </is>
      </c>
      <c r="E35" t="inlineStr">
        <is>
          <t>1,2,3,4,5</t>
        </is>
      </c>
      <c r="F35" t="inlineStr">
        <is>
          <t>4</t>
        </is>
      </c>
      <c r="G35" t="inlineStr">
        <is>
          <t>90,10,0,2</t>
        </is>
      </c>
      <c r="H35" t="inlineStr">
        <is>
          <t>255.4</t>
        </is>
      </c>
      <c r="I35" t="inlineStr">
        <is>
          <t>池-数量；品质权重=青铜,白银,黄金,钻石</t>
        </is>
      </c>
    </row>
    <row r="36">
      <c r="A36" t="inlineStr">
        <is>
          <t>wave_d04_morning</t>
        </is>
      </c>
      <c r="B36" t="inlineStr">
        <is>
          <t>4</t>
        </is>
      </c>
      <c r="C36" t="inlineStr">
        <is>
          <t>上午</t>
        </is>
      </c>
      <c r="D36" t="inlineStr">
        <is>
          <t>4</t>
        </is>
      </c>
      <c r="E36" t="inlineStr">
        <is>
          <t>1,2,3,4,5</t>
        </is>
      </c>
      <c r="F36" t="inlineStr">
        <is>
          <t>5</t>
        </is>
      </c>
      <c r="G36" t="inlineStr">
        <is>
          <t>90,10,0,3</t>
        </is>
      </c>
      <c r="H36" t="inlineStr">
        <is>
          <t>323.3</t>
        </is>
      </c>
      <c r="I36" t="inlineStr">
        <is>
          <t>池-数量；品质权重=青铜,白银,黄金,钻石</t>
        </is>
      </c>
    </row>
    <row r="37">
      <c r="A37" t="inlineStr">
        <is>
          <t>wave_d04_morning</t>
        </is>
      </c>
      <c r="B37" t="inlineStr">
        <is>
          <t>4</t>
        </is>
      </c>
      <c r="C37" t="inlineStr">
        <is>
          <t>上午</t>
        </is>
      </c>
      <c r="D37" t="inlineStr">
        <is>
          <t>5</t>
        </is>
      </c>
      <c r="E37" t="inlineStr">
        <is>
          <t>1,2,3,4,5</t>
        </is>
      </c>
      <c r="F37" t="inlineStr">
        <is>
          <t>6</t>
        </is>
      </c>
      <c r="G37" t="inlineStr">
        <is>
          <t>90,10,0,4</t>
        </is>
      </c>
      <c r="H37" t="inlineStr">
        <is>
          <t>392.8</t>
        </is>
      </c>
      <c r="I37" t="inlineStr">
        <is>
          <t>池-数量；品质权重=青铜,白银,黄金,钻石</t>
        </is>
      </c>
    </row>
    <row r="38">
      <c r="A38" t="inlineStr">
        <is>
          <t>wave_d04_afternoon</t>
        </is>
      </c>
      <c r="B38" t="inlineStr">
        <is>
          <t>4</t>
        </is>
      </c>
      <c r="C38" t="inlineStr">
        <is>
          <t>下午</t>
        </is>
      </c>
      <c r="D38" t="inlineStr">
        <is>
          <t>1</t>
        </is>
      </c>
      <c r="E38" t="inlineStr">
        <is>
          <t>1,2,3,4,5</t>
        </is>
      </c>
      <c r="F38" t="inlineStr">
        <is>
          <t>2</t>
        </is>
      </c>
      <c r="G38" t="inlineStr">
        <is>
          <t>90,10,0,0</t>
        </is>
      </c>
      <c r="H38" t="inlineStr">
        <is>
          <t>124.3</t>
        </is>
      </c>
      <c r="I38" t="inlineStr">
        <is>
          <t>池-数量；品质权重=青铜,白银,黄金,钻石</t>
        </is>
      </c>
    </row>
    <row r="39">
      <c r="A39" t="inlineStr">
        <is>
          <t>wave_d04_afternoon</t>
        </is>
      </c>
      <c r="B39" t="inlineStr">
        <is>
          <t>4</t>
        </is>
      </c>
      <c r="C39" t="inlineStr">
        <is>
          <t>下午</t>
        </is>
      </c>
      <c r="D39" t="inlineStr">
        <is>
          <t>2</t>
        </is>
      </c>
      <c r="E39" t="inlineStr">
        <is>
          <t>1,2,3,4,5</t>
        </is>
      </c>
      <c r="F39" t="inlineStr">
        <is>
          <t>3</t>
        </is>
      </c>
      <c r="G39" t="inlineStr">
        <is>
          <t>90,10,0,1</t>
        </is>
      </c>
      <c r="H39" t="inlineStr">
        <is>
          <t>189</t>
        </is>
      </c>
      <c r="I39" t="inlineStr">
        <is>
          <t>池-数量；品质权重=青铜,白银,黄金,钻石</t>
        </is>
      </c>
    </row>
    <row r="40">
      <c r="A40" t="inlineStr">
        <is>
          <t>wave_d04_afternoon</t>
        </is>
      </c>
      <c r="B40" t="inlineStr">
        <is>
          <t>4</t>
        </is>
      </c>
      <c r="C40" t="inlineStr">
        <is>
          <t>下午</t>
        </is>
      </c>
      <c r="D40" t="inlineStr">
        <is>
          <t>2</t>
        </is>
      </c>
      <c r="E40" t="inlineStr">
        <is>
          <t>1,2,3,4,5</t>
        </is>
      </c>
      <c r="F40" t="inlineStr">
        <is>
          <t>3</t>
        </is>
      </c>
      <c r="G40" t="inlineStr">
        <is>
          <t>90,10,0,1</t>
        </is>
      </c>
      <c r="H40" t="inlineStr">
        <is>
          <t>189</t>
        </is>
      </c>
      <c r="I40" t="inlineStr">
        <is>
          <t>池-数量；品质权重=青铜,白银,黄金,钻石</t>
        </is>
      </c>
    </row>
    <row r="41">
      <c r="A41" t="inlineStr">
        <is>
          <t>wave_d04_afternoon</t>
        </is>
      </c>
      <c r="B41" t="inlineStr">
        <is>
          <t>4</t>
        </is>
      </c>
      <c r="C41" t="inlineStr">
        <is>
          <t>下午</t>
        </is>
      </c>
      <c r="D41" t="inlineStr">
        <is>
          <t>3</t>
        </is>
      </c>
      <c r="E41" t="inlineStr">
        <is>
          <t>1,2,3,4,5</t>
        </is>
      </c>
      <c r="F41" t="inlineStr">
        <is>
          <t>4</t>
        </is>
      </c>
      <c r="G41" t="inlineStr">
        <is>
          <t>90,10,0,2</t>
        </is>
      </c>
      <c r="H41" t="inlineStr">
        <is>
          <t>255.4</t>
        </is>
      </c>
      <c r="I41" t="inlineStr">
        <is>
          <t>池-数量；品质权重=青铜,白银,黄金,钻石</t>
        </is>
      </c>
    </row>
    <row r="42">
      <c r="A42" t="inlineStr">
        <is>
          <t>wave_d04_afternoon</t>
        </is>
      </c>
      <c r="B42" t="inlineStr">
        <is>
          <t>4</t>
        </is>
      </c>
      <c r="C42" t="inlineStr">
        <is>
          <t>下午</t>
        </is>
      </c>
      <c r="D42" t="inlineStr">
        <is>
          <t>4</t>
        </is>
      </c>
      <c r="E42" t="inlineStr">
        <is>
          <t>1,2,3,4,5</t>
        </is>
      </c>
      <c r="F42" t="inlineStr">
        <is>
          <t>5</t>
        </is>
      </c>
      <c r="G42" t="inlineStr">
        <is>
          <t>90,10,0,3</t>
        </is>
      </c>
      <c r="H42" t="inlineStr">
        <is>
          <t>323.3</t>
        </is>
      </c>
      <c r="I42" t="inlineStr">
        <is>
          <t>池-数量；品质权重=青铜,白银,黄金,钻石</t>
        </is>
      </c>
    </row>
    <row r="43">
      <c r="A43" t="inlineStr">
        <is>
          <t>wave_d04_afternoon</t>
        </is>
      </c>
      <c r="B43" t="inlineStr">
        <is>
          <t>4</t>
        </is>
      </c>
      <c r="C43" t="inlineStr">
        <is>
          <t>下午</t>
        </is>
      </c>
      <c r="D43" t="inlineStr">
        <is>
          <t>5</t>
        </is>
      </c>
      <c r="E43" t="inlineStr">
        <is>
          <t>1,2,3,4,5</t>
        </is>
      </c>
      <c r="F43" t="inlineStr">
        <is>
          <t>6</t>
        </is>
      </c>
      <c r="G43" t="inlineStr">
        <is>
          <t>90,10,0,4</t>
        </is>
      </c>
      <c r="H43" t="inlineStr">
        <is>
          <t>392.8</t>
        </is>
      </c>
      <c r="I43" t="inlineStr">
        <is>
          <t>池-数量；品质权重=青铜,白银,黄金,钻石</t>
        </is>
      </c>
    </row>
    <row r="44">
      <c r="A44" t="inlineStr">
        <is>
          <t>wave_d05_morning</t>
        </is>
      </c>
      <c r="B44" t="inlineStr">
        <is>
          <t>5</t>
        </is>
      </c>
      <c r="C44" t="inlineStr">
        <is>
          <t>上午</t>
        </is>
      </c>
      <c r="D44" t="inlineStr">
        <is>
          <t>1</t>
        </is>
      </c>
      <c r="E44" t="inlineStr">
        <is>
          <t>1,2,3,4,5</t>
        </is>
      </c>
      <c r="F44" t="inlineStr">
        <is>
          <t>2</t>
        </is>
      </c>
      <c r="G44" t="inlineStr">
        <is>
          <t>90,10,0,0</t>
        </is>
      </c>
      <c r="H44" t="inlineStr">
        <is>
          <t>124.3</t>
        </is>
      </c>
      <c r="I44" t="inlineStr">
        <is>
          <t>池-数量；品质权重=青铜,白银,黄金,钻石</t>
        </is>
      </c>
    </row>
    <row r="45">
      <c r="A45" t="inlineStr">
        <is>
          <t>wave_d05_morning</t>
        </is>
      </c>
      <c r="B45" t="inlineStr">
        <is>
          <t>5</t>
        </is>
      </c>
      <c r="C45" t="inlineStr">
        <is>
          <t>上午</t>
        </is>
      </c>
      <c r="D45" t="inlineStr">
        <is>
          <t>2</t>
        </is>
      </c>
      <c r="E45" t="inlineStr">
        <is>
          <t>1,2,3,4,5</t>
        </is>
      </c>
      <c r="F45" t="inlineStr">
        <is>
          <t>3</t>
        </is>
      </c>
      <c r="G45" t="inlineStr">
        <is>
          <t>90,10,0,1</t>
        </is>
      </c>
      <c r="H45" t="inlineStr">
        <is>
          <t>189</t>
        </is>
      </c>
      <c r="I45" t="inlineStr">
        <is>
          <t>池-数量；品质权重=青铜,白银,黄金,钻石</t>
        </is>
      </c>
    </row>
    <row r="46">
      <c r="A46" t="inlineStr">
        <is>
          <t>wave_d05_morning</t>
        </is>
      </c>
      <c r="B46" t="inlineStr">
        <is>
          <t>5</t>
        </is>
      </c>
      <c r="C46" t="inlineStr">
        <is>
          <t>上午</t>
        </is>
      </c>
      <c r="D46" t="inlineStr">
        <is>
          <t>3</t>
        </is>
      </c>
      <c r="E46" t="inlineStr">
        <is>
          <t>1,2,3,4,5</t>
        </is>
      </c>
      <c r="F46" t="inlineStr">
        <is>
          <t>4</t>
        </is>
      </c>
      <c r="G46" t="inlineStr">
        <is>
          <t>90,10,0,2</t>
        </is>
      </c>
      <c r="H46" t="inlineStr">
        <is>
          <t>255.4</t>
        </is>
      </c>
      <c r="I46" t="inlineStr">
        <is>
          <t>池-数量；品质权重=青铜,白银,黄金,钻石</t>
        </is>
      </c>
    </row>
    <row r="47">
      <c r="A47" t="inlineStr">
        <is>
          <t>wave_d05_morning</t>
        </is>
      </c>
      <c r="B47" t="inlineStr">
        <is>
          <t>5</t>
        </is>
      </c>
      <c r="C47" t="inlineStr">
        <is>
          <t>上午</t>
        </is>
      </c>
      <c r="D47" t="inlineStr">
        <is>
          <t>4</t>
        </is>
      </c>
      <c r="E47" t="inlineStr">
        <is>
          <t>1,2,3,4,5</t>
        </is>
      </c>
      <c r="F47" t="inlineStr">
        <is>
          <t>5</t>
        </is>
      </c>
      <c r="G47" t="inlineStr">
        <is>
          <t>90,10,0,3</t>
        </is>
      </c>
      <c r="H47" t="inlineStr">
        <is>
          <t>323.3</t>
        </is>
      </c>
      <c r="I47" t="inlineStr">
        <is>
          <t>池-数量；品质权重=青铜,白银,黄金,钻石</t>
        </is>
      </c>
    </row>
    <row r="48">
      <c r="A48" t="inlineStr">
        <is>
          <t>wave_d05_morning</t>
        </is>
      </c>
      <c r="B48" t="inlineStr">
        <is>
          <t>5</t>
        </is>
      </c>
      <c r="C48" t="inlineStr">
        <is>
          <t>上午</t>
        </is>
      </c>
      <c r="D48" t="inlineStr">
        <is>
          <t>4</t>
        </is>
      </c>
      <c r="E48" t="inlineStr">
        <is>
          <t>1,2,3,4,5</t>
        </is>
      </c>
      <c r="F48" t="inlineStr">
        <is>
          <t>5</t>
        </is>
      </c>
      <c r="G48" t="inlineStr">
        <is>
          <t>90,10,0,3</t>
        </is>
      </c>
      <c r="H48" t="inlineStr">
        <is>
          <t>323.3</t>
        </is>
      </c>
      <c r="I48" t="inlineStr">
        <is>
          <t>池-数量；品质权重=青铜,白银,黄金,钻石</t>
        </is>
      </c>
    </row>
    <row r="49">
      <c r="A49" t="inlineStr">
        <is>
          <t>wave_d05_morning</t>
        </is>
      </c>
      <c r="B49" t="inlineStr">
        <is>
          <t>5</t>
        </is>
      </c>
      <c r="C49" t="inlineStr">
        <is>
          <t>上午</t>
        </is>
      </c>
      <c r="D49" t="inlineStr">
        <is>
          <t>5</t>
        </is>
      </c>
      <c r="E49" t="inlineStr">
        <is>
          <t>1,2,3,4,5</t>
        </is>
      </c>
      <c r="F49" t="inlineStr">
        <is>
          <t>6</t>
        </is>
      </c>
      <c r="G49" t="inlineStr">
        <is>
          <t>90,10,0,4</t>
        </is>
      </c>
      <c r="H49" t="inlineStr">
        <is>
          <t>392.8</t>
        </is>
      </c>
      <c r="I49" t="inlineStr">
        <is>
          <t>池-数量；品质权重=青铜,白银,黄金,钻石</t>
        </is>
      </c>
    </row>
    <row r="50">
      <c r="A50" t="inlineStr">
        <is>
          <t>wave_d05_morning</t>
        </is>
      </c>
      <c r="B50" t="inlineStr">
        <is>
          <t>5</t>
        </is>
      </c>
      <c r="C50" t="inlineStr">
        <is>
          <t>上午</t>
        </is>
      </c>
      <c r="D50" t="inlineStr">
        <is>
          <t>5</t>
        </is>
      </c>
      <c r="E50" t="inlineStr">
        <is>
          <t>1,2,3,4,5</t>
        </is>
      </c>
      <c r="F50" t="inlineStr">
        <is>
          <t>6</t>
        </is>
      </c>
      <c r="G50" t="inlineStr">
        <is>
          <t>90,10,0,4</t>
        </is>
      </c>
      <c r="H50" t="inlineStr">
        <is>
          <t>392.8</t>
        </is>
      </c>
      <c r="I50" t="inlineStr">
        <is>
          <t>池-数量；品质权重=青铜,白银,黄金,钻石</t>
        </is>
      </c>
    </row>
    <row r="51">
      <c r="A51" t="inlineStr">
        <is>
          <t>wave_d05_afternoon</t>
        </is>
      </c>
      <c r="B51" t="inlineStr">
        <is>
          <t>5</t>
        </is>
      </c>
      <c r="C51" t="inlineStr">
        <is>
          <t>下午</t>
        </is>
      </c>
      <c r="D51" t="inlineStr">
        <is>
          <t>1</t>
        </is>
      </c>
      <c r="E51" t="inlineStr">
        <is>
          <t>1,2,3,4,5</t>
        </is>
      </c>
      <c r="F51" t="inlineStr">
        <is>
          <t>2</t>
        </is>
      </c>
      <c r="G51" t="inlineStr">
        <is>
          <t>90,10,0,0</t>
        </is>
      </c>
      <c r="H51" t="inlineStr">
        <is>
          <t>124.3</t>
        </is>
      </c>
      <c r="I51" t="inlineStr">
        <is>
          <t>池-数量；品质权重=青铜,白银,黄金,钻石</t>
        </is>
      </c>
    </row>
    <row r="52">
      <c r="A52" t="inlineStr">
        <is>
          <t>wave_d05_afternoon</t>
        </is>
      </c>
      <c r="B52" t="inlineStr">
        <is>
          <t>5</t>
        </is>
      </c>
      <c r="C52" t="inlineStr">
        <is>
          <t>下午</t>
        </is>
      </c>
      <c r="D52" t="inlineStr">
        <is>
          <t>2</t>
        </is>
      </c>
      <c r="E52" t="inlineStr">
        <is>
          <t>1,2,3,4,5</t>
        </is>
      </c>
      <c r="F52" t="inlineStr">
        <is>
          <t>3</t>
        </is>
      </c>
      <c r="G52" t="inlineStr">
        <is>
          <t>90,10,0,1</t>
        </is>
      </c>
      <c r="H52" t="inlineStr">
        <is>
          <t>189</t>
        </is>
      </c>
      <c r="I52" t="inlineStr">
        <is>
          <t>池-数量；品质权重=青铜,白银,黄金,钻石</t>
        </is>
      </c>
    </row>
    <row r="53">
      <c r="A53" t="inlineStr">
        <is>
          <t>wave_d05_afternoon</t>
        </is>
      </c>
      <c r="B53" t="inlineStr">
        <is>
          <t>5</t>
        </is>
      </c>
      <c r="C53" t="inlineStr">
        <is>
          <t>下午</t>
        </is>
      </c>
      <c r="D53" t="inlineStr">
        <is>
          <t>3</t>
        </is>
      </c>
      <c r="E53" t="inlineStr">
        <is>
          <t>1,2,3,4,5</t>
        </is>
      </c>
      <c r="F53" t="inlineStr">
        <is>
          <t>4</t>
        </is>
      </c>
      <c r="G53" t="inlineStr">
        <is>
          <t>90,10,0,2</t>
        </is>
      </c>
      <c r="H53" t="inlineStr">
        <is>
          <t>255.4</t>
        </is>
      </c>
      <c r="I53" t="inlineStr">
        <is>
          <t>池-数量；品质权重=青铜,白银,黄金,钻石</t>
        </is>
      </c>
    </row>
    <row r="54">
      <c r="A54" t="inlineStr">
        <is>
          <t>wave_d05_afternoon</t>
        </is>
      </c>
      <c r="B54" t="inlineStr">
        <is>
          <t>5</t>
        </is>
      </c>
      <c r="C54" t="inlineStr">
        <is>
          <t>下午</t>
        </is>
      </c>
      <c r="D54" t="inlineStr">
        <is>
          <t>4</t>
        </is>
      </c>
      <c r="E54" t="inlineStr">
        <is>
          <t>1,2,3,4,5</t>
        </is>
      </c>
      <c r="F54" t="inlineStr">
        <is>
          <t>5</t>
        </is>
      </c>
      <c r="G54" t="inlineStr">
        <is>
          <t>90,10,0,3</t>
        </is>
      </c>
      <c r="H54" t="inlineStr">
        <is>
          <t>323.3</t>
        </is>
      </c>
      <c r="I54" t="inlineStr">
        <is>
          <t>池-数量；品质权重=青铜,白银,黄金,钻石</t>
        </is>
      </c>
    </row>
    <row r="55">
      <c r="A55" t="inlineStr">
        <is>
          <t>wave_d05_afternoon</t>
        </is>
      </c>
      <c r="B55" t="inlineStr">
        <is>
          <t>5</t>
        </is>
      </c>
      <c r="C55" t="inlineStr">
        <is>
          <t>下午</t>
        </is>
      </c>
      <c r="D55" t="inlineStr">
        <is>
          <t>5</t>
        </is>
      </c>
      <c r="E55" t="inlineStr">
        <is>
          <t>1,2,3,4,5</t>
        </is>
      </c>
      <c r="F55" t="inlineStr">
        <is>
          <t>6</t>
        </is>
      </c>
      <c r="G55" t="inlineStr">
        <is>
          <t>90,10,0,4</t>
        </is>
      </c>
      <c r="H55" t="inlineStr">
        <is>
          <t>392.8</t>
        </is>
      </c>
      <c r="I55" t="inlineStr">
        <is>
          <t>池-数量；品质权重=青铜,白银,黄金,钻石</t>
        </is>
      </c>
    </row>
    <row r="56">
      <c r="A56" t="inlineStr">
        <is>
          <t>wave_d05_afternoon</t>
        </is>
      </c>
      <c r="B56" t="inlineStr">
        <is>
          <t>5</t>
        </is>
      </c>
      <c r="C56" t="inlineStr">
        <is>
          <t>下午</t>
        </is>
      </c>
      <c r="D56" t="inlineStr">
        <is>
          <t>5</t>
        </is>
      </c>
      <c r="E56" t="inlineStr">
        <is>
          <t>1,2,3,4,5</t>
        </is>
      </c>
      <c r="F56" t="inlineStr">
        <is>
          <t>6</t>
        </is>
      </c>
      <c r="G56" t="inlineStr">
        <is>
          <t>90,10,0,4</t>
        </is>
      </c>
      <c r="H56" t="inlineStr">
        <is>
          <t>392.8</t>
        </is>
      </c>
      <c r="I56" t="inlineStr">
        <is>
          <t>池-数量；品质权重=青铜,白银,黄金,钻石</t>
        </is>
      </c>
    </row>
    <row r="57">
      <c r="A57" t="inlineStr">
        <is>
          <t>wave_d06_morning</t>
        </is>
      </c>
      <c r="B57" t="inlineStr">
        <is>
          <t>6</t>
        </is>
      </c>
      <c r="C57" t="inlineStr">
        <is>
          <t>上午</t>
        </is>
      </c>
      <c r="D57" t="inlineStr">
        <is>
          <t>1</t>
        </is>
      </c>
      <c r="E57" t="inlineStr">
        <is>
          <t>1,2,3,4,5</t>
        </is>
      </c>
      <c r="F57" t="inlineStr">
        <is>
          <t>2</t>
        </is>
      </c>
      <c r="G57" t="inlineStr">
        <is>
          <t>90,10,0,0</t>
        </is>
      </c>
      <c r="H57" t="inlineStr">
        <is>
          <t>124.3</t>
        </is>
      </c>
      <c r="I57" t="inlineStr">
        <is>
          <t>池-数量；品质权重=青铜,白银,黄金,钻石</t>
        </is>
      </c>
    </row>
    <row r="58">
      <c r="A58" t="inlineStr">
        <is>
          <t>wave_d06_morning</t>
        </is>
      </c>
      <c r="B58" t="inlineStr">
        <is>
          <t>6</t>
        </is>
      </c>
      <c r="C58" t="inlineStr">
        <is>
          <t>上午</t>
        </is>
      </c>
      <c r="D58" t="inlineStr">
        <is>
          <t>1</t>
        </is>
      </c>
      <c r="E58" t="inlineStr">
        <is>
          <t>1,2,3,4,5</t>
        </is>
      </c>
      <c r="F58" t="inlineStr">
        <is>
          <t>2</t>
        </is>
      </c>
      <c r="G58" t="inlineStr">
        <is>
          <t>90,10,0,0</t>
        </is>
      </c>
      <c r="H58" t="inlineStr">
        <is>
          <t>124.3</t>
        </is>
      </c>
      <c r="I58" t="inlineStr">
        <is>
          <t>池-数量；品质权重=青铜,白银,黄金,钻石</t>
        </is>
      </c>
    </row>
    <row r="59">
      <c r="A59" t="inlineStr">
        <is>
          <t>wave_d06_morning</t>
        </is>
      </c>
      <c r="B59" t="inlineStr">
        <is>
          <t>6</t>
        </is>
      </c>
      <c r="C59" t="inlineStr">
        <is>
          <t>上午</t>
        </is>
      </c>
      <c r="D59" t="inlineStr">
        <is>
          <t>2</t>
        </is>
      </c>
      <c r="E59" t="inlineStr">
        <is>
          <t>1,2,3,4,5</t>
        </is>
      </c>
      <c r="F59" t="inlineStr">
        <is>
          <t>3</t>
        </is>
      </c>
      <c r="G59" t="inlineStr">
        <is>
          <t>90,10,0,1</t>
        </is>
      </c>
      <c r="H59" t="inlineStr">
        <is>
          <t>189</t>
        </is>
      </c>
      <c r="I59" t="inlineStr">
        <is>
          <t>池-数量；品质权重=青铜,白银,黄金,钻石</t>
        </is>
      </c>
    </row>
    <row r="60">
      <c r="A60" t="inlineStr">
        <is>
          <t>wave_d06_morning</t>
        </is>
      </c>
      <c r="B60" t="inlineStr">
        <is>
          <t>6</t>
        </is>
      </c>
      <c r="C60" t="inlineStr">
        <is>
          <t>上午</t>
        </is>
      </c>
      <c r="D60" t="inlineStr">
        <is>
          <t>3</t>
        </is>
      </c>
      <c r="E60" t="inlineStr">
        <is>
          <t>1,2,3,4,5</t>
        </is>
      </c>
      <c r="F60" t="inlineStr">
        <is>
          <t>4</t>
        </is>
      </c>
      <c r="G60" t="inlineStr">
        <is>
          <t>90,10,0,2</t>
        </is>
      </c>
      <c r="H60" t="inlineStr">
        <is>
          <t>255.4</t>
        </is>
      </c>
      <c r="I60" t="inlineStr">
        <is>
          <t>池-数量；品质权重=青铜,白银,黄金,钻石</t>
        </is>
      </c>
    </row>
    <row r="61">
      <c r="A61" t="inlineStr">
        <is>
          <t>wave_d06_morning</t>
        </is>
      </c>
      <c r="B61" t="inlineStr">
        <is>
          <t>6</t>
        </is>
      </c>
      <c r="C61" t="inlineStr">
        <is>
          <t>上午</t>
        </is>
      </c>
      <c r="D61" t="inlineStr">
        <is>
          <t>4</t>
        </is>
      </c>
      <c r="E61" t="inlineStr">
        <is>
          <t>1,2,3,4,5</t>
        </is>
      </c>
      <c r="F61" t="inlineStr">
        <is>
          <t>5</t>
        </is>
      </c>
      <c r="G61" t="inlineStr">
        <is>
          <t>90,10,0,3</t>
        </is>
      </c>
      <c r="H61" t="inlineStr">
        <is>
          <t>323.3</t>
        </is>
      </c>
      <c r="I61" t="inlineStr">
        <is>
          <t>池-数量；品质权重=青铜,白银,黄金,钻石</t>
        </is>
      </c>
    </row>
    <row r="62">
      <c r="A62" t="inlineStr">
        <is>
          <t>wave_d06_morning</t>
        </is>
      </c>
      <c r="B62" t="inlineStr">
        <is>
          <t>6</t>
        </is>
      </c>
      <c r="C62" t="inlineStr">
        <is>
          <t>上午</t>
        </is>
      </c>
      <c r="D62" t="inlineStr">
        <is>
          <t>4</t>
        </is>
      </c>
      <c r="E62" t="inlineStr">
        <is>
          <t>1,2,3,4,5</t>
        </is>
      </c>
      <c r="F62" t="inlineStr">
        <is>
          <t>5</t>
        </is>
      </c>
      <c r="G62" t="inlineStr">
        <is>
          <t>90,10,0,3</t>
        </is>
      </c>
      <c r="H62" t="inlineStr">
        <is>
          <t>323.3</t>
        </is>
      </c>
      <c r="I62" t="inlineStr">
        <is>
          <t>池-数量；品质权重=青铜,白银,黄金,钻石</t>
        </is>
      </c>
    </row>
    <row r="63">
      <c r="A63" t="inlineStr">
        <is>
          <t>wave_d06_morning</t>
        </is>
      </c>
      <c r="B63" t="inlineStr">
        <is>
          <t>6</t>
        </is>
      </c>
      <c r="C63" t="inlineStr">
        <is>
          <t>上午</t>
        </is>
      </c>
      <c r="D63" t="inlineStr">
        <is>
          <t>5</t>
        </is>
      </c>
      <c r="E63" t="inlineStr">
        <is>
          <t>1,2,3,4,5</t>
        </is>
      </c>
      <c r="F63" t="inlineStr">
        <is>
          <t>6</t>
        </is>
      </c>
      <c r="G63" t="inlineStr">
        <is>
          <t>90,10,0,4</t>
        </is>
      </c>
      <c r="H63" t="inlineStr">
        <is>
          <t>392.8</t>
        </is>
      </c>
      <c r="I63" t="inlineStr">
        <is>
          <t>池-数量；品质权重=青铜,白银,黄金,钻石</t>
        </is>
      </c>
    </row>
    <row r="64">
      <c r="A64" t="inlineStr">
        <is>
          <t>wave_d06_afternoon</t>
        </is>
      </c>
      <c r="B64" t="inlineStr">
        <is>
          <t>6</t>
        </is>
      </c>
      <c r="C64" t="inlineStr">
        <is>
          <t>下午</t>
        </is>
      </c>
      <c r="D64" t="inlineStr">
        <is>
          <t>1</t>
        </is>
      </c>
      <c r="E64" t="inlineStr">
        <is>
          <t>1,2,3,4,5</t>
        </is>
      </c>
      <c r="F64" t="inlineStr">
        <is>
          <t>2</t>
        </is>
      </c>
      <c r="G64" t="inlineStr">
        <is>
          <t>90,10,0,0</t>
        </is>
      </c>
      <c r="H64" t="inlineStr">
        <is>
          <t>124.3</t>
        </is>
      </c>
      <c r="I64" t="inlineStr">
        <is>
          <t>池-数量；品质权重=青铜,白银,黄金,钻石</t>
        </is>
      </c>
    </row>
    <row r="65">
      <c r="A65" t="inlineStr">
        <is>
          <t>wave_d06_afternoon</t>
        </is>
      </c>
      <c r="B65" t="inlineStr">
        <is>
          <t>6</t>
        </is>
      </c>
      <c r="C65" t="inlineStr">
        <is>
          <t>下午</t>
        </is>
      </c>
      <c r="D65" t="inlineStr">
        <is>
          <t>2</t>
        </is>
      </c>
      <c r="E65" t="inlineStr">
        <is>
          <t>1,2,3,4,5</t>
        </is>
      </c>
      <c r="F65" t="inlineStr">
        <is>
          <t>3</t>
        </is>
      </c>
      <c r="G65" t="inlineStr">
        <is>
          <t>90,10,0,1</t>
        </is>
      </c>
      <c r="H65" t="inlineStr">
        <is>
          <t>189</t>
        </is>
      </c>
      <c r="I65" t="inlineStr">
        <is>
          <t>池-数量；品质权重=青铜,白银,黄金,钻石</t>
        </is>
      </c>
    </row>
    <row r="66">
      <c r="A66" t="inlineStr">
        <is>
          <t>wave_d06_afternoon</t>
        </is>
      </c>
      <c r="B66" t="inlineStr">
        <is>
          <t>6</t>
        </is>
      </c>
      <c r="C66" t="inlineStr">
        <is>
          <t>下午</t>
        </is>
      </c>
      <c r="D66" t="inlineStr">
        <is>
          <t>3</t>
        </is>
      </c>
      <c r="E66" t="inlineStr">
        <is>
          <t>1,2,3,4,5</t>
        </is>
      </c>
      <c r="F66" t="inlineStr">
        <is>
          <t>4</t>
        </is>
      </c>
      <c r="G66" t="inlineStr">
        <is>
          <t>90,10,0,2</t>
        </is>
      </c>
      <c r="H66" t="inlineStr">
        <is>
          <t>255.4</t>
        </is>
      </c>
      <c r="I66" t="inlineStr">
        <is>
          <t>池-数量；品质权重=青铜,白银,黄金,钻石</t>
        </is>
      </c>
    </row>
    <row r="67">
      <c r="A67" t="inlineStr">
        <is>
          <t>wave_d06_afternoon</t>
        </is>
      </c>
      <c r="B67" t="inlineStr">
        <is>
          <t>6</t>
        </is>
      </c>
      <c r="C67" t="inlineStr">
        <is>
          <t>下午</t>
        </is>
      </c>
      <c r="D67" t="inlineStr">
        <is>
          <t>3</t>
        </is>
      </c>
      <c r="E67" t="inlineStr">
        <is>
          <t>1,2,3,4,5</t>
        </is>
      </c>
      <c r="F67" t="inlineStr">
        <is>
          <t>4</t>
        </is>
      </c>
      <c r="G67" t="inlineStr">
        <is>
          <t>90,10,0,2</t>
        </is>
      </c>
      <c r="H67" t="inlineStr">
        <is>
          <t>255.4</t>
        </is>
      </c>
      <c r="I67" t="inlineStr">
        <is>
          <t>池-数量；品质权重=青铜,白银,黄金,钻石</t>
        </is>
      </c>
    </row>
    <row r="68">
      <c r="A68" t="inlineStr">
        <is>
          <t>wave_d06_afternoon</t>
        </is>
      </c>
      <c r="B68" t="inlineStr">
        <is>
          <t>6</t>
        </is>
      </c>
      <c r="C68" t="inlineStr">
        <is>
          <t>下午</t>
        </is>
      </c>
      <c r="D68" t="inlineStr">
        <is>
          <t>4</t>
        </is>
      </c>
      <c r="E68" t="inlineStr">
        <is>
          <t>1,2,3,4,5</t>
        </is>
      </c>
      <c r="F68" t="inlineStr">
        <is>
          <t>5</t>
        </is>
      </c>
      <c r="G68" t="inlineStr">
        <is>
          <t>90,10,0,3</t>
        </is>
      </c>
      <c r="H68" t="inlineStr">
        <is>
          <t>323.3</t>
        </is>
      </c>
      <c r="I68" t="inlineStr">
        <is>
          <t>池-数量；品质权重=青铜,白银,黄金,钻石</t>
        </is>
      </c>
    </row>
    <row r="69">
      <c r="A69" t="inlineStr">
        <is>
          <t>wave_d06_afternoon</t>
        </is>
      </c>
      <c r="B69" t="inlineStr">
        <is>
          <t>6</t>
        </is>
      </c>
      <c r="C69" t="inlineStr">
        <is>
          <t>下午</t>
        </is>
      </c>
      <c r="D69" t="inlineStr">
        <is>
          <t>4</t>
        </is>
      </c>
      <c r="E69" t="inlineStr">
        <is>
          <t>1,2,3,4,5</t>
        </is>
      </c>
      <c r="F69" t="inlineStr">
        <is>
          <t>5</t>
        </is>
      </c>
      <c r="G69" t="inlineStr">
        <is>
          <t>90,10,0,3</t>
        </is>
      </c>
      <c r="H69" t="inlineStr">
        <is>
          <t>323.3</t>
        </is>
      </c>
      <c r="I69" t="inlineStr">
        <is>
          <t>池-数量；品质权重=青铜,白银,黄金,钻石</t>
        </is>
      </c>
    </row>
    <row r="70">
      <c r="A70" t="inlineStr">
        <is>
          <t>wave_d06_afternoon</t>
        </is>
      </c>
      <c r="B70" t="inlineStr">
        <is>
          <t>6</t>
        </is>
      </c>
      <c r="C70" t="inlineStr">
        <is>
          <t>下午</t>
        </is>
      </c>
      <c r="D70" t="inlineStr">
        <is>
          <t>5</t>
        </is>
      </c>
      <c r="E70" t="inlineStr">
        <is>
          <t>1,2,3,4,5</t>
        </is>
      </c>
      <c r="F70" t="inlineStr">
        <is>
          <t>6</t>
        </is>
      </c>
      <c r="G70" t="inlineStr">
        <is>
          <t>90,10,0,4</t>
        </is>
      </c>
      <c r="H70" t="inlineStr">
        <is>
          <t>392.8</t>
        </is>
      </c>
      <c r="I70" t="inlineStr">
        <is>
          <t>池-数量；品质权重=青铜,白银,黄金,钻石</t>
        </is>
      </c>
    </row>
    <row r="71">
      <c r="A71" t="inlineStr">
        <is>
          <t>wave_d07_morning</t>
        </is>
      </c>
      <c r="B71" t="inlineStr">
        <is>
          <t>7</t>
        </is>
      </c>
      <c r="C71" t="inlineStr">
        <is>
          <t>上午</t>
        </is>
      </c>
      <c r="D71" t="inlineStr">
        <is>
          <t>1</t>
        </is>
      </c>
      <c r="E71" t="inlineStr">
        <is>
          <t>1,2,3,4,5</t>
        </is>
      </c>
      <c r="F71" t="inlineStr">
        <is>
          <t>2</t>
        </is>
      </c>
      <c r="G71" t="inlineStr">
        <is>
          <t>90,10,0,0</t>
        </is>
      </c>
      <c r="H71" t="inlineStr">
        <is>
          <t>124.3</t>
        </is>
      </c>
      <c r="I71" t="inlineStr">
        <is>
          <t>池-数量；品质权重=青铜,白银,黄金,钻石</t>
        </is>
      </c>
    </row>
    <row r="72">
      <c r="A72" t="inlineStr">
        <is>
          <t>wave_d07_morning</t>
        </is>
      </c>
      <c r="B72" t="inlineStr">
        <is>
          <t>7</t>
        </is>
      </c>
      <c r="C72" t="inlineStr">
        <is>
          <t>上午</t>
        </is>
      </c>
      <c r="D72" t="inlineStr">
        <is>
          <t>2</t>
        </is>
      </c>
      <c r="E72" t="inlineStr">
        <is>
          <t>1,2,3,4,5</t>
        </is>
      </c>
      <c r="F72" t="inlineStr">
        <is>
          <t>3</t>
        </is>
      </c>
      <c r="G72" t="inlineStr">
        <is>
          <t>90,10,0,1</t>
        </is>
      </c>
      <c r="H72" t="inlineStr">
        <is>
          <t>189</t>
        </is>
      </c>
      <c r="I72" t="inlineStr">
        <is>
          <t>池-数量；品质权重=青铜,白银,黄金,钻石</t>
        </is>
      </c>
    </row>
    <row r="73">
      <c r="A73" t="inlineStr">
        <is>
          <t>wave_d07_morning</t>
        </is>
      </c>
      <c r="B73" t="inlineStr">
        <is>
          <t>7</t>
        </is>
      </c>
      <c r="C73" t="inlineStr">
        <is>
          <t>上午</t>
        </is>
      </c>
      <c r="D73" t="inlineStr">
        <is>
          <t>3</t>
        </is>
      </c>
      <c r="E73" t="inlineStr">
        <is>
          <t>1,2,3,4,5</t>
        </is>
      </c>
      <c r="F73" t="inlineStr">
        <is>
          <t>4</t>
        </is>
      </c>
      <c r="G73" t="inlineStr">
        <is>
          <t>90,10,0,2</t>
        </is>
      </c>
      <c r="H73" t="inlineStr">
        <is>
          <t>255.4</t>
        </is>
      </c>
      <c r="I73" t="inlineStr">
        <is>
          <t>池-数量；品质权重=青铜,白银,黄金,钻石</t>
        </is>
      </c>
    </row>
    <row r="74">
      <c r="A74" t="inlineStr">
        <is>
          <t>wave_d07_morning</t>
        </is>
      </c>
      <c r="B74" t="inlineStr">
        <is>
          <t>7</t>
        </is>
      </c>
      <c r="C74" t="inlineStr">
        <is>
          <t>上午</t>
        </is>
      </c>
      <c r="D74" t="inlineStr">
        <is>
          <t>4</t>
        </is>
      </c>
      <c r="E74" t="inlineStr">
        <is>
          <t>1,2,3,4,5</t>
        </is>
      </c>
      <c r="F74" t="inlineStr">
        <is>
          <t>5</t>
        </is>
      </c>
      <c r="G74" t="inlineStr">
        <is>
          <t>90,10,0,3</t>
        </is>
      </c>
      <c r="H74" t="inlineStr">
        <is>
          <t>323.3</t>
        </is>
      </c>
      <c r="I74" t="inlineStr">
        <is>
          <t>池-数量；品质权重=青铜,白银,黄金,钻石</t>
        </is>
      </c>
    </row>
    <row r="75">
      <c r="A75" t="inlineStr">
        <is>
          <t>wave_d07_morning</t>
        </is>
      </c>
      <c r="B75" t="inlineStr">
        <is>
          <t>7</t>
        </is>
      </c>
      <c r="C75" t="inlineStr">
        <is>
          <t>上午</t>
        </is>
      </c>
      <c r="D75" t="inlineStr">
        <is>
          <t>4</t>
        </is>
      </c>
      <c r="E75" t="inlineStr">
        <is>
          <t>1,2,3,4,5</t>
        </is>
      </c>
      <c r="F75" t="inlineStr">
        <is>
          <t>5</t>
        </is>
      </c>
      <c r="G75" t="inlineStr">
        <is>
          <t>90,10,0,3</t>
        </is>
      </c>
      <c r="H75" t="inlineStr">
        <is>
          <t>323.3</t>
        </is>
      </c>
      <c r="I75" t="inlineStr">
        <is>
          <t>池-数量；品质权重=青铜,白银,黄金,钻石</t>
        </is>
      </c>
    </row>
    <row r="76">
      <c r="A76" t="inlineStr">
        <is>
          <t>wave_d07_morning</t>
        </is>
      </c>
      <c r="B76" t="inlineStr">
        <is>
          <t>7</t>
        </is>
      </c>
      <c r="C76" t="inlineStr">
        <is>
          <t>上午</t>
        </is>
      </c>
      <c r="D76" t="inlineStr">
        <is>
          <t>5</t>
        </is>
      </c>
      <c r="E76" t="inlineStr">
        <is>
          <t>1,2,3,4,5</t>
        </is>
      </c>
      <c r="F76" t="inlineStr">
        <is>
          <t>6</t>
        </is>
      </c>
      <c r="G76" t="inlineStr">
        <is>
          <t>90,10,0,4</t>
        </is>
      </c>
      <c r="H76" t="inlineStr">
        <is>
          <t>392.8</t>
        </is>
      </c>
      <c r="I76" t="inlineStr">
        <is>
          <t>池-数量；品质权重=青铜,白银,黄金,钻石</t>
        </is>
      </c>
    </row>
    <row r="77">
      <c r="A77" t="inlineStr">
        <is>
          <t>wave_d07_afternoon</t>
        </is>
      </c>
      <c r="B77" t="inlineStr">
        <is>
          <t>7</t>
        </is>
      </c>
      <c r="C77" t="inlineStr">
        <is>
          <t>下午</t>
        </is>
      </c>
      <c r="D77" t="inlineStr">
        <is>
          <t>1</t>
        </is>
      </c>
      <c r="E77" t="inlineStr">
        <is>
          <t>1,2,3,4,5</t>
        </is>
      </c>
      <c r="F77" t="inlineStr">
        <is>
          <t>2</t>
        </is>
      </c>
      <c r="G77" t="inlineStr">
        <is>
          <t>90,10,0,0</t>
        </is>
      </c>
      <c r="H77" t="inlineStr">
        <is>
          <t>124.3</t>
        </is>
      </c>
      <c r="I77" t="inlineStr">
        <is>
          <t>池-数量；品质权重=青铜,白银,黄金,钻石</t>
        </is>
      </c>
    </row>
    <row r="78">
      <c r="A78" t="inlineStr">
        <is>
          <t>wave_d07_afternoon</t>
        </is>
      </c>
      <c r="B78" t="inlineStr">
        <is>
          <t>7</t>
        </is>
      </c>
      <c r="C78" t="inlineStr">
        <is>
          <t>下午</t>
        </is>
      </c>
      <c r="D78" t="inlineStr">
        <is>
          <t>2</t>
        </is>
      </c>
      <c r="E78" t="inlineStr">
        <is>
          <t>1,2,3,4,5</t>
        </is>
      </c>
      <c r="F78" t="inlineStr">
        <is>
          <t>3</t>
        </is>
      </c>
      <c r="G78" t="inlineStr">
        <is>
          <t>90,10,0,1</t>
        </is>
      </c>
      <c r="H78" t="inlineStr">
        <is>
          <t>189</t>
        </is>
      </c>
      <c r="I78" t="inlineStr">
        <is>
          <t>池-数量；品质权重=青铜,白银,黄金,钻石</t>
        </is>
      </c>
    </row>
    <row r="79">
      <c r="A79" t="inlineStr">
        <is>
          <t>wave_d07_afternoon</t>
        </is>
      </c>
      <c r="B79" t="inlineStr">
        <is>
          <t>7</t>
        </is>
      </c>
      <c r="C79" t="inlineStr">
        <is>
          <t>下午</t>
        </is>
      </c>
      <c r="D79" t="inlineStr">
        <is>
          <t>2</t>
        </is>
      </c>
      <c r="E79" t="inlineStr">
        <is>
          <t>1,2,3,4,5</t>
        </is>
      </c>
      <c r="F79" t="inlineStr">
        <is>
          <t>3</t>
        </is>
      </c>
      <c r="G79" t="inlineStr">
        <is>
          <t>90,10,0,1</t>
        </is>
      </c>
      <c r="H79" t="inlineStr">
        <is>
          <t>189</t>
        </is>
      </c>
      <c r="I79" t="inlineStr">
        <is>
          <t>池-数量；品质权重=青铜,白银,黄金,钻石</t>
        </is>
      </c>
    </row>
    <row r="80">
      <c r="A80" t="inlineStr">
        <is>
          <t>wave_d07_afternoon</t>
        </is>
      </c>
      <c r="B80" t="inlineStr">
        <is>
          <t>7</t>
        </is>
      </c>
      <c r="C80" t="inlineStr">
        <is>
          <t>下午</t>
        </is>
      </c>
      <c r="D80" t="inlineStr">
        <is>
          <t>3</t>
        </is>
      </c>
      <c r="E80" t="inlineStr">
        <is>
          <t>1,2,3,4,5</t>
        </is>
      </c>
      <c r="F80" t="inlineStr">
        <is>
          <t>4</t>
        </is>
      </c>
      <c r="G80" t="inlineStr">
        <is>
          <t>90,10,0,2</t>
        </is>
      </c>
      <c r="H80" t="inlineStr">
        <is>
          <t>255.4</t>
        </is>
      </c>
      <c r="I80" t="inlineStr">
        <is>
          <t>池-数量；品质权重=青铜,白银,黄金,钻石</t>
        </is>
      </c>
    </row>
    <row r="81">
      <c r="A81" t="inlineStr">
        <is>
          <t>wave_d07_afternoon</t>
        </is>
      </c>
      <c r="B81" t="inlineStr">
        <is>
          <t>7</t>
        </is>
      </c>
      <c r="C81" t="inlineStr">
        <is>
          <t>下午</t>
        </is>
      </c>
      <c r="D81" t="inlineStr">
        <is>
          <t>3</t>
        </is>
      </c>
      <c r="E81" t="inlineStr">
        <is>
          <t>1,2,3,4,5</t>
        </is>
      </c>
      <c r="F81" t="inlineStr">
        <is>
          <t>4</t>
        </is>
      </c>
      <c r="G81" t="inlineStr">
        <is>
          <t>90,10,0,2</t>
        </is>
      </c>
      <c r="H81" t="inlineStr">
        <is>
          <t>255.4</t>
        </is>
      </c>
      <c r="I81" t="inlineStr">
        <is>
          <t>池-数量；品质权重=青铜,白银,黄金,钻石</t>
        </is>
      </c>
    </row>
    <row r="82">
      <c r="A82" t="inlineStr">
        <is>
          <t>wave_d07_afternoon</t>
        </is>
      </c>
      <c r="B82" t="inlineStr">
        <is>
          <t>7</t>
        </is>
      </c>
      <c r="C82" t="inlineStr">
        <is>
          <t>下午</t>
        </is>
      </c>
      <c r="D82" t="inlineStr">
        <is>
          <t>4</t>
        </is>
      </c>
      <c r="E82" t="inlineStr">
        <is>
          <t>1,2,3,4,5</t>
        </is>
      </c>
      <c r="F82" t="inlineStr">
        <is>
          <t>5</t>
        </is>
      </c>
      <c r="G82" t="inlineStr">
        <is>
          <t>90,10,0,3</t>
        </is>
      </c>
      <c r="H82" t="inlineStr">
        <is>
          <t>323.3</t>
        </is>
      </c>
      <c r="I82" t="inlineStr">
        <is>
          <t>池-数量；品质权重=青铜,白银,黄金,钻石</t>
        </is>
      </c>
    </row>
    <row r="83">
      <c r="A83" t="inlineStr">
        <is>
          <t>wave_d07_afternoon</t>
        </is>
      </c>
      <c r="B83" t="inlineStr">
        <is>
          <t>7</t>
        </is>
      </c>
      <c r="C83" t="inlineStr">
        <is>
          <t>下午</t>
        </is>
      </c>
      <c r="D83" t="inlineStr">
        <is>
          <t>4</t>
        </is>
      </c>
      <c r="E83" t="inlineStr">
        <is>
          <t>1,2,3,4,5</t>
        </is>
      </c>
      <c r="F83" t="inlineStr">
        <is>
          <t>5</t>
        </is>
      </c>
      <c r="G83" t="inlineStr">
        <is>
          <t>90,10,0,3</t>
        </is>
      </c>
      <c r="H83" t="inlineStr">
        <is>
          <t>323.3</t>
        </is>
      </c>
      <c r="I83" t="inlineStr">
        <is>
          <t>池-数量；品质权重=青铜,白银,黄金,钻石</t>
        </is>
      </c>
    </row>
    <row r="84">
      <c r="A84" t="inlineStr">
        <is>
          <t>wave_d07_afternoon</t>
        </is>
      </c>
      <c r="B84" t="inlineStr">
        <is>
          <t>7</t>
        </is>
      </c>
      <c r="C84" t="inlineStr">
        <is>
          <t>下午</t>
        </is>
      </c>
      <c r="D84" t="inlineStr">
        <is>
          <t>5</t>
        </is>
      </c>
      <c r="E84" t="inlineStr">
        <is>
          <t>1,2,3,4,5</t>
        </is>
      </c>
      <c r="F84" t="inlineStr">
        <is>
          <t>6</t>
        </is>
      </c>
      <c r="G84" t="inlineStr">
        <is>
          <t>90,10,0,4</t>
        </is>
      </c>
      <c r="H84" t="inlineStr">
        <is>
          <t>392.8</t>
        </is>
      </c>
      <c r="I84" t="inlineStr">
        <is>
          <t>池-数量；品质权重=青铜,白银,黄金,钻石</t>
        </is>
      </c>
    </row>
    <row r="85">
      <c r="A85" t="inlineStr">
        <is>
          <t>wave_d08_morning</t>
        </is>
      </c>
      <c r="B85" t="inlineStr">
        <is>
          <t>8</t>
        </is>
      </c>
      <c r="C85" t="inlineStr">
        <is>
          <t>上午</t>
        </is>
      </c>
      <c r="D85" t="inlineStr">
        <is>
          <t>1</t>
        </is>
      </c>
      <c r="E85" t="inlineStr">
        <is>
          <t>1,2,3,4,5</t>
        </is>
      </c>
      <c r="F85" t="inlineStr">
        <is>
          <t>2</t>
        </is>
      </c>
      <c r="G85" t="inlineStr">
        <is>
          <t>90,10,0,0</t>
        </is>
      </c>
      <c r="H85" t="inlineStr">
        <is>
          <t>124.3</t>
        </is>
      </c>
      <c r="I85" t="inlineStr">
        <is>
          <t>池-数量；品质权重=青铜,白银,黄金,钻石</t>
        </is>
      </c>
    </row>
    <row r="86">
      <c r="A86" t="inlineStr">
        <is>
          <t>wave_d08_morning</t>
        </is>
      </c>
      <c r="B86" t="inlineStr">
        <is>
          <t>8</t>
        </is>
      </c>
      <c r="C86" t="inlineStr">
        <is>
          <t>上午</t>
        </is>
      </c>
      <c r="D86" t="inlineStr">
        <is>
          <t>2</t>
        </is>
      </c>
      <c r="E86" t="inlineStr">
        <is>
          <t>1,2,3,4,5</t>
        </is>
      </c>
      <c r="F86" t="inlineStr">
        <is>
          <t>3</t>
        </is>
      </c>
      <c r="G86" t="inlineStr">
        <is>
          <t>90,10,0,1</t>
        </is>
      </c>
      <c r="H86" t="inlineStr">
        <is>
          <t>189</t>
        </is>
      </c>
      <c r="I86" t="inlineStr">
        <is>
          <t>池-数量；品质权重=青铜,白银,黄金,钻石</t>
        </is>
      </c>
    </row>
    <row r="87">
      <c r="A87" t="inlineStr">
        <is>
          <t>wave_d08_morning</t>
        </is>
      </c>
      <c r="B87" t="inlineStr">
        <is>
          <t>8</t>
        </is>
      </c>
      <c r="C87" t="inlineStr">
        <is>
          <t>上午</t>
        </is>
      </c>
      <c r="D87" t="inlineStr">
        <is>
          <t>2</t>
        </is>
      </c>
      <c r="E87" t="inlineStr">
        <is>
          <t>1,2,3,4,5</t>
        </is>
      </c>
      <c r="F87" t="inlineStr">
        <is>
          <t>3</t>
        </is>
      </c>
      <c r="G87" t="inlineStr">
        <is>
          <t>90,10,0,1</t>
        </is>
      </c>
      <c r="H87" t="inlineStr">
        <is>
          <t>189</t>
        </is>
      </c>
      <c r="I87" t="inlineStr">
        <is>
          <t>池-数量；品质权重=青铜,白银,黄金,钻石</t>
        </is>
      </c>
    </row>
    <row r="88">
      <c r="A88" t="inlineStr">
        <is>
          <t>wave_d08_morning</t>
        </is>
      </c>
      <c r="B88" t="inlineStr">
        <is>
          <t>8</t>
        </is>
      </c>
      <c r="C88" t="inlineStr">
        <is>
          <t>上午</t>
        </is>
      </c>
      <c r="D88" t="inlineStr">
        <is>
          <t>3</t>
        </is>
      </c>
      <c r="E88" t="inlineStr">
        <is>
          <t>1,2,3,4,5</t>
        </is>
      </c>
      <c r="F88" t="inlineStr">
        <is>
          <t>4</t>
        </is>
      </c>
      <c r="G88" t="inlineStr">
        <is>
          <t>90,10,0,2</t>
        </is>
      </c>
      <c r="H88" t="inlineStr">
        <is>
          <t>255.4</t>
        </is>
      </c>
      <c r="I88" t="inlineStr">
        <is>
          <t>池-数量；品质权重=青铜,白银,黄金,钻石</t>
        </is>
      </c>
    </row>
    <row r="89">
      <c r="A89" t="inlineStr">
        <is>
          <t>wave_d08_morning</t>
        </is>
      </c>
      <c r="B89" t="inlineStr">
        <is>
          <t>8</t>
        </is>
      </c>
      <c r="C89" t="inlineStr">
        <is>
          <t>上午</t>
        </is>
      </c>
      <c r="D89" t="inlineStr">
        <is>
          <t>3</t>
        </is>
      </c>
      <c r="E89" t="inlineStr">
        <is>
          <t>1,2,3,4,5</t>
        </is>
      </c>
      <c r="F89" t="inlineStr">
        <is>
          <t>4</t>
        </is>
      </c>
      <c r="G89" t="inlineStr">
        <is>
          <t>90,10,0,2</t>
        </is>
      </c>
      <c r="H89" t="inlineStr">
        <is>
          <t>255.4</t>
        </is>
      </c>
      <c r="I89" t="inlineStr">
        <is>
          <t>池-数量；品质权重=青铜,白银,黄金,钻石</t>
        </is>
      </c>
    </row>
    <row r="90">
      <c r="A90" t="inlineStr">
        <is>
          <t>wave_d08_morning</t>
        </is>
      </c>
      <c r="B90" t="inlineStr">
        <is>
          <t>8</t>
        </is>
      </c>
      <c r="C90" t="inlineStr">
        <is>
          <t>上午</t>
        </is>
      </c>
      <c r="D90" t="inlineStr">
        <is>
          <t>4</t>
        </is>
      </c>
      <c r="E90" t="inlineStr">
        <is>
          <t>1,2,3,4,5</t>
        </is>
      </c>
      <c r="F90" t="inlineStr">
        <is>
          <t>5</t>
        </is>
      </c>
      <c r="G90" t="inlineStr">
        <is>
          <t>90,10,0,3</t>
        </is>
      </c>
      <c r="H90" t="inlineStr">
        <is>
          <t>323.3</t>
        </is>
      </c>
      <c r="I90" t="inlineStr">
        <is>
          <t>池-数量；品质权重=青铜,白银,黄金,钻石</t>
        </is>
      </c>
    </row>
    <row r="91">
      <c r="A91" t="inlineStr">
        <is>
          <t>wave_d08_morning</t>
        </is>
      </c>
      <c r="B91" t="inlineStr">
        <is>
          <t>8</t>
        </is>
      </c>
      <c r="C91" t="inlineStr">
        <is>
          <t>上午</t>
        </is>
      </c>
      <c r="D91" t="inlineStr">
        <is>
          <t>4</t>
        </is>
      </c>
      <c r="E91" t="inlineStr">
        <is>
          <t>1,2,3,4,5</t>
        </is>
      </c>
      <c r="F91" t="inlineStr">
        <is>
          <t>5</t>
        </is>
      </c>
      <c r="G91" t="inlineStr">
        <is>
          <t>90,10,0,3</t>
        </is>
      </c>
      <c r="H91" t="inlineStr">
        <is>
          <t>323.3</t>
        </is>
      </c>
      <c r="I91" t="inlineStr">
        <is>
          <t>池-数量；品质权重=青铜,白银,黄金,钻石</t>
        </is>
      </c>
    </row>
    <row r="92">
      <c r="A92" t="inlineStr">
        <is>
          <t>wave_d08_morning</t>
        </is>
      </c>
      <c r="B92" t="inlineStr">
        <is>
          <t>8</t>
        </is>
      </c>
      <c r="C92" t="inlineStr">
        <is>
          <t>上午</t>
        </is>
      </c>
      <c r="D92" t="inlineStr">
        <is>
          <t>5</t>
        </is>
      </c>
      <c r="E92" t="inlineStr">
        <is>
          <t>1,2,3,4,5</t>
        </is>
      </c>
      <c r="F92" t="inlineStr">
        <is>
          <t>6</t>
        </is>
      </c>
      <c r="G92" t="inlineStr">
        <is>
          <t>90,10,0,4</t>
        </is>
      </c>
      <c r="H92" t="inlineStr">
        <is>
          <t>392.8</t>
        </is>
      </c>
      <c r="I92" t="inlineStr">
        <is>
          <t>池-数量；品质权重=青铜,白银,黄金,钻石</t>
        </is>
      </c>
    </row>
    <row r="93">
      <c r="A93" t="inlineStr">
        <is>
          <t>wave_d08_afternoon</t>
        </is>
      </c>
      <c r="B93" t="inlineStr">
        <is>
          <t>8</t>
        </is>
      </c>
      <c r="C93" t="inlineStr">
        <is>
          <t>下午</t>
        </is>
      </c>
      <c r="D93" t="inlineStr">
        <is>
          <t>1</t>
        </is>
      </c>
      <c r="E93" t="inlineStr">
        <is>
          <t>1,2,3,4,5</t>
        </is>
      </c>
      <c r="F93" t="inlineStr">
        <is>
          <t>2</t>
        </is>
      </c>
      <c r="G93" t="inlineStr">
        <is>
          <t>90,10,0,0</t>
        </is>
      </c>
      <c r="H93" t="inlineStr">
        <is>
          <t>124.3</t>
        </is>
      </c>
      <c r="I93" t="inlineStr">
        <is>
          <t>池-数量；品质权重=青铜,白银,黄金,钻石</t>
        </is>
      </c>
    </row>
    <row r="94">
      <c r="A94" t="inlineStr">
        <is>
          <t>wave_d08_afternoon</t>
        </is>
      </c>
      <c r="B94" t="inlineStr">
        <is>
          <t>8</t>
        </is>
      </c>
      <c r="C94" t="inlineStr">
        <is>
          <t>下午</t>
        </is>
      </c>
      <c r="D94" t="inlineStr">
        <is>
          <t>2</t>
        </is>
      </c>
      <c r="E94" t="inlineStr">
        <is>
          <t>1,2,3,4,5</t>
        </is>
      </c>
      <c r="F94" t="inlineStr">
        <is>
          <t>3</t>
        </is>
      </c>
      <c r="G94" t="inlineStr">
        <is>
          <t>90,10,0,1</t>
        </is>
      </c>
      <c r="H94" t="inlineStr">
        <is>
          <t>189</t>
        </is>
      </c>
      <c r="I94" t="inlineStr">
        <is>
          <t>池-数量；品质权重=青铜,白银,黄金,钻石</t>
        </is>
      </c>
    </row>
    <row r="95">
      <c r="A95" t="inlineStr">
        <is>
          <t>wave_d08_afternoon</t>
        </is>
      </c>
      <c r="B95" t="inlineStr">
        <is>
          <t>8</t>
        </is>
      </c>
      <c r="C95" t="inlineStr">
        <is>
          <t>下午</t>
        </is>
      </c>
      <c r="D95" t="inlineStr">
        <is>
          <t>2</t>
        </is>
      </c>
      <c r="E95" t="inlineStr">
        <is>
          <t>1,2,3,4,5</t>
        </is>
      </c>
      <c r="F95" t="inlineStr">
        <is>
          <t>3</t>
        </is>
      </c>
      <c r="G95" t="inlineStr">
        <is>
          <t>90,10,0,1</t>
        </is>
      </c>
      <c r="H95" t="inlineStr">
        <is>
          <t>189</t>
        </is>
      </c>
      <c r="I95" t="inlineStr">
        <is>
          <t>池-数量；品质权重=青铜,白银,黄金,钻石</t>
        </is>
      </c>
    </row>
    <row r="96">
      <c r="A96" t="inlineStr">
        <is>
          <t>wave_d08_afternoon</t>
        </is>
      </c>
      <c r="B96" t="inlineStr">
        <is>
          <t>8</t>
        </is>
      </c>
      <c r="C96" t="inlineStr">
        <is>
          <t>下午</t>
        </is>
      </c>
      <c r="D96" t="inlineStr">
        <is>
          <t>3</t>
        </is>
      </c>
      <c r="E96" t="inlineStr">
        <is>
          <t>1,2,3,4,5</t>
        </is>
      </c>
      <c r="F96" t="inlineStr">
        <is>
          <t>4</t>
        </is>
      </c>
      <c r="G96" t="inlineStr">
        <is>
          <t>90,10,0,2</t>
        </is>
      </c>
      <c r="H96" t="inlineStr">
        <is>
          <t>255.4</t>
        </is>
      </c>
      <c r="I96" t="inlineStr">
        <is>
          <t>池-数量；品质权重=青铜,白银,黄金,钻石</t>
        </is>
      </c>
    </row>
    <row r="97">
      <c r="A97" t="inlineStr">
        <is>
          <t>wave_d08_afternoon</t>
        </is>
      </c>
      <c r="B97" t="inlineStr">
        <is>
          <t>8</t>
        </is>
      </c>
      <c r="C97" t="inlineStr">
        <is>
          <t>下午</t>
        </is>
      </c>
      <c r="D97" t="inlineStr">
        <is>
          <t>3</t>
        </is>
      </c>
      <c r="E97" t="inlineStr">
        <is>
          <t>1,2,3,4,5</t>
        </is>
      </c>
      <c r="F97" t="inlineStr">
        <is>
          <t>4</t>
        </is>
      </c>
      <c r="G97" t="inlineStr">
        <is>
          <t>90,10,0,2</t>
        </is>
      </c>
      <c r="H97" t="inlineStr">
        <is>
          <t>255.4</t>
        </is>
      </c>
      <c r="I97" t="inlineStr">
        <is>
          <t>池-数量；品质权重=青铜,白银,黄金,钻石</t>
        </is>
      </c>
    </row>
    <row r="98">
      <c r="A98" t="inlineStr">
        <is>
          <t>wave_d08_afternoon</t>
        </is>
      </c>
      <c r="B98" t="inlineStr">
        <is>
          <t>8</t>
        </is>
      </c>
      <c r="C98" t="inlineStr">
        <is>
          <t>下午</t>
        </is>
      </c>
      <c r="D98" t="inlineStr">
        <is>
          <t>4</t>
        </is>
      </c>
      <c r="E98" t="inlineStr">
        <is>
          <t>1,2,3,4,5</t>
        </is>
      </c>
      <c r="F98" t="inlineStr">
        <is>
          <t>5</t>
        </is>
      </c>
      <c r="G98" t="inlineStr">
        <is>
          <t>90,10,0,3</t>
        </is>
      </c>
      <c r="H98" t="inlineStr">
        <is>
          <t>323.3</t>
        </is>
      </c>
      <c r="I98" t="inlineStr">
        <is>
          <t>池-数量；品质权重=青铜,白银,黄金,钻石</t>
        </is>
      </c>
    </row>
    <row r="99">
      <c r="A99" t="inlineStr">
        <is>
          <t>wave_d08_afternoon</t>
        </is>
      </c>
      <c r="B99" t="inlineStr">
        <is>
          <t>8</t>
        </is>
      </c>
      <c r="C99" t="inlineStr">
        <is>
          <t>下午</t>
        </is>
      </c>
      <c r="D99" t="inlineStr">
        <is>
          <t>4</t>
        </is>
      </c>
      <c r="E99" t="inlineStr">
        <is>
          <t>1,2,3,4,5</t>
        </is>
      </c>
      <c r="F99" t="inlineStr">
        <is>
          <t>5</t>
        </is>
      </c>
      <c r="G99" t="inlineStr">
        <is>
          <t>90,10,0,3</t>
        </is>
      </c>
      <c r="H99" t="inlineStr">
        <is>
          <t>323.3</t>
        </is>
      </c>
      <c r="I99" t="inlineStr">
        <is>
          <t>池-数量；品质权重=青铜,白银,黄金,钻石</t>
        </is>
      </c>
    </row>
    <row r="100">
      <c r="A100" t="inlineStr">
        <is>
          <t>wave_d08_afternoon</t>
        </is>
      </c>
      <c r="B100" t="inlineStr">
        <is>
          <t>8</t>
        </is>
      </c>
      <c r="C100" t="inlineStr">
        <is>
          <t>下午</t>
        </is>
      </c>
      <c r="D100" t="inlineStr">
        <is>
          <t>5</t>
        </is>
      </c>
      <c r="E100" t="inlineStr">
        <is>
          <t>1,2,3,4,5</t>
        </is>
      </c>
      <c r="F100" t="inlineStr">
        <is>
          <t>6</t>
        </is>
      </c>
      <c r="G100" t="inlineStr">
        <is>
          <t>90,10,0,4</t>
        </is>
      </c>
      <c r="H100" t="inlineStr">
        <is>
          <t>392.8</t>
        </is>
      </c>
      <c r="I100" t="inlineStr">
        <is>
          <t>池-数量；品质权重=青铜,白银,黄金,钻石</t>
        </is>
      </c>
    </row>
    <row r="101">
      <c r="A101" t="inlineStr">
        <is>
          <t>wave_d09_morning</t>
        </is>
      </c>
      <c r="B101" t="inlineStr">
        <is>
          <t>9</t>
        </is>
      </c>
      <c r="C101" t="inlineStr">
        <is>
          <t>上午</t>
        </is>
      </c>
      <c r="D101" t="inlineStr">
        <is>
          <t>1</t>
        </is>
      </c>
      <c r="E101" t="inlineStr">
        <is>
          <t>1,2,3,4,5</t>
        </is>
      </c>
      <c r="F101" t="inlineStr">
        <is>
          <t>2</t>
        </is>
      </c>
      <c r="G101" t="inlineStr">
        <is>
          <t>90,10,0,0</t>
        </is>
      </c>
      <c r="H101" t="inlineStr">
        <is>
          <t>124.3</t>
        </is>
      </c>
      <c r="I101" t="inlineStr">
        <is>
          <t>池-数量；品质权重=青铜,白银,黄金,钻石</t>
        </is>
      </c>
    </row>
    <row r="102">
      <c r="A102" t="inlineStr">
        <is>
          <t>wave_d09_morning</t>
        </is>
      </c>
      <c r="B102" t="inlineStr">
        <is>
          <t>9</t>
        </is>
      </c>
      <c r="C102" t="inlineStr">
        <is>
          <t>上午</t>
        </is>
      </c>
      <c r="D102" t="inlineStr">
        <is>
          <t>2</t>
        </is>
      </c>
      <c r="E102" t="inlineStr">
        <is>
          <t>1,2,3,4,5</t>
        </is>
      </c>
      <c r="F102" t="inlineStr">
        <is>
          <t>3</t>
        </is>
      </c>
      <c r="G102" t="inlineStr">
        <is>
          <t>90,10,0,1</t>
        </is>
      </c>
      <c r="H102" t="inlineStr">
        <is>
          <t>189</t>
        </is>
      </c>
      <c r="I102" t="inlineStr">
        <is>
          <t>池-数量；品质权重=青铜,白银,黄金,钻石</t>
        </is>
      </c>
    </row>
    <row r="103">
      <c r="A103" t="inlineStr">
        <is>
          <t>wave_d09_morning</t>
        </is>
      </c>
      <c r="B103" t="inlineStr">
        <is>
          <t>9</t>
        </is>
      </c>
      <c r="C103" t="inlineStr">
        <is>
          <t>上午</t>
        </is>
      </c>
      <c r="D103" t="inlineStr">
        <is>
          <t>2</t>
        </is>
      </c>
      <c r="E103" t="inlineStr">
        <is>
          <t>1,2,3,4,5</t>
        </is>
      </c>
      <c r="F103" t="inlineStr">
        <is>
          <t>3</t>
        </is>
      </c>
      <c r="G103" t="inlineStr">
        <is>
          <t>90,10,0,1</t>
        </is>
      </c>
      <c r="H103" t="inlineStr">
        <is>
          <t>189</t>
        </is>
      </c>
      <c r="I103" t="inlineStr">
        <is>
          <t>池-数量；品质权重=青铜,白银,黄金,钻石</t>
        </is>
      </c>
    </row>
    <row r="104">
      <c r="A104" t="inlineStr">
        <is>
          <t>wave_d09_morning</t>
        </is>
      </c>
      <c r="B104" t="inlineStr">
        <is>
          <t>9</t>
        </is>
      </c>
      <c r="C104" t="inlineStr">
        <is>
          <t>上午</t>
        </is>
      </c>
      <c r="D104" t="inlineStr">
        <is>
          <t>3</t>
        </is>
      </c>
      <c r="E104" t="inlineStr">
        <is>
          <t>1,2,3,4,5</t>
        </is>
      </c>
      <c r="F104" t="inlineStr">
        <is>
          <t>4</t>
        </is>
      </c>
      <c r="G104" t="inlineStr">
        <is>
          <t>90,10,0,2</t>
        </is>
      </c>
      <c r="H104" t="inlineStr">
        <is>
          <t>255.4</t>
        </is>
      </c>
      <c r="I104" t="inlineStr">
        <is>
          <t>池-数量；品质权重=青铜,白银,黄金,钻石</t>
        </is>
      </c>
    </row>
    <row r="105">
      <c r="A105" t="inlineStr">
        <is>
          <t>wave_d09_morning</t>
        </is>
      </c>
      <c r="B105" t="inlineStr">
        <is>
          <t>9</t>
        </is>
      </c>
      <c r="C105" t="inlineStr">
        <is>
          <t>上午</t>
        </is>
      </c>
      <c r="D105" t="inlineStr">
        <is>
          <t>3</t>
        </is>
      </c>
      <c r="E105" t="inlineStr">
        <is>
          <t>1,2,3,4,5</t>
        </is>
      </c>
      <c r="F105" t="inlineStr">
        <is>
          <t>4</t>
        </is>
      </c>
      <c r="G105" t="inlineStr">
        <is>
          <t>90,10,0,2</t>
        </is>
      </c>
      <c r="H105" t="inlineStr">
        <is>
          <t>255.4</t>
        </is>
      </c>
      <c r="I105" t="inlineStr">
        <is>
          <t>池-数量；品质权重=青铜,白银,黄金,钻石</t>
        </is>
      </c>
    </row>
    <row r="106">
      <c r="A106" t="inlineStr">
        <is>
          <t>wave_d09_morning</t>
        </is>
      </c>
      <c r="B106" t="inlineStr">
        <is>
          <t>9</t>
        </is>
      </c>
      <c r="C106" t="inlineStr">
        <is>
          <t>上午</t>
        </is>
      </c>
      <c r="D106" t="inlineStr">
        <is>
          <t>4</t>
        </is>
      </c>
      <c r="E106" t="inlineStr">
        <is>
          <t>1,2,3,4,5</t>
        </is>
      </c>
      <c r="F106" t="inlineStr">
        <is>
          <t>5</t>
        </is>
      </c>
      <c r="G106" t="inlineStr">
        <is>
          <t>90,10,0,3</t>
        </is>
      </c>
      <c r="H106" t="inlineStr">
        <is>
          <t>323.3</t>
        </is>
      </c>
      <c r="I106" t="inlineStr">
        <is>
          <t>池-数量；品质权重=青铜,白银,黄金,钻石</t>
        </is>
      </c>
    </row>
    <row r="107">
      <c r="A107" t="inlineStr">
        <is>
          <t>wave_d09_morning</t>
        </is>
      </c>
      <c r="B107" t="inlineStr">
        <is>
          <t>9</t>
        </is>
      </c>
      <c r="C107" t="inlineStr">
        <is>
          <t>上午</t>
        </is>
      </c>
      <c r="D107" t="inlineStr">
        <is>
          <t>4</t>
        </is>
      </c>
      <c r="E107" t="inlineStr">
        <is>
          <t>1,2,3,4,5</t>
        </is>
      </c>
      <c r="F107" t="inlineStr">
        <is>
          <t>5</t>
        </is>
      </c>
      <c r="G107" t="inlineStr">
        <is>
          <t>90,10,0,3</t>
        </is>
      </c>
      <c r="H107" t="inlineStr">
        <is>
          <t>323.3</t>
        </is>
      </c>
      <c r="I107" t="inlineStr">
        <is>
          <t>池-数量；品质权重=青铜,白银,黄金,钻石</t>
        </is>
      </c>
    </row>
    <row r="108">
      <c r="A108" t="inlineStr">
        <is>
          <t>wave_d09_morning</t>
        </is>
      </c>
      <c r="B108" t="inlineStr">
        <is>
          <t>9</t>
        </is>
      </c>
      <c r="C108" t="inlineStr">
        <is>
          <t>上午</t>
        </is>
      </c>
      <c r="D108" t="inlineStr">
        <is>
          <t>5</t>
        </is>
      </c>
      <c r="E108" t="inlineStr">
        <is>
          <t>1,2,3,4,5</t>
        </is>
      </c>
      <c r="F108" t="inlineStr">
        <is>
          <t>6</t>
        </is>
      </c>
      <c r="G108" t="inlineStr">
        <is>
          <t>90,10,0,4</t>
        </is>
      </c>
      <c r="H108" t="inlineStr">
        <is>
          <t>392.8</t>
        </is>
      </c>
      <c r="I108" t="inlineStr">
        <is>
          <t>池-数量；品质权重=青铜,白银,黄金,钻石</t>
        </is>
      </c>
    </row>
    <row r="109">
      <c r="A109" t="inlineStr">
        <is>
          <t>wave_d09_afternoon</t>
        </is>
      </c>
      <c r="B109" t="inlineStr">
        <is>
          <t>9</t>
        </is>
      </c>
      <c r="C109" t="inlineStr">
        <is>
          <t>下午</t>
        </is>
      </c>
      <c r="D109" t="inlineStr">
        <is>
          <t>1</t>
        </is>
      </c>
      <c r="E109" t="inlineStr">
        <is>
          <t>1,2,3,4,5</t>
        </is>
      </c>
      <c r="F109" t="inlineStr">
        <is>
          <t>2</t>
        </is>
      </c>
      <c r="G109" t="inlineStr">
        <is>
          <t>90,10,0,0</t>
        </is>
      </c>
      <c r="H109" t="inlineStr">
        <is>
          <t>124.3</t>
        </is>
      </c>
      <c r="I109" t="inlineStr">
        <is>
          <t>池-数量；品质权重=青铜,白银,黄金,钻石</t>
        </is>
      </c>
    </row>
    <row r="110">
      <c r="A110" t="inlineStr">
        <is>
          <t>wave_d09_afternoon</t>
        </is>
      </c>
      <c r="B110" t="inlineStr">
        <is>
          <t>9</t>
        </is>
      </c>
      <c r="C110" t="inlineStr">
        <is>
          <t>下午</t>
        </is>
      </c>
      <c r="D110" t="inlineStr">
        <is>
          <t>2</t>
        </is>
      </c>
      <c r="E110" t="inlineStr">
        <is>
          <t>1,2,3,4,5</t>
        </is>
      </c>
      <c r="F110" t="inlineStr">
        <is>
          <t>3</t>
        </is>
      </c>
      <c r="G110" t="inlineStr">
        <is>
          <t>90,10,0,1</t>
        </is>
      </c>
      <c r="H110" t="inlineStr">
        <is>
          <t>189</t>
        </is>
      </c>
      <c r="I110" t="inlineStr">
        <is>
          <t>池-数量；品质权重=青铜,白银,黄金,钻石</t>
        </is>
      </c>
    </row>
    <row r="111">
      <c r="A111" t="inlineStr">
        <is>
          <t>wave_d09_afternoon</t>
        </is>
      </c>
      <c r="B111" t="inlineStr">
        <is>
          <t>9</t>
        </is>
      </c>
      <c r="C111" t="inlineStr">
        <is>
          <t>下午</t>
        </is>
      </c>
      <c r="D111" t="inlineStr">
        <is>
          <t>2</t>
        </is>
      </c>
      <c r="E111" t="inlineStr">
        <is>
          <t>1,2,3,4,5</t>
        </is>
      </c>
      <c r="F111" t="inlineStr">
        <is>
          <t>3</t>
        </is>
      </c>
      <c r="G111" t="inlineStr">
        <is>
          <t>90,10,0,1</t>
        </is>
      </c>
      <c r="H111" t="inlineStr">
        <is>
          <t>189</t>
        </is>
      </c>
      <c r="I111" t="inlineStr">
        <is>
          <t>池-数量；品质权重=青铜,白银,黄金,钻石</t>
        </is>
      </c>
    </row>
    <row r="112">
      <c r="A112" t="inlineStr">
        <is>
          <t>wave_d09_afternoon</t>
        </is>
      </c>
      <c r="B112" t="inlineStr">
        <is>
          <t>9</t>
        </is>
      </c>
      <c r="C112" t="inlineStr">
        <is>
          <t>下午</t>
        </is>
      </c>
      <c r="D112" t="inlineStr">
        <is>
          <t>3</t>
        </is>
      </c>
      <c r="E112" t="inlineStr">
        <is>
          <t>1,2,3,4,5</t>
        </is>
      </c>
      <c r="F112" t="inlineStr">
        <is>
          <t>4</t>
        </is>
      </c>
      <c r="G112" t="inlineStr">
        <is>
          <t>90,10,0,2</t>
        </is>
      </c>
      <c r="H112" t="inlineStr">
        <is>
          <t>255.4</t>
        </is>
      </c>
      <c r="I112" t="inlineStr">
        <is>
          <t>池-数量；品质权重=青铜,白银,黄金,钻石</t>
        </is>
      </c>
    </row>
    <row r="113">
      <c r="A113" t="inlineStr">
        <is>
          <t>wave_d09_afternoon</t>
        </is>
      </c>
      <c r="B113" t="inlineStr">
        <is>
          <t>9</t>
        </is>
      </c>
      <c r="C113" t="inlineStr">
        <is>
          <t>下午</t>
        </is>
      </c>
      <c r="D113" t="inlineStr">
        <is>
          <t>4</t>
        </is>
      </c>
      <c r="E113" t="inlineStr">
        <is>
          <t>1,2,3,4,5</t>
        </is>
      </c>
      <c r="F113" t="inlineStr">
        <is>
          <t>5</t>
        </is>
      </c>
      <c r="G113" t="inlineStr">
        <is>
          <t>90,10,0,3</t>
        </is>
      </c>
      <c r="H113" t="inlineStr">
        <is>
          <t>323.3</t>
        </is>
      </c>
      <c r="I113" t="inlineStr">
        <is>
          <t>池-数量；品质权重=青铜,白银,黄金,钻石</t>
        </is>
      </c>
    </row>
    <row r="114">
      <c r="A114" t="inlineStr">
        <is>
          <t>wave_d09_afternoon</t>
        </is>
      </c>
      <c r="B114" t="inlineStr">
        <is>
          <t>9</t>
        </is>
      </c>
      <c r="C114" t="inlineStr">
        <is>
          <t>下午</t>
        </is>
      </c>
      <c r="D114" t="inlineStr">
        <is>
          <t>4</t>
        </is>
      </c>
      <c r="E114" t="inlineStr">
        <is>
          <t>1,2,3,4,5</t>
        </is>
      </c>
      <c r="F114" t="inlineStr">
        <is>
          <t>5</t>
        </is>
      </c>
      <c r="G114" t="inlineStr">
        <is>
          <t>90,10,0,3</t>
        </is>
      </c>
      <c r="H114" t="inlineStr">
        <is>
          <t>323.3</t>
        </is>
      </c>
      <c r="I114" t="inlineStr">
        <is>
          <t>池-数量；品质权重=青铜,白银,黄金,钻石</t>
        </is>
      </c>
    </row>
    <row r="115">
      <c r="A115" t="inlineStr">
        <is>
          <t>wave_d09_afternoon</t>
        </is>
      </c>
      <c r="B115" t="inlineStr">
        <is>
          <t>9</t>
        </is>
      </c>
      <c r="C115" t="inlineStr">
        <is>
          <t>下午</t>
        </is>
      </c>
      <c r="D115" t="inlineStr">
        <is>
          <t>5</t>
        </is>
      </c>
      <c r="E115" t="inlineStr">
        <is>
          <t>1,2,3,4,5</t>
        </is>
      </c>
      <c r="F115" t="inlineStr">
        <is>
          <t>6</t>
        </is>
      </c>
      <c r="G115" t="inlineStr">
        <is>
          <t>90,10,0,4</t>
        </is>
      </c>
      <c r="H115" t="inlineStr">
        <is>
          <t>392.8</t>
        </is>
      </c>
      <c r="I115" t="inlineStr">
        <is>
          <t>池-数量；品质权重=青铜,白银,黄金,钻石</t>
        </is>
      </c>
    </row>
    <row r="116">
      <c r="A116" t="inlineStr">
        <is>
          <t>wave_d09_afternoon</t>
        </is>
      </c>
      <c r="B116" t="inlineStr">
        <is>
          <t>9</t>
        </is>
      </c>
      <c r="C116" t="inlineStr">
        <is>
          <t>下午</t>
        </is>
      </c>
      <c r="D116" t="inlineStr">
        <is>
          <t>5</t>
        </is>
      </c>
      <c r="E116" t="inlineStr">
        <is>
          <t>1,2,3,4,5</t>
        </is>
      </c>
      <c r="F116" t="inlineStr">
        <is>
          <t>6</t>
        </is>
      </c>
      <c r="G116" t="inlineStr">
        <is>
          <t>90,10,0,4</t>
        </is>
      </c>
      <c r="H116" t="inlineStr">
        <is>
          <t>392.8</t>
        </is>
      </c>
      <c r="I116" t="inlineStr">
        <is>
          <t>池-数量；品质权重=青铜,白银,黄金,钻石</t>
        </is>
      </c>
    </row>
    <row r="117">
      <c r="A117" t="inlineStr">
        <is>
          <t>wave_d10_morning</t>
        </is>
      </c>
      <c r="B117" t="inlineStr">
        <is>
          <t>10</t>
        </is>
      </c>
      <c r="C117" t="inlineStr">
        <is>
          <t>上午</t>
        </is>
      </c>
      <c r="D117" t="inlineStr">
        <is>
          <t>1</t>
        </is>
      </c>
      <c r="E117" t="inlineStr">
        <is>
          <t>1,2,3,4,5</t>
        </is>
      </c>
      <c r="F117" t="inlineStr">
        <is>
          <t>2</t>
        </is>
      </c>
      <c r="G117" t="inlineStr">
        <is>
          <t>90,10,0,0</t>
        </is>
      </c>
      <c r="H117" t="inlineStr">
        <is>
          <t>124.3</t>
        </is>
      </c>
      <c r="I117" t="inlineStr">
        <is>
          <t>池-数量；品质权重=青铜,白银,黄金,钻石</t>
        </is>
      </c>
    </row>
    <row r="118">
      <c r="A118" t="inlineStr">
        <is>
          <t>wave_d10_morning</t>
        </is>
      </c>
      <c r="B118" t="inlineStr">
        <is>
          <t>10</t>
        </is>
      </c>
      <c r="C118" t="inlineStr">
        <is>
          <t>上午</t>
        </is>
      </c>
      <c r="D118" t="inlineStr">
        <is>
          <t>2</t>
        </is>
      </c>
      <c r="E118" t="inlineStr">
        <is>
          <t>1,2,3,4,5</t>
        </is>
      </c>
      <c r="F118" t="inlineStr">
        <is>
          <t>3</t>
        </is>
      </c>
      <c r="G118" t="inlineStr">
        <is>
          <t>90,10,0,1</t>
        </is>
      </c>
      <c r="H118" t="inlineStr">
        <is>
          <t>189</t>
        </is>
      </c>
      <c r="I118" t="inlineStr">
        <is>
          <t>池-数量；品质权重=青铜,白银,黄金,钻石</t>
        </is>
      </c>
    </row>
    <row r="119">
      <c r="A119" t="inlineStr">
        <is>
          <t>wave_d10_morning</t>
        </is>
      </c>
      <c r="B119" t="inlineStr">
        <is>
          <t>10</t>
        </is>
      </c>
      <c r="C119" t="inlineStr">
        <is>
          <t>上午</t>
        </is>
      </c>
      <c r="D119" t="inlineStr">
        <is>
          <t>2</t>
        </is>
      </c>
      <c r="E119" t="inlineStr">
        <is>
          <t>1,2,3,4,5</t>
        </is>
      </c>
      <c r="F119" t="inlineStr">
        <is>
          <t>3</t>
        </is>
      </c>
      <c r="G119" t="inlineStr">
        <is>
          <t>90,10,0,1</t>
        </is>
      </c>
      <c r="H119" t="inlineStr">
        <is>
          <t>189</t>
        </is>
      </c>
      <c r="I119" t="inlineStr">
        <is>
          <t>池-数量；品质权重=青铜,白银,黄金,钻石</t>
        </is>
      </c>
    </row>
    <row r="120">
      <c r="A120" t="inlineStr">
        <is>
          <t>wave_d10_morning</t>
        </is>
      </c>
      <c r="B120" t="inlineStr">
        <is>
          <t>10</t>
        </is>
      </c>
      <c r="C120" t="inlineStr">
        <is>
          <t>上午</t>
        </is>
      </c>
      <c r="D120" t="inlineStr">
        <is>
          <t>3</t>
        </is>
      </c>
      <c r="E120" t="inlineStr">
        <is>
          <t>1,2,3,4,5</t>
        </is>
      </c>
      <c r="F120" t="inlineStr">
        <is>
          <t>4</t>
        </is>
      </c>
      <c r="G120" t="inlineStr">
        <is>
          <t>90,10,0,2</t>
        </is>
      </c>
      <c r="H120" t="inlineStr">
        <is>
          <t>255.4</t>
        </is>
      </c>
      <c r="I120" t="inlineStr">
        <is>
          <t>池-数量；品质权重=青铜,白银,黄金,钻石</t>
        </is>
      </c>
    </row>
    <row r="121">
      <c r="A121" t="inlineStr">
        <is>
          <t>wave_d10_morning</t>
        </is>
      </c>
      <c r="B121" t="inlineStr">
        <is>
          <t>10</t>
        </is>
      </c>
      <c r="C121" t="inlineStr">
        <is>
          <t>上午</t>
        </is>
      </c>
      <c r="D121" t="inlineStr">
        <is>
          <t>3</t>
        </is>
      </c>
      <c r="E121" t="inlineStr">
        <is>
          <t>1,2,3,4,5</t>
        </is>
      </c>
      <c r="F121" t="inlineStr">
        <is>
          <t>4</t>
        </is>
      </c>
      <c r="G121" t="inlineStr">
        <is>
          <t>90,10,0,2</t>
        </is>
      </c>
      <c r="H121" t="inlineStr">
        <is>
          <t>255.4</t>
        </is>
      </c>
      <c r="I121" t="inlineStr">
        <is>
          <t>池-数量；品质权重=青铜,白银,黄金,钻石</t>
        </is>
      </c>
    </row>
    <row r="122">
      <c r="A122" t="inlineStr">
        <is>
          <t>wave_d10_morning</t>
        </is>
      </c>
      <c r="B122" t="inlineStr">
        <is>
          <t>10</t>
        </is>
      </c>
      <c r="C122" t="inlineStr">
        <is>
          <t>上午</t>
        </is>
      </c>
      <c r="D122" t="inlineStr">
        <is>
          <t>4</t>
        </is>
      </c>
      <c r="E122" t="inlineStr">
        <is>
          <t>1,2,3,4,5</t>
        </is>
      </c>
      <c r="F122" t="inlineStr">
        <is>
          <t>5</t>
        </is>
      </c>
      <c r="G122" t="inlineStr">
        <is>
          <t>90,10,0,3</t>
        </is>
      </c>
      <c r="H122" t="inlineStr">
        <is>
          <t>323.3</t>
        </is>
      </c>
      <c r="I122" t="inlineStr">
        <is>
          <t>池-数量；品质权重=青铜,白银,黄金,钻石</t>
        </is>
      </c>
    </row>
    <row r="123">
      <c r="A123" t="inlineStr">
        <is>
          <t>wave_d10_morning</t>
        </is>
      </c>
      <c r="B123" t="inlineStr">
        <is>
          <t>10</t>
        </is>
      </c>
      <c r="C123" t="inlineStr">
        <is>
          <t>上午</t>
        </is>
      </c>
      <c r="D123" t="inlineStr">
        <is>
          <t>4</t>
        </is>
      </c>
      <c r="E123" t="inlineStr">
        <is>
          <t>1,2,3,4,5</t>
        </is>
      </c>
      <c r="F123" t="inlineStr">
        <is>
          <t>5</t>
        </is>
      </c>
      <c r="G123" t="inlineStr">
        <is>
          <t>90,10,0,3</t>
        </is>
      </c>
      <c r="H123" t="inlineStr">
        <is>
          <t>323.3</t>
        </is>
      </c>
      <c r="I123" t="inlineStr">
        <is>
          <t>池-数量；品质权重=青铜,白银,黄金,钻石</t>
        </is>
      </c>
    </row>
    <row r="124">
      <c r="A124" t="inlineStr">
        <is>
          <t>wave_d10_morning</t>
        </is>
      </c>
      <c r="B124" t="inlineStr">
        <is>
          <t>10</t>
        </is>
      </c>
      <c r="C124" t="inlineStr">
        <is>
          <t>上午</t>
        </is>
      </c>
      <c r="D124" t="inlineStr">
        <is>
          <t>5</t>
        </is>
      </c>
      <c r="E124" t="inlineStr">
        <is>
          <t>1,2,3,4,5</t>
        </is>
      </c>
      <c r="F124" t="inlineStr">
        <is>
          <t>6</t>
        </is>
      </c>
      <c r="G124" t="inlineStr">
        <is>
          <t>90,10,0,4</t>
        </is>
      </c>
      <c r="H124" t="inlineStr">
        <is>
          <t>392.8</t>
        </is>
      </c>
      <c r="I124" t="inlineStr">
        <is>
          <t>池-数量；品质权重=青铜,白银,黄金,钻石</t>
        </is>
      </c>
    </row>
    <row r="125">
      <c r="A125" t="inlineStr">
        <is>
          <t>wave_d10_morning</t>
        </is>
      </c>
      <c r="B125" t="inlineStr">
        <is>
          <t>10</t>
        </is>
      </c>
      <c r="C125" t="inlineStr">
        <is>
          <t>上午</t>
        </is>
      </c>
      <c r="D125" t="inlineStr">
        <is>
          <t>5</t>
        </is>
      </c>
      <c r="E125" t="inlineStr">
        <is>
          <t>1,2,3,4,5</t>
        </is>
      </c>
      <c r="F125" t="inlineStr">
        <is>
          <t>6</t>
        </is>
      </c>
      <c r="G125" t="inlineStr">
        <is>
          <t>90,10,0,4</t>
        </is>
      </c>
      <c r="H125" t="inlineStr">
        <is>
          <t>392.8</t>
        </is>
      </c>
      <c r="I125" t="inlineStr">
        <is>
          <t>池-数量；品质权重=青铜,白银,黄金,钻石</t>
        </is>
      </c>
    </row>
    <row r="126">
      <c r="A126" t="inlineStr">
        <is>
          <t>wave_d10_afternoon</t>
        </is>
      </c>
      <c r="B126" t="inlineStr">
        <is>
          <t>10</t>
        </is>
      </c>
      <c r="C126" t="inlineStr">
        <is>
          <t>下午</t>
        </is>
      </c>
      <c r="D126" t="inlineStr">
        <is>
          <t>1</t>
        </is>
      </c>
      <c r="E126" t="inlineStr">
        <is>
          <t>1,2,3,4,5</t>
        </is>
      </c>
      <c r="F126" t="inlineStr">
        <is>
          <t>2</t>
        </is>
      </c>
      <c r="G126" t="inlineStr">
        <is>
          <t>90,10,0,0</t>
        </is>
      </c>
      <c r="H126" t="inlineStr">
        <is>
          <t>124.3</t>
        </is>
      </c>
      <c r="I126" t="inlineStr">
        <is>
          <t>池-数量；品质权重=青铜,白银,黄金,钻石</t>
        </is>
      </c>
    </row>
    <row r="127">
      <c r="A127" t="inlineStr">
        <is>
          <t>wave_d10_afternoon</t>
        </is>
      </c>
      <c r="B127" t="inlineStr">
        <is>
          <t>10</t>
        </is>
      </c>
      <c r="C127" t="inlineStr">
        <is>
          <t>下午</t>
        </is>
      </c>
      <c r="D127" t="inlineStr">
        <is>
          <t>2</t>
        </is>
      </c>
      <c r="E127" t="inlineStr">
        <is>
          <t>1,2,3,4,5</t>
        </is>
      </c>
      <c r="F127" t="inlineStr">
        <is>
          <t>3</t>
        </is>
      </c>
      <c r="G127" t="inlineStr">
        <is>
          <t>90,10,0,1</t>
        </is>
      </c>
      <c r="H127" t="inlineStr">
        <is>
          <t>189</t>
        </is>
      </c>
      <c r="I127" t="inlineStr">
        <is>
          <t>池-数量；品质权重=青铜,白银,黄金,钻石</t>
        </is>
      </c>
    </row>
    <row r="128">
      <c r="A128" t="inlineStr">
        <is>
          <t>wave_d10_afternoon</t>
        </is>
      </c>
      <c r="B128" t="inlineStr">
        <is>
          <t>10</t>
        </is>
      </c>
      <c r="C128" t="inlineStr">
        <is>
          <t>下午</t>
        </is>
      </c>
      <c r="D128" t="inlineStr">
        <is>
          <t>2</t>
        </is>
      </c>
      <c r="E128" t="inlineStr">
        <is>
          <t>1,2,3,4,5</t>
        </is>
      </c>
      <c r="F128" t="inlineStr">
        <is>
          <t>3</t>
        </is>
      </c>
      <c r="G128" t="inlineStr">
        <is>
          <t>90,10,0,1</t>
        </is>
      </c>
      <c r="H128" t="inlineStr">
        <is>
          <t>189</t>
        </is>
      </c>
      <c r="I128" t="inlineStr">
        <is>
          <t>池-数量；品质权重=青铜,白银,黄金,钻石</t>
        </is>
      </c>
    </row>
    <row r="129">
      <c r="A129" t="inlineStr">
        <is>
          <t>wave_d10_afternoon</t>
        </is>
      </c>
      <c r="B129" t="inlineStr">
        <is>
          <t>10</t>
        </is>
      </c>
      <c r="C129" t="inlineStr">
        <is>
          <t>下午</t>
        </is>
      </c>
      <c r="D129" t="inlineStr">
        <is>
          <t>2</t>
        </is>
      </c>
      <c r="E129" t="inlineStr">
        <is>
          <t>1,2,3,4,5</t>
        </is>
      </c>
      <c r="F129" t="inlineStr">
        <is>
          <t>3</t>
        </is>
      </c>
      <c r="G129" t="inlineStr">
        <is>
          <t>90,10,0,1</t>
        </is>
      </c>
      <c r="H129" t="inlineStr">
        <is>
          <t>189</t>
        </is>
      </c>
      <c r="I129" t="inlineStr">
        <is>
          <t>池-数量；品质权重=青铜,白银,黄金,钻石</t>
        </is>
      </c>
    </row>
    <row r="130">
      <c r="A130" t="inlineStr">
        <is>
          <t>wave_d10_afternoon</t>
        </is>
      </c>
      <c r="B130" t="inlineStr">
        <is>
          <t>10</t>
        </is>
      </c>
      <c r="C130" t="inlineStr">
        <is>
          <t>下午</t>
        </is>
      </c>
      <c r="D130" t="inlineStr">
        <is>
          <t>3</t>
        </is>
      </c>
      <c r="E130" t="inlineStr">
        <is>
          <t>1,2,3,4,5</t>
        </is>
      </c>
      <c r="F130" t="inlineStr">
        <is>
          <t>4</t>
        </is>
      </c>
      <c r="G130" t="inlineStr">
        <is>
          <t>90,10,0,2</t>
        </is>
      </c>
      <c r="H130" t="inlineStr">
        <is>
          <t>255.4</t>
        </is>
      </c>
      <c r="I130" t="inlineStr">
        <is>
          <t>池-数量；品质权重=青铜,白银,黄金,钻石</t>
        </is>
      </c>
    </row>
    <row r="131">
      <c r="A131" t="inlineStr">
        <is>
          <t>wave_d10_afternoon</t>
        </is>
      </c>
      <c r="B131" t="inlineStr">
        <is>
          <t>10</t>
        </is>
      </c>
      <c r="C131" t="inlineStr">
        <is>
          <t>下午</t>
        </is>
      </c>
      <c r="D131" t="inlineStr">
        <is>
          <t>3</t>
        </is>
      </c>
      <c r="E131" t="inlineStr">
        <is>
          <t>1,2,3,4,5</t>
        </is>
      </c>
      <c r="F131" t="inlineStr">
        <is>
          <t>4</t>
        </is>
      </c>
      <c r="G131" t="inlineStr">
        <is>
          <t>90,10,0,2</t>
        </is>
      </c>
      <c r="H131" t="inlineStr">
        <is>
          <t>255.4</t>
        </is>
      </c>
      <c r="I131" t="inlineStr">
        <is>
          <t>池-数量；品质权重=青铜,白银,黄金,钻石</t>
        </is>
      </c>
    </row>
    <row r="132">
      <c r="A132" t="inlineStr">
        <is>
          <t>wave_d10_afternoon</t>
        </is>
      </c>
      <c r="B132" t="inlineStr">
        <is>
          <t>10</t>
        </is>
      </c>
      <c r="C132" t="inlineStr">
        <is>
          <t>下午</t>
        </is>
      </c>
      <c r="D132" t="inlineStr">
        <is>
          <t>4</t>
        </is>
      </c>
      <c r="E132" t="inlineStr">
        <is>
          <t>1,2,3,4,5</t>
        </is>
      </c>
      <c r="F132" t="inlineStr">
        <is>
          <t>5</t>
        </is>
      </c>
      <c r="G132" t="inlineStr">
        <is>
          <t>90,10,0,3</t>
        </is>
      </c>
      <c r="H132" t="inlineStr">
        <is>
          <t>323.3</t>
        </is>
      </c>
      <c r="I132" t="inlineStr">
        <is>
          <t>池-数量；品质权重=青铜,白银,黄金,钻石</t>
        </is>
      </c>
    </row>
    <row r="133">
      <c r="A133" t="inlineStr">
        <is>
          <t>wave_d10_afternoon</t>
        </is>
      </c>
      <c r="B133" t="inlineStr">
        <is>
          <t>10</t>
        </is>
      </c>
      <c r="C133" t="inlineStr">
        <is>
          <t>下午</t>
        </is>
      </c>
      <c r="D133" t="inlineStr">
        <is>
          <t>4</t>
        </is>
      </c>
      <c r="E133" t="inlineStr">
        <is>
          <t>1,2,3,4,5</t>
        </is>
      </c>
      <c r="F133" t="inlineStr">
        <is>
          <t>5</t>
        </is>
      </c>
      <c r="G133" t="inlineStr">
        <is>
          <t>90,10,0,3</t>
        </is>
      </c>
      <c r="H133" t="inlineStr">
        <is>
          <t>323.3</t>
        </is>
      </c>
      <c r="I133" t="inlineStr">
        <is>
          <t>池-数量；品质权重=青铜,白银,黄金,钻石</t>
        </is>
      </c>
    </row>
    <row r="134">
      <c r="A134" t="inlineStr">
        <is>
          <t>wave_d10_afternoon</t>
        </is>
      </c>
      <c r="B134" t="inlineStr">
        <is>
          <t>10</t>
        </is>
      </c>
      <c r="C134" t="inlineStr">
        <is>
          <t>下午</t>
        </is>
      </c>
      <c r="D134" t="inlineStr">
        <is>
          <t>5</t>
        </is>
      </c>
      <c r="E134" t="inlineStr">
        <is>
          <t>1,2,3,4,5</t>
        </is>
      </c>
      <c r="F134" t="inlineStr">
        <is>
          <t>6</t>
        </is>
      </c>
      <c r="G134" t="inlineStr">
        <is>
          <t>90,10,0,4</t>
        </is>
      </c>
      <c r="H134" t="inlineStr">
        <is>
          <t>392.8</t>
        </is>
      </c>
      <c r="I134" t="inlineStr">
        <is>
          <t>池-数量；品质权重=青铜,白银,黄金,钻石</t>
        </is>
      </c>
    </row>
    <row r="135">
      <c r="A135" t="inlineStr">
        <is>
          <t>wave_d10_afternoon</t>
        </is>
      </c>
      <c r="B135" t="inlineStr">
        <is>
          <t>10</t>
        </is>
      </c>
      <c r="C135" t="inlineStr">
        <is>
          <t>下午</t>
        </is>
      </c>
      <c r="D135" t="inlineStr">
        <is>
          <t>5</t>
        </is>
      </c>
      <c r="E135" t="inlineStr">
        <is>
          <t>1,2,3,4,5</t>
        </is>
      </c>
      <c r="F135" t="inlineStr">
        <is>
          <t>6</t>
        </is>
      </c>
      <c r="G135" t="inlineStr">
        <is>
          <t>90,10,0,4</t>
        </is>
      </c>
      <c r="H135" t="inlineStr">
        <is>
          <t>392.8</t>
        </is>
      </c>
      <c r="I135" t="inlineStr">
        <is>
          <t>池-数量；品质权重=青铜,白银,黄金,钻石</t>
        </is>
      </c>
    </row>
    <row r="136">
      <c r="A136" t="inlineStr">
        <is>
          <t>wave_d01_enc_scout</t>
        </is>
      </c>
      <c r="B136" t="n">
        <v>1</v>
      </c>
      <c r="C136" t="inlineStr">
        <is>
          <t>上午</t>
        </is>
      </c>
      <c r="D136" t="n">
        <v>1</v>
      </c>
      <c r="E136" t="inlineStr">
        <is>
          <t>1,2,3</t>
        </is>
      </c>
      <c r="F136" t="n">
        <v>3</v>
      </c>
      <c r="G136" t="inlineStr">
        <is>
          <t>100,0,0,0</t>
        </is>
      </c>
      <c r="H136" t="n">
        <v>173</v>
      </c>
      <c r="I136" t="inlineStr">
        <is>
          <t>低风险：3只青铜基础敌人</t>
        </is>
      </c>
    </row>
    <row r="137">
      <c r="A137" t="inlineStr">
        <is>
          <t>wave_d01_enc_assault</t>
        </is>
      </c>
      <c r="B137" t="n">
        <v>1</v>
      </c>
      <c r="C137" t="inlineStr">
        <is>
          <t>上午</t>
        </is>
      </c>
      <c r="D137" t="n">
        <v>1</v>
      </c>
      <c r="E137" t="inlineStr">
        <is>
          <t>5,7,9,12</t>
        </is>
      </c>
      <c r="F137" t="n">
        <v>4</v>
      </c>
      <c r="G137" t="inlineStr">
        <is>
          <t>100,0,0,0</t>
        </is>
      </c>
      <c r="H137" t="n">
        <v>232</v>
      </c>
      <c r="I137" t="inlineStr">
        <is>
          <t>中风险：4只青铜进攻敌人</t>
        </is>
      </c>
    </row>
    <row r="138">
      <c r="A138" t="inlineStr">
        <is>
          <t>wave_d01_enc_guard</t>
        </is>
      </c>
      <c r="B138" t="n">
        <v>1</v>
      </c>
      <c r="C138" t="inlineStr">
        <is>
          <t>上午</t>
        </is>
      </c>
      <c r="D138" t="n">
        <v>1</v>
      </c>
      <c r="E138" t="inlineStr">
        <is>
          <t>6,13,15,17</t>
        </is>
      </c>
      <c r="F138" t="n">
        <v>4</v>
      </c>
      <c r="G138" t="inlineStr">
        <is>
          <t>0,100,0,0</t>
        </is>
      </c>
      <c r="H138" t="n">
        <v>378</v>
      </c>
      <c r="I138" t="inlineStr">
        <is>
          <t>高风险：4只白银防守敌人</t>
        </is>
      </c>
    </row>
    <row r="139">
      <c r="A139" t="inlineStr">
        <is>
          <t>wave_d03_enc_safe</t>
        </is>
      </c>
      <c r="B139" t="n">
        <v>3</v>
      </c>
      <c r="C139" t="inlineStr">
        <is>
          <t>上午</t>
        </is>
      </c>
      <c r="D139" t="n">
        <v>1</v>
      </c>
      <c r="E139" t="inlineStr">
        <is>
          <t>1,6,8,10</t>
        </is>
      </c>
      <c r="F139" t="n">
        <v>4</v>
      </c>
      <c r="G139" t="inlineStr">
        <is>
          <t>0,100,0,0</t>
        </is>
      </c>
      <c r="H139" t="n">
        <v>342</v>
      </c>
      <c r="I139" t="inlineStr">
        <is>
          <t>低风险：4只白银稳阵敌人</t>
        </is>
      </c>
    </row>
    <row r="140">
      <c r="A140" t="inlineStr">
        <is>
          <t>wave_d03_enc_assault</t>
        </is>
      </c>
      <c r="B140" t="n">
        <v>3</v>
      </c>
      <c r="C140" t="inlineStr">
        <is>
          <t>上午</t>
        </is>
      </c>
      <c r="D140" t="n">
        <v>1</v>
      </c>
      <c r="E140" t="inlineStr">
        <is>
          <t>5,7,9,12,14</t>
        </is>
      </c>
      <c r="F140" t="n">
        <v>5</v>
      </c>
      <c r="G140" t="inlineStr">
        <is>
          <t>0,100,0,0</t>
        </is>
      </c>
      <c r="H140" t="n">
        <v>462</v>
      </c>
      <c r="I140" t="inlineStr">
        <is>
          <t>中风险：5只白银雷火敌人</t>
        </is>
      </c>
    </row>
    <row r="141">
      <c r="A141" t="inlineStr">
        <is>
          <t>wave_d03_enc_breaker</t>
        </is>
      </c>
      <c r="B141" t="n">
        <v>3</v>
      </c>
      <c r="C141" t="inlineStr">
        <is>
          <t>上午</t>
        </is>
      </c>
      <c r="D141" t="n">
        <v>1</v>
      </c>
      <c r="E141" t="inlineStr">
        <is>
          <t>13,15,17,19,20</t>
        </is>
      </c>
      <c r="F141" t="n">
        <v>5</v>
      </c>
      <c r="G141" t="inlineStr">
        <is>
          <t>0,0,100,0</t>
        </is>
      </c>
      <c r="H141" t="n">
        <v>662</v>
      </c>
      <c r="I141" t="inlineStr">
        <is>
          <t>高风险：5只黄金破阵敌人</t>
        </is>
      </c>
    </row>
    <row r="142">
      <c r="A142" t="inlineStr">
        <is>
          <t>wave_d06_enc_anchor</t>
        </is>
      </c>
      <c r="B142" t="n">
        <v>6</v>
      </c>
      <c r="C142" t="inlineStr">
        <is>
          <t>上午</t>
        </is>
      </c>
      <c r="D142" t="n">
        <v>1</v>
      </c>
      <c r="E142" t="inlineStr">
        <is>
          <t>90,91,93,99,100</t>
        </is>
      </c>
      <c r="F142" t="n">
        <v>6</v>
      </c>
      <c r="G142" t="inlineStr">
        <is>
          <t>0,100,0,0</t>
        </is>
      </c>
      <c r="H142" t="n">
        <v>966.6</v>
      </c>
      <c r="I142" t="inlineStr">
        <is>
          <t>低风险：6只白银稳压敌人</t>
        </is>
      </c>
    </row>
    <row r="143">
      <c r="A143" t="inlineStr">
        <is>
          <t>wave_d06_enc_assault</t>
        </is>
      </c>
      <c r="B143" t="n">
        <v>6</v>
      </c>
      <c r="C143" t="inlineStr">
        <is>
          <t>上午</t>
        </is>
      </c>
      <c r="D143" t="n">
        <v>1</v>
      </c>
      <c r="E143" t="inlineStr">
        <is>
          <t>92,94,95,96,98,108</t>
        </is>
      </c>
      <c r="F143" t="n">
        <v>6</v>
      </c>
      <c r="G143" t="inlineStr">
        <is>
          <t>0,50,50,0</t>
        </is>
      </c>
      <c r="H143" t="n">
        <v>1120</v>
      </c>
      <c r="I143" t="inlineStr">
        <is>
          <t>中风险：6只白银/黄金突袭敌人</t>
        </is>
      </c>
    </row>
    <row r="144">
      <c r="A144" t="inlineStr">
        <is>
          <t>wave_d06_enc_elite</t>
        </is>
      </c>
      <c r="B144" t="n">
        <v>6</v>
      </c>
      <c r="C144" t="inlineStr">
        <is>
          <t>上午</t>
        </is>
      </c>
      <c r="D144" t="n">
        <v>1</v>
      </c>
      <c r="E144" t="inlineStr">
        <is>
          <t>29,46,61,97,101,107</t>
        </is>
      </c>
      <c r="F144" t="n">
        <v>6</v>
      </c>
      <c r="G144" t="inlineStr">
        <is>
          <t>0,0,100,0</t>
        </is>
      </c>
      <c r="H144" t="n">
        <v>1636</v>
      </c>
      <c r="I144" t="inlineStr">
        <is>
          <t>高风险：护甲减伤、三名反击与回合攻盾成长</t>
        </is>
      </c>
    </row>
    <row r="145">
      <c r="A145" t="inlineStr">
        <is>
          <t>wave_d09_enc_guard</t>
        </is>
      </c>
      <c r="B145" t="n">
        <v>9</v>
      </c>
      <c r="C145" t="inlineStr">
        <is>
          <t>上午</t>
        </is>
      </c>
      <c r="D145" t="n">
        <v>1</v>
      </c>
      <c r="E145" t="inlineStr">
        <is>
          <t>191,192,193,194,195</t>
        </is>
      </c>
      <c r="F145" t="n">
        <v>6</v>
      </c>
      <c r="G145" t="inlineStr">
        <is>
          <t>0,0,100,0</t>
        </is>
      </c>
      <c r="H145" t="n">
        <v>1562.4</v>
      </c>
      <c r="I145" t="inlineStr">
        <is>
          <t>低风险：6只黄金王侯敌人</t>
        </is>
      </c>
    </row>
    <row r="146">
      <c r="A146" t="inlineStr">
        <is>
          <t>wave_d09_enc_decisive</t>
        </is>
      </c>
      <c r="B146" t="n">
        <v>9</v>
      </c>
      <c r="C146" t="inlineStr">
        <is>
          <t>上午</t>
        </is>
      </c>
      <c r="D146" t="n">
        <v>1</v>
      </c>
      <c r="E146" t="inlineStr">
        <is>
          <t>183,184,185,187,188,190</t>
        </is>
      </c>
      <c r="F146" t="n">
        <v>6</v>
      </c>
      <c r="G146" t="inlineStr">
        <is>
          <t>0,0,0,100</t>
        </is>
      </c>
      <c r="H146" t="n">
        <v>1782.5</v>
      </c>
      <c r="I146" t="inlineStr">
        <is>
          <t>中风险：6只钻石地雷敌人</t>
        </is>
      </c>
    </row>
    <row r="147">
      <c r="A147" t="inlineStr">
        <is>
          <t>wave_d09_enc_ancestral</t>
        </is>
      </c>
      <c r="B147" t="n">
        <v>9</v>
      </c>
      <c r="C147" t="inlineStr">
        <is>
          <t>上午</t>
        </is>
      </c>
      <c r="D147" t="n">
        <v>1</v>
      </c>
      <c r="E147" t="inlineStr">
        <is>
          <t>35,54,182,186,197,241</t>
        </is>
      </c>
      <c r="F147" t="n">
        <v>6</v>
      </c>
      <c r="G147" t="inlineStr">
        <is>
          <t>0,0,0,100</t>
        </is>
      </c>
      <c r="H147" t="n">
        <v>2225</v>
      </c>
      <c r="I147" t="inlineStr">
        <is>
          <t>高风险：三名死亡爆炸、回合攻盾成长与反击</t>
        </is>
      </c>
    </row>
    <row r="148">
      <c r="A148" t="inlineStr">
        <is>
          <t>wave_d02_enc_sustain</t>
        </is>
      </c>
      <c r="B148" t="n">
        <v>2</v>
      </c>
      <c r="C148" t="inlineStr">
        <is>
          <t>上午</t>
        </is>
      </c>
      <c r="D148" t="n">
        <v>1</v>
      </c>
      <c r="E148" t="inlineStr">
        <is>
          <t>1,28,70</t>
        </is>
      </c>
      <c r="F148" t="n">
        <v>3</v>
      </c>
      <c r="G148" t="inlineStr">
        <is>
          <t>100,0,0,0</t>
        </is>
      </c>
      <c r="H148" t="n">
        <v>213</v>
      </c>
      <c r="I148" t="inlineStr">
        <is>
          <t>低风险：3只护盾回复敌人</t>
        </is>
      </c>
    </row>
    <row r="149">
      <c r="A149" t="inlineStr">
        <is>
          <t>wave_d02_enc_counter</t>
        </is>
      </c>
      <c r="B149" t="n">
        <v>2</v>
      </c>
      <c r="C149" t="inlineStr">
        <is>
          <t>上午</t>
        </is>
      </c>
      <c r="D149" t="n">
        <v>1</v>
      </c>
      <c r="E149" t="inlineStr">
        <is>
          <t>11,33,51,59</t>
        </is>
      </c>
      <c r="F149" t="n">
        <v>4</v>
      </c>
      <c r="G149" t="inlineStr">
        <is>
          <t>85,15,0,0</t>
        </is>
      </c>
      <c r="H149" t="n">
        <v>306.4</v>
      </c>
      <c r="I149" t="inlineStr">
        <is>
          <t>中风险：4只反击敌人</t>
        </is>
      </c>
    </row>
    <row r="150">
      <c r="A150" t="inlineStr">
        <is>
          <t>wave_d02_enc_growth</t>
        </is>
      </c>
      <c r="B150" t="n">
        <v>2</v>
      </c>
      <c r="C150" t="inlineStr">
        <is>
          <t>上午</t>
        </is>
      </c>
      <c r="D150" t="n">
        <v>1</v>
      </c>
      <c r="E150" t="inlineStr">
        <is>
          <t>15,50,52,53,56</t>
        </is>
      </c>
      <c r="F150" t="n">
        <v>5</v>
      </c>
      <c r="G150" t="inlineStr">
        <is>
          <t>70,25,5,0</t>
        </is>
      </c>
      <c r="H150" t="n">
        <v>432.4</v>
      </c>
      <c r="I150" t="inlineStr">
        <is>
          <t>高风险：5只回合攻击成长敌人</t>
        </is>
      </c>
    </row>
    <row r="151">
      <c r="A151" t="inlineStr">
        <is>
          <t>wave_d04_enc_armor</t>
        </is>
      </c>
      <c r="B151" t="n">
        <v>4</v>
      </c>
      <c r="C151" t="inlineStr">
        <is>
          <t>上午</t>
        </is>
      </c>
      <c r="D151" t="n">
        <v>1</v>
      </c>
      <c r="E151" t="inlineStr">
        <is>
          <t>6,30,238,268</t>
        </is>
      </c>
      <c r="F151" t="n">
        <v>4</v>
      </c>
      <c r="G151" t="inlineStr">
        <is>
          <t>70,30,0,0</t>
        </is>
      </c>
      <c r="H151" t="n">
        <v>416.3</v>
      </c>
      <c r="I151" t="inlineStr">
        <is>
          <t>低风险：4只护甲敌人</t>
        </is>
      </c>
    </row>
    <row r="152">
      <c r="A152" t="inlineStr">
        <is>
          <t>wave_d04_enc_shield_growth</t>
        </is>
      </c>
      <c r="B152" t="n">
        <v>4</v>
      </c>
      <c r="C152" t="inlineStr">
        <is>
          <t>上午</t>
        </is>
      </c>
      <c r="D152" t="n">
        <v>1</v>
      </c>
      <c r="E152" t="inlineStr">
        <is>
          <t>16,78,85,48,131</t>
        </is>
      </c>
      <c r="F152" t="n">
        <v>5</v>
      </c>
      <c r="G152" t="inlineStr">
        <is>
          <t>60,35,5,0</t>
        </is>
      </c>
      <c r="H152" t="n">
        <v>469.2</v>
      </c>
      <c r="I152" t="inlineStr">
        <is>
          <t>中风险：5只回合护盾成长敌人</t>
        </is>
      </c>
    </row>
    <row r="153">
      <c r="A153" t="inlineStr">
        <is>
          <t>wave_d04_enc_combined</t>
        </is>
      </c>
      <c r="B153" t="n">
        <v>4</v>
      </c>
      <c r="C153" t="inlineStr">
        <is>
          <t>上午</t>
        </is>
      </c>
      <c r="D153" t="n">
        <v>1</v>
      </c>
      <c r="E153" t="inlineStr">
        <is>
          <t>29,46,61,67,107,118</t>
        </is>
      </c>
      <c r="F153" t="n">
        <v>6</v>
      </c>
      <c r="G153" t="inlineStr">
        <is>
          <t>50,40,10,0</t>
        </is>
      </c>
      <c r="H153" t="n">
        <v>1101.1</v>
      </c>
      <c r="I153" t="inlineStr">
        <is>
          <t>高风险：双护甲、双反击与回合攻盾成长</t>
        </is>
      </c>
    </row>
    <row r="154">
      <c r="A154" t="inlineStr">
        <is>
          <t>wave_d05_enc_regen</t>
        </is>
      </c>
      <c r="B154" t="n">
        <v>5</v>
      </c>
      <c r="C154" t="inlineStr">
        <is>
          <t>上午</t>
        </is>
      </c>
      <c r="D154" t="n">
        <v>1</v>
      </c>
      <c r="E154" t="inlineStr">
        <is>
          <t>190,201,212,240</t>
        </is>
      </c>
      <c r="F154" t="n">
        <v>4</v>
      </c>
      <c r="G154" t="inlineStr">
        <is>
          <t>40,50,10,0</t>
        </is>
      </c>
      <c r="H154" t="n">
        <v>631.8</v>
      </c>
      <c r="I154" t="inlineStr">
        <is>
          <t>低风险：4只护盾回复敌人</t>
        </is>
      </c>
    </row>
    <row r="155">
      <c r="A155" t="inlineStr">
        <is>
          <t>wave_d05_enc_counter</t>
        </is>
      </c>
      <c r="B155" t="n">
        <v>5</v>
      </c>
      <c r="C155" t="inlineStr">
        <is>
          <t>上午</t>
        </is>
      </c>
      <c r="D155" t="n">
        <v>1</v>
      </c>
      <c r="E155" t="inlineStr">
        <is>
          <t>250,253,255,261,270</t>
        </is>
      </c>
      <c r="F155" t="n">
        <v>5</v>
      </c>
      <c r="G155" t="inlineStr">
        <is>
          <t>30,55,15,0</t>
        </is>
      </c>
      <c r="H155" t="n">
        <v>755.3</v>
      </c>
      <c r="I155" t="inlineStr">
        <is>
          <t>中风险：5只反击敌人</t>
        </is>
      </c>
    </row>
    <row r="156">
      <c r="A156" t="inlineStr">
        <is>
          <t>wave_d05_enc_growth</t>
        </is>
      </c>
      <c r="B156" t="n">
        <v>5</v>
      </c>
      <c r="C156" t="inlineStr">
        <is>
          <t>上午</t>
        </is>
      </c>
      <c r="D156" t="n">
        <v>1</v>
      </c>
      <c r="E156" t="inlineStr">
        <is>
          <t>34,67,91,110,113,123</t>
        </is>
      </c>
      <c r="F156" t="n">
        <v>6</v>
      </c>
      <c r="G156" t="inlineStr">
        <is>
          <t>20,55,25,0</t>
        </is>
      </c>
      <c r="H156" t="n">
        <v>1247.5</v>
      </c>
      <c r="I156" t="inlineStr">
        <is>
          <t>高风险：6只回合攻击成长敌人</t>
        </is>
      </c>
    </row>
    <row r="157">
      <c r="A157" t="inlineStr">
        <is>
          <t>wave_d07_enc_armor</t>
        </is>
      </c>
      <c r="B157" t="n">
        <v>7</v>
      </c>
      <c r="C157" t="inlineStr">
        <is>
          <t>上午</t>
        </is>
      </c>
      <c r="D157" t="n">
        <v>1</v>
      </c>
      <c r="E157" t="inlineStr">
        <is>
          <t>76,118,163,203</t>
        </is>
      </c>
      <c r="F157" t="n">
        <v>4</v>
      </c>
      <c r="G157" t="inlineStr">
        <is>
          <t>20,50,25,5</t>
        </is>
      </c>
      <c r="H157" t="n">
        <v>976.5</v>
      </c>
      <c r="I157" t="inlineStr">
        <is>
          <t>低风险：4只高强度护甲敌人</t>
        </is>
      </c>
    </row>
    <row r="158">
      <c r="A158" t="inlineStr">
        <is>
          <t>wave_d07_enc_opening_shield</t>
        </is>
      </c>
      <c r="B158" t="n">
        <v>7</v>
      </c>
      <c r="C158" t="inlineStr">
        <is>
          <t>上午</t>
        </is>
      </c>
      <c r="D158" t="n">
        <v>1</v>
      </c>
      <c r="E158" t="inlineStr">
        <is>
          <t>83,117,188,296,130</t>
        </is>
      </c>
      <c r="F158" t="n">
        <v>5</v>
      </c>
      <c r="G158" t="inlineStr">
        <is>
          <t>10,45,35,10</t>
        </is>
      </c>
      <c r="H158" t="n">
        <v>1242</v>
      </c>
      <c r="I158" t="inlineStr">
        <is>
          <t>中风险：5只开场护盾敌人</t>
        </is>
      </c>
    </row>
    <row r="159">
      <c r="A159" t="inlineStr">
        <is>
          <t>wave_d07_enc_growth</t>
        </is>
      </c>
      <c r="B159" t="n">
        <v>7</v>
      </c>
      <c r="C159" t="inlineStr">
        <is>
          <t>上午</t>
        </is>
      </c>
      <c r="D159" t="n">
        <v>1</v>
      </c>
      <c r="E159" t="inlineStr">
        <is>
          <t>88,124,147,186,221,249</t>
        </is>
      </c>
      <c r="F159" t="n">
        <v>6</v>
      </c>
      <c r="G159" t="inlineStr">
        <is>
          <t>0,35,45,20</t>
        </is>
      </c>
      <c r="H159" t="n">
        <v>2113.6</v>
      </c>
      <c r="I159" t="inlineStr">
        <is>
          <t>高风险：6只回合攻击成长敌人</t>
        </is>
      </c>
    </row>
    <row r="160">
      <c r="A160" t="inlineStr">
        <is>
          <t>wave_d08_enc_regen</t>
        </is>
      </c>
      <c r="B160" t="n">
        <v>8</v>
      </c>
      <c r="C160" t="inlineStr">
        <is>
          <t>上午</t>
        </is>
      </c>
      <c r="D160" t="n">
        <v>1</v>
      </c>
      <c r="E160" t="inlineStr">
        <is>
          <t>79,155,168,181,239</t>
        </is>
      </c>
      <c r="F160" t="n">
        <v>5</v>
      </c>
      <c r="G160" t="inlineStr">
        <is>
          <t>0,80,20,0</t>
        </is>
      </c>
      <c r="H160" t="n">
        <v>1547.2</v>
      </c>
      <c r="I160" t="inlineStr">
        <is>
          <t>低风险：5只高强度护盾回复敌人</t>
        </is>
      </c>
    </row>
    <row r="161">
      <c r="A161" t="inlineStr">
        <is>
          <t>wave_d08_enc_counter</t>
        </is>
      </c>
      <c r="B161" t="n">
        <v>8</v>
      </c>
      <c r="C161" t="inlineStr">
        <is>
          <t>上午</t>
        </is>
      </c>
      <c r="D161" t="n">
        <v>1</v>
      </c>
      <c r="E161" t="inlineStr">
        <is>
          <t>26,58,68,101,197,106</t>
        </is>
      </c>
      <c r="F161" t="n">
        <v>6</v>
      </c>
      <c r="G161" t="inlineStr">
        <is>
          <t>0,20,50,30</t>
        </is>
      </c>
      <c r="H161" t="n">
        <v>1959.8</v>
      </c>
      <c r="I161" t="inlineStr">
        <is>
          <t>中风险：6只黄金/钻石反击敌人</t>
        </is>
      </c>
    </row>
    <row r="162">
      <c r="A162" t="inlineStr">
        <is>
          <t>wave_d08_enc_bomb_growth</t>
        </is>
      </c>
      <c r="B162" t="n">
        <v>8</v>
      </c>
      <c r="C162" t="inlineStr">
        <is>
          <t>上午</t>
        </is>
      </c>
      <c r="D162" t="n">
        <v>1</v>
      </c>
      <c r="E162" t="inlineStr">
        <is>
          <t>35,54,241,107,182,249</t>
        </is>
      </c>
      <c r="F162" t="n">
        <v>6</v>
      </c>
      <c r="G162" t="inlineStr">
        <is>
          <t>0,0,0,100</t>
        </is>
      </c>
      <c r="H162" t="n">
        <v>2195</v>
      </c>
      <c r="I162" t="inlineStr">
        <is>
          <t>高风险：三名死亡爆炸与回合攻盾成长</t>
        </is>
      </c>
    </row>
    <row r="163">
      <c r="A163" t="inlineStr">
        <is>
          <t>wave_d10_enc_armor</t>
        </is>
      </c>
      <c r="B163" t="n">
        <v>10</v>
      </c>
      <c r="C163" t="inlineStr">
        <is>
          <t>上午</t>
        </is>
      </c>
      <c r="D163" t="n">
        <v>1</v>
      </c>
      <c r="E163" t="inlineStr">
        <is>
          <t>29,76,118,163,203,251</t>
        </is>
      </c>
      <c r="F163" t="n">
        <v>6</v>
      </c>
      <c r="G163" t="inlineStr">
        <is>
          <t>0,60,30,10</t>
        </is>
      </c>
      <c r="H163" t="n">
        <v>1725.5</v>
      </c>
      <c r="I163" t="inlineStr">
        <is>
          <t>低风险：6只高强度护甲敌人</t>
        </is>
      </c>
    </row>
    <row r="164">
      <c r="A164" t="inlineStr">
        <is>
          <t>wave_d10_enc_counter</t>
        </is>
      </c>
      <c r="B164" t="n">
        <v>10</v>
      </c>
      <c r="C164" t="inlineStr">
        <is>
          <t>上午</t>
        </is>
      </c>
      <c r="D164" t="n">
        <v>1</v>
      </c>
      <c r="E164" t="inlineStr">
        <is>
          <t>26,58,68,101,197,106</t>
        </is>
      </c>
      <c r="F164" t="n">
        <v>6</v>
      </c>
      <c r="G164" t="inlineStr">
        <is>
          <t>0,0,30,70</t>
        </is>
      </c>
      <c r="H164" t="n">
        <v>2246.6</v>
      </c>
      <c r="I164" t="inlineStr">
        <is>
          <t>中风险：6只钻石反击敌人</t>
        </is>
      </c>
    </row>
    <row r="165">
      <c r="A165" t="inlineStr">
        <is>
          <t>wave_d10_enc_bomb_growth</t>
        </is>
      </c>
      <c r="B165" t="n">
        <v>10</v>
      </c>
      <c r="C165" t="inlineStr">
        <is>
          <t>上午</t>
        </is>
      </c>
      <c r="D165" t="n">
        <v>1</v>
      </c>
      <c r="E165" t="inlineStr">
        <is>
          <t>35,54,241,221,236,249</t>
        </is>
      </c>
      <c r="F165" t="n">
        <v>6</v>
      </c>
      <c r="G165" t="inlineStr">
        <is>
          <t>0,0,0,100</t>
        </is>
      </c>
      <c r="H165" t="n">
        <v>2347.5</v>
      </c>
      <c r="I165" t="inlineStr">
        <is>
          <t>高风险：三名死亡爆炸与三名回合攻击成长</t>
        </is>
      </c>
    </row>
    <row r="166">
      <c r="A166" t="inlineStr">
        <is>
          <t>wave_d01_evening_choice_a</t>
        </is>
      </c>
      <c r="B166" t="n">
        <v>1</v>
      </c>
      <c r="C166" t="inlineStr">
        <is>
          <t>下午</t>
        </is>
      </c>
      <c r="D166" t="n">
        <v>1</v>
      </c>
      <c r="E166" t="inlineStr">
        <is>
          <t>1,28,70,103</t>
        </is>
      </c>
      <c r="F166" t="n">
        <v>4</v>
      </c>
      <c r="G166" t="inlineStr">
        <is>
          <t>0,100,0,0</t>
        </is>
      </c>
      <c r="H166" t="n">
        <v>435</v>
      </c>
      <c r="I166" t="inlineStr">
        <is>
          <t>低风险：四名护盾回复</t>
        </is>
      </c>
    </row>
    <row r="167">
      <c r="A167" t="inlineStr">
        <is>
          <t>wave_d01_evening_choice_b</t>
        </is>
      </c>
      <c r="B167" t="n">
        <v>1</v>
      </c>
      <c r="C167" t="inlineStr">
        <is>
          <t>下午</t>
        </is>
      </c>
      <c r="D167" t="n">
        <v>1</v>
      </c>
      <c r="E167" t="inlineStr">
        <is>
          <t>33,51,59,63</t>
        </is>
      </c>
      <c r="F167" t="n">
        <v>4</v>
      </c>
      <c r="G167" t="inlineStr">
        <is>
          <t>0,100,0,0</t>
        </is>
      </c>
      <c r="H167" t="n">
        <v>456</v>
      </c>
      <c r="I167" t="inlineStr">
        <is>
          <t>中风险：四名反击</t>
        </is>
      </c>
    </row>
    <row r="168">
      <c r="A168" t="inlineStr">
        <is>
          <t>wave_d01_evening_choice_c</t>
        </is>
      </c>
      <c r="B168" t="n">
        <v>1</v>
      </c>
      <c r="C168" t="inlineStr">
        <is>
          <t>下午</t>
        </is>
      </c>
      <c r="D168" t="n">
        <v>1</v>
      </c>
      <c r="E168" t="inlineStr">
        <is>
          <t>50,52,53,56,66</t>
        </is>
      </c>
      <c r="F168" t="n">
        <v>5</v>
      </c>
      <c r="G168" t="inlineStr">
        <is>
          <t>0,100,0,0</t>
        </is>
      </c>
      <c r="H168" t="n">
        <v>592.5</v>
      </c>
      <c r="I168" t="inlineStr">
        <is>
          <t>高风险：五名回合攻击成长</t>
        </is>
      </c>
    </row>
    <row r="169">
      <c r="A169" t="inlineStr">
        <is>
          <t>wave_d02_evening_choice_a</t>
        </is>
      </c>
      <c r="B169" t="n">
        <v>2</v>
      </c>
      <c r="C169" t="inlineStr">
        <is>
          <t>下午</t>
        </is>
      </c>
      <c r="D169" t="n">
        <v>1</v>
      </c>
      <c r="E169" t="inlineStr">
        <is>
          <t>30,238,268,295</t>
        </is>
      </c>
      <c r="F169" t="n">
        <v>4</v>
      </c>
      <c r="G169" t="inlineStr">
        <is>
          <t>0,100,0,0</t>
        </is>
      </c>
      <c r="H169" t="n">
        <v>622.5</v>
      </c>
      <c r="I169" t="inlineStr">
        <is>
          <t>低风险：四名护甲减伤</t>
        </is>
      </c>
    </row>
    <row r="170">
      <c r="A170" t="inlineStr">
        <is>
          <t>wave_d02_evening_choice_b</t>
        </is>
      </c>
      <c r="B170" t="n">
        <v>2</v>
      </c>
      <c r="C170" t="inlineStr">
        <is>
          <t>下午</t>
        </is>
      </c>
      <c r="D170" t="n">
        <v>1</v>
      </c>
      <c r="E170" t="inlineStr">
        <is>
          <t>16,78,85,48,131</t>
        </is>
      </c>
      <c r="F170" t="n">
        <v>5</v>
      </c>
      <c r="G170" t="inlineStr">
        <is>
          <t>0,0,100,0</t>
        </is>
      </c>
      <c r="H170" t="n">
        <v>766</v>
      </c>
      <c r="I170" t="inlineStr">
        <is>
          <t>中风险：五名回合护盾成长</t>
        </is>
      </c>
    </row>
    <row r="171">
      <c r="A171" t="inlineStr">
        <is>
          <t>wave_d02_evening_choice_c</t>
        </is>
      </c>
      <c r="B171" t="n">
        <v>2</v>
      </c>
      <c r="C171" t="inlineStr">
        <is>
          <t>下午</t>
        </is>
      </c>
      <c r="D171" t="n">
        <v>1</v>
      </c>
      <c r="E171" t="inlineStr">
        <is>
          <t>23,46,37,41,57,65</t>
        </is>
      </c>
      <c r="F171" t="n">
        <v>6</v>
      </c>
      <c r="G171" t="inlineStr">
        <is>
          <t>0,100,0,0</t>
        </is>
      </c>
      <c r="H171" t="n">
        <v>936</v>
      </c>
      <c r="I171" t="inlineStr">
        <is>
          <t>高风险：六名反击</t>
        </is>
      </c>
    </row>
    <row r="172">
      <c r="A172" t="inlineStr">
        <is>
          <t>wave_d03_evening_choice_a</t>
        </is>
      </c>
      <c r="B172" t="n">
        <v>3</v>
      </c>
      <c r="C172" t="inlineStr">
        <is>
          <t>下午</t>
        </is>
      </c>
      <c r="D172" t="n">
        <v>1</v>
      </c>
      <c r="E172" t="inlineStr">
        <is>
          <t>100,136,183,146,149</t>
        </is>
      </c>
      <c r="F172" t="n">
        <v>5</v>
      </c>
      <c r="G172" t="inlineStr">
        <is>
          <t>0,100,0,0</t>
        </is>
      </c>
      <c r="H172" t="n">
        <v>823.5</v>
      </c>
      <c r="I172" t="inlineStr">
        <is>
          <t>低风险：五名护盾回复</t>
        </is>
      </c>
    </row>
    <row r="173">
      <c r="A173" t="inlineStr">
        <is>
          <t>wave_d03_evening_choice_b</t>
        </is>
      </c>
      <c r="B173" t="n">
        <v>3</v>
      </c>
      <c r="C173" t="inlineStr">
        <is>
          <t>下午</t>
        </is>
      </c>
      <c r="D173" t="n">
        <v>1</v>
      </c>
      <c r="E173" t="inlineStr">
        <is>
          <t>76,118,163,203,248</t>
        </is>
      </c>
      <c r="F173" t="n">
        <v>5</v>
      </c>
      <c r="G173" t="inlineStr">
        <is>
          <t>60,40,0,0</t>
        </is>
      </c>
      <c r="H173" t="n">
        <v>930</v>
      </c>
      <c r="I173" t="inlineStr">
        <is>
          <t>中风险：五名护甲减伤</t>
        </is>
      </c>
    </row>
    <row r="174">
      <c r="A174" t="inlineStr">
        <is>
          <t>wave_d03_evening_choice_c</t>
        </is>
      </c>
      <c r="B174" t="n">
        <v>3</v>
      </c>
      <c r="C174" t="inlineStr">
        <is>
          <t>下午</t>
        </is>
      </c>
      <c r="D174" t="n">
        <v>1</v>
      </c>
      <c r="E174" t="inlineStr">
        <is>
          <t>34,95,125,176,177,184</t>
        </is>
      </c>
      <c r="F174" t="n">
        <v>6</v>
      </c>
      <c r="G174" t="inlineStr">
        <is>
          <t>0,100,0,0</t>
        </is>
      </c>
      <c r="H174" t="n">
        <v>1035</v>
      </c>
      <c r="I174" t="inlineStr">
        <is>
          <t>高风险：六名回合攻击成长</t>
        </is>
      </c>
    </row>
    <row r="175">
      <c r="A175" t="inlineStr">
        <is>
          <t>wave_d04_evening_choice_a</t>
        </is>
      </c>
      <c r="B175" t="n">
        <v>4</v>
      </c>
      <c r="C175" t="inlineStr">
        <is>
          <t>下午</t>
        </is>
      </c>
      <c r="D175" t="n">
        <v>1</v>
      </c>
      <c r="E175" t="inlineStr">
        <is>
          <t>48,131,145,178,107</t>
        </is>
      </c>
      <c r="F175" t="n">
        <v>5</v>
      </c>
      <c r="G175" t="inlineStr">
        <is>
          <t>0,0,0,100</t>
        </is>
      </c>
      <c r="H175" t="n">
        <v>1362.5</v>
      </c>
      <c r="I175" t="inlineStr">
        <is>
          <t>低风险：五名回合护盾成长</t>
        </is>
      </c>
    </row>
    <row r="176">
      <c r="A176" t="inlineStr">
        <is>
          <t>wave_d04_evening_choice_b</t>
        </is>
      </c>
      <c r="B176" t="n">
        <v>4</v>
      </c>
      <c r="C176" t="inlineStr">
        <is>
          <t>下午</t>
        </is>
      </c>
      <c r="D176" t="n">
        <v>1</v>
      </c>
      <c r="E176" t="inlineStr">
        <is>
          <t>61,43,114,128,152,160</t>
        </is>
      </c>
      <c r="F176" t="n">
        <v>6</v>
      </c>
      <c r="G176" t="inlineStr">
        <is>
          <t>0,40,60,0</t>
        </is>
      </c>
      <c r="H176" t="n">
        <v>1458</v>
      </c>
      <c r="I176" t="inlineStr">
        <is>
          <t>中风险：六名反击</t>
        </is>
      </c>
    </row>
    <row r="177">
      <c r="A177" t="inlineStr">
        <is>
          <t>wave_d04_evening_choice_c</t>
        </is>
      </c>
      <c r="B177" t="n">
        <v>4</v>
      </c>
      <c r="C177" t="inlineStr">
        <is>
          <t>下午</t>
        </is>
      </c>
      <c r="D177" t="n">
        <v>1</v>
      </c>
      <c r="E177" t="inlineStr">
        <is>
          <t>110,67,113,123,148,151</t>
        </is>
      </c>
      <c r="F177" t="n">
        <v>6</v>
      </c>
      <c r="G177" t="inlineStr">
        <is>
          <t>0,40,60,0</t>
        </is>
      </c>
      <c r="H177" t="n">
        <v>1594.8</v>
      </c>
      <c r="I177" t="inlineStr">
        <is>
          <t>高风险：六名回合攻击成长</t>
        </is>
      </c>
    </row>
    <row r="178">
      <c r="A178" t="inlineStr">
        <is>
          <t>wave_d05_evening_choice_a</t>
        </is>
      </c>
      <c r="B178" t="n">
        <v>5</v>
      </c>
      <c r="C178" t="inlineStr">
        <is>
          <t>下午</t>
        </is>
      </c>
      <c r="D178" t="n">
        <v>1</v>
      </c>
      <c r="E178" t="inlineStr">
        <is>
          <t>122,129,143,120,232,79</t>
        </is>
      </c>
      <c r="F178" t="n">
        <v>6</v>
      </c>
      <c r="G178" t="inlineStr">
        <is>
          <t>0,100,0,0</t>
        </is>
      </c>
      <c r="H178" t="n">
        <v>1428</v>
      </c>
      <c r="I178" t="inlineStr">
        <is>
          <t>低风险：六名护盾回复</t>
        </is>
      </c>
    </row>
    <row r="179">
      <c r="A179" t="inlineStr">
        <is>
          <t>wave_d05_evening_choice_b</t>
        </is>
      </c>
      <c r="B179" t="n">
        <v>5</v>
      </c>
      <c r="C179" t="inlineStr">
        <is>
          <t>下午</t>
        </is>
      </c>
      <c r="D179" t="n">
        <v>1</v>
      </c>
      <c r="E179" t="inlineStr">
        <is>
          <t>76,118,163,203,248,262</t>
        </is>
      </c>
      <c r="F179" t="n">
        <v>6</v>
      </c>
      <c r="G179" t="inlineStr">
        <is>
          <t>0,60,40,0</t>
        </is>
      </c>
      <c r="H179" t="n">
        <v>1581</v>
      </c>
      <c r="I179" t="inlineStr">
        <is>
          <t>中风险：六名护甲减伤</t>
        </is>
      </c>
    </row>
    <row r="180">
      <c r="A180" t="inlineStr">
        <is>
          <t>wave_d05_evening_choice_c</t>
        </is>
      </c>
      <c r="B180" t="n">
        <v>5</v>
      </c>
      <c r="C180" t="inlineStr">
        <is>
          <t>下午</t>
        </is>
      </c>
      <c r="D180" t="n">
        <v>1</v>
      </c>
      <c r="E180" t="inlineStr">
        <is>
          <t>54,35,241,26,58,106</t>
        </is>
      </c>
      <c r="F180" t="n">
        <v>6</v>
      </c>
      <c r="G180" t="inlineStr">
        <is>
          <t>0,0,100,0</t>
        </is>
      </c>
      <c r="H180" t="n">
        <v>1752</v>
      </c>
      <c r="I180" t="inlineStr">
        <is>
          <t>高风险：三名死亡爆炸 / 三名反击</t>
        </is>
      </c>
    </row>
    <row r="181">
      <c r="A181" t="inlineStr">
        <is>
          <t>wave_d06_evening_choice_a</t>
        </is>
      </c>
      <c r="B181" t="n">
        <v>6</v>
      </c>
      <c r="C181" t="inlineStr">
        <is>
          <t>下午</t>
        </is>
      </c>
      <c r="D181" t="n">
        <v>1</v>
      </c>
      <c r="E181" t="inlineStr">
        <is>
          <t>155,168,181,239,275,233</t>
        </is>
      </c>
      <c r="F181" t="n">
        <v>6</v>
      </c>
      <c r="G181" t="inlineStr">
        <is>
          <t>0,100,0,0</t>
        </is>
      </c>
      <c r="H181" t="n">
        <v>1785</v>
      </c>
      <c r="I181" t="inlineStr">
        <is>
          <t>低风险：六名护盾回复</t>
        </is>
      </c>
    </row>
    <row r="182">
      <c r="A182" t="inlineStr">
        <is>
          <t>wave_d06_evening_choice_b</t>
        </is>
      </c>
      <c r="B182" t="n">
        <v>6</v>
      </c>
      <c r="C182" t="inlineStr">
        <is>
          <t>下午</t>
        </is>
      </c>
      <c r="D182" t="n">
        <v>1</v>
      </c>
      <c r="E182" t="inlineStr">
        <is>
          <t>68,26,101,58,197,106</t>
        </is>
      </c>
      <c r="F182" t="n">
        <v>6</v>
      </c>
      <c r="G182" t="inlineStr">
        <is>
          <t>0,0,100,0</t>
        </is>
      </c>
      <c r="H182" t="n">
        <v>1912</v>
      </c>
      <c r="I182" t="inlineStr">
        <is>
          <t>中风险：六名反击</t>
        </is>
      </c>
    </row>
    <row r="183">
      <c r="A183" t="inlineStr">
        <is>
          <t>wave_d06_evening_choice_c</t>
        </is>
      </c>
      <c r="B183" t="n">
        <v>6</v>
      </c>
      <c r="C183" t="inlineStr">
        <is>
          <t>下午</t>
        </is>
      </c>
      <c r="D183" t="n">
        <v>1</v>
      </c>
      <c r="E183" t="inlineStr">
        <is>
          <t>88,124,147,186,221,249</t>
        </is>
      </c>
      <c r="F183" t="n">
        <v>6</v>
      </c>
      <c r="G183" t="inlineStr">
        <is>
          <t>0,0,100,0</t>
        </is>
      </c>
      <c r="H183" t="n">
        <v>2196</v>
      </c>
      <c r="I183" t="inlineStr">
        <is>
          <t>高风险：六名回合攻击成长</t>
        </is>
      </c>
    </row>
    <row r="184">
      <c r="A184" t="inlineStr">
        <is>
          <t>wave_d07_evening_choice_a</t>
        </is>
      </c>
      <c r="B184" t="n">
        <v>7</v>
      </c>
      <c r="C184" t="inlineStr">
        <is>
          <t>下午</t>
        </is>
      </c>
      <c r="D184" t="n">
        <v>1</v>
      </c>
      <c r="E184" t="inlineStr">
        <is>
          <t>118,163,203,248,262,251</t>
        </is>
      </c>
      <c r="F184" t="n">
        <v>6</v>
      </c>
      <c r="G184" t="inlineStr">
        <is>
          <t>0,0,60,40</t>
        </is>
      </c>
      <c r="H184" t="n">
        <v>2156</v>
      </c>
      <c r="I184" t="inlineStr">
        <is>
          <t>低风险：六名护甲减伤</t>
        </is>
      </c>
    </row>
    <row r="185">
      <c r="A185" t="inlineStr">
        <is>
          <t>wave_d07_evening_choice_b</t>
        </is>
      </c>
      <c r="B185" t="n">
        <v>7</v>
      </c>
      <c r="C185" t="inlineStr">
        <is>
          <t>下午</t>
        </is>
      </c>
      <c r="D185" t="n">
        <v>1</v>
      </c>
      <c r="E185" t="inlineStr">
        <is>
          <t>68,26,101,58,197,106</t>
        </is>
      </c>
      <c r="F185" t="n">
        <v>6</v>
      </c>
      <c r="G185" t="inlineStr">
        <is>
          <t>0,0,40,60</t>
        </is>
      </c>
      <c r="H185" t="n">
        <v>2198.8</v>
      </c>
      <c r="I185" t="inlineStr">
        <is>
          <t>中风险：六名反击</t>
        </is>
      </c>
    </row>
    <row r="186">
      <c r="A186" t="inlineStr">
        <is>
          <t>wave_d07_evening_choice_c</t>
        </is>
      </c>
      <c r="B186" t="n">
        <v>7</v>
      </c>
      <c r="C186" t="inlineStr">
        <is>
          <t>下午</t>
        </is>
      </c>
      <c r="D186" t="n">
        <v>1</v>
      </c>
      <c r="E186" t="inlineStr">
        <is>
          <t>124,147,186,221,236,249</t>
        </is>
      </c>
      <c r="F186" t="n">
        <v>6</v>
      </c>
      <c r="G186" t="inlineStr">
        <is>
          <t>0,0,40,60</t>
        </is>
      </c>
      <c r="H186" t="n">
        <v>2571.4</v>
      </c>
      <c r="I186" t="inlineStr">
        <is>
          <t>高风险：六名回合攻击成长</t>
        </is>
      </c>
    </row>
    <row r="187">
      <c r="A187" t="inlineStr">
        <is>
          <t>wave_d08_evening_choice_a</t>
        </is>
      </c>
      <c r="B187" t="n">
        <v>8</v>
      </c>
      <c r="C187" t="inlineStr">
        <is>
          <t>下午</t>
        </is>
      </c>
      <c r="D187" t="n">
        <v>1</v>
      </c>
      <c r="E187" t="inlineStr">
        <is>
          <t>40,233,155,168,181,239</t>
        </is>
      </c>
      <c r="F187" t="n">
        <v>6</v>
      </c>
      <c r="G187" t="inlineStr">
        <is>
          <t>0,20,80,0</t>
        </is>
      </c>
      <c r="H187" t="n">
        <v>2321.8</v>
      </c>
      <c r="I187" t="inlineStr">
        <is>
          <t>低风险：六名护盾回复</t>
        </is>
      </c>
    </row>
    <row r="188">
      <c r="A188" t="inlineStr">
        <is>
          <t>wave_d08_evening_choice_b</t>
        </is>
      </c>
      <c r="B188" t="n">
        <v>8</v>
      </c>
      <c r="C188" t="inlineStr">
        <is>
          <t>下午</t>
        </is>
      </c>
      <c r="D188" t="n">
        <v>1</v>
      </c>
      <c r="E188" t="inlineStr">
        <is>
          <t>68,26,101,58,197,106</t>
        </is>
      </c>
      <c r="F188" t="n">
        <v>6</v>
      </c>
      <c r="G188" t="inlineStr">
        <is>
          <t>0,0,0,100</t>
        </is>
      </c>
      <c r="H188" t="n">
        <v>2390</v>
      </c>
      <c r="I188" t="inlineStr">
        <is>
          <t>中风险：六名反击</t>
        </is>
      </c>
    </row>
    <row r="189">
      <c r="A189" t="inlineStr">
        <is>
          <t>wave_d08_evening_choice_c</t>
        </is>
      </c>
      <c r="B189" t="n">
        <v>8</v>
      </c>
      <c r="C189" t="inlineStr">
        <is>
          <t>下午</t>
        </is>
      </c>
      <c r="D189" t="n">
        <v>1</v>
      </c>
      <c r="E189" t="inlineStr">
        <is>
          <t>54,35,241,40,233,155</t>
        </is>
      </c>
      <c r="F189" t="n">
        <v>6</v>
      </c>
      <c r="G189" t="inlineStr">
        <is>
          <t>0,0,0,100</t>
        </is>
      </c>
      <c r="H189" t="n">
        <v>2522.5</v>
      </c>
      <c r="I189" t="inlineStr">
        <is>
          <t>高风险：三名死亡爆炸 / 三名护盾回复</t>
        </is>
      </c>
    </row>
    <row r="190">
      <c r="A190" t="inlineStr">
        <is>
          <t>wave_d09_evening_choice_a</t>
        </is>
      </c>
      <c r="B190" t="n">
        <v>9</v>
      </c>
      <c r="C190" t="inlineStr">
        <is>
          <t>下午</t>
        </is>
      </c>
      <c r="D190" t="n">
        <v>1</v>
      </c>
      <c r="E190" t="inlineStr">
        <is>
          <t>29,118,163,203,248,251</t>
        </is>
      </c>
      <c r="F190" t="n">
        <v>6</v>
      </c>
      <c r="G190" t="inlineStr">
        <is>
          <t>0,0,20,80</t>
        </is>
      </c>
      <c r="H190" t="n">
        <v>2366.4</v>
      </c>
      <c r="I190" t="inlineStr">
        <is>
          <t>低风险：六名护甲减伤</t>
        </is>
      </c>
    </row>
    <row r="191">
      <c r="A191" t="inlineStr">
        <is>
          <t>wave_d09_evening_choice_b</t>
        </is>
      </c>
      <c r="B191" t="n">
        <v>9</v>
      </c>
      <c r="C191" t="inlineStr">
        <is>
          <t>下午</t>
        </is>
      </c>
      <c r="D191" t="n">
        <v>1</v>
      </c>
      <c r="E191" t="inlineStr">
        <is>
          <t>106,58,197,147,186,221</t>
        </is>
      </c>
      <c r="F191" t="n">
        <v>6</v>
      </c>
      <c r="G191" t="inlineStr">
        <is>
          <t>0,0,40,60</t>
        </is>
      </c>
      <c r="H191" t="n">
        <v>2463.3</v>
      </c>
      <c r="I191" t="inlineStr">
        <is>
          <t>中风险：三名反击 / 三名回合攻击成长</t>
        </is>
      </c>
    </row>
    <row r="192">
      <c r="A192" t="inlineStr">
        <is>
          <t>wave_d09_evening_choice_c</t>
        </is>
      </c>
      <c r="B192" t="n">
        <v>9</v>
      </c>
      <c r="C192" t="inlineStr">
        <is>
          <t>下午</t>
        </is>
      </c>
      <c r="D192" t="n">
        <v>1</v>
      </c>
      <c r="E192" t="inlineStr">
        <is>
          <t>54,35,241,40,233,168</t>
        </is>
      </c>
      <c r="F192" t="n">
        <v>6</v>
      </c>
      <c r="G192" t="inlineStr">
        <is>
          <t>0,0,0,100</t>
        </is>
      </c>
      <c r="H192" t="n">
        <v>2522.5</v>
      </c>
      <c r="I192" t="inlineStr">
        <is>
          <t>高风险：三名死亡爆炸 / 三名护盾回复</t>
        </is>
      </c>
    </row>
    <row r="193">
      <c r="A193" t="inlineStr">
        <is>
          <t>wave_d10_evening_choice_a</t>
        </is>
      </c>
      <c r="B193" t="n">
        <v>10</v>
      </c>
      <c r="C193" t="inlineStr">
        <is>
          <t>下午</t>
        </is>
      </c>
      <c r="D193" t="n">
        <v>1</v>
      </c>
      <c r="E193" t="inlineStr">
        <is>
          <t>29,118,163,203,248,251</t>
        </is>
      </c>
      <c r="F193" t="n">
        <v>6</v>
      </c>
      <c r="G193" t="inlineStr">
        <is>
          <t>0,0,0,100</t>
        </is>
      </c>
      <c r="H193" t="n">
        <v>2465</v>
      </c>
      <c r="I193" t="inlineStr">
        <is>
          <t>低风险：六名护甲减伤</t>
        </is>
      </c>
    </row>
    <row r="194">
      <c r="A194" t="inlineStr">
        <is>
          <t>wave_d10_evening_choice_b</t>
        </is>
      </c>
      <c r="B194" t="n">
        <v>10</v>
      </c>
      <c r="C194" t="inlineStr">
        <is>
          <t>下午</t>
        </is>
      </c>
      <c r="D194" t="n">
        <v>1</v>
      </c>
      <c r="E194" t="inlineStr">
        <is>
          <t>106,58,197,147,186,221</t>
        </is>
      </c>
      <c r="F194" t="n">
        <v>6</v>
      </c>
      <c r="G194" t="inlineStr">
        <is>
          <t>0,0,20,80</t>
        </is>
      </c>
      <c r="H194" t="n">
        <v>2570.4</v>
      </c>
      <c r="I194" t="inlineStr">
        <is>
          <t>中风险：三名反击 / 三名回合攻击成长</t>
        </is>
      </c>
    </row>
    <row r="195">
      <c r="A195" t="inlineStr">
        <is>
          <t>wave_d10_evening_choice_c</t>
        </is>
      </c>
      <c r="B195" t="n">
        <v>10</v>
      </c>
      <c r="C195" t="inlineStr">
        <is>
          <t>下午</t>
        </is>
      </c>
      <c r="D195" t="n">
        <v>1</v>
      </c>
      <c r="E195" t="inlineStr">
        <is>
          <t>124,147,186,221,236,249</t>
        </is>
      </c>
      <c r="F195" t="n">
        <v>6</v>
      </c>
      <c r="G195" t="inlineStr">
        <is>
          <t>0,0,0,100</t>
        </is>
      </c>
      <c r="H195" t="n">
        <v>2795</v>
      </c>
      <c r="I195" t="inlineStr">
        <is>
          <t>高风险：六名回合攻击成长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70"/>
  <sheetViews>
    <sheetView showGridLines="0" workbookViewId="0">
      <selection activeCell="A1" sqref="A1"/>
    </sheetView>
  </sheetViews>
  <sheetFormatPr baseColWidth="8" defaultRowHeight="15"/>
  <cols>
    <col width="12" customWidth="1" style="439" min="1" max="1"/>
    <col width="12" customWidth="1" style="439" min="2" max="2"/>
    <col width="12" customWidth="1" style="439" min="3" max="3"/>
    <col width="14" customWidth="1" style="439" min="4" max="4"/>
    <col width="14" customWidth="1" style="439" min="5" max="5"/>
    <col width="48" customWidth="1" style="439" min="6" max="6"/>
    <col width="14" customWidth="1" style="439" min="7" max="7"/>
  </cols>
  <sheetData>
    <row r="1" ht="32" customHeight="1" s="439">
      <c r="A1" s="240" t="inlineStr">
        <is>
          <t>pet_id</t>
        </is>
      </c>
      <c r="B1" s="240" t="inlineStr">
        <is>
          <t>unlock_day</t>
        </is>
      </c>
      <c r="C1" s="240" t="inlineStr">
        <is>
          <t>tier_pool</t>
        </is>
      </c>
      <c r="D1" s="240" t="inlineStr">
        <is>
          <t>shop_weight</t>
        </is>
      </c>
      <c r="E1" s="240" t="inlineStr">
        <is>
          <t>reward_weight</t>
        </is>
      </c>
      <c r="F1" s="240" t="inlineStr">
        <is>
          <t>note</t>
        </is>
      </c>
      <c r="G1" s="419" t="inlineStr">
        <is>
          <t>catalog_status</t>
        </is>
      </c>
    </row>
    <row r="2">
      <c r="A2" s="38" t="inlineStr">
        <is>
          <t>pal_001</t>
        </is>
      </c>
      <c r="B2" s="38" t="n">
        <v>1</v>
      </c>
      <c r="C2" s="38" t="inlineStr">
        <is>
          <t>pT1</t>
        </is>
      </c>
      <c r="D2" s="38" t="n">
        <v>100</v>
      </c>
      <c r="E2" s="38" t="n">
        <v>60</v>
      </c>
      <c r="F2" s="38" t="inlineStr">
        <is>
          <t>来源对象 bz_van_001；主附魔 Restorative；真实来源地点数 10</t>
        </is>
      </c>
      <c r="G2" t="inlineStr">
        <is>
          <t>playable</t>
        </is>
      </c>
    </row>
    <row r="3">
      <c r="A3" s="38" t="inlineStr">
        <is>
          <t>pal_002</t>
        </is>
      </c>
      <c r="B3" s="38" t="n">
        <v>4</v>
      </c>
      <c r="C3" s="38" t="inlineStr">
        <is>
          <t>pT3</t>
        </is>
      </c>
      <c r="D3" s="38" t="n">
        <v>65</v>
      </c>
      <c r="E3" s="38" t="n">
        <v>40</v>
      </c>
      <c r="F3" s="38" t="inlineStr">
        <is>
          <t>来源对象 bz_van_002；主附魔 Turbo；真实来源地点数 10</t>
        </is>
      </c>
      <c r="G3" t="inlineStr">
        <is>
          <t>playable</t>
        </is>
      </c>
    </row>
    <row r="4">
      <c r="A4" s="38" t="inlineStr">
        <is>
          <t>pal_003</t>
        </is>
      </c>
      <c r="B4" s="38" t="n">
        <v>2</v>
      </c>
      <c r="C4" s="38" t="inlineStr">
        <is>
          <t>pT2</t>
        </is>
      </c>
      <c r="D4" s="38" t="n">
        <v>85</v>
      </c>
      <c r="E4" s="38" t="n">
        <v>50</v>
      </c>
      <c r="F4" s="38" t="inlineStr">
        <is>
          <t>来源对象 bz_van_003；主附魔 Turbo；真实来源地点数 10</t>
        </is>
      </c>
      <c r="G4" t="inlineStr">
        <is>
          <t>playable</t>
        </is>
      </c>
    </row>
    <row r="5">
      <c r="A5" s="38" t="inlineStr">
        <is>
          <t>pal_004</t>
        </is>
      </c>
      <c r="B5" s="38" t="n">
        <v>2</v>
      </c>
      <c r="C5" s="38" t="inlineStr">
        <is>
          <t>pT2</t>
        </is>
      </c>
      <c r="D5" s="38" t="n">
        <v>85</v>
      </c>
      <c r="E5" s="38" t="n">
        <v>50</v>
      </c>
      <c r="F5" s="38" t="inlineStr">
        <is>
          <t>来源对象 bz_van_004；主附魔 Turbo；真实来源地点数 10</t>
        </is>
      </c>
      <c r="G5" t="inlineStr">
        <is>
          <t>playable</t>
        </is>
      </c>
    </row>
    <row r="6">
      <c r="A6" s="38" t="inlineStr">
        <is>
          <t>pal_005</t>
        </is>
      </c>
      <c r="B6" s="38" t="n">
        <v>4</v>
      </c>
      <c r="C6" s="38" t="inlineStr">
        <is>
          <t>pT3</t>
        </is>
      </c>
      <c r="D6" s="38" t="n">
        <v>65</v>
      </c>
      <c r="E6" s="38" t="n">
        <v>40</v>
      </c>
      <c r="F6" s="38" t="inlineStr">
        <is>
          <t>来源对象 bz_van_005；主附魔 Deadly；真实来源地点数 10</t>
        </is>
      </c>
      <c r="G6" t="inlineStr">
        <is>
          <t>playable</t>
        </is>
      </c>
    </row>
    <row r="7">
      <c r="A7" s="38" t="inlineStr">
        <is>
          <t>pal_006</t>
        </is>
      </c>
      <c r="B7" s="38" t="n">
        <v>1</v>
      </c>
      <c r="C7" s="38" t="inlineStr">
        <is>
          <t>pT1</t>
        </is>
      </c>
      <c r="D7" s="38" t="n">
        <v>100</v>
      </c>
      <c r="E7" s="38" t="n">
        <v>60</v>
      </c>
      <c r="F7" s="38" t="inlineStr">
        <is>
          <t>来源对象 bz_van_006；主附魔 Shielded；真实来源地点数 10</t>
        </is>
      </c>
      <c r="G7" t="inlineStr">
        <is>
          <t>playable</t>
        </is>
      </c>
    </row>
    <row r="8">
      <c r="A8" s="38" t="inlineStr">
        <is>
          <t>pal_007</t>
        </is>
      </c>
      <c r="B8" s="38" t="n">
        <v>1</v>
      </c>
      <c r="C8" s="38" t="inlineStr">
        <is>
          <t>pT1</t>
        </is>
      </c>
      <c r="D8" s="38" t="n">
        <v>100</v>
      </c>
      <c r="E8" s="38" t="n">
        <v>60</v>
      </c>
      <c r="F8" s="38" t="inlineStr">
        <is>
          <t>来源对象 bz_van_007；主附魔 Deadly；真实来源地点数 10</t>
        </is>
      </c>
      <c r="G8" t="inlineStr">
        <is>
          <t>playable</t>
        </is>
      </c>
    </row>
    <row r="9">
      <c r="A9" s="38" t="inlineStr">
        <is>
          <t>pal_008</t>
        </is>
      </c>
      <c r="B9" s="38" t="n">
        <v>1</v>
      </c>
      <c r="C9" s="38" t="inlineStr">
        <is>
          <t>pT1</t>
        </is>
      </c>
      <c r="D9" s="38" t="n">
        <v>100</v>
      </c>
      <c r="E9" s="38" t="n">
        <v>60</v>
      </c>
      <c r="F9" s="38" t="inlineStr">
        <is>
          <t>来源对象 bz_van_008；主附魔 Turbo；真实来源地点数 10</t>
        </is>
      </c>
      <c r="G9" t="inlineStr">
        <is>
          <t>playable</t>
        </is>
      </c>
    </row>
    <row r="10">
      <c r="A10" s="38" t="inlineStr">
        <is>
          <t>pal_009</t>
        </is>
      </c>
      <c r="B10" s="38" t="n">
        <v>1</v>
      </c>
      <c r="C10" s="38" t="inlineStr">
        <is>
          <t>pT1</t>
        </is>
      </c>
      <c r="D10" s="38" t="n">
        <v>100</v>
      </c>
      <c r="E10" s="38" t="n">
        <v>60</v>
      </c>
      <c r="F10" s="38" t="inlineStr">
        <is>
          <t>来源对象 bz_van_009；主附魔 Deadly；真实来源地点数 10</t>
        </is>
      </c>
      <c r="G10" t="inlineStr">
        <is>
          <t>playable</t>
        </is>
      </c>
    </row>
    <row r="11">
      <c r="A11" s="38" t="inlineStr">
        <is>
          <t>pal_010</t>
        </is>
      </c>
      <c r="B11" s="38" t="n">
        <v>2</v>
      </c>
      <c r="C11" s="38" t="inlineStr">
        <is>
          <t>pT2</t>
        </is>
      </c>
      <c r="D11" s="38" t="n">
        <v>85</v>
      </c>
      <c r="E11" s="38" t="n">
        <v>50</v>
      </c>
      <c r="F11" s="38" t="inlineStr">
        <is>
          <t>来源对象 bz_van_010；主附魔 Deadly；真实来源地点数 10</t>
        </is>
      </c>
      <c r="G11" t="inlineStr">
        <is>
          <t>playable</t>
        </is>
      </c>
    </row>
    <row r="12">
      <c r="A12" s="38" t="inlineStr">
        <is>
          <t>pal_011</t>
        </is>
      </c>
      <c r="B12" s="38" t="n">
        <v>4</v>
      </c>
      <c r="C12" s="38" t="inlineStr">
        <is>
          <t>pT3</t>
        </is>
      </c>
      <c r="D12" s="38" t="n">
        <v>65</v>
      </c>
      <c r="E12" s="38" t="n">
        <v>40</v>
      </c>
      <c r="F12" s="38" t="inlineStr">
        <is>
          <t>来源对象 bz_van_011；主附魔 Toxic；真实来源地点数 10</t>
        </is>
      </c>
      <c r="G12" t="inlineStr">
        <is>
          <t>playable</t>
        </is>
      </c>
    </row>
    <row r="13">
      <c r="A13" s="38" t="inlineStr">
        <is>
          <t>pal_012</t>
        </is>
      </c>
      <c r="B13" s="38" t="n">
        <v>4</v>
      </c>
      <c r="C13" s="38" t="inlineStr">
        <is>
          <t>pT3</t>
        </is>
      </c>
      <c r="D13" s="38" t="n">
        <v>65</v>
      </c>
      <c r="E13" s="38" t="n">
        <v>40</v>
      </c>
      <c r="F13" s="38" t="inlineStr">
        <is>
          <t>来源对象 bz_van_012；主附魔 Fiery；真实来源地点数 10</t>
        </is>
      </c>
      <c r="G13" t="inlineStr">
        <is>
          <t>playable</t>
        </is>
      </c>
    </row>
    <row r="14">
      <c r="A14" s="38" t="inlineStr">
        <is>
          <t>pal_013</t>
        </is>
      </c>
      <c r="B14" s="38" t="n">
        <v>1</v>
      </c>
      <c r="C14" s="38" t="inlineStr">
        <is>
          <t>pT1</t>
        </is>
      </c>
      <c r="D14" s="38" t="n">
        <v>100</v>
      </c>
      <c r="E14" s="38" t="n">
        <v>60</v>
      </c>
      <c r="F14" s="38" t="inlineStr">
        <is>
          <t>来源对象 bz_van_013；主附魔 Icy；真实来源地点数 10</t>
        </is>
      </c>
      <c r="G14" t="inlineStr">
        <is>
          <t>playable</t>
        </is>
      </c>
    </row>
    <row r="15">
      <c r="A15" s="38" t="inlineStr">
        <is>
          <t>pal_014</t>
        </is>
      </c>
      <c r="B15" s="38" t="n">
        <v>2</v>
      </c>
      <c r="C15" s="38" t="inlineStr">
        <is>
          <t>pT2</t>
        </is>
      </c>
      <c r="D15" s="38" t="n">
        <v>85</v>
      </c>
      <c r="E15" s="38" t="n">
        <v>50</v>
      </c>
      <c r="F15" s="38" t="inlineStr">
        <is>
          <t>来源对象 bz_van_014；主附魔 Fiery；真实来源地点数 10</t>
        </is>
      </c>
      <c r="G15" t="inlineStr">
        <is>
          <t>playable</t>
        </is>
      </c>
    </row>
    <row r="16">
      <c r="A16" s="38" t="inlineStr">
        <is>
          <t>pal_015</t>
        </is>
      </c>
      <c r="B16" s="38" t="n">
        <v>2</v>
      </c>
      <c r="C16" s="38" t="inlineStr">
        <is>
          <t>pT2</t>
        </is>
      </c>
      <c r="D16" s="38" t="n">
        <v>85</v>
      </c>
      <c r="E16" s="38" t="n">
        <v>50</v>
      </c>
      <c r="F16" s="38" t="inlineStr">
        <is>
          <t>来源对象 bz_van_015；主附魔 Deadly；真实来源地点数 10</t>
        </is>
      </c>
      <c r="G16" t="inlineStr">
        <is>
          <t>playable</t>
        </is>
      </c>
    </row>
    <row r="17">
      <c r="A17" s="38" t="inlineStr">
        <is>
          <t>pal_016</t>
        </is>
      </c>
      <c r="B17" s="38" t="n">
        <v>1</v>
      </c>
      <c r="C17" s="38" t="inlineStr">
        <is>
          <t>pT1</t>
        </is>
      </c>
      <c r="D17" s="38" t="n">
        <v>100</v>
      </c>
      <c r="E17" s="38" t="n">
        <v>60</v>
      </c>
      <c r="F17" s="38" t="inlineStr">
        <is>
          <t>来源对象 bz_van_016；主附魔 Deadly；真实来源地点数 10</t>
        </is>
      </c>
      <c r="G17" t="inlineStr">
        <is>
          <t>playable</t>
        </is>
      </c>
    </row>
    <row r="18">
      <c r="A18" s="38" t="inlineStr">
        <is>
          <t>pal_017</t>
        </is>
      </c>
      <c r="B18" s="38" t="n">
        <v>1</v>
      </c>
      <c r="C18" s="38" t="inlineStr">
        <is>
          <t>pT1</t>
        </is>
      </c>
      <c r="D18" s="38" t="n">
        <v>100</v>
      </c>
      <c r="E18" s="38" t="n">
        <v>60</v>
      </c>
      <c r="F18" s="38" t="inlineStr">
        <is>
          <t>来源对象 bz_van_017；主附魔 Fiery；真实来源地点数 10</t>
        </is>
      </c>
      <c r="G18" t="inlineStr">
        <is>
          <t>playable</t>
        </is>
      </c>
    </row>
    <row r="19">
      <c r="A19" s="38" t="inlineStr">
        <is>
          <t>pal_018</t>
        </is>
      </c>
      <c r="B19" s="38" t="n">
        <v>4</v>
      </c>
      <c r="C19" s="38" t="inlineStr">
        <is>
          <t>pT3</t>
        </is>
      </c>
      <c r="D19" s="38" t="n">
        <v>65</v>
      </c>
      <c r="E19" s="38" t="n">
        <v>40</v>
      </c>
      <c r="F19" s="38" t="inlineStr">
        <is>
          <t>来源对象 bz_van_018；主附魔 Turbo；真实来源地点数 10</t>
        </is>
      </c>
      <c r="G19" t="inlineStr">
        <is>
          <t>playable</t>
        </is>
      </c>
    </row>
    <row r="20">
      <c r="A20" s="38" t="inlineStr">
        <is>
          <t>pal_019</t>
        </is>
      </c>
      <c r="B20" s="38" t="n">
        <v>2</v>
      </c>
      <c r="C20" s="38" t="inlineStr">
        <is>
          <t>pT2</t>
        </is>
      </c>
      <c r="D20" s="38" t="n">
        <v>85</v>
      </c>
      <c r="E20" s="38" t="n">
        <v>50</v>
      </c>
      <c r="F20" s="38" t="inlineStr">
        <is>
          <t>来源对象 bz_van_019；主附魔 Deadly；真实来源地点数 10</t>
        </is>
      </c>
      <c r="G20" t="inlineStr">
        <is>
          <t>playable</t>
        </is>
      </c>
    </row>
    <row r="21">
      <c r="A21" s="38" t="inlineStr">
        <is>
          <t>pal_020</t>
        </is>
      </c>
      <c r="B21" s="38" t="n">
        <v>2</v>
      </c>
      <c r="C21" s="38" t="inlineStr">
        <is>
          <t>pT2</t>
        </is>
      </c>
      <c r="D21" s="38" t="n">
        <v>85</v>
      </c>
      <c r="E21" s="38" t="n">
        <v>50</v>
      </c>
      <c r="F21" s="38" t="inlineStr">
        <is>
          <t>来源对象 bz_van_020；主附魔 Turbo；真实来源地点数 10</t>
        </is>
      </c>
      <c r="G21" t="inlineStr">
        <is>
          <t>playable</t>
        </is>
      </c>
    </row>
    <row r="22">
      <c r="A22" s="38" t="inlineStr">
        <is>
          <t>pal_021</t>
        </is>
      </c>
      <c r="B22" s="38" t="n">
        <v>2</v>
      </c>
      <c r="C22" s="38" t="inlineStr">
        <is>
          <t>pT2</t>
        </is>
      </c>
      <c r="D22" s="38" t="n">
        <v>85</v>
      </c>
      <c r="E22" s="38" t="n">
        <v>50</v>
      </c>
      <c r="F22" s="38" t="inlineStr">
        <is>
          <t>来源对象 bz_van_021；主附魔 Turbo；真实来源地点数 10</t>
        </is>
      </c>
      <c r="G22" t="inlineStr">
        <is>
          <t>playable</t>
        </is>
      </c>
    </row>
    <row r="23">
      <c r="A23" s="38" t="inlineStr">
        <is>
          <t>pal_022</t>
        </is>
      </c>
      <c r="B23" s="38" t="n">
        <v>2</v>
      </c>
      <c r="C23" s="38" t="inlineStr">
        <is>
          <t>pT2</t>
        </is>
      </c>
      <c r="D23" s="38" t="n">
        <v>85</v>
      </c>
      <c r="E23" s="38" t="n">
        <v>50</v>
      </c>
      <c r="F23" s="38" t="inlineStr">
        <is>
          <t>来源对象 bz_van_022；主附魔 Turbo；真实来源地点数 10</t>
        </is>
      </c>
      <c r="G23" t="inlineStr">
        <is>
          <t>playable</t>
        </is>
      </c>
    </row>
    <row r="24">
      <c r="A24" s="38" t="inlineStr">
        <is>
          <t>pal_023</t>
        </is>
      </c>
      <c r="B24" s="38" t="n">
        <v>1</v>
      </c>
      <c r="C24" s="38" t="inlineStr">
        <is>
          <t>pT1</t>
        </is>
      </c>
      <c r="D24" s="38" t="n">
        <v>100</v>
      </c>
      <c r="E24" s="38" t="n">
        <v>60</v>
      </c>
      <c r="F24" s="38" t="inlineStr">
        <is>
          <t>来源对象 bz_van_023；主附魔 Toxic；真实来源地点数 10</t>
        </is>
      </c>
      <c r="G24" t="inlineStr">
        <is>
          <t>playable</t>
        </is>
      </c>
    </row>
    <row r="25">
      <c r="A25" s="38" t="inlineStr">
        <is>
          <t>pal_024</t>
        </is>
      </c>
      <c r="B25" s="38" t="n">
        <v>2</v>
      </c>
      <c r="C25" s="38" t="inlineStr">
        <is>
          <t>pT2</t>
        </is>
      </c>
      <c r="D25" s="38" t="n">
        <v>85</v>
      </c>
      <c r="E25" s="38" t="n">
        <v>50</v>
      </c>
      <c r="F25" s="38" t="inlineStr">
        <is>
          <t>来源对象 bz_van_024；主附魔 Fiery；真实来源地点数 10</t>
        </is>
      </c>
      <c r="G25" t="inlineStr">
        <is>
          <t>playable</t>
        </is>
      </c>
    </row>
    <row r="26">
      <c r="A26" s="38" t="inlineStr">
        <is>
          <t>pal_025</t>
        </is>
      </c>
      <c r="B26" s="38" t="n">
        <v>1</v>
      </c>
      <c r="C26" s="38" t="inlineStr">
        <is>
          <t>pT1</t>
        </is>
      </c>
      <c r="D26" s="38" t="n">
        <v>100</v>
      </c>
      <c r="E26" s="38" t="n">
        <v>60</v>
      </c>
      <c r="F26" s="38" t="inlineStr">
        <is>
          <t>来源对象 bz_van_025；主附魔 Golden；真实来源地点数 10</t>
        </is>
      </c>
      <c r="G26" t="inlineStr">
        <is>
          <t>playable</t>
        </is>
      </c>
    </row>
    <row r="27">
      <c r="A27" s="38" t="inlineStr">
        <is>
          <t>pal_026</t>
        </is>
      </c>
      <c r="B27" s="38" t="n">
        <v>2</v>
      </c>
      <c r="C27" s="38" t="inlineStr">
        <is>
          <t>pT2</t>
        </is>
      </c>
      <c r="D27" s="38" t="n">
        <v>85</v>
      </c>
      <c r="E27" s="38" t="n">
        <v>50</v>
      </c>
      <c r="F27" s="38" t="inlineStr">
        <is>
          <t>来源对象 bz_van_026；主附魔 Icy；真实来源地点数 10</t>
        </is>
      </c>
      <c r="G27" t="inlineStr">
        <is>
          <t>playable</t>
        </is>
      </c>
    </row>
    <row r="28">
      <c r="A28" s="38" t="inlineStr">
        <is>
          <t>pal_027</t>
        </is>
      </c>
      <c r="B28" s="38" t="n">
        <v>1</v>
      </c>
      <c r="C28" s="38" t="inlineStr">
        <is>
          <t>pT1</t>
        </is>
      </c>
      <c r="D28" s="38" t="n">
        <v>100</v>
      </c>
      <c r="E28" s="38" t="n">
        <v>60</v>
      </c>
      <c r="F28" s="38" t="inlineStr">
        <is>
          <t>来源对象 bz_van_027；主附魔 Turbo；真实来源地点数 10</t>
        </is>
      </c>
      <c r="G28" t="inlineStr">
        <is>
          <t>playable</t>
        </is>
      </c>
    </row>
    <row r="29">
      <c r="A29" s="38" t="inlineStr">
        <is>
          <t>pal_028</t>
        </is>
      </c>
      <c r="B29" s="38" t="n">
        <v>1</v>
      </c>
      <c r="C29" s="38" t="inlineStr">
        <is>
          <t>pT1</t>
        </is>
      </c>
      <c r="D29" s="38" t="n">
        <v>100</v>
      </c>
      <c r="E29" s="38" t="n">
        <v>60</v>
      </c>
      <c r="F29" s="38" t="inlineStr">
        <is>
          <t>来源对象 bz_van_028；主附魔 Restorative；真实来源地点数 10</t>
        </is>
      </c>
      <c r="G29" t="inlineStr">
        <is>
          <t>playable</t>
        </is>
      </c>
    </row>
    <row r="30">
      <c r="A30" s="38" t="inlineStr">
        <is>
          <t>pal_029</t>
        </is>
      </c>
      <c r="B30" s="38" t="n">
        <v>1</v>
      </c>
      <c r="C30" s="38" t="inlineStr">
        <is>
          <t>pT1</t>
        </is>
      </c>
      <c r="D30" s="38" t="n">
        <v>100</v>
      </c>
      <c r="E30" s="38" t="n">
        <v>60</v>
      </c>
      <c r="F30" s="38" t="inlineStr">
        <is>
          <t>来源对象 bz_van_029；主附魔 Shielded；真实来源地点数 10</t>
        </is>
      </c>
      <c r="G30" t="inlineStr">
        <is>
          <t>playable</t>
        </is>
      </c>
    </row>
    <row r="31">
      <c r="A31" s="38" t="inlineStr">
        <is>
          <t>pal_030</t>
        </is>
      </c>
      <c r="B31" s="38" t="n">
        <v>1</v>
      </c>
      <c r="C31" s="38" t="inlineStr">
        <is>
          <t>pT1</t>
        </is>
      </c>
      <c r="D31" s="38" t="n">
        <v>100</v>
      </c>
      <c r="E31" s="38" t="n">
        <v>60</v>
      </c>
      <c r="F31" s="38" t="inlineStr">
        <is>
          <t>来源对象 bz_van_030；主附魔 Shielded；真实来源地点数 10</t>
        </is>
      </c>
      <c r="G31" t="inlineStr">
        <is>
          <t>playable</t>
        </is>
      </c>
    </row>
    <row r="32">
      <c r="A32" s="38" t="inlineStr">
        <is>
          <t>pal_031</t>
        </is>
      </c>
      <c r="B32" s="38" t="n">
        <v>4</v>
      </c>
      <c r="C32" s="38" t="inlineStr">
        <is>
          <t>pT2</t>
        </is>
      </c>
      <c r="D32" s="38" t="n">
        <v>85</v>
      </c>
      <c r="E32" s="38" t="n">
        <v>50</v>
      </c>
      <c r="F32" s="38" t="inlineStr">
        <is>
          <t>来源对象 bz_van_031；主附魔 Icy；真实来源地点数 1</t>
        </is>
      </c>
      <c r="G32" t="inlineStr">
        <is>
          <t>playable</t>
        </is>
      </c>
    </row>
    <row r="33">
      <c r="A33" s="38" t="inlineStr">
        <is>
          <t>pal_032</t>
        </is>
      </c>
      <c r="B33" s="38" t="n">
        <v>2</v>
      </c>
      <c r="C33" s="38" t="inlineStr">
        <is>
          <t>pT2</t>
        </is>
      </c>
      <c r="D33" s="38" t="n">
        <v>85</v>
      </c>
      <c r="E33" s="38" t="n">
        <v>50</v>
      </c>
      <c r="F33" s="38" t="inlineStr">
        <is>
          <t>来源对象 bz_van_032；主附魔 Turbo；真实来源地点数 10</t>
        </is>
      </c>
      <c r="G33" t="inlineStr">
        <is>
          <t>playable</t>
        </is>
      </c>
    </row>
    <row r="34">
      <c r="A34" s="38" t="inlineStr">
        <is>
          <t>pal_033</t>
        </is>
      </c>
      <c r="B34" s="38" t="n">
        <v>1</v>
      </c>
      <c r="C34" s="38" t="inlineStr">
        <is>
          <t>pT1</t>
        </is>
      </c>
      <c r="D34" s="38" t="n">
        <v>100</v>
      </c>
      <c r="E34" s="38" t="n">
        <v>60</v>
      </c>
      <c r="F34" s="38" t="inlineStr">
        <is>
          <t>来源对象 bz_van_033；主附魔 Icy；真实来源地点数 10</t>
        </is>
      </c>
      <c r="G34" t="inlineStr">
        <is>
          <t>playable</t>
        </is>
      </c>
    </row>
    <row r="35">
      <c r="A35" s="38" t="inlineStr">
        <is>
          <t>pal_034</t>
        </is>
      </c>
      <c r="B35" s="38" t="n">
        <v>2</v>
      </c>
      <c r="C35" s="38" t="inlineStr">
        <is>
          <t>pT2</t>
        </is>
      </c>
      <c r="D35" s="38" t="n">
        <v>85</v>
      </c>
      <c r="E35" s="38" t="n">
        <v>50</v>
      </c>
      <c r="F35" s="38" t="inlineStr">
        <is>
          <t>来源对象 bz_van_034；主附魔 Deadly；真实来源地点数 10</t>
        </is>
      </c>
      <c r="G35" t="inlineStr">
        <is>
          <t>playable</t>
        </is>
      </c>
    </row>
    <row r="36">
      <c r="A36" s="38" t="inlineStr">
        <is>
          <t>pal_035</t>
        </is>
      </c>
      <c r="B36" s="38" t="n">
        <v>4</v>
      </c>
      <c r="C36" s="38" t="inlineStr">
        <is>
          <t>pT3</t>
        </is>
      </c>
      <c r="D36" s="38" t="n">
        <v>65</v>
      </c>
      <c r="E36" s="38" t="n">
        <v>40</v>
      </c>
      <c r="F36" s="38" t="inlineStr">
        <is>
          <t>来源对象 bz_van_035；主附魔 Turbo；真实来源地点数 10</t>
        </is>
      </c>
      <c r="G36" t="inlineStr">
        <is>
          <t>playable</t>
        </is>
      </c>
    </row>
    <row r="37">
      <c r="A37" s="38" t="inlineStr">
        <is>
          <t>pal_036</t>
        </is>
      </c>
      <c r="B37" s="38" t="n">
        <v>2</v>
      </c>
      <c r="C37" s="38" t="inlineStr">
        <is>
          <t>pT2</t>
        </is>
      </c>
      <c r="D37" s="38" t="n">
        <v>85</v>
      </c>
      <c r="E37" s="38" t="n">
        <v>50</v>
      </c>
      <c r="F37" s="38" t="inlineStr">
        <is>
          <t>来源对象 bz_van_036；主附魔 Fiery；真实来源地点数 10</t>
        </is>
      </c>
      <c r="G37" t="inlineStr">
        <is>
          <t>playable</t>
        </is>
      </c>
    </row>
    <row r="38">
      <c r="A38" s="38" t="inlineStr">
        <is>
          <t>pal_037</t>
        </is>
      </c>
      <c r="B38" s="38" t="n">
        <v>2</v>
      </c>
      <c r="C38" s="38" t="inlineStr">
        <is>
          <t>pT2</t>
        </is>
      </c>
      <c r="D38" s="38" t="n">
        <v>85</v>
      </c>
      <c r="E38" s="38" t="n">
        <v>50</v>
      </c>
      <c r="F38" s="38" t="inlineStr">
        <is>
          <t>来源对象 bz_van_037；主附魔 Icy；真实来源地点数 10</t>
        </is>
      </c>
      <c r="G38" t="inlineStr">
        <is>
          <t>playable</t>
        </is>
      </c>
    </row>
    <row r="39">
      <c r="A39" s="38" t="inlineStr">
        <is>
          <t>pal_038</t>
        </is>
      </c>
      <c r="B39" s="38" t="n">
        <v>2</v>
      </c>
      <c r="C39" s="38" t="inlineStr">
        <is>
          <t>pT2</t>
        </is>
      </c>
      <c r="D39" s="38" t="n">
        <v>85</v>
      </c>
      <c r="E39" s="38" t="n">
        <v>50</v>
      </c>
      <c r="F39" s="38" t="inlineStr">
        <is>
          <t>来源对象 bz_van_038；主附魔 Turbo；真实来源地点数 10</t>
        </is>
      </c>
      <c r="G39" t="inlineStr">
        <is>
          <t>playable</t>
        </is>
      </c>
    </row>
    <row r="40">
      <c r="A40" s="38" t="inlineStr">
        <is>
          <t>pal_039</t>
        </is>
      </c>
      <c r="B40" s="38" t="n">
        <v>2</v>
      </c>
      <c r="C40" s="38" t="inlineStr">
        <is>
          <t>pT2</t>
        </is>
      </c>
      <c r="D40" s="38" t="n">
        <v>85</v>
      </c>
      <c r="E40" s="38" t="n">
        <v>50</v>
      </c>
      <c r="F40" s="38" t="inlineStr">
        <is>
          <t>来源对象 bz_van_039；主附魔 Turbo；真实来源地点数 10</t>
        </is>
      </c>
      <c r="G40" t="inlineStr">
        <is>
          <t>playable</t>
        </is>
      </c>
    </row>
    <row r="41">
      <c r="A41" s="38" t="inlineStr">
        <is>
          <t>pal_040</t>
        </is>
      </c>
      <c r="B41" s="38" t="n">
        <v>4</v>
      </c>
      <c r="C41" s="38" t="inlineStr">
        <is>
          <t>pT3</t>
        </is>
      </c>
      <c r="D41" s="38" t="n">
        <v>65</v>
      </c>
      <c r="E41" s="38" t="n">
        <v>40</v>
      </c>
      <c r="F41" s="38" t="inlineStr">
        <is>
          <t>来源对象 bz_van_040；主附魔 Turbo；真实来源地点数 10</t>
        </is>
      </c>
      <c r="G41" t="inlineStr">
        <is>
          <t>playable</t>
        </is>
      </c>
    </row>
    <row r="42">
      <c r="A42" s="38" t="inlineStr">
        <is>
          <t>pal_041</t>
        </is>
      </c>
      <c r="B42" s="38" t="n">
        <v>2</v>
      </c>
      <c r="C42" s="38" t="inlineStr">
        <is>
          <t>pT2</t>
        </is>
      </c>
      <c r="D42" s="38" t="n">
        <v>85</v>
      </c>
      <c r="E42" s="38" t="n">
        <v>50</v>
      </c>
      <c r="F42" s="38" t="inlineStr">
        <is>
          <t>来源对象 bz_van_041；主附魔 Icy；真实来源地点数 10</t>
        </is>
      </c>
      <c r="G42" t="inlineStr">
        <is>
          <t>playable</t>
        </is>
      </c>
    </row>
    <row r="43">
      <c r="A43" s="38" t="inlineStr">
        <is>
          <t>pal_042</t>
        </is>
      </c>
      <c r="B43" s="38" t="n">
        <v>1</v>
      </c>
      <c r="C43" s="38" t="inlineStr">
        <is>
          <t>pT1</t>
        </is>
      </c>
      <c r="D43" s="38" t="n">
        <v>100</v>
      </c>
      <c r="E43" s="38" t="n">
        <v>60</v>
      </c>
      <c r="F43" s="38" t="inlineStr">
        <is>
          <t>来源对象 bz_van_042；主附魔 Deadly；真实来源地点数 10</t>
        </is>
      </c>
      <c r="G43" t="inlineStr">
        <is>
          <t>playable</t>
        </is>
      </c>
    </row>
    <row r="44">
      <c r="A44" s="38" t="inlineStr">
        <is>
          <t>pal_043</t>
        </is>
      </c>
      <c r="B44" s="38" t="n">
        <v>4</v>
      </c>
      <c r="C44" s="38" t="inlineStr">
        <is>
          <t>pT3</t>
        </is>
      </c>
      <c r="D44" s="38" t="n">
        <v>65</v>
      </c>
      <c r="E44" s="38" t="n">
        <v>40</v>
      </c>
      <c r="F44" s="38" t="inlineStr">
        <is>
          <t>来源对象 bz_van_043；主附魔 Icy；真实来源地点数 10</t>
        </is>
      </c>
      <c r="G44" t="inlineStr">
        <is>
          <t>playable</t>
        </is>
      </c>
    </row>
    <row r="45">
      <c r="A45" s="38" t="inlineStr">
        <is>
          <t>pal_044</t>
        </is>
      </c>
      <c r="B45" s="38" t="n">
        <v>2</v>
      </c>
      <c r="C45" s="38" t="inlineStr">
        <is>
          <t>pT2</t>
        </is>
      </c>
      <c r="D45" s="38" t="n">
        <v>85</v>
      </c>
      <c r="E45" s="38" t="n">
        <v>50</v>
      </c>
      <c r="F45" s="38" t="inlineStr">
        <is>
          <t>来源对象 bz_van_044；主附魔 Fiery；真实来源地点数 10</t>
        </is>
      </c>
      <c r="G45" t="inlineStr">
        <is>
          <t>playable</t>
        </is>
      </c>
    </row>
    <row r="46">
      <c r="A46" s="38" t="inlineStr">
        <is>
          <t>pal_045</t>
        </is>
      </c>
      <c r="B46" s="38" t="n">
        <v>2</v>
      </c>
      <c r="C46" s="38" t="inlineStr">
        <is>
          <t>pT2</t>
        </is>
      </c>
      <c r="D46" s="38" t="n">
        <v>85</v>
      </c>
      <c r="E46" s="38" t="n">
        <v>50</v>
      </c>
      <c r="F46" s="38" t="inlineStr">
        <is>
          <t>来源对象 bz_van_045；主附魔 Turbo；真实来源地点数 10</t>
        </is>
      </c>
      <c r="G46" t="inlineStr">
        <is>
          <t>playable</t>
        </is>
      </c>
    </row>
    <row r="47">
      <c r="A47" s="38" t="inlineStr">
        <is>
          <t>pal_046</t>
        </is>
      </c>
      <c r="B47" s="38" t="n">
        <v>1</v>
      </c>
      <c r="C47" s="38" t="inlineStr">
        <is>
          <t>pT1</t>
        </is>
      </c>
      <c r="D47" s="38" t="n">
        <v>100</v>
      </c>
      <c r="E47" s="38" t="n">
        <v>60</v>
      </c>
      <c r="F47" s="38" t="inlineStr">
        <is>
          <t>来源对象 bz_van_046；主附魔 Icy；真实来源地点数 10</t>
        </is>
      </c>
      <c r="G47" t="inlineStr">
        <is>
          <t>playable</t>
        </is>
      </c>
    </row>
    <row r="48">
      <c r="A48" s="38" t="inlineStr">
        <is>
          <t>pal_047</t>
        </is>
      </c>
      <c r="B48" s="38" t="n">
        <v>1</v>
      </c>
      <c r="C48" s="38" t="inlineStr">
        <is>
          <t>pT1</t>
        </is>
      </c>
      <c r="D48" s="38" t="n">
        <v>100</v>
      </c>
      <c r="E48" s="38" t="n">
        <v>60</v>
      </c>
      <c r="F48" s="38" t="inlineStr">
        <is>
          <t>来源对象 bz_van_047；主附魔 Turbo；真实来源地点数 10</t>
        </is>
      </c>
      <c r="G48" t="inlineStr">
        <is>
          <t>playable</t>
        </is>
      </c>
    </row>
    <row r="49">
      <c r="A49" s="38" t="inlineStr">
        <is>
          <t>pal_048</t>
        </is>
      </c>
      <c r="B49" s="38" t="n">
        <v>4</v>
      </c>
      <c r="C49" s="38" t="inlineStr">
        <is>
          <t>pT2</t>
        </is>
      </c>
      <c r="D49" s="38" t="n">
        <v>85</v>
      </c>
      <c r="E49" s="38" t="n">
        <v>50</v>
      </c>
      <c r="F49" s="38" t="inlineStr">
        <is>
          <t>来源对象 bz_van_048；主附魔 Deadly；真实来源地点数 1</t>
        </is>
      </c>
      <c r="G49" t="inlineStr">
        <is>
          <t>playable</t>
        </is>
      </c>
    </row>
    <row r="50">
      <c r="A50" s="38" t="inlineStr">
        <is>
          <t>pal_049</t>
        </is>
      </c>
      <c r="B50" s="38" t="n">
        <v>1</v>
      </c>
      <c r="C50" s="38" t="inlineStr">
        <is>
          <t>pT1</t>
        </is>
      </c>
      <c r="D50" s="38" t="n">
        <v>100</v>
      </c>
      <c r="E50" s="38" t="n">
        <v>60</v>
      </c>
      <c r="F50" s="38" t="inlineStr">
        <is>
          <t>来源对象 bz_van_049；主附魔 Turbo；真实来源地点数 10</t>
        </is>
      </c>
      <c r="G50" t="inlineStr">
        <is>
          <t>playable</t>
        </is>
      </c>
    </row>
    <row r="51">
      <c r="A51" s="38" t="inlineStr">
        <is>
          <t>pal_050</t>
        </is>
      </c>
      <c r="B51" s="38" t="n">
        <v>1</v>
      </c>
      <c r="C51" s="38" t="inlineStr">
        <is>
          <t>pT1</t>
        </is>
      </c>
      <c r="D51" s="38" t="n">
        <v>100</v>
      </c>
      <c r="E51" s="38" t="n">
        <v>60</v>
      </c>
      <c r="F51" s="38" t="inlineStr">
        <is>
          <t>来源对象 bz_van_050；主附魔 Deadly；真实来源地点数 10</t>
        </is>
      </c>
      <c r="G51" t="inlineStr">
        <is>
          <t>playable</t>
        </is>
      </c>
    </row>
    <row r="52">
      <c r="A52" s="38" t="inlineStr">
        <is>
          <t>pal_051</t>
        </is>
      </c>
      <c r="B52" s="38" t="n">
        <v>1</v>
      </c>
      <c r="C52" s="38" t="inlineStr">
        <is>
          <t>pT1</t>
        </is>
      </c>
      <c r="D52" s="38" t="n">
        <v>100</v>
      </c>
      <c r="E52" s="38" t="n">
        <v>60</v>
      </c>
      <c r="F52" s="38" t="inlineStr">
        <is>
          <t>来源对象 bz_van_051；主附魔 Icy；真实来源地点数 10</t>
        </is>
      </c>
      <c r="G52" t="inlineStr">
        <is>
          <t>playable</t>
        </is>
      </c>
    </row>
    <row r="53">
      <c r="A53" s="38" t="inlineStr">
        <is>
          <t>pal_052</t>
        </is>
      </c>
      <c r="B53" s="38" t="n">
        <v>1</v>
      </c>
      <c r="C53" s="38" t="inlineStr">
        <is>
          <t>pT1</t>
        </is>
      </c>
      <c r="D53" s="38" t="n">
        <v>100</v>
      </c>
      <c r="E53" s="38" t="n">
        <v>60</v>
      </c>
      <c r="F53" s="38" t="inlineStr">
        <is>
          <t>来源对象 bz_van_052；主附魔 Deadly；真实来源地点数 10</t>
        </is>
      </c>
      <c r="G53" t="inlineStr">
        <is>
          <t>playable</t>
        </is>
      </c>
    </row>
    <row r="54">
      <c r="A54" s="38" t="inlineStr">
        <is>
          <t>pal_053</t>
        </is>
      </c>
      <c r="B54" s="38" t="n">
        <v>1</v>
      </c>
      <c r="C54" s="38" t="inlineStr">
        <is>
          <t>pT1</t>
        </is>
      </c>
      <c r="D54" s="38" t="n">
        <v>100</v>
      </c>
      <c r="E54" s="38" t="n">
        <v>60</v>
      </c>
      <c r="F54" s="38" t="inlineStr">
        <is>
          <t>来源对象 bz_van_053；主附魔 Deadly；真实来源地点数 10</t>
        </is>
      </c>
      <c r="G54" t="inlineStr">
        <is>
          <t>playable</t>
        </is>
      </c>
    </row>
    <row r="55">
      <c r="A55" s="38" t="inlineStr">
        <is>
          <t>pal_054</t>
        </is>
      </c>
      <c r="B55" s="38" t="n">
        <v>2</v>
      </c>
      <c r="C55" s="38" t="inlineStr">
        <is>
          <t>pT2</t>
        </is>
      </c>
      <c r="D55" s="38" t="n">
        <v>85</v>
      </c>
      <c r="E55" s="38" t="n">
        <v>50</v>
      </c>
      <c r="F55" s="38" t="inlineStr">
        <is>
          <t>来源对象 bz_van_054；主附魔 Obsidian；真实来源地点数 10</t>
        </is>
      </c>
      <c r="G55" t="inlineStr">
        <is>
          <t>playable</t>
        </is>
      </c>
    </row>
    <row r="56">
      <c r="A56" s="38" t="inlineStr">
        <is>
          <t>pal_055</t>
        </is>
      </c>
      <c r="B56" s="38" t="n">
        <v>2</v>
      </c>
      <c r="C56" s="38" t="inlineStr">
        <is>
          <t>pT2</t>
        </is>
      </c>
      <c r="D56" s="38" t="n">
        <v>85</v>
      </c>
      <c r="E56" s="38" t="n">
        <v>50</v>
      </c>
      <c r="F56" s="38" t="inlineStr">
        <is>
          <t>来源对象 bz_van_055；主附魔 Turbo；真实来源地点数 10</t>
        </is>
      </c>
      <c r="G56" t="inlineStr">
        <is>
          <t>playable</t>
        </is>
      </c>
    </row>
    <row r="57">
      <c r="A57" s="38" t="inlineStr">
        <is>
          <t>pal_056</t>
        </is>
      </c>
      <c r="B57" s="38" t="n">
        <v>1</v>
      </c>
      <c r="C57" s="38" t="inlineStr">
        <is>
          <t>pT1</t>
        </is>
      </c>
      <c r="D57" s="38" t="n">
        <v>100</v>
      </c>
      <c r="E57" s="38" t="n">
        <v>60</v>
      </c>
      <c r="F57" s="38" t="inlineStr">
        <is>
          <t>来源对象 bz_van_056；主附魔 Deadly；真实来源地点数 10</t>
        </is>
      </c>
      <c r="G57" t="inlineStr">
        <is>
          <t>playable</t>
        </is>
      </c>
    </row>
    <row r="58">
      <c r="A58" s="38" t="inlineStr">
        <is>
          <t>pal_057</t>
        </is>
      </c>
      <c r="B58" s="38" t="n">
        <v>2</v>
      </c>
      <c r="C58" s="38" t="inlineStr">
        <is>
          <t>pT2</t>
        </is>
      </c>
      <c r="D58" s="38" t="n">
        <v>85</v>
      </c>
      <c r="E58" s="38" t="n">
        <v>50</v>
      </c>
      <c r="F58" s="38" t="inlineStr">
        <is>
          <t>来源对象 bz_van_057；主附魔 Icy；真实来源地点数 10</t>
        </is>
      </c>
      <c r="G58" t="inlineStr">
        <is>
          <t>playable</t>
        </is>
      </c>
    </row>
    <row r="59">
      <c r="A59" s="38" t="inlineStr">
        <is>
          <t>pal_058</t>
        </is>
      </c>
      <c r="B59" s="38" t="n">
        <v>6</v>
      </c>
      <c r="C59" s="38" t="inlineStr">
        <is>
          <t>pT4</t>
        </is>
      </c>
      <c r="D59" s="38" t="n">
        <v>40</v>
      </c>
      <c r="E59" s="38" t="n">
        <v>25</v>
      </c>
      <c r="F59" s="38" t="inlineStr">
        <is>
          <t>来源对象 bz_van_058；主附魔 Icy；真实来源地点数 10</t>
        </is>
      </c>
      <c r="G59" t="inlineStr">
        <is>
          <t>playable</t>
        </is>
      </c>
    </row>
    <row r="60">
      <c r="A60" s="38" t="inlineStr">
        <is>
          <t>pal_059</t>
        </is>
      </c>
      <c r="B60" s="38" t="n">
        <v>1</v>
      </c>
      <c r="C60" s="38" t="inlineStr">
        <is>
          <t>pT1</t>
        </is>
      </c>
      <c r="D60" s="38" t="n">
        <v>100</v>
      </c>
      <c r="E60" s="38" t="n">
        <v>60</v>
      </c>
      <c r="F60" s="38" t="inlineStr">
        <is>
          <t>来源对象 bz_van_059；主附魔 Icy；真实来源地点数 10</t>
        </is>
      </c>
      <c r="G60" t="inlineStr">
        <is>
          <t>playable</t>
        </is>
      </c>
    </row>
    <row r="61">
      <c r="A61" s="38" t="inlineStr">
        <is>
          <t>pal_060</t>
        </is>
      </c>
      <c r="B61" s="38" t="n">
        <v>2</v>
      </c>
      <c r="C61" s="38" t="inlineStr">
        <is>
          <t>pT2</t>
        </is>
      </c>
      <c r="D61" s="38" t="n">
        <v>85</v>
      </c>
      <c r="E61" s="38" t="n">
        <v>50</v>
      </c>
      <c r="F61" s="38" t="inlineStr">
        <is>
          <t>来源对象 bz_van_060；主附魔 Fiery；真实来源地点数 10</t>
        </is>
      </c>
      <c r="G61" t="inlineStr">
        <is>
          <t>playable</t>
        </is>
      </c>
    </row>
    <row r="62">
      <c r="A62" s="38" t="inlineStr">
        <is>
          <t>pal_061</t>
        </is>
      </c>
      <c r="B62" s="38" t="n">
        <v>2</v>
      </c>
      <c r="C62" s="38" t="inlineStr">
        <is>
          <t>pT2</t>
        </is>
      </c>
      <c r="D62" s="38" t="n">
        <v>85</v>
      </c>
      <c r="E62" s="38" t="n">
        <v>50</v>
      </c>
      <c r="F62" s="38" t="inlineStr">
        <is>
          <t>来源对象 bz_van_061；主附魔 Icy；真实来源地点数 10</t>
        </is>
      </c>
      <c r="G62" t="inlineStr">
        <is>
          <t>playable</t>
        </is>
      </c>
    </row>
    <row r="63">
      <c r="A63" s="38" t="inlineStr">
        <is>
          <t>pal_062</t>
        </is>
      </c>
      <c r="B63" s="38" t="n">
        <v>2</v>
      </c>
      <c r="C63" s="38" t="inlineStr">
        <is>
          <t>pT2</t>
        </is>
      </c>
      <c r="D63" s="38" t="n">
        <v>85</v>
      </c>
      <c r="E63" s="38" t="n">
        <v>50</v>
      </c>
      <c r="F63" s="38" t="inlineStr">
        <is>
          <t>来源对象 bz_van_062；主附魔 Turbo；真实来源地点数 10</t>
        </is>
      </c>
      <c r="G63" t="inlineStr">
        <is>
          <t>playable</t>
        </is>
      </c>
    </row>
    <row r="64">
      <c r="A64" s="38" t="inlineStr">
        <is>
          <t>pal_063</t>
        </is>
      </c>
      <c r="B64" s="38" t="n">
        <v>1</v>
      </c>
      <c r="C64" s="38" t="inlineStr">
        <is>
          <t>pT1</t>
        </is>
      </c>
      <c r="D64" s="38" t="n">
        <v>100</v>
      </c>
      <c r="E64" s="38" t="n">
        <v>60</v>
      </c>
      <c r="F64" s="38" t="inlineStr">
        <is>
          <t>来源对象 bz_van_063；主附魔 Toxic；真实来源地点数 10</t>
        </is>
      </c>
      <c r="G64" t="inlineStr">
        <is>
          <t>playable</t>
        </is>
      </c>
    </row>
    <row r="65">
      <c r="A65" s="38" t="inlineStr">
        <is>
          <t>pal_064</t>
        </is>
      </c>
      <c r="B65" s="38" t="n">
        <v>2</v>
      </c>
      <c r="C65" s="38" t="inlineStr">
        <is>
          <t>pT2</t>
        </is>
      </c>
      <c r="D65" s="38" t="n">
        <v>85</v>
      </c>
      <c r="E65" s="38" t="n">
        <v>50</v>
      </c>
      <c r="F65" s="38" t="inlineStr">
        <is>
          <t>来源对象 bz_van_064；主附魔 Turbo；真实来源地点数 10</t>
        </is>
      </c>
      <c r="G65" t="inlineStr">
        <is>
          <t>playable</t>
        </is>
      </c>
    </row>
    <row r="66">
      <c r="A66" s="38" t="inlineStr">
        <is>
          <t>pal_065</t>
        </is>
      </c>
      <c r="B66" s="38" t="n">
        <v>2</v>
      </c>
      <c r="C66" s="38" t="inlineStr">
        <is>
          <t>pT2</t>
        </is>
      </c>
      <c r="D66" s="38" t="n">
        <v>85</v>
      </c>
      <c r="E66" s="38" t="n">
        <v>50</v>
      </c>
      <c r="F66" s="38" t="inlineStr">
        <is>
          <t>来源对象 bz_van_065；主附魔 Icy；真实来源地点数 10</t>
        </is>
      </c>
      <c r="G66" t="inlineStr">
        <is>
          <t>playable</t>
        </is>
      </c>
    </row>
    <row r="67">
      <c r="A67" s="38" t="inlineStr">
        <is>
          <t>pal_066</t>
        </is>
      </c>
      <c r="B67" s="38" t="n">
        <v>1</v>
      </c>
      <c r="C67" s="38" t="inlineStr">
        <is>
          <t>pT1</t>
        </is>
      </c>
      <c r="D67" s="38" t="n">
        <v>100</v>
      </c>
      <c r="E67" s="38" t="n">
        <v>60</v>
      </c>
      <c r="F67" s="38" t="inlineStr">
        <is>
          <t>来源对象 bz_van_066；主附魔 Deadly；真实来源地点数 10</t>
        </is>
      </c>
      <c r="G67" t="inlineStr">
        <is>
          <t>playable</t>
        </is>
      </c>
    </row>
    <row r="68">
      <c r="A68" s="38" t="inlineStr">
        <is>
          <t>pal_067</t>
        </is>
      </c>
      <c r="B68" s="38" t="n">
        <v>2</v>
      </c>
      <c r="C68" s="38" t="inlineStr">
        <is>
          <t>pT2</t>
        </is>
      </c>
      <c r="D68" s="38" t="n">
        <v>85</v>
      </c>
      <c r="E68" s="38" t="n">
        <v>50</v>
      </c>
      <c r="F68" s="38" t="inlineStr">
        <is>
          <t>来源对象 bz_van_067；主附魔 Deadly；真实来源地点数 10</t>
        </is>
      </c>
      <c r="G68" t="inlineStr">
        <is>
          <t>playable</t>
        </is>
      </c>
    </row>
    <row r="69">
      <c r="A69" s="38" t="inlineStr">
        <is>
          <t>pal_068</t>
        </is>
      </c>
      <c r="B69" s="38" t="n">
        <v>2</v>
      </c>
      <c r="C69" s="38" t="inlineStr">
        <is>
          <t>pT2</t>
        </is>
      </c>
      <c r="D69" s="38" t="n">
        <v>85</v>
      </c>
      <c r="E69" s="38" t="n">
        <v>50</v>
      </c>
      <c r="F69" s="38" t="inlineStr">
        <is>
          <t>来源对象 bz_van_068；主附魔 Icy；真实来源地点数 10</t>
        </is>
      </c>
      <c r="G69" t="inlineStr">
        <is>
          <t>playable</t>
        </is>
      </c>
    </row>
    <row r="70">
      <c r="A70" s="38" t="inlineStr">
        <is>
          <t>pal_069</t>
        </is>
      </c>
      <c r="B70" s="38" t="n">
        <v>1</v>
      </c>
      <c r="C70" s="38" t="inlineStr">
        <is>
          <t>pT1</t>
        </is>
      </c>
      <c r="D70" s="38" t="n">
        <v>100</v>
      </c>
      <c r="E70" s="38" t="n">
        <v>60</v>
      </c>
      <c r="F70" s="38" t="inlineStr">
        <is>
          <t>来源对象 bz_van_069；主附魔 Deadly；真实来源地点数 10</t>
        </is>
      </c>
      <c r="G70" t="inlineStr">
        <is>
          <t>playable</t>
        </is>
      </c>
    </row>
    <row r="71">
      <c r="A71" s="38" t="inlineStr">
        <is>
          <t>pal_070</t>
        </is>
      </c>
      <c r="B71" s="38" t="n">
        <v>1</v>
      </c>
      <c r="C71" s="38" t="inlineStr">
        <is>
          <t>pT1</t>
        </is>
      </c>
      <c r="D71" s="38" t="n">
        <v>100</v>
      </c>
      <c r="E71" s="38" t="n">
        <v>60</v>
      </c>
      <c r="F71" s="38" t="inlineStr">
        <is>
          <t>来源对象 bz_van_070；主附魔 Restorative；真实来源地点数 10</t>
        </is>
      </c>
      <c r="G71" t="inlineStr">
        <is>
          <t>playable</t>
        </is>
      </c>
    </row>
    <row r="72">
      <c r="A72" s="38" t="inlineStr">
        <is>
          <t>pal_071</t>
        </is>
      </c>
      <c r="B72" s="38" t="n">
        <v>1</v>
      </c>
      <c r="C72" s="38" t="inlineStr">
        <is>
          <t>pT1</t>
        </is>
      </c>
      <c r="D72" s="38" t="n">
        <v>100</v>
      </c>
      <c r="E72" s="38" t="n">
        <v>60</v>
      </c>
      <c r="F72" s="38" t="inlineStr">
        <is>
          <t>来源对象 bz_van_071；主附魔 Fiery；真实来源地点数 10</t>
        </is>
      </c>
      <c r="G72" t="inlineStr">
        <is>
          <t>playable</t>
        </is>
      </c>
    </row>
    <row r="73">
      <c r="A73" s="38" t="inlineStr">
        <is>
          <t>pal_072</t>
        </is>
      </c>
      <c r="B73" s="38" t="n">
        <v>4</v>
      </c>
      <c r="C73" s="38" t="inlineStr">
        <is>
          <t>pT3</t>
        </is>
      </c>
      <c r="D73" s="38" t="n">
        <v>65</v>
      </c>
      <c r="E73" s="38" t="n">
        <v>40</v>
      </c>
      <c r="F73" s="38" t="inlineStr">
        <is>
          <t>来源对象 bz_van_072；主附魔 Fiery；真实来源地点数 10</t>
        </is>
      </c>
      <c r="G73" t="inlineStr">
        <is>
          <t>playable</t>
        </is>
      </c>
    </row>
    <row r="74">
      <c r="A74" s="38" t="inlineStr">
        <is>
          <t>pal_073</t>
        </is>
      </c>
      <c r="B74" s="38" t="n">
        <v>2</v>
      </c>
      <c r="C74" s="38" t="inlineStr">
        <is>
          <t>pT2</t>
        </is>
      </c>
      <c r="D74" s="38" t="n">
        <v>85</v>
      </c>
      <c r="E74" s="38" t="n">
        <v>50</v>
      </c>
      <c r="F74" s="38" t="inlineStr">
        <is>
          <t>来源对象 bz_van_073；主附魔 Golden；真实来源地点数 10</t>
        </is>
      </c>
      <c r="G74" t="inlineStr">
        <is>
          <t>playable</t>
        </is>
      </c>
    </row>
    <row r="75">
      <c r="A75" s="38" t="inlineStr">
        <is>
          <t>pal_074</t>
        </is>
      </c>
      <c r="B75" s="38" t="n">
        <v>1</v>
      </c>
      <c r="C75" s="38" t="inlineStr">
        <is>
          <t>pT1</t>
        </is>
      </c>
      <c r="D75" s="38" t="n">
        <v>100</v>
      </c>
      <c r="E75" s="38" t="n">
        <v>60</v>
      </c>
      <c r="F75" s="38" t="inlineStr">
        <is>
          <t>来源对象 bz_van_074；主附魔 Fiery；真实来源地点数 10</t>
        </is>
      </c>
      <c r="G75" t="inlineStr">
        <is>
          <t>playable</t>
        </is>
      </c>
    </row>
    <row r="76">
      <c r="A76" s="38" t="inlineStr">
        <is>
          <t>pal_075</t>
        </is>
      </c>
      <c r="B76" s="38" t="n">
        <v>1</v>
      </c>
      <c r="C76" s="38" t="inlineStr">
        <is>
          <t>pT1</t>
        </is>
      </c>
      <c r="D76" s="38" t="n">
        <v>100</v>
      </c>
      <c r="E76" s="38" t="n">
        <v>60</v>
      </c>
      <c r="F76" s="38" t="inlineStr">
        <is>
          <t>来源对象 bz_van_075；主附魔 Deadly；真实来源地点数 10</t>
        </is>
      </c>
      <c r="G76" t="inlineStr">
        <is>
          <t>playable</t>
        </is>
      </c>
    </row>
    <row r="77">
      <c r="A77" s="38" t="inlineStr">
        <is>
          <t>pal_076</t>
        </is>
      </c>
      <c r="B77" s="38" t="n">
        <v>2</v>
      </c>
      <c r="C77" s="38" t="inlineStr">
        <is>
          <t>pT2</t>
        </is>
      </c>
      <c r="D77" s="38" t="n">
        <v>85</v>
      </c>
      <c r="E77" s="38" t="n">
        <v>50</v>
      </c>
      <c r="F77" s="38" t="inlineStr">
        <is>
          <t>来源对象 bz_van_076；主附魔 Icy；真实来源地点数 10</t>
        </is>
      </c>
      <c r="G77" t="inlineStr">
        <is>
          <t>playable</t>
        </is>
      </c>
    </row>
    <row r="78">
      <c r="A78" s="38" t="inlineStr">
        <is>
          <t>pal_077</t>
        </is>
      </c>
      <c r="B78" s="38" t="n">
        <v>2</v>
      </c>
      <c r="C78" s="38" t="inlineStr">
        <is>
          <t>pT2</t>
        </is>
      </c>
      <c r="D78" s="38" t="n">
        <v>85</v>
      </c>
      <c r="E78" s="38" t="n">
        <v>50</v>
      </c>
      <c r="F78" s="38" t="inlineStr">
        <is>
          <t>来源对象 bz_van_077；主附魔 Fiery；真实来源地点数 10</t>
        </is>
      </c>
      <c r="G78" t="inlineStr">
        <is>
          <t>playable</t>
        </is>
      </c>
    </row>
    <row r="79">
      <c r="A79" s="38" t="inlineStr">
        <is>
          <t>pal_078</t>
        </is>
      </c>
      <c r="B79" s="38" t="n">
        <v>1</v>
      </c>
      <c r="C79" s="38" t="inlineStr">
        <is>
          <t>pT1</t>
        </is>
      </c>
      <c r="D79" s="38" t="n">
        <v>100</v>
      </c>
      <c r="E79" s="38" t="n">
        <v>60</v>
      </c>
      <c r="F79" s="38" t="inlineStr">
        <is>
          <t>来源对象 bz_van_078；主附魔 Deadly；真实来源地点数 10</t>
        </is>
      </c>
      <c r="G79" t="inlineStr">
        <is>
          <t>playable</t>
        </is>
      </c>
    </row>
    <row r="80">
      <c r="A80" s="38" t="inlineStr">
        <is>
          <t>pal_079</t>
        </is>
      </c>
      <c r="B80" s="38" t="n">
        <v>2</v>
      </c>
      <c r="C80" s="38" t="inlineStr">
        <is>
          <t>pT2</t>
        </is>
      </c>
      <c r="D80" s="38" t="n">
        <v>85</v>
      </c>
      <c r="E80" s="38" t="n">
        <v>50</v>
      </c>
      <c r="F80" s="38" t="inlineStr">
        <is>
          <t>来源对象 bz_van_079；主附魔 Shielded；真实来源地点数 10</t>
        </is>
      </c>
      <c r="G80" t="inlineStr">
        <is>
          <t>playable</t>
        </is>
      </c>
    </row>
    <row r="81">
      <c r="A81" s="38" t="inlineStr">
        <is>
          <t>pal_080</t>
        </is>
      </c>
      <c r="B81" s="38" t="n">
        <v>2</v>
      </c>
      <c r="C81" s="38" t="inlineStr">
        <is>
          <t>pT2</t>
        </is>
      </c>
      <c r="D81" s="38" t="n">
        <v>85</v>
      </c>
      <c r="E81" s="38" t="n">
        <v>50</v>
      </c>
      <c r="F81" s="38" t="inlineStr">
        <is>
          <t>来源对象 bz_van_080；主附魔 Icy；真实来源地点数 10</t>
        </is>
      </c>
      <c r="G81" t="inlineStr">
        <is>
          <t>playable</t>
        </is>
      </c>
    </row>
    <row r="82">
      <c r="A82" s="38" t="inlineStr">
        <is>
          <t>pal_081</t>
        </is>
      </c>
      <c r="B82" s="38" t="n">
        <v>2</v>
      </c>
      <c r="C82" s="38" t="inlineStr">
        <is>
          <t>pT2</t>
        </is>
      </c>
      <c r="D82" s="38" t="n">
        <v>85</v>
      </c>
      <c r="E82" s="38" t="n">
        <v>50</v>
      </c>
      <c r="F82" s="38" t="inlineStr">
        <is>
          <t>来源对象 bz_van_081；主附魔 Fiery；真实来源地点数 10</t>
        </is>
      </c>
      <c r="G82" t="inlineStr">
        <is>
          <t>playable</t>
        </is>
      </c>
    </row>
    <row r="83">
      <c r="A83" s="38" t="inlineStr">
        <is>
          <t>pal_082</t>
        </is>
      </c>
      <c r="B83" s="38" t="n">
        <v>2</v>
      </c>
      <c r="C83" s="38" t="inlineStr">
        <is>
          <t>pT2</t>
        </is>
      </c>
      <c r="D83" s="38" t="n">
        <v>85</v>
      </c>
      <c r="E83" s="38" t="n">
        <v>50</v>
      </c>
      <c r="F83" s="38" t="inlineStr">
        <is>
          <t>来源对象 bz_van_082；主附魔 Golden；真实来源地点数 10</t>
        </is>
      </c>
      <c r="G83" t="inlineStr">
        <is>
          <t>playable</t>
        </is>
      </c>
    </row>
    <row r="84">
      <c r="A84" s="38" t="inlineStr">
        <is>
          <t>pal_083</t>
        </is>
      </c>
      <c r="B84" s="38" t="n">
        <v>1</v>
      </c>
      <c r="C84" s="38" t="inlineStr">
        <is>
          <t>pT1</t>
        </is>
      </c>
      <c r="D84" s="38" t="n">
        <v>100</v>
      </c>
      <c r="E84" s="38" t="n">
        <v>60</v>
      </c>
      <c r="F84" s="38" t="inlineStr">
        <is>
          <t>来源对象 bz_van_083；主附魔 Turbo；真实来源地点数 10</t>
        </is>
      </c>
      <c r="G84" t="inlineStr">
        <is>
          <t>playable</t>
        </is>
      </c>
    </row>
    <row r="85">
      <c r="A85" s="38" t="inlineStr">
        <is>
          <t>pal_084</t>
        </is>
      </c>
      <c r="B85" s="38" t="n">
        <v>1</v>
      </c>
      <c r="C85" s="38" t="inlineStr">
        <is>
          <t>pT1</t>
        </is>
      </c>
      <c r="D85" s="38" t="n">
        <v>100</v>
      </c>
      <c r="E85" s="38" t="n">
        <v>60</v>
      </c>
      <c r="F85" s="38" t="inlineStr">
        <is>
          <t>来源对象 bz_van_084；主附魔 Fiery；真实来源地点数 10</t>
        </is>
      </c>
      <c r="G85" t="inlineStr">
        <is>
          <t>playable</t>
        </is>
      </c>
    </row>
    <row r="86">
      <c r="A86" s="38" t="inlineStr">
        <is>
          <t>pal_085</t>
        </is>
      </c>
      <c r="B86" s="38" t="n">
        <v>1</v>
      </c>
      <c r="C86" s="38" t="inlineStr">
        <is>
          <t>pT1</t>
        </is>
      </c>
      <c r="D86" s="38" t="n">
        <v>100</v>
      </c>
      <c r="E86" s="38" t="n">
        <v>60</v>
      </c>
      <c r="F86" s="38" t="inlineStr">
        <is>
          <t>来源对象 bz_van_085；主附魔 Deadly；真实来源地点数 10</t>
        </is>
      </c>
      <c r="G86" t="inlineStr">
        <is>
          <t>playable</t>
        </is>
      </c>
    </row>
    <row r="87">
      <c r="A87" s="38" t="inlineStr">
        <is>
          <t>pal_086</t>
        </is>
      </c>
      <c r="B87" s="38" t="n">
        <v>4</v>
      </c>
      <c r="C87" s="38" t="inlineStr">
        <is>
          <t>pT3</t>
        </is>
      </c>
      <c r="D87" s="38" t="n">
        <v>65</v>
      </c>
      <c r="E87" s="38" t="n">
        <v>40</v>
      </c>
      <c r="F87" s="38" t="inlineStr">
        <is>
          <t>来源对象 bz_van_086；主附魔 Turbo；真实来源地点数 10</t>
        </is>
      </c>
      <c r="G87" t="inlineStr">
        <is>
          <t>playable</t>
        </is>
      </c>
    </row>
    <row r="88">
      <c r="A88" s="38" t="inlineStr">
        <is>
          <t>pal_087</t>
        </is>
      </c>
      <c r="B88" s="38" t="n">
        <v>1</v>
      </c>
      <c r="C88" s="38" t="inlineStr">
        <is>
          <t>pT1</t>
        </is>
      </c>
      <c r="D88" s="38" t="n">
        <v>100</v>
      </c>
      <c r="E88" s="38" t="n">
        <v>60</v>
      </c>
      <c r="F88" s="38" t="inlineStr">
        <is>
          <t>来源对象 bz_van_087；主附魔 Turbo；真实来源地点数 10</t>
        </is>
      </c>
      <c r="G88" t="inlineStr">
        <is>
          <t>playable</t>
        </is>
      </c>
    </row>
    <row r="89">
      <c r="A89" s="38" t="inlineStr">
        <is>
          <t>pal_088</t>
        </is>
      </c>
      <c r="B89" s="38" t="n">
        <v>4</v>
      </c>
      <c r="C89" s="38" t="inlineStr">
        <is>
          <t>pT3</t>
        </is>
      </c>
      <c r="D89" s="38" t="n">
        <v>65</v>
      </c>
      <c r="E89" s="38" t="n">
        <v>40</v>
      </c>
      <c r="F89" s="38" t="inlineStr">
        <is>
          <t>来源对象 bz_van_088；主附魔 Deadly；真实来源地点数 10</t>
        </is>
      </c>
      <c r="G89" t="inlineStr">
        <is>
          <t>playable</t>
        </is>
      </c>
    </row>
    <row r="90">
      <c r="A90" s="38" t="inlineStr">
        <is>
          <t>pal_089</t>
        </is>
      </c>
      <c r="B90" s="38" t="n">
        <v>1</v>
      </c>
      <c r="C90" s="38" t="inlineStr">
        <is>
          <t>pT1</t>
        </is>
      </c>
      <c r="D90" s="38" t="n">
        <v>100</v>
      </c>
      <c r="E90" s="38" t="n">
        <v>60</v>
      </c>
      <c r="F90" s="38" t="inlineStr">
        <is>
          <t>来源对象 bz_van_089；主附魔 Fiery；真实来源地点数 10</t>
        </is>
      </c>
      <c r="G90" t="inlineStr">
        <is>
          <t>playable</t>
        </is>
      </c>
    </row>
    <row r="91">
      <c r="A91" s="38" t="inlineStr">
        <is>
          <t>pal_090</t>
        </is>
      </c>
      <c r="B91" s="38" t="n">
        <v>2</v>
      </c>
      <c r="C91" s="38" t="inlineStr">
        <is>
          <t>pT2</t>
        </is>
      </c>
      <c r="D91" s="38" t="n">
        <v>85</v>
      </c>
      <c r="E91" s="38" t="n">
        <v>50</v>
      </c>
      <c r="F91" s="38" t="inlineStr">
        <is>
          <t>来源对象 bz_van_090；主附魔 Turbo；真实来源地点数 10</t>
        </is>
      </c>
      <c r="G91" t="inlineStr">
        <is>
          <t>playable</t>
        </is>
      </c>
    </row>
    <row r="92">
      <c r="A92" s="38" t="inlineStr">
        <is>
          <t>pal_091</t>
        </is>
      </c>
      <c r="B92" s="38" t="n">
        <v>1</v>
      </c>
      <c r="C92" s="38" t="inlineStr">
        <is>
          <t>pT1</t>
        </is>
      </c>
      <c r="D92" s="38" t="n">
        <v>100</v>
      </c>
      <c r="E92" s="38" t="n">
        <v>60</v>
      </c>
      <c r="F92" s="38" t="inlineStr">
        <is>
          <t>来源对象 bz_van_091；主附魔 Deadly；真实来源地点数 10</t>
        </is>
      </c>
      <c r="G92" t="inlineStr">
        <is>
          <t>playable</t>
        </is>
      </c>
    </row>
    <row r="93">
      <c r="A93" s="38" t="inlineStr">
        <is>
          <t>pal_092</t>
        </is>
      </c>
      <c r="B93" s="38" t="n">
        <v>4</v>
      </c>
      <c r="C93" s="38" t="inlineStr">
        <is>
          <t>pT3</t>
        </is>
      </c>
      <c r="D93" s="38" t="n">
        <v>65</v>
      </c>
      <c r="E93" s="38" t="n">
        <v>40</v>
      </c>
      <c r="F93" s="38" t="inlineStr">
        <is>
          <t>来源对象 bz_van_092；主附魔 Fiery；真实来源地点数 10</t>
        </is>
      </c>
      <c r="G93" t="inlineStr">
        <is>
          <t>playable</t>
        </is>
      </c>
    </row>
    <row r="94">
      <c r="A94" s="38" t="inlineStr">
        <is>
          <t>pal_093</t>
        </is>
      </c>
      <c r="B94" s="38" t="n">
        <v>2</v>
      </c>
      <c r="C94" s="38" t="inlineStr">
        <is>
          <t>pT2</t>
        </is>
      </c>
      <c r="D94" s="38" t="n">
        <v>85</v>
      </c>
      <c r="E94" s="38" t="n">
        <v>50</v>
      </c>
      <c r="F94" s="38" t="inlineStr">
        <is>
          <t>来源对象 bz_van_093；主附魔 Toxic；真实来源地点数 10</t>
        </is>
      </c>
      <c r="G94" t="inlineStr">
        <is>
          <t>playable</t>
        </is>
      </c>
    </row>
    <row r="95">
      <c r="A95" s="38" t="inlineStr">
        <is>
          <t>pal_094</t>
        </is>
      </c>
      <c r="B95" s="38" t="n">
        <v>1</v>
      </c>
      <c r="C95" s="38" t="inlineStr">
        <is>
          <t>pT1</t>
        </is>
      </c>
      <c r="D95" s="38" t="n">
        <v>100</v>
      </c>
      <c r="E95" s="38" t="n">
        <v>60</v>
      </c>
      <c r="F95" s="38" t="inlineStr">
        <is>
          <t>来源对象 bz_van_094；主附魔 Deadly；真实来源地点数 10</t>
        </is>
      </c>
      <c r="G95" t="inlineStr">
        <is>
          <t>playable</t>
        </is>
      </c>
    </row>
    <row r="96">
      <c r="A96" s="38" t="inlineStr">
        <is>
          <t>pal_095</t>
        </is>
      </c>
      <c r="B96" s="38" t="n">
        <v>2</v>
      </c>
      <c r="C96" s="38" t="inlineStr">
        <is>
          <t>pT2</t>
        </is>
      </c>
      <c r="D96" s="38" t="n">
        <v>85</v>
      </c>
      <c r="E96" s="38" t="n">
        <v>50</v>
      </c>
      <c r="F96" s="38" t="inlineStr">
        <is>
          <t>来源对象 bz_van_095；主附魔 Deadly；真实来源地点数 10</t>
        </is>
      </c>
      <c r="G96" t="inlineStr">
        <is>
          <t>playable</t>
        </is>
      </c>
    </row>
    <row r="97">
      <c r="A97" s="38" t="inlineStr">
        <is>
          <t>pal_096</t>
        </is>
      </c>
      <c r="B97" s="38" t="n">
        <v>1</v>
      </c>
      <c r="C97" s="38" t="inlineStr">
        <is>
          <t>pT1</t>
        </is>
      </c>
      <c r="D97" s="38" t="n">
        <v>100</v>
      </c>
      <c r="E97" s="38" t="n">
        <v>60</v>
      </c>
      <c r="F97" s="38" t="inlineStr">
        <is>
          <t>来源对象 bz_van_096；主附魔 Deadly；真实来源地点数 10</t>
        </is>
      </c>
      <c r="G97" t="inlineStr">
        <is>
          <t>playable</t>
        </is>
      </c>
    </row>
    <row r="98">
      <c r="A98" s="38" t="inlineStr">
        <is>
          <t>pal_097</t>
        </is>
      </c>
      <c r="B98" s="38" t="n">
        <v>1</v>
      </c>
      <c r="C98" s="38" t="inlineStr">
        <is>
          <t>pT1</t>
        </is>
      </c>
      <c r="D98" s="38" t="n">
        <v>100</v>
      </c>
      <c r="E98" s="38" t="n">
        <v>60</v>
      </c>
      <c r="F98" s="38" t="inlineStr">
        <is>
          <t>来源对象 bz_van_097；主附魔 Deadly；真实来源地点数 10</t>
        </is>
      </c>
      <c r="G98" t="inlineStr">
        <is>
          <t>playable</t>
        </is>
      </c>
    </row>
    <row r="99">
      <c r="A99" s="38" t="inlineStr">
        <is>
          <t>pal_098</t>
        </is>
      </c>
      <c r="B99" s="38" t="n">
        <v>4</v>
      </c>
      <c r="C99" s="38" t="inlineStr">
        <is>
          <t>pT3</t>
        </is>
      </c>
      <c r="D99" s="38" t="n">
        <v>65</v>
      </c>
      <c r="E99" s="38" t="n">
        <v>40</v>
      </c>
      <c r="F99" s="38" t="inlineStr">
        <is>
          <t>来源对象 bz_van_098；主附魔 Turbo；真实来源地点数 10</t>
        </is>
      </c>
      <c r="G99" t="inlineStr">
        <is>
          <t>playable</t>
        </is>
      </c>
    </row>
    <row r="100">
      <c r="A100" s="38" t="inlineStr">
        <is>
          <t>pal_099</t>
        </is>
      </c>
      <c r="B100" s="38" t="n">
        <v>2</v>
      </c>
      <c r="C100" s="38" t="inlineStr">
        <is>
          <t>pT2</t>
        </is>
      </c>
      <c r="D100" s="38" t="n">
        <v>85</v>
      </c>
      <c r="E100" s="38" t="n">
        <v>50</v>
      </c>
      <c r="F100" s="38" t="inlineStr">
        <is>
          <t>来源对象 bz_van_099；主附魔 Toxic；真实来源地点数 10</t>
        </is>
      </c>
      <c r="G100" t="inlineStr">
        <is>
          <t>playable</t>
        </is>
      </c>
    </row>
    <row r="101">
      <c r="A101" s="38" t="inlineStr">
        <is>
          <t>pal_100</t>
        </is>
      </c>
      <c r="B101" s="38" t="n">
        <v>1</v>
      </c>
      <c r="C101" s="38" t="inlineStr">
        <is>
          <t>pT1</t>
        </is>
      </c>
      <c r="D101" s="38" t="n">
        <v>100</v>
      </c>
      <c r="E101" s="38" t="n">
        <v>60</v>
      </c>
      <c r="F101" s="38" t="inlineStr">
        <is>
          <t>来源对象 bz_van_100；主附魔 Shielded；真实来源地点数 10</t>
        </is>
      </c>
      <c r="G101" t="inlineStr">
        <is>
          <t>playable</t>
        </is>
      </c>
    </row>
    <row r="102">
      <c r="A102" s="38" t="inlineStr">
        <is>
          <t>pal_101</t>
        </is>
      </c>
      <c r="B102" s="38" t="n">
        <v>2</v>
      </c>
      <c r="C102" s="38" t="inlineStr">
        <is>
          <t>pT2</t>
        </is>
      </c>
      <c r="D102" s="38" t="n">
        <v>85</v>
      </c>
      <c r="E102" s="38" t="n">
        <v>50</v>
      </c>
      <c r="F102" s="38" t="inlineStr">
        <is>
          <t>来源对象 bz_van_101；主附魔 Icy；真实来源地点数 10</t>
        </is>
      </c>
      <c r="G102" t="inlineStr">
        <is>
          <t>playable</t>
        </is>
      </c>
    </row>
    <row r="103">
      <c r="A103" s="38" t="inlineStr">
        <is>
          <t>pal_102</t>
        </is>
      </c>
      <c r="B103" s="38" t="n">
        <v>2</v>
      </c>
      <c r="C103" s="38" t="inlineStr">
        <is>
          <t>pT2</t>
        </is>
      </c>
      <c r="D103" s="38" t="n">
        <v>85</v>
      </c>
      <c r="E103" s="38" t="n">
        <v>50</v>
      </c>
      <c r="F103" s="38" t="inlineStr">
        <is>
          <t>来源对象 bz_van_102；主附魔 Turbo；真实来源地点数 10</t>
        </is>
      </c>
      <c r="G103" t="inlineStr">
        <is>
          <t>playable</t>
        </is>
      </c>
    </row>
    <row r="104">
      <c r="A104" s="38" t="inlineStr">
        <is>
          <t>pal_103</t>
        </is>
      </c>
      <c r="B104" s="38" t="n">
        <v>1</v>
      </c>
      <c r="C104" s="38" t="inlineStr">
        <is>
          <t>pT1</t>
        </is>
      </c>
      <c r="D104" s="38" t="n">
        <v>100</v>
      </c>
      <c r="E104" s="38" t="n">
        <v>60</v>
      </c>
      <c r="F104" s="38" t="inlineStr">
        <is>
          <t>来源对象 bz_van_103；主附魔 Restorative；真实来源地点数 10</t>
        </is>
      </c>
      <c r="G104" t="inlineStr">
        <is>
          <t>playable</t>
        </is>
      </c>
    </row>
    <row r="105">
      <c r="A105" s="38" t="inlineStr">
        <is>
          <t>pal_104</t>
        </is>
      </c>
      <c r="B105" s="38" t="n">
        <v>2</v>
      </c>
      <c r="C105" s="38" t="inlineStr">
        <is>
          <t>pT2</t>
        </is>
      </c>
      <c r="D105" s="38" t="n">
        <v>85</v>
      </c>
      <c r="E105" s="38" t="n">
        <v>50</v>
      </c>
      <c r="F105" s="38" t="inlineStr">
        <is>
          <t>来源对象 bz_van_104；主附魔 Turbo；真实来源地点数 10</t>
        </is>
      </c>
      <c r="G105" t="inlineStr">
        <is>
          <t>playable</t>
        </is>
      </c>
    </row>
    <row r="106">
      <c r="A106" s="38" t="inlineStr">
        <is>
          <t>pal_105</t>
        </is>
      </c>
      <c r="B106" s="38" t="n">
        <v>1</v>
      </c>
      <c r="C106" s="38" t="inlineStr">
        <is>
          <t>pT1</t>
        </is>
      </c>
      <c r="D106" s="38" t="n">
        <v>100</v>
      </c>
      <c r="E106" s="38" t="n">
        <v>60</v>
      </c>
      <c r="F106" s="38" t="inlineStr">
        <is>
          <t>来源对象 bz_van_105；主附魔 Deadly；真实来源地点数 10</t>
        </is>
      </c>
      <c r="G106" t="inlineStr">
        <is>
          <t>playable</t>
        </is>
      </c>
    </row>
    <row r="107">
      <c r="A107" s="38" t="inlineStr">
        <is>
          <t>pal_106</t>
        </is>
      </c>
      <c r="B107" s="38" t="n">
        <v>2</v>
      </c>
      <c r="C107" s="38" t="inlineStr">
        <is>
          <t>pT2</t>
        </is>
      </c>
      <c r="D107" s="38" t="n">
        <v>85</v>
      </c>
      <c r="E107" s="38" t="n">
        <v>50</v>
      </c>
      <c r="F107" s="38" t="inlineStr">
        <is>
          <t>来源对象 bz_van_106；主附魔 Toxic；真实来源地点数 10</t>
        </is>
      </c>
      <c r="G107" t="inlineStr">
        <is>
          <t>playable</t>
        </is>
      </c>
    </row>
    <row r="108">
      <c r="A108" s="38" t="inlineStr">
        <is>
          <t>pal_107</t>
        </is>
      </c>
      <c r="B108" s="38" t="n">
        <v>6</v>
      </c>
      <c r="C108" s="38" t="inlineStr">
        <is>
          <t>pT4</t>
        </is>
      </c>
      <c r="D108" s="38" t="n">
        <v>40</v>
      </c>
      <c r="E108" s="38" t="n">
        <v>25</v>
      </c>
      <c r="F108" s="38" t="inlineStr">
        <is>
          <t>来源对象 bz_van_107；主附魔 Radiant；真实来源地点数 10</t>
        </is>
      </c>
      <c r="G108" t="inlineStr">
        <is>
          <t>playable</t>
        </is>
      </c>
    </row>
    <row r="109">
      <c r="A109" s="38" t="inlineStr">
        <is>
          <t>pal_108</t>
        </is>
      </c>
      <c r="B109" s="38" t="n">
        <v>1</v>
      </c>
      <c r="C109" s="38" t="inlineStr">
        <is>
          <t>pT1</t>
        </is>
      </c>
      <c r="D109" s="38" t="n">
        <v>100</v>
      </c>
      <c r="E109" s="38" t="n">
        <v>60</v>
      </c>
      <c r="F109" s="38" t="inlineStr">
        <is>
          <t>来源对象 bz_van_108；主附魔 Deadly；真实来源地点数 10</t>
        </is>
      </c>
      <c r="G109" t="inlineStr">
        <is>
          <t>playable</t>
        </is>
      </c>
    </row>
    <row r="110">
      <c r="A110" s="38" t="inlineStr">
        <is>
          <t>pal_109</t>
        </is>
      </c>
      <c r="B110" s="38" t="n">
        <v>2</v>
      </c>
      <c r="C110" s="38" t="inlineStr">
        <is>
          <t>pT2</t>
        </is>
      </c>
      <c r="D110" s="38" t="n">
        <v>85</v>
      </c>
      <c r="E110" s="38" t="n">
        <v>50</v>
      </c>
      <c r="F110" s="38" t="inlineStr">
        <is>
          <t>来源对象 bz_van_109；主附魔 Icy；真实来源地点数 10</t>
        </is>
      </c>
      <c r="G110" t="inlineStr">
        <is>
          <t>playable</t>
        </is>
      </c>
    </row>
    <row r="111">
      <c r="A111" s="38" t="inlineStr">
        <is>
          <t>pal_110</t>
        </is>
      </c>
      <c r="B111" s="38" t="n">
        <v>1</v>
      </c>
      <c r="C111" s="38" t="inlineStr">
        <is>
          <t>pT1</t>
        </is>
      </c>
      <c r="D111" s="38" t="n">
        <v>100</v>
      </c>
      <c r="E111" s="38" t="n">
        <v>60</v>
      </c>
      <c r="F111" s="38" t="inlineStr">
        <is>
          <t>来源对象 bz_van_110；主附魔 Deadly；真实来源地点数 10</t>
        </is>
      </c>
      <c r="G111" t="inlineStr">
        <is>
          <t>playable</t>
        </is>
      </c>
    </row>
    <row r="112">
      <c r="A112" s="38" t="inlineStr">
        <is>
          <t>pal_111</t>
        </is>
      </c>
      <c r="B112" s="38" t="n">
        <v>1</v>
      </c>
      <c r="C112" s="38" t="inlineStr">
        <is>
          <t>pT1</t>
        </is>
      </c>
      <c r="D112" s="38" t="n">
        <v>100</v>
      </c>
      <c r="E112" s="38" t="n">
        <v>60</v>
      </c>
      <c r="F112" s="38" t="inlineStr">
        <is>
          <t>来源对象 bz_van_111；主附魔 Deadly；真实来源地点数 10</t>
        </is>
      </c>
      <c r="G112" t="inlineStr">
        <is>
          <t>playable</t>
        </is>
      </c>
    </row>
    <row r="113">
      <c r="A113" s="38" t="inlineStr">
        <is>
          <t>pal_112</t>
        </is>
      </c>
      <c r="B113" s="38" t="n">
        <v>4</v>
      </c>
      <c r="C113" s="38" t="inlineStr">
        <is>
          <t>pT3</t>
        </is>
      </c>
      <c r="D113" s="38" t="n">
        <v>65</v>
      </c>
      <c r="E113" s="38" t="n">
        <v>40</v>
      </c>
      <c r="F113" s="38" t="inlineStr">
        <is>
          <t>来源对象 bz_van_112；主附魔 Fiery；真实来源地点数 10</t>
        </is>
      </c>
      <c r="G113" t="inlineStr">
        <is>
          <t>playable</t>
        </is>
      </c>
    </row>
    <row r="114">
      <c r="A114" s="38" t="inlineStr">
        <is>
          <t>pal_113</t>
        </is>
      </c>
      <c r="B114" s="38" t="n">
        <v>4</v>
      </c>
      <c r="C114" s="38" t="inlineStr">
        <is>
          <t>pT3</t>
        </is>
      </c>
      <c r="D114" s="38" t="n">
        <v>65</v>
      </c>
      <c r="E114" s="38" t="n">
        <v>40</v>
      </c>
      <c r="F114" s="38" t="inlineStr">
        <is>
          <t>来源对象 bz_van_113；主附魔 Deadly；真实来源地点数 10</t>
        </is>
      </c>
      <c r="G114" t="inlineStr">
        <is>
          <t>playable</t>
        </is>
      </c>
    </row>
    <row r="115">
      <c r="A115" s="38" t="inlineStr">
        <is>
          <t>pal_114</t>
        </is>
      </c>
      <c r="B115" s="38" t="n">
        <v>4</v>
      </c>
      <c r="C115" s="38" t="inlineStr">
        <is>
          <t>pT3</t>
        </is>
      </c>
      <c r="D115" s="38" t="n">
        <v>65</v>
      </c>
      <c r="E115" s="38" t="n">
        <v>40</v>
      </c>
      <c r="F115" s="38" t="inlineStr">
        <is>
          <t>来源对象 bz_van_114；主附魔 Icy；真实来源地点数 10</t>
        </is>
      </c>
      <c r="G115" t="inlineStr">
        <is>
          <t>playable</t>
        </is>
      </c>
    </row>
    <row r="116">
      <c r="A116" s="38" t="inlineStr">
        <is>
          <t>pal_115</t>
        </is>
      </c>
      <c r="B116" s="38" t="n">
        <v>1</v>
      </c>
      <c r="C116" s="38" t="inlineStr">
        <is>
          <t>pT1</t>
        </is>
      </c>
      <c r="D116" s="38" t="n">
        <v>100</v>
      </c>
      <c r="E116" s="38" t="n">
        <v>60</v>
      </c>
      <c r="F116" s="38" t="inlineStr">
        <is>
          <t>来源对象 bz_van_115；主附魔 Turbo；真实来源地点数 10</t>
        </is>
      </c>
      <c r="G116" t="inlineStr">
        <is>
          <t>playable</t>
        </is>
      </c>
    </row>
    <row r="117">
      <c r="A117" s="38" t="inlineStr">
        <is>
          <t>pal_116</t>
        </is>
      </c>
      <c r="B117" s="38" t="n">
        <v>2</v>
      </c>
      <c r="C117" s="38" t="inlineStr">
        <is>
          <t>pT2</t>
        </is>
      </c>
      <c r="D117" s="38" t="n">
        <v>85</v>
      </c>
      <c r="E117" s="38" t="n">
        <v>50</v>
      </c>
      <c r="F117" s="38" t="inlineStr">
        <is>
          <t>来源对象 bz_van_116；主附魔 Deadly；真实来源地点数 10</t>
        </is>
      </c>
      <c r="G117" t="inlineStr">
        <is>
          <t>playable</t>
        </is>
      </c>
    </row>
    <row r="118">
      <c r="A118" s="38" t="inlineStr">
        <is>
          <t>pal_117</t>
        </is>
      </c>
      <c r="B118" s="38" t="n">
        <v>2</v>
      </c>
      <c r="C118" s="38" t="inlineStr">
        <is>
          <t>pT2</t>
        </is>
      </c>
      <c r="D118" s="38" t="n">
        <v>85</v>
      </c>
      <c r="E118" s="38" t="n">
        <v>50</v>
      </c>
      <c r="F118" s="38" t="inlineStr">
        <is>
          <t>来源对象 bz_van_117；主附魔 Icy；真实来源地点数 10</t>
        </is>
      </c>
      <c r="G118" t="inlineStr">
        <is>
          <t>playable</t>
        </is>
      </c>
    </row>
    <row r="119">
      <c r="A119" s="38" t="inlineStr">
        <is>
          <t>pal_118</t>
        </is>
      </c>
      <c r="B119" s="38" t="n">
        <v>2</v>
      </c>
      <c r="C119" s="38" t="inlineStr">
        <is>
          <t>pT2</t>
        </is>
      </c>
      <c r="D119" s="38" t="n">
        <v>85</v>
      </c>
      <c r="E119" s="38" t="n">
        <v>50</v>
      </c>
      <c r="F119" s="38" t="inlineStr">
        <is>
          <t>来源对象 bz_van_118；主附魔 Turbo；真实来源地点数 10</t>
        </is>
      </c>
      <c r="G119" t="inlineStr">
        <is>
          <t>playable</t>
        </is>
      </c>
    </row>
    <row r="120">
      <c r="A120" s="38" t="inlineStr">
        <is>
          <t>pal_119</t>
        </is>
      </c>
      <c r="B120" s="38" t="n">
        <v>2</v>
      </c>
      <c r="C120" s="38" t="inlineStr">
        <is>
          <t>pT2</t>
        </is>
      </c>
      <c r="D120" s="38" t="n">
        <v>85</v>
      </c>
      <c r="E120" s="38" t="n">
        <v>50</v>
      </c>
      <c r="F120" s="38" t="inlineStr">
        <is>
          <t>来源对象 bz_van_119；主附魔 Turbo；真实来源地点数 10</t>
        </is>
      </c>
      <c r="G120" t="inlineStr">
        <is>
          <t>playable</t>
        </is>
      </c>
    </row>
    <row r="121">
      <c r="A121" s="38" t="inlineStr">
        <is>
          <t>pal_120</t>
        </is>
      </c>
      <c r="B121" s="38" t="n">
        <v>4</v>
      </c>
      <c r="C121" s="38" t="inlineStr">
        <is>
          <t>pT3</t>
        </is>
      </c>
      <c r="D121" s="38" t="n">
        <v>65</v>
      </c>
      <c r="E121" s="38" t="n">
        <v>40</v>
      </c>
      <c r="F121" s="38" t="inlineStr">
        <is>
          <t>来源对象 bz_van_120；主附魔 Restorative；真实来源地点数 10</t>
        </is>
      </c>
      <c r="G121" t="inlineStr">
        <is>
          <t>playable</t>
        </is>
      </c>
    </row>
    <row r="122">
      <c r="A122" s="38" t="inlineStr">
        <is>
          <t>pal_121</t>
        </is>
      </c>
      <c r="B122" s="38" t="n">
        <v>1</v>
      </c>
      <c r="C122" s="38" t="inlineStr">
        <is>
          <t>pT1</t>
        </is>
      </c>
      <c r="D122" s="38" t="n">
        <v>100</v>
      </c>
      <c r="E122" s="38" t="n">
        <v>60</v>
      </c>
      <c r="F122" s="38" t="inlineStr">
        <is>
          <t>来源对象 bz_van_121；主附魔 Deadly；真实来源地点数 10</t>
        </is>
      </c>
      <c r="G122" t="inlineStr">
        <is>
          <t>playable</t>
        </is>
      </c>
    </row>
    <row r="123">
      <c r="A123" s="38" t="inlineStr">
        <is>
          <t>pal_122</t>
        </is>
      </c>
      <c r="B123" s="38" t="n">
        <v>4</v>
      </c>
      <c r="C123" s="38" t="inlineStr">
        <is>
          <t>pT3</t>
        </is>
      </c>
      <c r="D123" s="38" t="n">
        <v>65</v>
      </c>
      <c r="E123" s="38" t="n">
        <v>40</v>
      </c>
      <c r="F123" s="38" t="inlineStr">
        <is>
          <t>来源对象 bz_van_122；主附魔 Restorative；真实来源地点数 10</t>
        </is>
      </c>
      <c r="G123" t="inlineStr">
        <is>
          <t>playable</t>
        </is>
      </c>
    </row>
    <row r="124">
      <c r="A124" s="38" t="inlineStr">
        <is>
          <t>pal_123</t>
        </is>
      </c>
      <c r="B124" s="38" t="n">
        <v>4</v>
      </c>
      <c r="C124" s="38" t="inlineStr">
        <is>
          <t>pT3</t>
        </is>
      </c>
      <c r="D124" s="38" t="n">
        <v>65</v>
      </c>
      <c r="E124" s="38" t="n">
        <v>40</v>
      </c>
      <c r="F124" s="38" t="inlineStr">
        <is>
          <t>来源对象 bz_van_123；主附魔 Deadly；真实来源地点数 10</t>
        </is>
      </c>
      <c r="G124" t="inlineStr">
        <is>
          <t>playable</t>
        </is>
      </c>
    </row>
    <row r="125">
      <c r="A125" s="38" t="inlineStr">
        <is>
          <t>pal_124</t>
        </is>
      </c>
      <c r="B125" s="38" t="n">
        <v>4</v>
      </c>
      <c r="C125" s="38" t="inlineStr">
        <is>
          <t>pT1</t>
        </is>
      </c>
      <c r="D125" s="38" t="n">
        <v>100</v>
      </c>
      <c r="E125" s="38" t="n">
        <v>60</v>
      </c>
      <c r="F125" s="38" t="inlineStr">
        <is>
          <t>来源对象 bz_van_124；主附魔 Deadly；真实来源地点数 1</t>
        </is>
      </c>
      <c r="G125" t="inlineStr">
        <is>
          <t>playable</t>
        </is>
      </c>
    </row>
    <row r="126">
      <c r="A126" s="38" t="inlineStr">
        <is>
          <t>pal_125</t>
        </is>
      </c>
      <c r="B126" s="38" t="n">
        <v>2</v>
      </c>
      <c r="C126" s="38" t="inlineStr">
        <is>
          <t>pT2</t>
        </is>
      </c>
      <c r="D126" s="38" t="n">
        <v>85</v>
      </c>
      <c r="E126" s="38" t="n">
        <v>50</v>
      </c>
      <c r="F126" s="38" t="inlineStr">
        <is>
          <t>来源对象 bz_van_125；主附魔 Deadly；真实来源地点数 10</t>
        </is>
      </c>
      <c r="G126" t="inlineStr">
        <is>
          <t>playable</t>
        </is>
      </c>
    </row>
    <row r="127">
      <c r="A127" s="38" t="inlineStr">
        <is>
          <t>pal_126</t>
        </is>
      </c>
      <c r="B127" s="38" t="n">
        <v>4</v>
      </c>
      <c r="C127" s="38" t="inlineStr">
        <is>
          <t>pT3</t>
        </is>
      </c>
      <c r="D127" s="38" t="n">
        <v>65</v>
      </c>
      <c r="E127" s="38" t="n">
        <v>40</v>
      </c>
      <c r="F127" s="38" t="inlineStr">
        <is>
          <t>来源对象 bz_van_126；主附魔 Turbo；真实来源地点数 10</t>
        </is>
      </c>
      <c r="G127" t="inlineStr">
        <is>
          <t>playable</t>
        </is>
      </c>
    </row>
    <row r="128">
      <c r="A128" s="38" t="inlineStr">
        <is>
          <t>pal_127</t>
        </is>
      </c>
      <c r="B128" s="38" t="n">
        <v>2</v>
      </c>
      <c r="C128" s="38" t="inlineStr">
        <is>
          <t>pT2</t>
        </is>
      </c>
      <c r="D128" s="38" t="n">
        <v>85</v>
      </c>
      <c r="E128" s="38" t="n">
        <v>50</v>
      </c>
      <c r="F128" s="38" t="inlineStr">
        <is>
          <t>来源对象 bz_van_127；主附魔 Fiery；真实来源地点数 10</t>
        </is>
      </c>
      <c r="G128" t="inlineStr">
        <is>
          <t>playable</t>
        </is>
      </c>
    </row>
    <row r="129">
      <c r="A129" s="38" t="inlineStr">
        <is>
          <t>pal_128</t>
        </is>
      </c>
      <c r="B129" s="38" t="n">
        <v>4</v>
      </c>
      <c r="C129" s="38" t="inlineStr">
        <is>
          <t>pT3</t>
        </is>
      </c>
      <c r="D129" s="38" t="n">
        <v>65</v>
      </c>
      <c r="E129" s="38" t="n">
        <v>40</v>
      </c>
      <c r="F129" s="38" t="inlineStr">
        <is>
          <t>来源对象 bz_van_128；主附魔 Icy；真实来源地点数 10</t>
        </is>
      </c>
      <c r="G129" t="inlineStr">
        <is>
          <t>playable</t>
        </is>
      </c>
    </row>
    <row r="130">
      <c r="A130" s="38" t="inlineStr">
        <is>
          <t>pal_129</t>
        </is>
      </c>
      <c r="B130" s="38" t="n">
        <v>4</v>
      </c>
      <c r="C130" s="38" t="inlineStr">
        <is>
          <t>pT3</t>
        </is>
      </c>
      <c r="D130" s="38" t="n">
        <v>65</v>
      </c>
      <c r="E130" s="38" t="n">
        <v>40</v>
      </c>
      <c r="F130" s="38" t="inlineStr">
        <is>
          <t>来源对象 bz_van_129；主附魔 Icy；真实来源地点数 10</t>
        </is>
      </c>
      <c r="G130" t="inlineStr">
        <is>
          <t>playable</t>
        </is>
      </c>
    </row>
    <row r="131">
      <c r="A131" s="38" t="inlineStr">
        <is>
          <t>pal_130</t>
        </is>
      </c>
      <c r="B131" s="38" t="n">
        <v>4</v>
      </c>
      <c r="C131" s="38" t="inlineStr">
        <is>
          <t>pT3</t>
        </is>
      </c>
      <c r="D131" s="38" t="n">
        <v>65</v>
      </c>
      <c r="E131" s="38" t="n">
        <v>40</v>
      </c>
      <c r="F131" s="38" t="inlineStr">
        <is>
          <t>来源对象 bz_van_130；主附魔 Turbo；真实来源地点数 10</t>
        </is>
      </c>
      <c r="G131" t="inlineStr">
        <is>
          <t>playable</t>
        </is>
      </c>
    </row>
    <row r="132">
      <c r="A132" s="38" t="inlineStr">
        <is>
          <t>pal_131</t>
        </is>
      </c>
      <c r="B132" s="38" t="n">
        <v>2</v>
      </c>
      <c r="C132" s="38" t="inlineStr">
        <is>
          <t>pT2</t>
        </is>
      </c>
      <c r="D132" s="38" t="n">
        <v>85</v>
      </c>
      <c r="E132" s="38" t="n">
        <v>50</v>
      </c>
      <c r="F132" s="38" t="inlineStr">
        <is>
          <t>来源对象 bz_van_131；主附魔 Deadly；真实来源地点数 10</t>
        </is>
      </c>
      <c r="G132" t="inlineStr">
        <is>
          <t>playable</t>
        </is>
      </c>
    </row>
    <row r="133">
      <c r="A133" s="38" t="inlineStr">
        <is>
          <t>pal_132</t>
        </is>
      </c>
      <c r="B133" s="38" t="n">
        <v>1</v>
      </c>
      <c r="C133" s="38" t="inlineStr">
        <is>
          <t>pT1</t>
        </is>
      </c>
      <c r="D133" s="38" t="n">
        <v>100</v>
      </c>
      <c r="E133" s="38" t="n">
        <v>60</v>
      </c>
      <c r="F133" s="38" t="inlineStr">
        <is>
          <t>来源对象 bz_van_132；主附魔 Fiery；真实来源地点数 10</t>
        </is>
      </c>
      <c r="G133" t="inlineStr">
        <is>
          <t>playable</t>
        </is>
      </c>
    </row>
    <row r="134">
      <c r="A134" s="38" t="inlineStr">
        <is>
          <t>pal_133</t>
        </is>
      </c>
      <c r="B134" s="38" t="n">
        <v>2</v>
      </c>
      <c r="C134" s="38" t="inlineStr">
        <is>
          <t>pT2</t>
        </is>
      </c>
      <c r="D134" s="38" t="n">
        <v>85</v>
      </c>
      <c r="E134" s="38" t="n">
        <v>50</v>
      </c>
      <c r="F134" s="38" t="inlineStr">
        <is>
          <t>来源对象 bz_van_133；主附魔 Deadly；真实来源地点数 10</t>
        </is>
      </c>
      <c r="G134" t="inlineStr">
        <is>
          <t>playable</t>
        </is>
      </c>
    </row>
    <row r="135">
      <c r="A135" s="38" t="inlineStr">
        <is>
          <t>pal_134</t>
        </is>
      </c>
      <c r="B135" s="38" t="n">
        <v>2</v>
      </c>
      <c r="C135" s="38" t="inlineStr">
        <is>
          <t>pT2</t>
        </is>
      </c>
      <c r="D135" s="38" t="n">
        <v>85</v>
      </c>
      <c r="E135" s="38" t="n">
        <v>50</v>
      </c>
      <c r="F135" s="38" t="inlineStr">
        <is>
          <t>来源对象 bz_van_134；主附魔 Turbo；真实来源地点数 10</t>
        </is>
      </c>
      <c r="G135" t="inlineStr">
        <is>
          <t>playable</t>
        </is>
      </c>
    </row>
    <row r="136">
      <c r="A136" s="38" t="inlineStr">
        <is>
          <t>pal_135</t>
        </is>
      </c>
      <c r="B136" s="38" t="n">
        <v>2</v>
      </c>
      <c r="C136" s="38" t="inlineStr">
        <is>
          <t>pT2</t>
        </is>
      </c>
      <c r="D136" s="38" t="n">
        <v>85</v>
      </c>
      <c r="E136" s="38" t="n">
        <v>50</v>
      </c>
      <c r="F136" s="38" t="inlineStr">
        <is>
          <t>来源对象 bz_van_135；主附魔 Fiery；真实来源地点数 10</t>
        </is>
      </c>
      <c r="G136" t="inlineStr">
        <is>
          <t>playable</t>
        </is>
      </c>
    </row>
    <row r="137">
      <c r="A137" s="38" t="inlineStr">
        <is>
          <t>pal_136</t>
        </is>
      </c>
      <c r="B137" s="38" t="n">
        <v>1</v>
      </c>
      <c r="C137" s="38" t="inlineStr">
        <is>
          <t>pT1</t>
        </is>
      </c>
      <c r="D137" s="38" t="n">
        <v>100</v>
      </c>
      <c r="E137" s="38" t="n">
        <v>60</v>
      </c>
      <c r="F137" s="38" t="inlineStr">
        <is>
          <t>来源对象 bz_van_136；主附魔 Turbo；真实来源地点数 10</t>
        </is>
      </c>
      <c r="G137" t="inlineStr">
        <is>
          <t>playable</t>
        </is>
      </c>
    </row>
    <row r="138">
      <c r="A138" s="38" t="inlineStr">
        <is>
          <t>pal_137</t>
        </is>
      </c>
      <c r="B138" s="38" t="n">
        <v>1</v>
      </c>
      <c r="C138" s="38" t="inlineStr">
        <is>
          <t>pT1</t>
        </is>
      </c>
      <c r="D138" s="38" t="n">
        <v>100</v>
      </c>
      <c r="E138" s="38" t="n">
        <v>60</v>
      </c>
      <c r="F138" s="38" t="inlineStr">
        <is>
          <t>来源对象 bz_van_137；主附魔 Icy；真实来源地点数 10</t>
        </is>
      </c>
      <c r="G138" t="inlineStr">
        <is>
          <t>playable</t>
        </is>
      </c>
    </row>
    <row r="139">
      <c r="A139" s="38" t="inlineStr">
        <is>
          <t>pal_138</t>
        </is>
      </c>
      <c r="B139" s="38" t="n">
        <v>1</v>
      </c>
      <c r="C139" s="38" t="inlineStr">
        <is>
          <t>pT1</t>
        </is>
      </c>
      <c r="D139" s="38" t="n">
        <v>100</v>
      </c>
      <c r="E139" s="38" t="n">
        <v>60</v>
      </c>
      <c r="F139" s="38" t="inlineStr">
        <is>
          <t>来源对象 bz_van_138；主附魔 Fiery；真实来源地点数 10</t>
        </is>
      </c>
      <c r="G139" t="inlineStr">
        <is>
          <t>playable</t>
        </is>
      </c>
    </row>
    <row r="140">
      <c r="A140" s="38" t="inlineStr">
        <is>
          <t>pal_139</t>
        </is>
      </c>
      <c r="B140" s="38" t="n">
        <v>4</v>
      </c>
      <c r="C140" s="38" t="inlineStr">
        <is>
          <t>pT3</t>
        </is>
      </c>
      <c r="D140" s="38" t="n">
        <v>65</v>
      </c>
      <c r="E140" s="38" t="n">
        <v>40</v>
      </c>
      <c r="F140" s="38" t="inlineStr">
        <is>
          <t>来源对象 bz_van_139；主附魔 Turbo；真实来源地点数 5</t>
        </is>
      </c>
      <c r="G140" t="inlineStr">
        <is>
          <t>reserved</t>
        </is>
      </c>
    </row>
    <row r="141">
      <c r="A141" s="38" t="inlineStr">
        <is>
          <t>pal_140</t>
        </is>
      </c>
      <c r="B141" s="38" t="n">
        <v>2</v>
      </c>
      <c r="C141" s="38" t="inlineStr">
        <is>
          <t>pT2</t>
        </is>
      </c>
      <c r="D141" s="38" t="n">
        <v>85</v>
      </c>
      <c r="E141" s="38" t="n">
        <v>50</v>
      </c>
      <c r="F141" s="38" t="inlineStr">
        <is>
          <t>来源对象 bz_van_140；主附魔 Golden；真实来源地点数 4</t>
        </is>
      </c>
      <c r="G141" t="inlineStr">
        <is>
          <t>reserved</t>
        </is>
      </c>
    </row>
    <row r="142">
      <c r="A142" s="38" t="inlineStr">
        <is>
          <t>pal_141</t>
        </is>
      </c>
      <c r="B142" s="38" t="n">
        <v>1</v>
      </c>
      <c r="C142" s="38" t="inlineStr">
        <is>
          <t>pT1</t>
        </is>
      </c>
      <c r="D142" s="38" t="n">
        <v>100</v>
      </c>
      <c r="E142" s="38" t="n">
        <v>60</v>
      </c>
      <c r="F142" s="38" t="inlineStr">
        <is>
          <t>来源对象 bz_van_141；主附魔 Restorative；真实来源地点数 6</t>
        </is>
      </c>
      <c r="G142" t="inlineStr">
        <is>
          <t>reserved</t>
        </is>
      </c>
    </row>
    <row r="143">
      <c r="A143" s="38" t="inlineStr">
        <is>
          <t>pal_142</t>
        </is>
      </c>
      <c r="B143" s="38" t="n">
        <v>1</v>
      </c>
      <c r="C143" s="38" t="inlineStr">
        <is>
          <t>pT1</t>
        </is>
      </c>
      <c r="D143" s="38" t="n">
        <v>100</v>
      </c>
      <c r="E143" s="38" t="n">
        <v>60</v>
      </c>
      <c r="F143" s="38" t="inlineStr">
        <is>
          <t>来源对象 bz_van_142；主附魔 Deadly；真实来源地点数 5</t>
        </is>
      </c>
      <c r="G143" t="inlineStr">
        <is>
          <t>reserved</t>
        </is>
      </c>
    </row>
    <row r="144">
      <c r="A144" s="38" t="inlineStr">
        <is>
          <t>pal_143</t>
        </is>
      </c>
      <c r="B144" s="38" t="n">
        <v>2</v>
      </c>
      <c r="C144" s="38" t="inlineStr">
        <is>
          <t>pT2</t>
        </is>
      </c>
      <c r="D144" s="38" t="n">
        <v>85</v>
      </c>
      <c r="E144" s="38" t="n">
        <v>50</v>
      </c>
      <c r="F144" s="38" t="inlineStr">
        <is>
          <t>来源对象 bz_van_143；主附魔 Shielded；真实来源地点数 5</t>
        </is>
      </c>
      <c r="G144" t="inlineStr">
        <is>
          <t>reserved</t>
        </is>
      </c>
    </row>
    <row r="145">
      <c r="A145" s="38" t="inlineStr">
        <is>
          <t>pal_144</t>
        </is>
      </c>
      <c r="B145" s="38" t="n">
        <v>4</v>
      </c>
      <c r="C145" s="38" t="inlineStr">
        <is>
          <t>pT3</t>
        </is>
      </c>
      <c r="D145" s="38" t="n">
        <v>65</v>
      </c>
      <c r="E145" s="38" t="n">
        <v>40</v>
      </c>
      <c r="F145" s="38" t="inlineStr">
        <is>
          <t>来源对象 bz_van_144；主附魔 Turbo；真实来源地点数 4</t>
        </is>
      </c>
      <c r="G145" t="inlineStr">
        <is>
          <t>reserved</t>
        </is>
      </c>
    </row>
    <row r="146">
      <c r="A146" s="38" t="inlineStr">
        <is>
          <t>pal_145</t>
        </is>
      </c>
      <c r="B146" s="38" t="n">
        <v>2</v>
      </c>
      <c r="C146" s="38" t="inlineStr">
        <is>
          <t>pT2</t>
        </is>
      </c>
      <c r="D146" s="38" t="n">
        <v>85</v>
      </c>
      <c r="E146" s="38" t="n">
        <v>50</v>
      </c>
      <c r="F146" s="38" t="inlineStr">
        <is>
          <t>来源对象 bz_van_145；主附魔 Deadly；真实来源地点数 4</t>
        </is>
      </c>
      <c r="G146" t="inlineStr">
        <is>
          <t>reserved</t>
        </is>
      </c>
    </row>
    <row r="147">
      <c r="A147" s="38" t="inlineStr">
        <is>
          <t>pal_146</t>
        </is>
      </c>
      <c r="B147" s="38" t="n">
        <v>2</v>
      </c>
      <c r="C147" s="38" t="inlineStr">
        <is>
          <t>pT2</t>
        </is>
      </c>
      <c r="D147" s="38" t="n">
        <v>85</v>
      </c>
      <c r="E147" s="38" t="n">
        <v>50</v>
      </c>
      <c r="F147" s="38" t="inlineStr">
        <is>
          <t>来源对象 bz_van_146；主附魔 Turbo；真实来源地点数 6</t>
        </is>
      </c>
      <c r="G147" t="inlineStr">
        <is>
          <t>reserved</t>
        </is>
      </c>
    </row>
    <row r="148">
      <c r="A148" s="38" t="inlineStr">
        <is>
          <t>pal_147</t>
        </is>
      </c>
      <c r="B148" s="38" t="n">
        <v>6</v>
      </c>
      <c r="C148" s="38" t="inlineStr">
        <is>
          <t>pT4</t>
        </is>
      </c>
      <c r="D148" s="38" t="n">
        <v>40</v>
      </c>
      <c r="E148" s="38" t="n">
        <v>25</v>
      </c>
      <c r="F148" s="38" t="inlineStr">
        <is>
          <t>来源对象 bz_van_147；主附魔 Deadly；真实来源地点数 3</t>
        </is>
      </c>
      <c r="G148" t="inlineStr">
        <is>
          <t>reserved</t>
        </is>
      </c>
    </row>
    <row r="149">
      <c r="A149" s="38" t="inlineStr">
        <is>
          <t>pal_148</t>
        </is>
      </c>
      <c r="B149" s="38" t="n">
        <v>4</v>
      </c>
      <c r="C149" s="38" t="inlineStr">
        <is>
          <t>pT3</t>
        </is>
      </c>
      <c r="D149" s="38" t="n">
        <v>65</v>
      </c>
      <c r="E149" s="38" t="n">
        <v>40</v>
      </c>
      <c r="F149" s="38" t="inlineStr">
        <is>
          <t>来源对象 bz_van_148；主附魔 Deadly；真实来源地点数 4</t>
        </is>
      </c>
      <c r="G149" t="inlineStr">
        <is>
          <t>reserved</t>
        </is>
      </c>
    </row>
    <row r="150">
      <c r="A150" s="38" t="inlineStr">
        <is>
          <t>pal_149</t>
        </is>
      </c>
      <c r="B150" s="38" t="n">
        <v>2</v>
      </c>
      <c r="C150" s="38" t="inlineStr">
        <is>
          <t>pT2</t>
        </is>
      </c>
      <c r="D150" s="38" t="n">
        <v>85</v>
      </c>
      <c r="E150" s="38" t="n">
        <v>50</v>
      </c>
      <c r="F150" s="38" t="inlineStr">
        <is>
          <t>来源对象 bz_van_149；主附魔 Turbo；真实来源地点数 5</t>
        </is>
      </c>
      <c r="G150" t="inlineStr">
        <is>
          <t>reserved</t>
        </is>
      </c>
    </row>
    <row r="151">
      <c r="A151" s="38" t="inlineStr">
        <is>
          <t>pal_150</t>
        </is>
      </c>
      <c r="B151" s="38" t="n">
        <v>2</v>
      </c>
      <c r="C151" s="38" t="inlineStr">
        <is>
          <t>pT2</t>
        </is>
      </c>
      <c r="D151" s="38" t="n">
        <v>85</v>
      </c>
      <c r="E151" s="38" t="n">
        <v>50</v>
      </c>
      <c r="F151" s="38" t="inlineStr">
        <is>
          <t>来源对象 bz_van_150；主附魔 Turbo；真实来源地点数 5</t>
        </is>
      </c>
      <c r="G151" t="inlineStr">
        <is>
          <t>reserved</t>
        </is>
      </c>
    </row>
    <row r="152">
      <c r="A152" s="38" t="inlineStr">
        <is>
          <t>pal_151</t>
        </is>
      </c>
      <c r="B152" s="38" t="n">
        <v>4</v>
      </c>
      <c r="C152" s="38" t="inlineStr">
        <is>
          <t>pT3</t>
        </is>
      </c>
      <c r="D152" s="38" t="n">
        <v>65</v>
      </c>
      <c r="E152" s="38" t="n">
        <v>40</v>
      </c>
      <c r="F152" s="38" t="inlineStr">
        <is>
          <t>来源对象 bz_van_151；主附魔 Deadly；真实来源地点数 4</t>
        </is>
      </c>
      <c r="G152" t="inlineStr">
        <is>
          <t>reserved</t>
        </is>
      </c>
    </row>
    <row r="153">
      <c r="A153" s="38" t="inlineStr">
        <is>
          <t>pal_152</t>
        </is>
      </c>
      <c r="B153" s="38" t="n">
        <v>4</v>
      </c>
      <c r="C153" s="38" t="inlineStr">
        <is>
          <t>pT3</t>
        </is>
      </c>
      <c r="D153" s="38" t="n">
        <v>65</v>
      </c>
      <c r="E153" s="38" t="n">
        <v>40</v>
      </c>
      <c r="F153" s="38" t="inlineStr">
        <is>
          <t>来源对象 bz_van_152；主附魔 Icy；真实来源地点数 6</t>
        </is>
      </c>
      <c r="G153" t="inlineStr">
        <is>
          <t>reserved</t>
        </is>
      </c>
    </row>
    <row r="154">
      <c r="A154" s="38" t="inlineStr">
        <is>
          <t>pal_153</t>
        </is>
      </c>
      <c r="B154" s="38" t="n">
        <v>2</v>
      </c>
      <c r="C154" s="38" t="inlineStr">
        <is>
          <t>pT2</t>
        </is>
      </c>
      <c r="D154" s="38" t="n">
        <v>85</v>
      </c>
      <c r="E154" s="38" t="n">
        <v>50</v>
      </c>
      <c r="F154" s="38" t="inlineStr">
        <is>
          <t>来源对象 bz_van_153；主附魔 Turbo；真实来源地点数 5</t>
        </is>
      </c>
      <c r="G154" t="inlineStr">
        <is>
          <t>reserved</t>
        </is>
      </c>
    </row>
    <row r="155">
      <c r="A155" s="38" t="inlineStr">
        <is>
          <t>pal_154</t>
        </is>
      </c>
      <c r="B155" s="38" t="n">
        <v>2</v>
      </c>
      <c r="C155" s="38" t="inlineStr">
        <is>
          <t>pT2</t>
        </is>
      </c>
      <c r="D155" s="38" t="n">
        <v>85</v>
      </c>
      <c r="E155" s="38" t="n">
        <v>50</v>
      </c>
      <c r="F155" s="38" t="inlineStr">
        <is>
          <t>来源对象 bz_van_154；主附魔 Fiery；真实来源地点数 6</t>
        </is>
      </c>
      <c r="G155" t="inlineStr">
        <is>
          <t>reserved</t>
        </is>
      </c>
    </row>
    <row r="156">
      <c r="A156" s="38" t="inlineStr">
        <is>
          <t>pal_155</t>
        </is>
      </c>
      <c r="B156" s="38" t="n">
        <v>6</v>
      </c>
      <c r="C156" s="38" t="inlineStr">
        <is>
          <t>pT4</t>
        </is>
      </c>
      <c r="D156" s="38" t="n">
        <v>40</v>
      </c>
      <c r="E156" s="38" t="n">
        <v>25</v>
      </c>
      <c r="F156" s="38" t="inlineStr">
        <is>
          <t>来源对象 bz_van_155；主附魔 Deadly；真实来源地点数 3</t>
        </is>
      </c>
      <c r="G156" t="inlineStr">
        <is>
          <t>reserved</t>
        </is>
      </c>
    </row>
    <row r="157">
      <c r="A157" s="38" t="inlineStr">
        <is>
          <t>pal_156</t>
        </is>
      </c>
      <c r="B157" s="38" t="n">
        <v>4</v>
      </c>
      <c r="C157" s="38" t="inlineStr">
        <is>
          <t>pT3</t>
        </is>
      </c>
      <c r="D157" s="38" t="n">
        <v>65</v>
      </c>
      <c r="E157" s="38" t="n">
        <v>40</v>
      </c>
      <c r="F157" s="38" t="inlineStr">
        <is>
          <t>来源对象 bz_van_156；主附魔 Turbo；真实来源地点数 3</t>
        </is>
      </c>
      <c r="G157" t="inlineStr">
        <is>
          <t>reserved</t>
        </is>
      </c>
    </row>
    <row r="158">
      <c r="A158" s="38" t="inlineStr">
        <is>
          <t>pal_157</t>
        </is>
      </c>
      <c r="B158" s="38" t="n">
        <v>2</v>
      </c>
      <c r="C158" s="38" t="inlineStr">
        <is>
          <t>pT2</t>
        </is>
      </c>
      <c r="D158" s="38" t="n">
        <v>85</v>
      </c>
      <c r="E158" s="38" t="n">
        <v>50</v>
      </c>
      <c r="F158" s="38" t="inlineStr">
        <is>
          <t>来源对象 bz_van_157；主附魔 Fiery；真实来源地点数 5</t>
        </is>
      </c>
      <c r="G158" t="inlineStr">
        <is>
          <t>reserved</t>
        </is>
      </c>
    </row>
    <row r="159">
      <c r="A159" s="38" t="inlineStr">
        <is>
          <t>pal_158</t>
        </is>
      </c>
      <c r="B159" s="38" t="n">
        <v>4</v>
      </c>
      <c r="C159" s="38" t="inlineStr">
        <is>
          <t>pT3</t>
        </is>
      </c>
      <c r="D159" s="38" t="n">
        <v>65</v>
      </c>
      <c r="E159" s="38" t="n">
        <v>40</v>
      </c>
      <c r="F159" s="38" t="inlineStr">
        <is>
          <t>来源对象 bz_van_158；主附魔 Turbo；真实来源地点数 6</t>
        </is>
      </c>
      <c r="G159" t="inlineStr">
        <is>
          <t>reserved</t>
        </is>
      </c>
    </row>
    <row r="160">
      <c r="A160" s="38" t="inlineStr">
        <is>
          <t>pal_159</t>
        </is>
      </c>
      <c r="B160" s="38" t="n">
        <v>2</v>
      </c>
      <c r="C160" s="38" t="inlineStr">
        <is>
          <t>pT2</t>
        </is>
      </c>
      <c r="D160" s="38" t="n">
        <v>85</v>
      </c>
      <c r="E160" s="38" t="n">
        <v>50</v>
      </c>
      <c r="F160" s="38" t="inlineStr">
        <is>
          <t>来源对象 bz_van_159；主附魔 Icy；真实来源地点数 6</t>
        </is>
      </c>
      <c r="G160" t="inlineStr">
        <is>
          <t>reserved</t>
        </is>
      </c>
    </row>
    <row r="161">
      <c r="A161" s="38" t="inlineStr">
        <is>
          <t>pal_160</t>
        </is>
      </c>
      <c r="B161" s="38" t="n">
        <v>4</v>
      </c>
      <c r="C161" s="38" t="inlineStr">
        <is>
          <t>pT3</t>
        </is>
      </c>
      <c r="D161" s="38" t="n">
        <v>65</v>
      </c>
      <c r="E161" s="38" t="n">
        <v>40</v>
      </c>
      <c r="F161" s="38" t="inlineStr">
        <is>
          <t>来源对象 bz_van_160；主附魔 Icy；真实来源地点数 6</t>
        </is>
      </c>
      <c r="G161" t="inlineStr">
        <is>
          <t>reserved</t>
        </is>
      </c>
    </row>
    <row r="162">
      <c r="A162" s="38" t="inlineStr">
        <is>
          <t>pal_161</t>
        </is>
      </c>
      <c r="B162" s="38" t="n">
        <v>1</v>
      </c>
      <c r="C162" s="38" t="inlineStr">
        <is>
          <t>pT1</t>
        </is>
      </c>
      <c r="D162" s="38" t="n">
        <v>100</v>
      </c>
      <c r="E162" s="38" t="n">
        <v>60</v>
      </c>
      <c r="F162" s="38" t="inlineStr">
        <is>
          <t>来源对象 bz_van_161；主附魔 Deadly；真实来源地点数 6</t>
        </is>
      </c>
      <c r="G162" t="inlineStr">
        <is>
          <t>reserved</t>
        </is>
      </c>
    </row>
    <row r="163">
      <c r="A163" s="38" t="inlineStr">
        <is>
          <t>pal_162</t>
        </is>
      </c>
      <c r="B163" s="38" t="n">
        <v>1</v>
      </c>
      <c r="C163" s="38" t="inlineStr">
        <is>
          <t>pT1</t>
        </is>
      </c>
      <c r="D163" s="38" t="n">
        <v>100</v>
      </c>
      <c r="E163" s="38" t="n">
        <v>60</v>
      </c>
      <c r="F163" s="38" t="inlineStr">
        <is>
          <t>来源对象 bz_van_162；主附魔 Deadly；真实来源地点数 5</t>
        </is>
      </c>
      <c r="G163" t="inlineStr">
        <is>
          <t>reserved</t>
        </is>
      </c>
    </row>
    <row r="164">
      <c r="A164" s="38" t="inlineStr">
        <is>
          <t>pal_163</t>
        </is>
      </c>
      <c r="B164" s="38" t="n">
        <v>2</v>
      </c>
      <c r="C164" s="38" t="inlineStr">
        <is>
          <t>pT2</t>
        </is>
      </c>
      <c r="D164" s="38" t="n">
        <v>85</v>
      </c>
      <c r="E164" s="38" t="n">
        <v>50</v>
      </c>
      <c r="F164" s="38" t="inlineStr">
        <is>
          <t>来源对象 bz_van_163；主附魔 Shielded；真实来源地点数 6</t>
        </is>
      </c>
      <c r="G164" t="inlineStr">
        <is>
          <t>reserved</t>
        </is>
      </c>
    </row>
    <row r="165">
      <c r="A165" s="38" t="inlineStr">
        <is>
          <t>pal_164</t>
        </is>
      </c>
      <c r="B165" s="38" t="n">
        <v>4</v>
      </c>
      <c r="C165" s="38" t="inlineStr">
        <is>
          <t>pT3</t>
        </is>
      </c>
      <c r="D165" s="38" t="n">
        <v>65</v>
      </c>
      <c r="E165" s="38" t="n">
        <v>40</v>
      </c>
      <c r="F165" s="38" t="inlineStr">
        <is>
          <t>来源对象 bz_van_164；主附魔 Fiery；真实来源地点数 6</t>
        </is>
      </c>
      <c r="G165" t="inlineStr">
        <is>
          <t>reserved</t>
        </is>
      </c>
    </row>
    <row r="166">
      <c r="A166" s="38" t="inlineStr">
        <is>
          <t>pal_165</t>
        </is>
      </c>
      <c r="B166" s="38" t="n">
        <v>4</v>
      </c>
      <c r="C166" s="38" t="inlineStr">
        <is>
          <t>pT3</t>
        </is>
      </c>
      <c r="D166" s="38" t="n">
        <v>65</v>
      </c>
      <c r="E166" s="38" t="n">
        <v>40</v>
      </c>
      <c r="F166" s="38" t="inlineStr">
        <is>
          <t>来源对象 bz_van_165；主附魔 Turbo；真实来源地点数 6</t>
        </is>
      </c>
      <c r="G166" t="inlineStr">
        <is>
          <t>reserved</t>
        </is>
      </c>
    </row>
    <row r="167">
      <c r="A167" s="38" t="inlineStr">
        <is>
          <t>pal_166</t>
        </is>
      </c>
      <c r="B167" s="38" t="n">
        <v>6</v>
      </c>
      <c r="C167" s="38" t="inlineStr">
        <is>
          <t>pT4</t>
        </is>
      </c>
      <c r="D167" s="38" t="n">
        <v>40</v>
      </c>
      <c r="E167" s="38" t="n">
        <v>25</v>
      </c>
      <c r="F167" s="38" t="inlineStr">
        <is>
          <t>来源对象 bz_van_166；主附魔 Fiery；真实来源地点数 2</t>
        </is>
      </c>
      <c r="G167" t="inlineStr">
        <is>
          <t>reserved</t>
        </is>
      </c>
    </row>
    <row r="168">
      <c r="A168" s="38" t="inlineStr">
        <is>
          <t>pal_167</t>
        </is>
      </c>
      <c r="B168" s="38" t="n">
        <v>2</v>
      </c>
      <c r="C168" s="38" t="inlineStr">
        <is>
          <t>pT2</t>
        </is>
      </c>
      <c r="D168" s="38" t="n">
        <v>85</v>
      </c>
      <c r="E168" s="38" t="n">
        <v>50</v>
      </c>
      <c r="F168" s="38" t="inlineStr">
        <is>
          <t>来源对象 bz_van_167；主附魔 Restorative；真实来源地点数 5</t>
        </is>
      </c>
      <c r="G168" t="inlineStr">
        <is>
          <t>reserved</t>
        </is>
      </c>
    </row>
    <row r="169">
      <c r="A169" s="38" t="inlineStr">
        <is>
          <t>pal_168</t>
        </is>
      </c>
      <c r="B169" s="38" t="n">
        <v>6</v>
      </c>
      <c r="C169" s="38" t="inlineStr">
        <is>
          <t>pT4</t>
        </is>
      </c>
      <c r="D169" s="38" t="n">
        <v>40</v>
      </c>
      <c r="E169" s="38" t="n">
        <v>25</v>
      </c>
      <c r="F169" s="38" t="inlineStr">
        <is>
          <t>来源对象 bz_van_168；主附魔 Restorative；真实来源地点数 3</t>
        </is>
      </c>
      <c r="G169" t="inlineStr">
        <is>
          <t>reserved</t>
        </is>
      </c>
    </row>
    <row r="170">
      <c r="A170" s="38" t="inlineStr">
        <is>
          <t>pal_169</t>
        </is>
      </c>
      <c r="B170" s="38" t="n">
        <v>2</v>
      </c>
      <c r="C170" s="38" t="inlineStr">
        <is>
          <t>pT2</t>
        </is>
      </c>
      <c r="D170" s="38" t="n">
        <v>85</v>
      </c>
      <c r="E170" s="38" t="n">
        <v>50</v>
      </c>
      <c r="F170" s="38" t="inlineStr">
        <is>
          <t>来源对象 bz_van_169；主附魔 Fiery；真实来源地点数 5</t>
        </is>
      </c>
      <c r="G170" t="inlineStr">
        <is>
          <t>reserved</t>
        </is>
      </c>
    </row>
    <row r="171">
      <c r="A171" s="38" t="inlineStr">
        <is>
          <t>pal_170</t>
        </is>
      </c>
      <c r="B171" s="38" t="n">
        <v>2</v>
      </c>
      <c r="C171" s="38" t="inlineStr">
        <is>
          <t>pT2</t>
        </is>
      </c>
      <c r="D171" s="38" t="n">
        <v>85</v>
      </c>
      <c r="E171" s="38" t="n">
        <v>50</v>
      </c>
      <c r="F171" s="38" t="inlineStr">
        <is>
          <t>来源对象 bz_van_170；主附魔 Toxic；真实来源地点数 6</t>
        </is>
      </c>
      <c r="G171" t="inlineStr">
        <is>
          <t>reserved</t>
        </is>
      </c>
    </row>
    <row r="172">
      <c r="A172" s="38" t="inlineStr">
        <is>
          <t>pal_171</t>
        </is>
      </c>
      <c r="B172" s="38" t="n">
        <v>1</v>
      </c>
      <c r="C172" s="38" t="inlineStr">
        <is>
          <t>pT1</t>
        </is>
      </c>
      <c r="D172" s="38" t="n">
        <v>100</v>
      </c>
      <c r="E172" s="38" t="n">
        <v>60</v>
      </c>
      <c r="F172" s="38" t="inlineStr">
        <is>
          <t>来源对象 bz_van_171；主附魔 Fiery；真实来源地点数 5</t>
        </is>
      </c>
      <c r="G172" t="inlineStr">
        <is>
          <t>reserved</t>
        </is>
      </c>
    </row>
    <row r="173">
      <c r="A173" s="38" t="inlineStr">
        <is>
          <t>pal_172</t>
        </is>
      </c>
      <c r="B173" s="38" t="n">
        <v>1</v>
      </c>
      <c r="C173" s="38" t="inlineStr">
        <is>
          <t>pT1</t>
        </is>
      </c>
      <c r="D173" s="38" t="n">
        <v>100</v>
      </c>
      <c r="E173" s="38" t="n">
        <v>60</v>
      </c>
      <c r="F173" s="38" t="inlineStr">
        <is>
          <t>来源对象 bz_van_172；主附魔 Toxic；真实来源地点数 5</t>
        </is>
      </c>
      <c r="G173" t="inlineStr">
        <is>
          <t>reserved</t>
        </is>
      </c>
    </row>
    <row r="174">
      <c r="A174" s="38" t="inlineStr">
        <is>
          <t>pal_173</t>
        </is>
      </c>
      <c r="B174" s="38" t="n">
        <v>1</v>
      </c>
      <c r="C174" s="38" t="inlineStr">
        <is>
          <t>pT1</t>
        </is>
      </c>
      <c r="D174" s="38" t="n">
        <v>100</v>
      </c>
      <c r="E174" s="38" t="n">
        <v>60</v>
      </c>
      <c r="F174" s="38" t="inlineStr">
        <is>
          <t>来源对象 bz_van_173；主附魔 Fiery；真实来源地点数 5</t>
        </is>
      </c>
      <c r="G174" t="inlineStr">
        <is>
          <t>reserved</t>
        </is>
      </c>
    </row>
    <row r="175">
      <c r="A175" s="38" t="inlineStr">
        <is>
          <t>pal_174</t>
        </is>
      </c>
      <c r="B175" s="38" t="n">
        <v>2</v>
      </c>
      <c r="C175" s="38" t="inlineStr">
        <is>
          <t>pT2</t>
        </is>
      </c>
      <c r="D175" s="38" t="n">
        <v>85</v>
      </c>
      <c r="E175" s="38" t="n">
        <v>50</v>
      </c>
      <c r="F175" s="38" t="inlineStr">
        <is>
          <t>来源对象 bz_van_174；主附魔 Fiery；真实来源地点数 5</t>
        </is>
      </c>
      <c r="G175" t="inlineStr">
        <is>
          <t>reserved</t>
        </is>
      </c>
    </row>
    <row r="176">
      <c r="A176" s="38" t="inlineStr">
        <is>
          <t>pal_175</t>
        </is>
      </c>
      <c r="B176" s="38" t="n">
        <v>4</v>
      </c>
      <c r="C176" s="38" t="inlineStr">
        <is>
          <t>pT3</t>
        </is>
      </c>
      <c r="D176" s="38" t="n">
        <v>65</v>
      </c>
      <c r="E176" s="38" t="n">
        <v>40</v>
      </c>
      <c r="F176" s="38" t="inlineStr">
        <is>
          <t>来源对象 bz_van_175；主附魔 Deadly；真实来源地点数 4</t>
        </is>
      </c>
      <c r="G176" t="inlineStr">
        <is>
          <t>reserved</t>
        </is>
      </c>
    </row>
    <row r="177">
      <c r="A177" s="38" t="inlineStr">
        <is>
          <t>pal_176</t>
        </is>
      </c>
      <c r="B177" s="38" t="n">
        <v>2</v>
      </c>
      <c r="C177" s="38" t="inlineStr">
        <is>
          <t>pT2</t>
        </is>
      </c>
      <c r="D177" s="38" t="n">
        <v>85</v>
      </c>
      <c r="E177" s="38" t="n">
        <v>50</v>
      </c>
      <c r="F177" s="38" t="inlineStr">
        <is>
          <t>来源对象 bz_van_176；主附魔 Deadly；真实来源地点数 5</t>
        </is>
      </c>
      <c r="G177" t="inlineStr">
        <is>
          <t>reserved</t>
        </is>
      </c>
    </row>
    <row r="178">
      <c r="A178" s="38" t="inlineStr">
        <is>
          <t>pal_177</t>
        </is>
      </c>
      <c r="B178" s="38" t="n">
        <v>2</v>
      </c>
      <c r="C178" s="38" t="inlineStr">
        <is>
          <t>pT2</t>
        </is>
      </c>
      <c r="D178" s="38" t="n">
        <v>85</v>
      </c>
      <c r="E178" s="38" t="n">
        <v>50</v>
      </c>
      <c r="F178" s="38" t="inlineStr">
        <is>
          <t>来源对象 bz_van_177；主附魔 Deadly；真实来源地点数 5</t>
        </is>
      </c>
      <c r="G178" t="inlineStr">
        <is>
          <t>reserved</t>
        </is>
      </c>
    </row>
    <row r="179">
      <c r="A179" s="38" t="inlineStr">
        <is>
          <t>pal_178</t>
        </is>
      </c>
      <c r="B179" s="38" t="n">
        <v>2</v>
      </c>
      <c r="C179" s="38" t="inlineStr">
        <is>
          <t>pT2</t>
        </is>
      </c>
      <c r="D179" s="38" t="n">
        <v>85</v>
      </c>
      <c r="E179" s="38" t="n">
        <v>50</v>
      </c>
      <c r="F179" s="38" t="inlineStr">
        <is>
          <t>来源对象 bz_van_178；主附魔 Deadly；真实来源地点数 5</t>
        </is>
      </c>
      <c r="G179" t="inlineStr">
        <is>
          <t>reserved</t>
        </is>
      </c>
    </row>
    <row r="180">
      <c r="A180" s="38" t="inlineStr">
        <is>
          <t>pal_179</t>
        </is>
      </c>
      <c r="B180" s="38" t="n">
        <v>4</v>
      </c>
      <c r="C180" s="38" t="inlineStr">
        <is>
          <t>pT3</t>
        </is>
      </c>
      <c r="D180" s="38" t="n">
        <v>65</v>
      </c>
      <c r="E180" s="38" t="n">
        <v>40</v>
      </c>
      <c r="F180" s="38" t="inlineStr">
        <is>
          <t>来源对象 bz_van_179；主附魔 Deadly；真实来源地点数 5</t>
        </is>
      </c>
      <c r="G180" t="inlineStr">
        <is>
          <t>reserved</t>
        </is>
      </c>
    </row>
    <row r="181">
      <c r="A181" s="38" t="inlineStr">
        <is>
          <t>pal_180</t>
        </is>
      </c>
      <c r="B181" s="38" t="n">
        <v>4</v>
      </c>
      <c r="C181" s="38" t="inlineStr">
        <is>
          <t>pT3</t>
        </is>
      </c>
      <c r="D181" s="38" t="n">
        <v>65</v>
      </c>
      <c r="E181" s="38" t="n">
        <v>40</v>
      </c>
      <c r="F181" s="38" t="inlineStr">
        <is>
          <t>来源对象 bz_van_180；主附魔 Turbo；真实来源地点数 6</t>
        </is>
      </c>
      <c r="G181" t="inlineStr">
        <is>
          <t>reserved</t>
        </is>
      </c>
    </row>
    <row r="182">
      <c r="A182" s="38" t="inlineStr">
        <is>
          <t>pal_181</t>
        </is>
      </c>
      <c r="B182" s="38" t="n">
        <v>6</v>
      </c>
      <c r="C182" s="38" t="inlineStr">
        <is>
          <t>pT4</t>
        </is>
      </c>
      <c r="D182" s="38" t="n">
        <v>40</v>
      </c>
      <c r="E182" s="38" t="n">
        <v>25</v>
      </c>
      <c r="F182" s="38" t="inlineStr">
        <is>
          <t>来源对象 bz_van_181；主附魔 Restorative；真实来源地点数 4</t>
        </is>
      </c>
      <c r="G182" t="inlineStr">
        <is>
          <t>reserved</t>
        </is>
      </c>
    </row>
    <row r="183">
      <c r="A183" s="38" t="inlineStr">
        <is>
          <t>pal_182</t>
        </is>
      </c>
      <c r="B183" s="38" t="n">
        <v>6</v>
      </c>
      <c r="C183" s="38" t="inlineStr">
        <is>
          <t>pT4</t>
        </is>
      </c>
      <c r="D183" s="38" t="n">
        <v>40</v>
      </c>
      <c r="E183" s="38" t="n">
        <v>25</v>
      </c>
      <c r="F183" s="38" t="inlineStr">
        <is>
          <t>来源对象 bz_van_182；主附魔 Radiant；真实来源地点数 3</t>
        </is>
      </c>
      <c r="G183" t="inlineStr">
        <is>
          <t>reserved</t>
        </is>
      </c>
    </row>
    <row r="184">
      <c r="A184" s="38" t="inlineStr">
        <is>
          <t>pal_183</t>
        </is>
      </c>
      <c r="B184" s="38" t="n">
        <v>1</v>
      </c>
      <c r="C184" s="38" t="inlineStr">
        <is>
          <t>pT1</t>
        </is>
      </c>
      <c r="D184" s="38" t="n">
        <v>100</v>
      </c>
      <c r="E184" s="38" t="n">
        <v>60</v>
      </c>
      <c r="F184" s="38" t="inlineStr">
        <is>
          <t>来源对象 bz_van_183；主附魔 Shielded；真实来源地点数 5</t>
        </is>
      </c>
      <c r="G184" t="inlineStr">
        <is>
          <t>reserved</t>
        </is>
      </c>
    </row>
    <row r="185">
      <c r="A185" s="38" t="inlineStr">
        <is>
          <t>pal_184</t>
        </is>
      </c>
      <c r="B185" s="38" t="n">
        <v>2</v>
      </c>
      <c r="C185" s="38" t="inlineStr">
        <is>
          <t>pT2</t>
        </is>
      </c>
      <c r="D185" s="38" t="n">
        <v>85</v>
      </c>
      <c r="E185" s="38" t="n">
        <v>50</v>
      </c>
      <c r="F185" s="38" t="inlineStr">
        <is>
          <t>来源对象 bz_van_184；主附魔 Deadly；真实来源地点数 6</t>
        </is>
      </c>
      <c r="G185" t="inlineStr">
        <is>
          <t>reserved</t>
        </is>
      </c>
    </row>
    <row r="186">
      <c r="A186" s="38" t="inlineStr">
        <is>
          <t>pal_185</t>
        </is>
      </c>
      <c r="B186" s="38" t="n">
        <v>2</v>
      </c>
      <c r="C186" s="38" t="inlineStr">
        <is>
          <t>pT2</t>
        </is>
      </c>
      <c r="D186" s="38" t="n">
        <v>85</v>
      </c>
      <c r="E186" s="38" t="n">
        <v>50</v>
      </c>
      <c r="F186" s="38" t="inlineStr">
        <is>
          <t>来源对象 bz_van_185；主附魔 Fiery；真实来源地点数 6</t>
        </is>
      </c>
      <c r="G186" t="inlineStr">
        <is>
          <t>reserved</t>
        </is>
      </c>
    </row>
    <row r="187">
      <c r="A187" s="38" t="inlineStr">
        <is>
          <t>pal_186</t>
        </is>
      </c>
      <c r="B187" s="38" t="n">
        <v>6</v>
      </c>
      <c r="C187" s="38" t="inlineStr">
        <is>
          <t>pT4</t>
        </is>
      </c>
      <c r="D187" s="38" t="n">
        <v>40</v>
      </c>
      <c r="E187" s="38" t="n">
        <v>25</v>
      </c>
      <c r="F187" s="38" t="inlineStr">
        <is>
          <t>来源对象 bz_van_186；主附魔 Deadly；真实来源地点数 4</t>
        </is>
      </c>
      <c r="G187" t="inlineStr">
        <is>
          <t>reserved</t>
        </is>
      </c>
    </row>
    <row r="188">
      <c r="A188" s="38" t="inlineStr">
        <is>
          <t>pal_187</t>
        </is>
      </c>
      <c r="B188" s="38" t="n">
        <v>2</v>
      </c>
      <c r="C188" s="38" t="inlineStr">
        <is>
          <t>pT2</t>
        </is>
      </c>
      <c r="D188" s="38" t="n">
        <v>85</v>
      </c>
      <c r="E188" s="38" t="n">
        <v>50</v>
      </c>
      <c r="F188" s="38" t="inlineStr">
        <is>
          <t>来源对象 bz_van_187；主附魔 Deadly；真实来源地点数 5</t>
        </is>
      </c>
      <c r="G188" t="inlineStr">
        <is>
          <t>reserved</t>
        </is>
      </c>
    </row>
    <row r="189">
      <c r="A189" s="38" t="inlineStr">
        <is>
          <t>pal_188</t>
        </is>
      </c>
      <c r="B189" s="38" t="n">
        <v>2</v>
      </c>
      <c r="C189" s="38" t="inlineStr">
        <is>
          <t>pT2</t>
        </is>
      </c>
      <c r="D189" s="38" t="n">
        <v>85</v>
      </c>
      <c r="E189" s="38" t="n">
        <v>50</v>
      </c>
      <c r="F189" s="38" t="inlineStr">
        <is>
          <t>来源对象 bz_van_188；主附魔 Shielded；真实来源地点数 5</t>
        </is>
      </c>
      <c r="G189" t="inlineStr">
        <is>
          <t>reserved</t>
        </is>
      </c>
    </row>
    <row r="190">
      <c r="A190" s="38" t="inlineStr">
        <is>
          <t>pal_189</t>
        </is>
      </c>
      <c r="B190" s="38" t="n">
        <v>6</v>
      </c>
      <c r="C190" s="38" t="inlineStr">
        <is>
          <t>pT4</t>
        </is>
      </c>
      <c r="D190" s="38" t="n">
        <v>40</v>
      </c>
      <c r="E190" s="38" t="n">
        <v>25</v>
      </c>
      <c r="F190" s="38" t="inlineStr">
        <is>
          <t>来源对象 bz_van_189；主附魔 Fiery；真实来源地点数 3</t>
        </is>
      </c>
      <c r="G190" t="inlineStr">
        <is>
          <t>reserved</t>
        </is>
      </c>
    </row>
    <row r="191">
      <c r="A191" s="38" t="inlineStr">
        <is>
          <t>pal_190</t>
        </is>
      </c>
      <c r="B191" s="38" t="n">
        <v>2</v>
      </c>
      <c r="C191" s="38" t="inlineStr">
        <is>
          <t>pT2</t>
        </is>
      </c>
      <c r="D191" s="38" t="n">
        <v>85</v>
      </c>
      <c r="E191" s="38" t="n">
        <v>50</v>
      </c>
      <c r="F191" s="38" t="inlineStr">
        <is>
          <t>来源对象 bz_van_190；主附魔 Turbo；真实来源地点数 6</t>
        </is>
      </c>
      <c r="G191" t="inlineStr">
        <is>
          <t>reserved</t>
        </is>
      </c>
    </row>
    <row r="192">
      <c r="A192" s="38" t="inlineStr">
        <is>
          <t>pal_191</t>
        </is>
      </c>
      <c r="B192" s="38" t="n">
        <v>2</v>
      </c>
      <c r="C192" s="38" t="inlineStr">
        <is>
          <t>pT2</t>
        </is>
      </c>
      <c r="D192" s="38" t="n">
        <v>85</v>
      </c>
      <c r="E192" s="38" t="n">
        <v>50</v>
      </c>
      <c r="F192" s="38" t="inlineStr">
        <is>
          <t>来源对象 bz_van_191；主附魔 Fiery；真实来源地点数 6</t>
        </is>
      </c>
      <c r="G192" t="inlineStr">
        <is>
          <t>reserved</t>
        </is>
      </c>
    </row>
    <row r="193">
      <c r="A193" s="38" t="inlineStr">
        <is>
          <t>pal_192</t>
        </is>
      </c>
      <c r="B193" s="38" t="n">
        <v>2</v>
      </c>
      <c r="C193" s="38" t="inlineStr">
        <is>
          <t>pT2</t>
        </is>
      </c>
      <c r="D193" s="38" t="n">
        <v>85</v>
      </c>
      <c r="E193" s="38" t="n">
        <v>50</v>
      </c>
      <c r="F193" s="38" t="inlineStr">
        <is>
          <t>来源对象 bz_van_192；主附魔 Fiery；真实来源地点数 5</t>
        </is>
      </c>
      <c r="G193" t="inlineStr">
        <is>
          <t>reserved</t>
        </is>
      </c>
    </row>
    <row r="194">
      <c r="A194" s="38" t="inlineStr">
        <is>
          <t>pal_193</t>
        </is>
      </c>
      <c r="B194" s="38" t="n">
        <v>2</v>
      </c>
      <c r="C194" s="38" t="inlineStr">
        <is>
          <t>pT2</t>
        </is>
      </c>
      <c r="D194" s="38" t="n">
        <v>85</v>
      </c>
      <c r="E194" s="38" t="n">
        <v>50</v>
      </c>
      <c r="F194" s="38" t="inlineStr">
        <is>
          <t>来源对象 bz_van_193；主附魔 Deadly；真实来源地点数 6</t>
        </is>
      </c>
      <c r="G194" t="inlineStr">
        <is>
          <t>reserved</t>
        </is>
      </c>
    </row>
    <row r="195">
      <c r="A195" s="38" t="inlineStr">
        <is>
          <t>pal_194</t>
        </is>
      </c>
      <c r="B195" s="38" t="n">
        <v>4</v>
      </c>
      <c r="C195" s="38" t="inlineStr">
        <is>
          <t>pT3</t>
        </is>
      </c>
      <c r="D195" s="38" t="n">
        <v>65</v>
      </c>
      <c r="E195" s="38" t="n">
        <v>40</v>
      </c>
      <c r="F195" s="38" t="inlineStr">
        <is>
          <t>来源对象 bz_van_194；主附魔 Deadly；真实来源地点数 4</t>
        </is>
      </c>
      <c r="G195" t="inlineStr">
        <is>
          <t>reserved</t>
        </is>
      </c>
    </row>
    <row r="196">
      <c r="A196" s="38" t="inlineStr">
        <is>
          <t>pal_195</t>
        </is>
      </c>
      <c r="B196" s="38" t="n">
        <v>2</v>
      </c>
      <c r="C196" s="38" t="inlineStr">
        <is>
          <t>pT2</t>
        </is>
      </c>
      <c r="D196" s="38" t="n">
        <v>85</v>
      </c>
      <c r="E196" s="38" t="n">
        <v>50</v>
      </c>
      <c r="F196" s="38" t="inlineStr">
        <is>
          <t>来源对象 bz_van_195；主附魔 Fiery；真实来源地点数 5</t>
        </is>
      </c>
      <c r="G196" t="inlineStr">
        <is>
          <t>reserved</t>
        </is>
      </c>
    </row>
    <row r="197">
      <c r="A197" s="38" t="inlineStr">
        <is>
          <t>pal_196</t>
        </is>
      </c>
      <c r="B197" s="38" t="n">
        <v>4</v>
      </c>
      <c r="C197" s="38" t="inlineStr">
        <is>
          <t>pT3</t>
        </is>
      </c>
      <c r="D197" s="38" t="n">
        <v>65</v>
      </c>
      <c r="E197" s="38" t="n">
        <v>40</v>
      </c>
      <c r="F197" s="38" t="inlineStr">
        <is>
          <t>来源对象 bz_van_196；主附魔 Icy；真实来源地点数 6</t>
        </is>
      </c>
      <c r="G197" t="inlineStr">
        <is>
          <t>reserved</t>
        </is>
      </c>
    </row>
    <row r="198">
      <c r="A198" s="38" t="inlineStr">
        <is>
          <t>pal_197</t>
        </is>
      </c>
      <c r="B198" s="38" t="n">
        <v>6</v>
      </c>
      <c r="C198" s="38" t="inlineStr">
        <is>
          <t>pT4</t>
        </is>
      </c>
      <c r="D198" s="38" t="n">
        <v>40</v>
      </c>
      <c r="E198" s="38" t="n">
        <v>25</v>
      </c>
      <c r="F198" s="38" t="inlineStr">
        <is>
          <t>来源对象 bz_van_197；主附魔 Icy；真实来源地点数 3</t>
        </is>
      </c>
      <c r="G198" t="inlineStr">
        <is>
          <t>reserved</t>
        </is>
      </c>
    </row>
    <row r="199">
      <c r="A199" s="38" t="inlineStr">
        <is>
          <t>pal_198</t>
        </is>
      </c>
      <c r="B199" s="38" t="n">
        <v>1</v>
      </c>
      <c r="C199" s="38" t="inlineStr">
        <is>
          <t>pT1</t>
        </is>
      </c>
      <c r="D199" s="38" t="n">
        <v>100</v>
      </c>
      <c r="E199" s="38" t="n">
        <v>60</v>
      </c>
      <c r="F199" s="38" t="inlineStr">
        <is>
          <t>来源对象 bz_van_198；主附魔 Fiery；真实来源地点数 5</t>
        </is>
      </c>
      <c r="G199" t="inlineStr">
        <is>
          <t>reserved</t>
        </is>
      </c>
    </row>
    <row r="200">
      <c r="A200" s="38" t="inlineStr">
        <is>
          <t>pal_199</t>
        </is>
      </c>
      <c r="B200" s="38" t="n">
        <v>1</v>
      </c>
      <c r="C200" s="38" t="inlineStr">
        <is>
          <t>pT1</t>
        </is>
      </c>
      <c r="D200" s="38" t="n">
        <v>100</v>
      </c>
      <c r="E200" s="38" t="n">
        <v>60</v>
      </c>
      <c r="F200" s="38" t="inlineStr">
        <is>
          <t>来源对象 bz_van_199；主附魔 Toxic；真实来源地点数 5</t>
        </is>
      </c>
      <c r="G200" t="inlineStr">
        <is>
          <t>reserved</t>
        </is>
      </c>
    </row>
    <row r="201">
      <c r="A201" s="38" t="inlineStr">
        <is>
          <t>pal_200</t>
        </is>
      </c>
      <c r="B201" s="38" t="n">
        <v>4</v>
      </c>
      <c r="C201" s="38" t="inlineStr">
        <is>
          <t>pT3</t>
        </is>
      </c>
      <c r="D201" s="38" t="n">
        <v>65</v>
      </c>
      <c r="E201" s="38" t="n">
        <v>40</v>
      </c>
      <c r="F201" s="38" t="inlineStr">
        <is>
          <t>来源对象 bz_van_200；主附魔 Fiery；真实来源地点数 5</t>
        </is>
      </c>
      <c r="G201" t="inlineStr">
        <is>
          <t>reserved</t>
        </is>
      </c>
    </row>
    <row r="202">
      <c r="A202" s="38" t="inlineStr">
        <is>
          <t>pal_201</t>
        </is>
      </c>
      <c r="B202" s="38" t="n">
        <v>2</v>
      </c>
      <c r="C202" s="38" t="inlineStr">
        <is>
          <t>pT2</t>
        </is>
      </c>
      <c r="D202" s="38" t="n">
        <v>85</v>
      </c>
      <c r="E202" s="38" t="n">
        <v>50</v>
      </c>
      <c r="F202" s="38" t="inlineStr">
        <is>
          <t>来源对象 bz_van_201；主附魔 Restorative；真实来源地点数 7</t>
        </is>
      </c>
      <c r="G202" t="inlineStr">
        <is>
          <t>reserved</t>
        </is>
      </c>
    </row>
    <row r="203">
      <c r="A203" s="38" t="inlineStr">
        <is>
          <t>pal_202</t>
        </is>
      </c>
      <c r="B203" s="38" t="n">
        <v>4</v>
      </c>
      <c r="C203" s="38" t="inlineStr">
        <is>
          <t>pT3</t>
        </is>
      </c>
      <c r="D203" s="38" t="n">
        <v>65</v>
      </c>
      <c r="E203" s="38" t="n">
        <v>40</v>
      </c>
      <c r="F203" s="38" t="inlineStr">
        <is>
          <t>来源对象 bz_van_202；主附魔 Toxic；真实来源地点数 5</t>
        </is>
      </c>
      <c r="G203" t="inlineStr">
        <is>
          <t>reserved</t>
        </is>
      </c>
    </row>
    <row r="204">
      <c r="A204" s="38" t="inlineStr">
        <is>
          <t>pal_203</t>
        </is>
      </c>
      <c r="B204" s="38" t="n">
        <v>2</v>
      </c>
      <c r="C204" s="38" t="inlineStr">
        <is>
          <t>pT2</t>
        </is>
      </c>
      <c r="D204" s="38" t="n">
        <v>85</v>
      </c>
      <c r="E204" s="38" t="n">
        <v>50</v>
      </c>
      <c r="F204" s="38" t="inlineStr">
        <is>
          <t>来源对象 bz_van_203；主附魔 Shielded；真实来源地点数 6</t>
        </is>
      </c>
      <c r="G204" t="inlineStr">
        <is>
          <t>reserved</t>
        </is>
      </c>
    </row>
    <row r="205">
      <c r="A205" s="38" t="inlineStr">
        <is>
          <t>pal_204</t>
        </is>
      </c>
      <c r="B205" s="38" t="n">
        <v>2</v>
      </c>
      <c r="C205" s="38" t="inlineStr">
        <is>
          <t>pT2</t>
        </is>
      </c>
      <c r="D205" s="38" t="n">
        <v>85</v>
      </c>
      <c r="E205" s="38" t="n">
        <v>50</v>
      </c>
      <c r="F205" s="38" t="inlineStr">
        <is>
          <t>来源对象 bz_van_204；主附魔 Deadly；真实来源地点数 6</t>
        </is>
      </c>
      <c r="G205" t="inlineStr">
        <is>
          <t>reserved</t>
        </is>
      </c>
    </row>
    <row r="206">
      <c r="A206" s="38" t="inlineStr">
        <is>
          <t>pal_205</t>
        </is>
      </c>
      <c r="B206" s="38" t="n">
        <v>2</v>
      </c>
      <c r="C206" s="38" t="inlineStr">
        <is>
          <t>pT2</t>
        </is>
      </c>
      <c r="D206" s="38" t="n">
        <v>85</v>
      </c>
      <c r="E206" s="38" t="n">
        <v>50</v>
      </c>
      <c r="F206" s="38" t="inlineStr">
        <is>
          <t>来源对象 bz_van_205；主附魔 Deadly；真实来源地点数 6</t>
        </is>
      </c>
      <c r="G206" t="inlineStr">
        <is>
          <t>reserved</t>
        </is>
      </c>
    </row>
    <row r="207">
      <c r="A207" s="38" t="inlineStr">
        <is>
          <t>pal_206</t>
        </is>
      </c>
      <c r="B207" s="38" t="n">
        <v>2</v>
      </c>
      <c r="C207" s="38" t="inlineStr">
        <is>
          <t>pT2</t>
        </is>
      </c>
      <c r="D207" s="38" t="n">
        <v>85</v>
      </c>
      <c r="E207" s="38" t="n">
        <v>50</v>
      </c>
      <c r="F207" s="38" t="inlineStr">
        <is>
          <t>来源对象 bz_van_206；主附魔 Icy；真实来源地点数 5</t>
        </is>
      </c>
      <c r="G207" t="inlineStr">
        <is>
          <t>reserved</t>
        </is>
      </c>
    </row>
    <row r="208">
      <c r="A208" s="38" t="inlineStr">
        <is>
          <t>pal_207</t>
        </is>
      </c>
      <c r="B208" s="38" t="n">
        <v>1</v>
      </c>
      <c r="C208" s="38" t="inlineStr">
        <is>
          <t>pT1</t>
        </is>
      </c>
      <c r="D208" s="38" t="n">
        <v>100</v>
      </c>
      <c r="E208" s="38" t="n">
        <v>60</v>
      </c>
      <c r="F208" s="38" t="inlineStr">
        <is>
          <t>来源对象 bz_van_207；主附魔 Toxic；真实来源地点数 5</t>
        </is>
      </c>
      <c r="G208" t="inlineStr">
        <is>
          <t>reserved</t>
        </is>
      </c>
    </row>
    <row r="209">
      <c r="A209" s="38" t="inlineStr">
        <is>
          <t>pal_208</t>
        </is>
      </c>
      <c r="B209" s="38" t="n">
        <v>2</v>
      </c>
      <c r="C209" s="38" t="inlineStr">
        <is>
          <t>pT2</t>
        </is>
      </c>
      <c r="D209" s="38" t="n">
        <v>85</v>
      </c>
      <c r="E209" s="38" t="n">
        <v>50</v>
      </c>
      <c r="F209" s="38" t="inlineStr">
        <is>
          <t>来源对象 bz_van_208；主附魔 Icy；真实来源地点数 6</t>
        </is>
      </c>
      <c r="G209" t="inlineStr">
        <is>
          <t>reserved</t>
        </is>
      </c>
    </row>
    <row r="210">
      <c r="A210" s="38" t="inlineStr">
        <is>
          <t>pal_209</t>
        </is>
      </c>
      <c r="B210" s="38" t="n">
        <v>2</v>
      </c>
      <c r="C210" s="38" t="inlineStr">
        <is>
          <t>pT2</t>
        </is>
      </c>
      <c r="D210" s="38" t="n">
        <v>85</v>
      </c>
      <c r="E210" s="38" t="n">
        <v>50</v>
      </c>
      <c r="F210" s="38" t="inlineStr">
        <is>
          <t>来源对象 bz_van_209；主附魔 Golden；真实来源地点数 5</t>
        </is>
      </c>
      <c r="G210" t="inlineStr">
        <is>
          <t>reserved</t>
        </is>
      </c>
    </row>
    <row r="211">
      <c r="A211" s="38" t="inlineStr">
        <is>
          <t>pal_210</t>
        </is>
      </c>
      <c r="B211" s="38" t="n">
        <v>1</v>
      </c>
      <c r="C211" s="38" t="inlineStr">
        <is>
          <t>pT1</t>
        </is>
      </c>
      <c r="D211" s="38" t="n">
        <v>100</v>
      </c>
      <c r="E211" s="38" t="n">
        <v>60</v>
      </c>
      <c r="F211" s="38" t="inlineStr">
        <is>
          <t>来源对象 bz_van_210；主附魔 Deadly；真实来源地点数 5</t>
        </is>
      </c>
      <c r="G211" t="inlineStr">
        <is>
          <t>reserved</t>
        </is>
      </c>
    </row>
    <row r="212">
      <c r="A212" s="38" t="inlineStr">
        <is>
          <t>pal_211</t>
        </is>
      </c>
      <c r="B212" s="38" t="n">
        <v>6</v>
      </c>
      <c r="C212" s="38" t="inlineStr">
        <is>
          <t>pT4</t>
        </is>
      </c>
      <c r="D212" s="38" t="n">
        <v>40</v>
      </c>
      <c r="E212" s="38" t="n">
        <v>25</v>
      </c>
      <c r="F212" s="38" t="inlineStr">
        <is>
          <t>来源对象 bz_van_211；主附魔 Turbo；真实来源地点数 3</t>
        </is>
      </c>
      <c r="G212" t="inlineStr">
        <is>
          <t>reserved</t>
        </is>
      </c>
    </row>
    <row r="213">
      <c r="A213" s="38" t="inlineStr">
        <is>
          <t>pal_212</t>
        </is>
      </c>
      <c r="B213" s="38" t="n">
        <v>2</v>
      </c>
      <c r="C213" s="38" t="inlineStr">
        <is>
          <t>pT2</t>
        </is>
      </c>
      <c r="D213" s="38" t="n">
        <v>85</v>
      </c>
      <c r="E213" s="38" t="n">
        <v>50</v>
      </c>
      <c r="F213" s="38" t="inlineStr">
        <is>
          <t>来源对象 bz_van_212；主附魔 Restorative；真实来源地点数 5</t>
        </is>
      </c>
      <c r="G213" t="inlineStr">
        <is>
          <t>reserved</t>
        </is>
      </c>
    </row>
    <row r="214">
      <c r="A214" s="38" t="inlineStr">
        <is>
          <t>pal_213</t>
        </is>
      </c>
      <c r="B214" s="38" t="n">
        <v>1</v>
      </c>
      <c r="C214" s="38" t="inlineStr">
        <is>
          <t>pT1</t>
        </is>
      </c>
      <c r="D214" s="38" t="n">
        <v>100</v>
      </c>
      <c r="E214" s="38" t="n">
        <v>60</v>
      </c>
      <c r="F214" s="38" t="inlineStr">
        <is>
          <t>来源对象 bz_van_213；主附魔 Deadly；真实来源地点数 5</t>
        </is>
      </c>
      <c r="G214" t="inlineStr">
        <is>
          <t>reserved</t>
        </is>
      </c>
    </row>
    <row r="215">
      <c r="A215" s="38" t="inlineStr">
        <is>
          <t>pal_214</t>
        </is>
      </c>
      <c r="B215" s="38" t="n">
        <v>1</v>
      </c>
      <c r="C215" s="38" t="inlineStr">
        <is>
          <t>pT1</t>
        </is>
      </c>
      <c r="D215" s="38" t="n">
        <v>100</v>
      </c>
      <c r="E215" s="38" t="n">
        <v>60</v>
      </c>
      <c r="F215" s="38" t="inlineStr">
        <is>
          <t>来源对象 bz_van_214；主附魔 Deadly；真实来源地点数 5</t>
        </is>
      </c>
      <c r="G215" t="inlineStr">
        <is>
          <t>reserved</t>
        </is>
      </c>
    </row>
    <row r="216">
      <c r="A216" s="38" t="inlineStr">
        <is>
          <t>pal_215</t>
        </is>
      </c>
      <c r="B216" s="38" t="n">
        <v>4</v>
      </c>
      <c r="C216" s="38" t="inlineStr">
        <is>
          <t>pT3</t>
        </is>
      </c>
      <c r="D216" s="38" t="n">
        <v>65</v>
      </c>
      <c r="E216" s="38" t="n">
        <v>40</v>
      </c>
      <c r="F216" s="38" t="inlineStr">
        <is>
          <t>来源对象 bz_van_215；主附魔 Turbo；真实来源地点数 4</t>
        </is>
      </c>
      <c r="G216" t="inlineStr">
        <is>
          <t>reserved</t>
        </is>
      </c>
    </row>
    <row r="217">
      <c r="A217" s="38" t="inlineStr">
        <is>
          <t>pal_216</t>
        </is>
      </c>
      <c r="B217" s="38" t="n">
        <v>2</v>
      </c>
      <c r="C217" s="38" t="inlineStr">
        <is>
          <t>pT2</t>
        </is>
      </c>
      <c r="D217" s="38" t="n">
        <v>85</v>
      </c>
      <c r="E217" s="38" t="n">
        <v>50</v>
      </c>
      <c r="F217" s="38" t="inlineStr">
        <is>
          <t>来源对象 bz_van_216；主附魔 Turbo；真实来源地点数 4</t>
        </is>
      </c>
      <c r="G217" t="inlineStr">
        <is>
          <t>reserved</t>
        </is>
      </c>
    </row>
    <row r="218">
      <c r="A218" s="38" t="inlineStr">
        <is>
          <t>pal_217</t>
        </is>
      </c>
      <c r="B218" s="38" t="n">
        <v>2</v>
      </c>
      <c r="C218" s="38" t="inlineStr">
        <is>
          <t>pT2</t>
        </is>
      </c>
      <c r="D218" s="38" t="n">
        <v>85</v>
      </c>
      <c r="E218" s="38" t="n">
        <v>50</v>
      </c>
      <c r="F218" s="38" t="inlineStr">
        <is>
          <t>来源对象 bz_van_217；主附魔 Golden；真实来源地点数 5</t>
        </is>
      </c>
      <c r="G218" t="inlineStr">
        <is>
          <t>reserved</t>
        </is>
      </c>
    </row>
    <row r="219">
      <c r="A219" s="38" t="inlineStr">
        <is>
          <t>pal_218</t>
        </is>
      </c>
      <c r="B219" s="38" t="n">
        <v>6</v>
      </c>
      <c r="C219" s="38" t="inlineStr">
        <is>
          <t>pT4</t>
        </is>
      </c>
      <c r="D219" s="38" t="n">
        <v>40</v>
      </c>
      <c r="E219" s="38" t="n">
        <v>25</v>
      </c>
      <c r="F219" s="38" t="inlineStr">
        <is>
          <t>来源对象 bz_van_218；主附魔 Fiery；真实来源地点数 3</t>
        </is>
      </c>
      <c r="G219" t="inlineStr">
        <is>
          <t>reserved</t>
        </is>
      </c>
    </row>
    <row r="220">
      <c r="A220" s="38" t="inlineStr">
        <is>
          <t>pal_219</t>
        </is>
      </c>
      <c r="B220" s="38" t="n">
        <v>2</v>
      </c>
      <c r="C220" s="38" t="inlineStr">
        <is>
          <t>pT2</t>
        </is>
      </c>
      <c r="D220" s="38" t="n">
        <v>85</v>
      </c>
      <c r="E220" s="38" t="n">
        <v>50</v>
      </c>
      <c r="F220" s="38" t="inlineStr">
        <is>
          <t>来源对象 bz_van_219；主附魔 Deadly；真实来源地点数 6</t>
        </is>
      </c>
      <c r="G220" t="inlineStr">
        <is>
          <t>reserved</t>
        </is>
      </c>
    </row>
    <row r="221">
      <c r="A221" s="38" t="inlineStr">
        <is>
          <t>pal_220</t>
        </is>
      </c>
      <c r="B221" s="38" t="n">
        <v>4</v>
      </c>
      <c r="C221" s="38" t="inlineStr">
        <is>
          <t>pT3</t>
        </is>
      </c>
      <c r="D221" s="38" t="n">
        <v>65</v>
      </c>
      <c r="E221" s="38" t="n">
        <v>40</v>
      </c>
      <c r="F221" s="38" t="inlineStr">
        <is>
          <t>来源对象 bz_van_220；主附魔 Turbo；真实来源地点数 4</t>
        </is>
      </c>
      <c r="G221" t="inlineStr">
        <is>
          <t>reserved</t>
        </is>
      </c>
    </row>
    <row r="222">
      <c r="A222" s="38" t="inlineStr">
        <is>
          <t>pal_221</t>
        </is>
      </c>
      <c r="B222" s="38" t="n">
        <v>6</v>
      </c>
      <c r="C222" s="38" t="inlineStr">
        <is>
          <t>pT4</t>
        </is>
      </c>
      <c r="D222" s="38" t="n">
        <v>40</v>
      </c>
      <c r="E222" s="38" t="n">
        <v>25</v>
      </c>
      <c r="F222" s="38" t="inlineStr">
        <is>
          <t>来源对象 bz_van_221；主附魔 Deadly；真实来源地点数 5</t>
        </is>
      </c>
      <c r="G222" t="inlineStr">
        <is>
          <t>reserved</t>
        </is>
      </c>
    </row>
    <row r="223">
      <c r="A223" s="38" t="inlineStr">
        <is>
          <t>pal_222</t>
        </is>
      </c>
      <c r="B223" s="38" t="n">
        <v>4</v>
      </c>
      <c r="C223" s="38" t="inlineStr">
        <is>
          <t>pT3</t>
        </is>
      </c>
      <c r="D223" s="38" t="n">
        <v>65</v>
      </c>
      <c r="E223" s="38" t="n">
        <v>40</v>
      </c>
      <c r="F223" s="38" t="inlineStr">
        <is>
          <t>来源对象 bz_van_222；主附魔 Turbo；真实来源地点数 5</t>
        </is>
      </c>
      <c r="G223" t="inlineStr">
        <is>
          <t>reserved</t>
        </is>
      </c>
    </row>
    <row r="224">
      <c r="A224" s="38" t="inlineStr">
        <is>
          <t>pal_223</t>
        </is>
      </c>
      <c r="B224" s="38" t="n">
        <v>6</v>
      </c>
      <c r="C224" s="38" t="inlineStr">
        <is>
          <t>pT4</t>
        </is>
      </c>
      <c r="D224" s="38" t="n">
        <v>40</v>
      </c>
      <c r="E224" s="38" t="n">
        <v>25</v>
      </c>
      <c r="F224" s="38" t="inlineStr">
        <is>
          <t>来源对象 bz_van_223；主附魔 Fiery；真实来源地点数 4</t>
        </is>
      </c>
      <c r="G224" t="inlineStr">
        <is>
          <t>reserved</t>
        </is>
      </c>
    </row>
    <row r="225">
      <c r="A225" s="38" t="inlineStr">
        <is>
          <t>pal_224</t>
        </is>
      </c>
      <c r="B225" s="38" t="n">
        <v>2</v>
      </c>
      <c r="C225" s="38" t="inlineStr">
        <is>
          <t>pT2</t>
        </is>
      </c>
      <c r="D225" s="38" t="n">
        <v>85</v>
      </c>
      <c r="E225" s="38" t="n">
        <v>50</v>
      </c>
      <c r="F225" s="38" t="inlineStr">
        <is>
          <t>来源对象 bz_van_224；主附魔 Icy；真实来源地点数 5</t>
        </is>
      </c>
      <c r="G225" t="inlineStr">
        <is>
          <t>reserved</t>
        </is>
      </c>
    </row>
    <row r="226">
      <c r="A226" s="38" t="inlineStr">
        <is>
          <t>pal_225</t>
        </is>
      </c>
      <c r="B226" s="38" t="n">
        <v>2</v>
      </c>
      <c r="C226" s="38" t="inlineStr">
        <is>
          <t>pT2</t>
        </is>
      </c>
      <c r="D226" s="38" t="n">
        <v>85</v>
      </c>
      <c r="E226" s="38" t="n">
        <v>50</v>
      </c>
      <c r="F226" s="38" t="inlineStr">
        <is>
          <t>来源对象 bz_van_225；主附魔 Deadly；真实来源地点数 5</t>
        </is>
      </c>
      <c r="G226" t="inlineStr">
        <is>
          <t>reserved</t>
        </is>
      </c>
    </row>
    <row r="227">
      <c r="A227" s="38" t="inlineStr">
        <is>
          <t>pal_226</t>
        </is>
      </c>
      <c r="B227" s="38" t="n">
        <v>2</v>
      </c>
      <c r="C227" s="38" t="inlineStr">
        <is>
          <t>pT2</t>
        </is>
      </c>
      <c r="D227" s="38" t="n">
        <v>85</v>
      </c>
      <c r="E227" s="38" t="n">
        <v>50</v>
      </c>
      <c r="F227" s="38" t="inlineStr">
        <is>
          <t>来源对象 bz_van_226；主附魔 Turbo；真实来源地点数 6</t>
        </is>
      </c>
      <c r="G227" t="inlineStr">
        <is>
          <t>reserved</t>
        </is>
      </c>
    </row>
    <row r="228">
      <c r="A228" s="38" t="inlineStr">
        <is>
          <t>pal_227</t>
        </is>
      </c>
      <c r="B228" s="38" t="n">
        <v>4</v>
      </c>
      <c r="C228" s="38" t="inlineStr">
        <is>
          <t>pT3</t>
        </is>
      </c>
      <c r="D228" s="38" t="n">
        <v>65</v>
      </c>
      <c r="E228" s="38" t="n">
        <v>40</v>
      </c>
      <c r="F228" s="38" t="inlineStr">
        <is>
          <t>来源对象 bz_van_227；主附魔 Icy；真实来源地点数 5</t>
        </is>
      </c>
      <c r="G228" t="inlineStr">
        <is>
          <t>reserved</t>
        </is>
      </c>
    </row>
    <row r="229">
      <c r="A229" s="38" t="inlineStr">
        <is>
          <t>pal_228</t>
        </is>
      </c>
      <c r="B229" s="38" t="n">
        <v>2</v>
      </c>
      <c r="C229" s="38" t="inlineStr">
        <is>
          <t>pT2</t>
        </is>
      </c>
      <c r="D229" s="38" t="n">
        <v>85</v>
      </c>
      <c r="E229" s="38" t="n">
        <v>50</v>
      </c>
      <c r="F229" s="38" t="inlineStr">
        <is>
          <t>来源对象 bz_van_228；主附魔 Icy；真实来源地点数 6</t>
        </is>
      </c>
      <c r="G229" t="inlineStr">
        <is>
          <t>reserved</t>
        </is>
      </c>
    </row>
    <row r="230">
      <c r="A230" s="38" t="inlineStr">
        <is>
          <t>pal_229</t>
        </is>
      </c>
      <c r="B230" s="38" t="n">
        <v>4</v>
      </c>
      <c r="C230" s="38" t="inlineStr">
        <is>
          <t>pT3</t>
        </is>
      </c>
      <c r="D230" s="38" t="n">
        <v>65</v>
      </c>
      <c r="E230" s="38" t="n">
        <v>40</v>
      </c>
      <c r="F230" s="38" t="inlineStr">
        <is>
          <t>来源对象 bz_van_229；主附魔 Deadly；真实来源地点数 5</t>
        </is>
      </c>
      <c r="G230" t="inlineStr">
        <is>
          <t>reserved</t>
        </is>
      </c>
    </row>
    <row r="231">
      <c r="A231" s="38" t="inlineStr">
        <is>
          <t>pal_230</t>
        </is>
      </c>
      <c r="B231" s="38" t="n">
        <v>1</v>
      </c>
      <c r="C231" s="38" t="inlineStr">
        <is>
          <t>pT1</t>
        </is>
      </c>
      <c r="D231" s="38" t="n">
        <v>100</v>
      </c>
      <c r="E231" s="38" t="n">
        <v>60</v>
      </c>
      <c r="F231" s="38" t="inlineStr">
        <is>
          <t>来源对象 bz_van_230；主附魔 Deadly；真实来源地点数 5</t>
        </is>
      </c>
      <c r="G231" t="inlineStr">
        <is>
          <t>reserved</t>
        </is>
      </c>
    </row>
    <row r="232">
      <c r="A232" s="38" t="inlineStr">
        <is>
          <t>pal_231</t>
        </is>
      </c>
      <c r="B232" s="38" t="n">
        <v>2</v>
      </c>
      <c r="C232" s="38" t="inlineStr">
        <is>
          <t>pT2</t>
        </is>
      </c>
      <c r="D232" s="38" t="n">
        <v>85</v>
      </c>
      <c r="E232" s="38" t="n">
        <v>50</v>
      </c>
      <c r="F232" s="38" t="inlineStr">
        <is>
          <t>来源对象 bz_van_231；主附魔 Toxic；真实来源地点数 5</t>
        </is>
      </c>
      <c r="G232" t="inlineStr">
        <is>
          <t>reserved</t>
        </is>
      </c>
    </row>
    <row r="233">
      <c r="A233" s="38" t="inlineStr">
        <is>
          <t>pal_232</t>
        </is>
      </c>
      <c r="B233" s="38" t="n">
        <v>4</v>
      </c>
      <c r="C233" s="38" t="inlineStr">
        <is>
          <t>pT3</t>
        </is>
      </c>
      <c r="D233" s="38" t="n">
        <v>65</v>
      </c>
      <c r="E233" s="38" t="n">
        <v>40</v>
      </c>
      <c r="F233" s="38" t="inlineStr">
        <is>
          <t>来源对象 bz_van_232；主附魔 Deadly；真实来源地点数 5</t>
        </is>
      </c>
      <c r="G233" t="inlineStr">
        <is>
          <t>reserved</t>
        </is>
      </c>
    </row>
    <row r="234">
      <c r="A234" s="38" t="inlineStr">
        <is>
          <t>pal_233</t>
        </is>
      </c>
      <c r="B234" s="38" t="n">
        <v>4</v>
      </c>
      <c r="C234" s="38" t="inlineStr">
        <is>
          <t>pT3</t>
        </is>
      </c>
      <c r="D234" s="38" t="n">
        <v>65</v>
      </c>
      <c r="E234" s="38" t="n">
        <v>40</v>
      </c>
      <c r="F234" s="38" t="inlineStr">
        <is>
          <t>来源对象 bz_van_233；主附魔 Turbo；真实来源地点数 4</t>
        </is>
      </c>
      <c r="G234" t="inlineStr">
        <is>
          <t>reserved</t>
        </is>
      </c>
    </row>
    <row r="235">
      <c r="A235" s="38" t="inlineStr">
        <is>
          <t>pal_234</t>
        </is>
      </c>
      <c r="B235" s="38" t="n">
        <v>2</v>
      </c>
      <c r="C235" s="38" t="inlineStr">
        <is>
          <t>pT2</t>
        </is>
      </c>
      <c r="D235" s="38" t="n">
        <v>85</v>
      </c>
      <c r="E235" s="38" t="n">
        <v>50</v>
      </c>
      <c r="F235" s="38" t="inlineStr">
        <is>
          <t>来源对象 bz_van_234；主附魔 Icy；真实来源地点数 6</t>
        </is>
      </c>
      <c r="G235" t="inlineStr">
        <is>
          <t>reserved</t>
        </is>
      </c>
    </row>
    <row r="236">
      <c r="A236" s="38" t="inlineStr">
        <is>
          <t>pal_235</t>
        </is>
      </c>
      <c r="B236" s="38" t="n">
        <v>2</v>
      </c>
      <c r="C236" s="38" t="inlineStr">
        <is>
          <t>pT2</t>
        </is>
      </c>
      <c r="D236" s="38" t="n">
        <v>85</v>
      </c>
      <c r="E236" s="38" t="n">
        <v>50</v>
      </c>
      <c r="F236" s="38" t="inlineStr">
        <is>
          <t>来源对象 bz_van_235；主附魔 Fiery；真实来源地点数 6</t>
        </is>
      </c>
      <c r="G236" t="inlineStr">
        <is>
          <t>reserved</t>
        </is>
      </c>
    </row>
    <row r="237">
      <c r="A237" s="38" t="inlineStr">
        <is>
          <t>pal_236</t>
        </is>
      </c>
      <c r="B237" s="38" t="n">
        <v>6</v>
      </c>
      <c r="C237" s="38" t="inlineStr">
        <is>
          <t>pT4</t>
        </is>
      </c>
      <c r="D237" s="38" t="n">
        <v>40</v>
      </c>
      <c r="E237" s="38" t="n">
        <v>25</v>
      </c>
      <c r="F237" s="38" t="inlineStr">
        <is>
          <t>来源对象 bz_van_236；主附魔 Shiny；真实来源地点数 2</t>
        </is>
      </c>
      <c r="G237" t="inlineStr">
        <is>
          <t>reserved</t>
        </is>
      </c>
    </row>
    <row r="238">
      <c r="A238" s="38" t="inlineStr">
        <is>
          <t>pal_237</t>
        </is>
      </c>
      <c r="B238" s="38" t="n">
        <v>4</v>
      </c>
      <c r="C238" s="38" t="inlineStr">
        <is>
          <t>pT3</t>
        </is>
      </c>
      <c r="D238" s="38" t="n">
        <v>65</v>
      </c>
      <c r="E238" s="38" t="n">
        <v>40</v>
      </c>
      <c r="F238" s="38" t="inlineStr">
        <is>
          <t>来源对象 bz_van_237；主附魔 Icy；真实来源地点数 5</t>
        </is>
      </c>
      <c r="G238" t="inlineStr">
        <is>
          <t>reserved</t>
        </is>
      </c>
    </row>
    <row r="239">
      <c r="A239" s="38" t="inlineStr">
        <is>
          <t>pal_238</t>
        </is>
      </c>
      <c r="B239" s="38" t="n">
        <v>1</v>
      </c>
      <c r="C239" s="38" t="inlineStr">
        <is>
          <t>pT1</t>
        </is>
      </c>
      <c r="D239" s="38" t="n">
        <v>100</v>
      </c>
      <c r="E239" s="38" t="n">
        <v>60</v>
      </c>
      <c r="F239" s="38" t="inlineStr">
        <is>
          <t>来源对象 bz_van_238；主附魔 Shielded；真实来源地点数 5</t>
        </is>
      </c>
      <c r="G239" t="inlineStr">
        <is>
          <t>reserved</t>
        </is>
      </c>
    </row>
    <row r="240">
      <c r="A240" s="38" t="inlineStr">
        <is>
          <t>pal_239</t>
        </is>
      </c>
      <c r="B240" s="38" t="n">
        <v>6</v>
      </c>
      <c r="C240" s="38" t="inlineStr">
        <is>
          <t>pT4</t>
        </is>
      </c>
      <c r="D240" s="38" t="n">
        <v>40</v>
      </c>
      <c r="E240" s="38" t="n">
        <v>25</v>
      </c>
      <c r="F240" s="38" t="inlineStr">
        <is>
          <t>来源对象 bz_van_239；主附魔 Turbo；真实来源地点数 3</t>
        </is>
      </c>
      <c r="G240" t="inlineStr">
        <is>
          <t>reserved</t>
        </is>
      </c>
    </row>
    <row r="241">
      <c r="A241" s="38" t="inlineStr">
        <is>
          <t>pal_240</t>
        </is>
      </c>
      <c r="B241" s="38" t="n">
        <v>2</v>
      </c>
      <c r="C241" s="38" t="inlineStr">
        <is>
          <t>pT2</t>
        </is>
      </c>
      <c r="D241" s="38" t="n">
        <v>85</v>
      </c>
      <c r="E241" s="38" t="n">
        <v>50</v>
      </c>
      <c r="F241" s="38" t="inlineStr">
        <is>
          <t>来源对象 bz_van_240；主附魔 Mossy；真实来源地点数 5</t>
        </is>
      </c>
      <c r="G241" t="inlineStr">
        <is>
          <t>reserved</t>
        </is>
      </c>
    </row>
    <row r="242">
      <c r="A242" s="38" t="inlineStr">
        <is>
          <t>pal_241</t>
        </is>
      </c>
      <c r="B242" s="38" t="n">
        <v>4</v>
      </c>
      <c r="C242" s="38" t="inlineStr">
        <is>
          <t>pT3</t>
        </is>
      </c>
      <c r="D242" s="38" t="n">
        <v>65</v>
      </c>
      <c r="E242" s="38" t="n">
        <v>40</v>
      </c>
      <c r="F242" s="38" t="inlineStr">
        <is>
          <t>来源对象 bz_van_241；主附魔 Obsidian；真实来源地点数 3</t>
        </is>
      </c>
      <c r="G242" t="inlineStr">
        <is>
          <t>reserved</t>
        </is>
      </c>
    </row>
    <row r="243">
      <c r="A243" s="38" t="inlineStr">
        <is>
          <t>pal_242</t>
        </is>
      </c>
      <c r="B243" s="38" t="n">
        <v>1</v>
      </c>
      <c r="C243" s="38" t="inlineStr">
        <is>
          <t>pT1</t>
        </is>
      </c>
      <c r="D243" s="38" t="n">
        <v>100</v>
      </c>
      <c r="E243" s="38" t="n">
        <v>60</v>
      </c>
      <c r="F243" s="38" t="inlineStr">
        <is>
          <t>来源对象 bz_van_242；主附魔 Deadly；真实来源地点数 5</t>
        </is>
      </c>
      <c r="G243" t="inlineStr">
        <is>
          <t>reserved</t>
        </is>
      </c>
    </row>
    <row r="244">
      <c r="A244" s="38" t="inlineStr">
        <is>
          <t>pal_243</t>
        </is>
      </c>
      <c r="B244" s="38" t="n">
        <v>1</v>
      </c>
      <c r="C244" s="38" t="inlineStr">
        <is>
          <t>pT1</t>
        </is>
      </c>
      <c r="D244" s="38" t="n">
        <v>100</v>
      </c>
      <c r="E244" s="38" t="n">
        <v>60</v>
      </c>
      <c r="F244" s="38" t="inlineStr">
        <is>
          <t>来源对象 bz_van_243；主附魔 Deadly；真实来源地点数 5</t>
        </is>
      </c>
      <c r="G244" t="inlineStr">
        <is>
          <t>reserved</t>
        </is>
      </c>
    </row>
    <row r="245">
      <c r="A245" s="38" t="inlineStr">
        <is>
          <t>pal_244</t>
        </is>
      </c>
      <c r="B245" s="38" t="n">
        <v>2</v>
      </c>
      <c r="C245" s="38" t="inlineStr">
        <is>
          <t>pT2</t>
        </is>
      </c>
      <c r="D245" s="38" t="n">
        <v>85</v>
      </c>
      <c r="E245" s="38" t="n">
        <v>50</v>
      </c>
      <c r="F245" s="38" t="inlineStr">
        <is>
          <t>来源对象 bz_van_244；主附魔 Icy；真实来源地点数 6</t>
        </is>
      </c>
      <c r="G245" t="inlineStr">
        <is>
          <t>reserved</t>
        </is>
      </c>
    </row>
    <row r="246">
      <c r="A246" s="38" t="inlineStr">
        <is>
          <t>pal_245</t>
        </is>
      </c>
      <c r="B246" s="38" t="n">
        <v>4</v>
      </c>
      <c r="C246" s="38" t="inlineStr">
        <is>
          <t>pT3</t>
        </is>
      </c>
      <c r="D246" s="38" t="n">
        <v>65</v>
      </c>
      <c r="E246" s="38" t="n">
        <v>40</v>
      </c>
      <c r="F246" s="38" t="inlineStr">
        <is>
          <t>来源对象 bz_van_245；主附魔 Icy；真实来源地点数 4</t>
        </is>
      </c>
      <c r="G246" t="inlineStr">
        <is>
          <t>reserved</t>
        </is>
      </c>
    </row>
    <row r="247">
      <c r="A247" s="38" t="inlineStr">
        <is>
          <t>pal_246</t>
        </is>
      </c>
      <c r="B247" s="38" t="n">
        <v>2</v>
      </c>
      <c r="C247" s="38" t="inlineStr">
        <is>
          <t>pT2</t>
        </is>
      </c>
      <c r="D247" s="38" t="n">
        <v>85</v>
      </c>
      <c r="E247" s="38" t="n">
        <v>50</v>
      </c>
      <c r="F247" s="38" t="inlineStr">
        <is>
          <t>来源对象 bz_van_246；主附魔 Fiery；真实来源地点数 6</t>
        </is>
      </c>
      <c r="G247" t="inlineStr">
        <is>
          <t>reserved</t>
        </is>
      </c>
    </row>
    <row r="248">
      <c r="A248" s="38" t="inlineStr">
        <is>
          <t>pal_247</t>
        </is>
      </c>
      <c r="B248" s="38" t="n">
        <v>2</v>
      </c>
      <c r="C248" s="38" t="inlineStr">
        <is>
          <t>pT2</t>
        </is>
      </c>
      <c r="D248" s="38" t="n">
        <v>85</v>
      </c>
      <c r="E248" s="38" t="n">
        <v>50</v>
      </c>
      <c r="F248" s="38" t="inlineStr">
        <is>
          <t>来源对象 bz_van_247；主附魔 Restorative；真实来源地点数 5</t>
        </is>
      </c>
      <c r="G248" t="inlineStr">
        <is>
          <t>reserved</t>
        </is>
      </c>
    </row>
    <row r="249">
      <c r="A249" s="38" t="inlineStr">
        <is>
          <t>pal_248</t>
        </is>
      </c>
      <c r="B249" s="38" t="n">
        <v>2</v>
      </c>
      <c r="C249" s="38" t="inlineStr">
        <is>
          <t>pT2</t>
        </is>
      </c>
      <c r="D249" s="38" t="n">
        <v>85</v>
      </c>
      <c r="E249" s="38" t="n">
        <v>50</v>
      </c>
      <c r="F249" s="38" t="inlineStr">
        <is>
          <t>来源对象 bz_van_248；主附魔 Shielded；真实来源地点数 6</t>
        </is>
      </c>
      <c r="G249" t="inlineStr">
        <is>
          <t>reserved</t>
        </is>
      </c>
    </row>
    <row r="250">
      <c r="A250" s="38" t="inlineStr">
        <is>
          <t>pal_249</t>
        </is>
      </c>
      <c r="B250" s="38" t="n">
        <v>6</v>
      </c>
      <c r="C250" s="38" t="inlineStr">
        <is>
          <t>pT4</t>
        </is>
      </c>
      <c r="D250" s="38" t="n">
        <v>40</v>
      </c>
      <c r="E250" s="38" t="n">
        <v>25</v>
      </c>
      <c r="F250" s="38" t="inlineStr">
        <is>
          <t>来源对象 bz_van_249；主附魔 Deadly；真实来源地点数 4</t>
        </is>
      </c>
      <c r="G250" t="inlineStr">
        <is>
          <t>reserved</t>
        </is>
      </c>
    </row>
    <row r="251">
      <c r="A251" s="38" t="inlineStr">
        <is>
          <t>pal_250</t>
        </is>
      </c>
      <c r="B251" s="38" t="n">
        <v>2</v>
      </c>
      <c r="C251" s="38" t="inlineStr">
        <is>
          <t>pT2</t>
        </is>
      </c>
      <c r="D251" s="38" t="n">
        <v>85</v>
      </c>
      <c r="E251" s="38" t="n">
        <v>50</v>
      </c>
      <c r="F251" s="38" t="inlineStr">
        <is>
          <t>来源对象 bz_van_250；主附魔 Icy；真实来源地点数 6</t>
        </is>
      </c>
      <c r="G251" t="inlineStr">
        <is>
          <t>reserved</t>
        </is>
      </c>
    </row>
    <row r="252">
      <c r="A252" s="38" t="inlineStr">
        <is>
          <t>pal_251</t>
        </is>
      </c>
      <c r="B252" s="38" t="n">
        <v>4</v>
      </c>
      <c r="C252" s="38" t="inlineStr">
        <is>
          <t>pT3</t>
        </is>
      </c>
      <c r="D252" s="38" t="n">
        <v>65</v>
      </c>
      <c r="E252" s="38" t="n">
        <v>40</v>
      </c>
      <c r="F252" s="38" t="inlineStr">
        <is>
          <t>来源对象 bz_van_251；主附魔 Turbo；真实来源地点数 5</t>
        </is>
      </c>
      <c r="G252" t="inlineStr">
        <is>
          <t>reserved</t>
        </is>
      </c>
    </row>
    <row r="253">
      <c r="A253" s="38" t="inlineStr">
        <is>
          <t>pal_252</t>
        </is>
      </c>
      <c r="B253" s="38" t="n">
        <v>4</v>
      </c>
      <c r="C253" s="38" t="inlineStr">
        <is>
          <t>pT3</t>
        </is>
      </c>
      <c r="D253" s="38" t="n">
        <v>65</v>
      </c>
      <c r="E253" s="38" t="n">
        <v>40</v>
      </c>
      <c r="F253" s="38" t="inlineStr">
        <is>
          <t>来源对象 bz_van_252；主附魔 Fiery；真实来源地点数 6</t>
        </is>
      </c>
      <c r="G253" t="inlineStr">
        <is>
          <t>reserved</t>
        </is>
      </c>
    </row>
    <row r="254">
      <c r="A254" s="38" t="inlineStr">
        <is>
          <t>pal_253</t>
        </is>
      </c>
      <c r="B254" s="38" t="n">
        <v>2</v>
      </c>
      <c r="C254" s="38" t="inlineStr">
        <is>
          <t>pT2</t>
        </is>
      </c>
      <c r="D254" s="38" t="n">
        <v>85</v>
      </c>
      <c r="E254" s="38" t="n">
        <v>50</v>
      </c>
      <c r="F254" s="38" t="inlineStr">
        <is>
          <t>来源对象 bz_van_253；主附魔 Icy；真实来源地点数 6</t>
        </is>
      </c>
      <c r="G254" t="inlineStr">
        <is>
          <t>reserved</t>
        </is>
      </c>
    </row>
    <row r="255">
      <c r="A255" s="38" t="inlineStr">
        <is>
          <t>pal_254</t>
        </is>
      </c>
      <c r="B255" s="38" t="n">
        <v>4</v>
      </c>
      <c r="C255" s="38" t="inlineStr">
        <is>
          <t>pT3</t>
        </is>
      </c>
      <c r="D255" s="38" t="n">
        <v>65</v>
      </c>
      <c r="E255" s="38" t="n">
        <v>40</v>
      </c>
      <c r="F255" s="38" t="inlineStr">
        <is>
          <t>来源对象 bz_van_254；主附魔 Fiery；真实来源地点数 6</t>
        </is>
      </c>
      <c r="G255" t="inlineStr">
        <is>
          <t>reserved</t>
        </is>
      </c>
    </row>
    <row r="256">
      <c r="A256" s="38" t="inlineStr">
        <is>
          <t>pal_255</t>
        </is>
      </c>
      <c r="B256" s="38" t="n">
        <v>2</v>
      </c>
      <c r="C256" s="38" t="inlineStr">
        <is>
          <t>pT2</t>
        </is>
      </c>
      <c r="D256" s="38" t="n">
        <v>85</v>
      </c>
      <c r="E256" s="38" t="n">
        <v>50</v>
      </c>
      <c r="F256" s="38" t="inlineStr">
        <is>
          <t>来源对象 bz_van_255；主附魔 Icy；真实来源地点数 6</t>
        </is>
      </c>
      <c r="G256" t="inlineStr">
        <is>
          <t>reserved</t>
        </is>
      </c>
    </row>
    <row r="257">
      <c r="A257" s="38" t="inlineStr">
        <is>
          <t>pal_256</t>
        </is>
      </c>
      <c r="B257" s="38" t="n">
        <v>2</v>
      </c>
      <c r="C257" s="38" t="inlineStr">
        <is>
          <t>pT2</t>
        </is>
      </c>
      <c r="D257" s="38" t="n">
        <v>85</v>
      </c>
      <c r="E257" s="38" t="n">
        <v>50</v>
      </c>
      <c r="F257" s="38" t="inlineStr">
        <is>
          <t>来源对象 bz_van_256；主附魔 Turbo；真实来源地点数 6</t>
        </is>
      </c>
      <c r="G257" t="inlineStr">
        <is>
          <t>reserved</t>
        </is>
      </c>
    </row>
    <row r="258">
      <c r="A258" s="38" t="inlineStr">
        <is>
          <t>pal_257</t>
        </is>
      </c>
      <c r="B258" s="38" t="n">
        <v>2</v>
      </c>
      <c r="C258" s="38" t="inlineStr">
        <is>
          <t>pT2</t>
        </is>
      </c>
      <c r="D258" s="38" t="n">
        <v>85</v>
      </c>
      <c r="E258" s="38" t="n">
        <v>50</v>
      </c>
      <c r="F258" s="38" t="inlineStr">
        <is>
          <t>来源对象 bz_van_257；主附魔 Deadly；真实来源地点数 6</t>
        </is>
      </c>
      <c r="G258" t="inlineStr">
        <is>
          <t>reserved</t>
        </is>
      </c>
    </row>
    <row r="259">
      <c r="A259" s="38" t="inlineStr">
        <is>
          <t>pal_258</t>
        </is>
      </c>
      <c r="B259" s="38" t="n">
        <v>2</v>
      </c>
      <c r="C259" s="38" t="inlineStr">
        <is>
          <t>pT2</t>
        </is>
      </c>
      <c r="D259" s="38" t="n">
        <v>85</v>
      </c>
      <c r="E259" s="38" t="n">
        <v>50</v>
      </c>
      <c r="F259" s="38" t="inlineStr">
        <is>
          <t>来源对象 bz_van_258；主附魔 Icy；真实来源地点数 5</t>
        </is>
      </c>
      <c r="G259" t="inlineStr">
        <is>
          <t>reserved</t>
        </is>
      </c>
    </row>
    <row r="260">
      <c r="A260" s="38" t="inlineStr">
        <is>
          <t>pal_259</t>
        </is>
      </c>
      <c r="B260" s="38" t="n">
        <v>2</v>
      </c>
      <c r="C260" s="38" t="inlineStr">
        <is>
          <t>pT2</t>
        </is>
      </c>
      <c r="D260" s="38" t="n">
        <v>85</v>
      </c>
      <c r="E260" s="38" t="n">
        <v>50</v>
      </c>
      <c r="F260" s="38" t="inlineStr">
        <is>
          <t>来源对象 bz_van_259；主附魔 Turbo；真实来源地点数 6</t>
        </is>
      </c>
      <c r="G260" t="inlineStr">
        <is>
          <t>reserved</t>
        </is>
      </c>
    </row>
    <row r="261">
      <c r="A261" s="38" t="inlineStr">
        <is>
          <t>pal_260</t>
        </is>
      </c>
      <c r="B261" s="38" t="n">
        <v>1</v>
      </c>
      <c r="C261" s="38" t="inlineStr">
        <is>
          <t>pT1</t>
        </is>
      </c>
      <c r="D261" s="38" t="n">
        <v>100</v>
      </c>
      <c r="E261" s="38" t="n">
        <v>60</v>
      </c>
      <c r="F261" s="38" t="inlineStr">
        <is>
          <t>来源对象 bz_van_260；主附魔 Deadly；真实来源地点数 5</t>
        </is>
      </c>
      <c r="G261" t="inlineStr">
        <is>
          <t>reserved</t>
        </is>
      </c>
    </row>
    <row r="262">
      <c r="A262" s="38" t="inlineStr">
        <is>
          <t>pal_261</t>
        </is>
      </c>
      <c r="B262" s="38" t="n">
        <v>2</v>
      </c>
      <c r="C262" s="38" t="inlineStr">
        <is>
          <t>pT2</t>
        </is>
      </c>
      <c r="D262" s="38" t="n">
        <v>85</v>
      </c>
      <c r="E262" s="38" t="n">
        <v>50</v>
      </c>
      <c r="F262" s="38" t="inlineStr">
        <is>
          <t>来源对象 bz_van_261；主附魔 Icy；真实来源地点数 6</t>
        </is>
      </c>
      <c r="G262" t="inlineStr">
        <is>
          <t>reserved</t>
        </is>
      </c>
    </row>
    <row r="263">
      <c r="A263" s="38" t="inlineStr">
        <is>
          <t>pal_262</t>
        </is>
      </c>
      <c r="B263" s="38" t="n">
        <v>2</v>
      </c>
      <c r="C263" s="38" t="inlineStr">
        <is>
          <t>pT2</t>
        </is>
      </c>
      <c r="D263" s="38" t="n">
        <v>85</v>
      </c>
      <c r="E263" s="38" t="n">
        <v>50</v>
      </c>
      <c r="F263" s="38" t="inlineStr">
        <is>
          <t>来源对象 bz_van_262；主附魔 Shielded；真实来源地点数 7</t>
        </is>
      </c>
      <c r="G263" t="inlineStr">
        <is>
          <t>reserved</t>
        </is>
      </c>
    </row>
    <row r="264">
      <c r="A264" s="38" t="inlineStr">
        <is>
          <t>pal_263</t>
        </is>
      </c>
      <c r="B264" s="38" t="n">
        <v>1</v>
      </c>
      <c r="C264" s="38" t="inlineStr">
        <is>
          <t>pT1</t>
        </is>
      </c>
      <c r="D264" s="38" t="n">
        <v>100</v>
      </c>
      <c r="E264" s="38" t="n">
        <v>60</v>
      </c>
      <c r="F264" s="38" t="inlineStr">
        <is>
          <t>来源对象 bz_van_263；主附魔 Heavy；真实来源地点数 4</t>
        </is>
      </c>
      <c r="G264" t="inlineStr">
        <is>
          <t>reserved</t>
        </is>
      </c>
    </row>
    <row r="265">
      <c r="A265" s="38" t="inlineStr">
        <is>
          <t>pal_264</t>
        </is>
      </c>
      <c r="B265" s="38" t="n">
        <v>2</v>
      </c>
      <c r="C265" s="38" t="inlineStr">
        <is>
          <t>pT2</t>
        </is>
      </c>
      <c r="D265" s="38" t="n">
        <v>85</v>
      </c>
      <c r="E265" s="38" t="n">
        <v>50</v>
      </c>
      <c r="F265" s="38" t="inlineStr">
        <is>
          <t>来源对象 bz_van_264；主附魔 Deadly；真实来源地点数 5</t>
        </is>
      </c>
      <c r="G265" t="inlineStr">
        <is>
          <t>reserved</t>
        </is>
      </c>
    </row>
    <row r="266">
      <c r="A266" s="38" t="inlineStr">
        <is>
          <t>pal_265</t>
        </is>
      </c>
      <c r="B266" s="38" t="n">
        <v>4</v>
      </c>
      <c r="C266" s="38" t="inlineStr">
        <is>
          <t>pT3</t>
        </is>
      </c>
      <c r="D266" s="38" t="n">
        <v>65</v>
      </c>
      <c r="E266" s="38" t="n">
        <v>40</v>
      </c>
      <c r="F266" s="38" t="inlineStr">
        <is>
          <t>来源对象 bz_van_265；主附魔 Icy；真实来源地点数 6</t>
        </is>
      </c>
      <c r="G266" t="inlineStr">
        <is>
          <t>reserved</t>
        </is>
      </c>
    </row>
    <row r="267">
      <c r="A267" s="38" t="inlineStr">
        <is>
          <t>pal_266</t>
        </is>
      </c>
      <c r="B267" s="38" t="n">
        <v>2</v>
      </c>
      <c r="C267" s="38" t="inlineStr">
        <is>
          <t>pT2</t>
        </is>
      </c>
      <c r="D267" s="38" t="n">
        <v>85</v>
      </c>
      <c r="E267" s="38" t="n">
        <v>50</v>
      </c>
      <c r="F267" s="38" t="inlineStr">
        <is>
          <t>来源对象 bz_van_266；主附魔 Deadly；真实来源地点数 6</t>
        </is>
      </c>
      <c r="G267" t="inlineStr">
        <is>
          <t>reserved</t>
        </is>
      </c>
    </row>
    <row r="268">
      <c r="A268" s="38" t="inlineStr">
        <is>
          <t>pal_267</t>
        </is>
      </c>
      <c r="B268" s="38" t="n">
        <v>4</v>
      </c>
      <c r="C268" s="38" t="inlineStr">
        <is>
          <t>pT3</t>
        </is>
      </c>
      <c r="D268" s="38" t="n">
        <v>65</v>
      </c>
      <c r="E268" s="38" t="n">
        <v>40</v>
      </c>
      <c r="F268" s="38" t="inlineStr">
        <is>
          <t>来源对象 bz_van_267；主附魔 Turbo；真实来源地点数 3</t>
        </is>
      </c>
      <c r="G268" t="inlineStr">
        <is>
          <t>reserved</t>
        </is>
      </c>
    </row>
    <row r="269">
      <c r="A269" s="38" t="inlineStr">
        <is>
          <t>pal_268</t>
        </is>
      </c>
      <c r="B269" s="38" t="n">
        <v>1</v>
      </c>
      <c r="C269" s="38" t="inlineStr">
        <is>
          <t>pT1</t>
        </is>
      </c>
      <c r="D269" s="38" t="n">
        <v>100</v>
      </c>
      <c r="E269" s="38" t="n">
        <v>60</v>
      </c>
      <c r="F269" s="38" t="inlineStr">
        <is>
          <t>来源对象 bz_van_268；主附魔 Shielded；真实来源地点数 5</t>
        </is>
      </c>
      <c r="G269" t="inlineStr">
        <is>
          <t>reserved</t>
        </is>
      </c>
    </row>
    <row r="270">
      <c r="A270" s="38" t="inlineStr">
        <is>
          <t>pal_269</t>
        </is>
      </c>
      <c r="B270" s="38" t="n">
        <v>2</v>
      </c>
      <c r="C270" s="38" t="inlineStr">
        <is>
          <t>pT2</t>
        </is>
      </c>
      <c r="D270" s="38" t="n">
        <v>85</v>
      </c>
      <c r="E270" s="38" t="n">
        <v>50</v>
      </c>
      <c r="F270" s="38" t="inlineStr">
        <is>
          <t>来源对象 bz_van_269；主附魔 Fiery；真实来源地点数 6</t>
        </is>
      </c>
      <c r="G270" t="inlineStr">
        <is>
          <t>reserved</t>
        </is>
      </c>
    </row>
    <row r="271">
      <c r="A271" s="38" t="inlineStr">
        <is>
          <t>pal_270</t>
        </is>
      </c>
      <c r="B271" s="38" t="n">
        <v>2</v>
      </c>
      <c r="C271" s="38" t="inlineStr">
        <is>
          <t>pT2</t>
        </is>
      </c>
      <c r="D271" s="38" t="n">
        <v>85</v>
      </c>
      <c r="E271" s="38" t="n">
        <v>50</v>
      </c>
      <c r="F271" s="38" t="inlineStr">
        <is>
          <t>来源对象 bz_van_270；主附魔 Toxic；真实来源地点数 6</t>
        </is>
      </c>
      <c r="G271" t="inlineStr">
        <is>
          <t>reserved</t>
        </is>
      </c>
    </row>
    <row r="272">
      <c r="A272" s="38" t="inlineStr">
        <is>
          <t>pal_271</t>
        </is>
      </c>
      <c r="B272" s="38" t="n">
        <v>2</v>
      </c>
      <c r="C272" s="38" t="inlineStr">
        <is>
          <t>pT2</t>
        </is>
      </c>
      <c r="D272" s="38" t="n">
        <v>85</v>
      </c>
      <c r="E272" s="38" t="n">
        <v>50</v>
      </c>
      <c r="F272" s="38" t="inlineStr">
        <is>
          <t>来源对象 bz_van_271；主附魔 Toxic；真实来源地点数 5</t>
        </is>
      </c>
      <c r="G272" t="inlineStr">
        <is>
          <t>reserved</t>
        </is>
      </c>
    </row>
    <row r="273">
      <c r="A273" s="38" t="inlineStr">
        <is>
          <t>pal_272</t>
        </is>
      </c>
      <c r="B273" s="38" t="n">
        <v>2</v>
      </c>
      <c r="C273" s="38" t="inlineStr">
        <is>
          <t>pT2</t>
        </is>
      </c>
      <c r="D273" s="38" t="n">
        <v>85</v>
      </c>
      <c r="E273" s="38" t="n">
        <v>50</v>
      </c>
      <c r="F273" s="38" t="inlineStr">
        <is>
          <t>来源对象 bz_van_272；主附魔 Toxic；真实来源地点数 6</t>
        </is>
      </c>
      <c r="G273" t="inlineStr">
        <is>
          <t>reserved</t>
        </is>
      </c>
    </row>
    <row r="274">
      <c r="A274" s="38" t="inlineStr">
        <is>
          <t>pal_273</t>
        </is>
      </c>
      <c r="B274" s="38" t="n">
        <v>2</v>
      </c>
      <c r="C274" s="38" t="inlineStr">
        <is>
          <t>pT2</t>
        </is>
      </c>
      <c r="D274" s="38" t="n">
        <v>85</v>
      </c>
      <c r="E274" s="38" t="n">
        <v>50</v>
      </c>
      <c r="F274" s="38" t="inlineStr">
        <is>
          <t>来源对象 bz_van_273；主附魔 Fiery；真实来源地点数 6</t>
        </is>
      </c>
      <c r="G274" t="inlineStr">
        <is>
          <t>reserved</t>
        </is>
      </c>
    </row>
    <row r="275">
      <c r="A275" s="38" t="inlineStr">
        <is>
          <t>pal_274</t>
        </is>
      </c>
      <c r="B275" s="38" t="n">
        <v>4</v>
      </c>
      <c r="C275" s="38" t="inlineStr">
        <is>
          <t>pT3</t>
        </is>
      </c>
      <c r="D275" s="38" t="n">
        <v>65</v>
      </c>
      <c r="E275" s="38" t="n">
        <v>40</v>
      </c>
      <c r="F275" s="38" t="inlineStr">
        <is>
          <t>来源对象 bz_van_274；主附魔 Toxic；真实来源地点数 6</t>
        </is>
      </c>
      <c r="G275" t="inlineStr">
        <is>
          <t>reserved</t>
        </is>
      </c>
    </row>
    <row r="276">
      <c r="A276" s="38" t="inlineStr">
        <is>
          <t>pal_275</t>
        </is>
      </c>
      <c r="B276" s="38" t="n">
        <v>6</v>
      </c>
      <c r="C276" s="38" t="inlineStr">
        <is>
          <t>pT4</t>
        </is>
      </c>
      <c r="D276" s="38" t="n">
        <v>40</v>
      </c>
      <c r="E276" s="38" t="n">
        <v>25</v>
      </c>
      <c r="F276" s="38" t="inlineStr">
        <is>
          <t>来源对象 bz_van_275；主附魔 Toxic；真实来源地点数 4</t>
        </is>
      </c>
      <c r="G276" t="inlineStr">
        <is>
          <t>reserved</t>
        </is>
      </c>
    </row>
    <row r="277">
      <c r="A277" s="38" t="inlineStr">
        <is>
          <t>pal_276</t>
        </is>
      </c>
      <c r="B277" s="38" t="n">
        <v>2</v>
      </c>
      <c r="C277" s="38" t="inlineStr">
        <is>
          <t>pT2</t>
        </is>
      </c>
      <c r="D277" s="38" t="n">
        <v>85</v>
      </c>
      <c r="E277" s="38" t="n">
        <v>50</v>
      </c>
      <c r="F277" s="38" t="inlineStr">
        <is>
          <t>来源对象 bz_van_276；主附魔 Fiery；真实来源地点数 5</t>
        </is>
      </c>
      <c r="G277" t="inlineStr">
        <is>
          <t>reserved</t>
        </is>
      </c>
    </row>
    <row r="278">
      <c r="A278" s="38" t="inlineStr">
        <is>
          <t>pal_277</t>
        </is>
      </c>
      <c r="B278" s="38" t="n">
        <v>6</v>
      </c>
      <c r="C278" s="38" t="inlineStr">
        <is>
          <t>pT2</t>
        </is>
      </c>
      <c r="D278" s="38" t="n">
        <v>85</v>
      </c>
      <c r="E278" s="38" t="n">
        <v>50</v>
      </c>
      <c r="F278" s="38" t="inlineStr">
        <is>
          <t>来源对象 bz_van_277；主附魔 Turbo；真实来源地点数 2</t>
        </is>
      </c>
      <c r="G278" t="inlineStr">
        <is>
          <t>reserved</t>
        </is>
      </c>
    </row>
    <row r="279">
      <c r="A279" s="38" t="inlineStr">
        <is>
          <t>pal_278</t>
        </is>
      </c>
      <c r="B279" s="38" t="n">
        <v>4</v>
      </c>
      <c r="C279" s="38" t="inlineStr">
        <is>
          <t>pT3</t>
        </is>
      </c>
      <c r="D279" s="38" t="n">
        <v>65</v>
      </c>
      <c r="E279" s="38" t="n">
        <v>40</v>
      </c>
      <c r="F279" s="38" t="inlineStr">
        <is>
          <t>来源对象 bz_van_278；主附魔 Turbo；真实来源地点数 2</t>
        </is>
      </c>
      <c r="G279" t="inlineStr">
        <is>
          <t>reserved</t>
        </is>
      </c>
    </row>
    <row r="280">
      <c r="A280" s="38" t="inlineStr">
        <is>
          <t>pal_279</t>
        </is>
      </c>
      <c r="B280" s="38" t="n">
        <v>4</v>
      </c>
      <c r="C280" s="38" t="inlineStr">
        <is>
          <t>pT3</t>
        </is>
      </c>
      <c r="D280" s="38" t="n">
        <v>65</v>
      </c>
      <c r="E280" s="38" t="n">
        <v>40</v>
      </c>
      <c r="F280" s="38" t="inlineStr">
        <is>
          <t>来源对象 bz_van_279；主附魔 Turbo；真实来源地点数 2</t>
        </is>
      </c>
      <c r="G280" t="inlineStr">
        <is>
          <t>reserved</t>
        </is>
      </c>
    </row>
    <row r="281">
      <c r="A281" s="38" t="inlineStr">
        <is>
          <t>pal_280</t>
        </is>
      </c>
      <c r="B281" s="38" t="n">
        <v>4</v>
      </c>
      <c r="C281" s="38" t="inlineStr">
        <is>
          <t>pT3</t>
        </is>
      </c>
      <c r="D281" s="38" t="n">
        <v>65</v>
      </c>
      <c r="E281" s="38" t="n">
        <v>40</v>
      </c>
      <c r="F281" s="38" t="inlineStr">
        <is>
          <t>来源对象 bz_van_280；主附魔 Icy；真实来源地点数 2</t>
        </is>
      </c>
      <c r="G281" t="inlineStr">
        <is>
          <t>reserved</t>
        </is>
      </c>
    </row>
    <row r="282">
      <c r="A282" s="38" t="inlineStr">
        <is>
          <t>pal_281</t>
        </is>
      </c>
      <c r="B282" s="38" t="n">
        <v>4</v>
      </c>
      <c r="C282" s="38" t="inlineStr">
        <is>
          <t>pT2</t>
        </is>
      </c>
      <c r="D282" s="38" t="n">
        <v>85</v>
      </c>
      <c r="E282" s="38" t="n">
        <v>50</v>
      </c>
      <c r="F282" s="38" t="inlineStr">
        <is>
          <t>来源对象 bz_van_281；主附魔 Icy；真实来源地点数 2</t>
        </is>
      </c>
      <c r="G282" t="inlineStr">
        <is>
          <t>reserved</t>
        </is>
      </c>
    </row>
    <row r="283">
      <c r="A283" s="38" t="inlineStr">
        <is>
          <t>pal_282</t>
        </is>
      </c>
      <c r="B283" s="38" t="n">
        <v>4</v>
      </c>
      <c r="C283" s="38" t="inlineStr">
        <is>
          <t>pT3</t>
        </is>
      </c>
      <c r="D283" s="38" t="n">
        <v>65</v>
      </c>
      <c r="E283" s="38" t="n">
        <v>40</v>
      </c>
      <c r="F283" s="38" t="inlineStr">
        <is>
          <t>来源对象 bz_van_282；主附魔 Icy；真实来源地点数 2</t>
        </is>
      </c>
      <c r="G283" t="inlineStr">
        <is>
          <t>reserved</t>
        </is>
      </c>
    </row>
    <row r="284">
      <c r="A284" s="38" t="inlineStr">
        <is>
          <t>pal_283</t>
        </is>
      </c>
      <c r="B284" s="38" t="n">
        <v>4</v>
      </c>
      <c r="C284" s="38" t="inlineStr">
        <is>
          <t>pT3</t>
        </is>
      </c>
      <c r="D284" s="38" t="n">
        <v>65</v>
      </c>
      <c r="E284" s="38" t="n">
        <v>40</v>
      </c>
      <c r="F284" s="38" t="inlineStr">
        <is>
          <t>来源对象 bz_van_283；主附魔 Icy；真实来源地点数 2</t>
        </is>
      </c>
      <c r="G284" t="inlineStr">
        <is>
          <t>reserved</t>
        </is>
      </c>
    </row>
    <row r="285">
      <c r="A285" s="38" t="inlineStr">
        <is>
          <t>pal_284</t>
        </is>
      </c>
      <c r="B285" s="38" t="n">
        <v>4</v>
      </c>
      <c r="C285" s="38" t="inlineStr">
        <is>
          <t>pT2</t>
        </is>
      </c>
      <c r="D285" s="38" t="n">
        <v>85</v>
      </c>
      <c r="E285" s="38" t="n">
        <v>50</v>
      </c>
      <c r="F285" s="38" t="inlineStr">
        <is>
          <t>来源对象 bz_van_284；主附魔 Icy；真实来源地点数 2</t>
        </is>
      </c>
      <c r="G285" t="inlineStr">
        <is>
          <t>reserved</t>
        </is>
      </c>
    </row>
    <row r="286">
      <c r="A286" s="38" t="inlineStr">
        <is>
          <t>pal_285</t>
        </is>
      </c>
      <c r="B286" s="38" t="n">
        <v>4</v>
      </c>
      <c r="C286" s="38" t="inlineStr">
        <is>
          <t>pT3</t>
        </is>
      </c>
      <c r="D286" s="38" t="n">
        <v>65</v>
      </c>
      <c r="E286" s="38" t="n">
        <v>40</v>
      </c>
      <c r="F286" s="38" t="inlineStr">
        <is>
          <t>来源对象 bz_van_285；主附魔 Icy；真实来源地点数 2</t>
        </is>
      </c>
      <c r="G286" t="inlineStr">
        <is>
          <t>reserved</t>
        </is>
      </c>
    </row>
    <row r="287">
      <c r="A287" s="38" t="inlineStr">
        <is>
          <t>pal_286</t>
        </is>
      </c>
      <c r="B287" s="38" t="n">
        <v>4</v>
      </c>
      <c r="C287" s="38" t="inlineStr">
        <is>
          <t>pT3</t>
        </is>
      </c>
      <c r="D287" s="38" t="n">
        <v>65</v>
      </c>
      <c r="E287" s="38" t="n">
        <v>40</v>
      </c>
      <c r="F287" s="38" t="inlineStr">
        <is>
          <t>来源对象 bz_van_286；主附魔 Fiery；真实来源地点数 2</t>
        </is>
      </c>
      <c r="G287" t="inlineStr">
        <is>
          <t>reserved</t>
        </is>
      </c>
    </row>
    <row r="288">
      <c r="A288" s="38" t="inlineStr">
        <is>
          <t>pal_287</t>
        </is>
      </c>
      <c r="B288" s="38" t="n">
        <v>4</v>
      </c>
      <c r="C288" s="38" t="inlineStr">
        <is>
          <t>pT3</t>
        </is>
      </c>
      <c r="D288" s="38" t="n">
        <v>65</v>
      </c>
      <c r="E288" s="38" t="n">
        <v>40</v>
      </c>
      <c r="F288" s="38" t="inlineStr">
        <is>
          <t>来源对象 bz_van_287；主附魔 Fiery；真实来源地点数 2</t>
        </is>
      </c>
      <c r="G288" t="inlineStr">
        <is>
          <t>reserved</t>
        </is>
      </c>
    </row>
    <row r="289">
      <c r="A289" s="38" t="inlineStr">
        <is>
          <t>pal_288</t>
        </is>
      </c>
      <c r="B289" s="38" t="n">
        <v>4</v>
      </c>
      <c r="C289" s="38" t="inlineStr">
        <is>
          <t>pT2</t>
        </is>
      </c>
      <c r="D289" s="38" t="n">
        <v>85</v>
      </c>
      <c r="E289" s="38" t="n">
        <v>50</v>
      </c>
      <c r="F289" s="38" t="inlineStr">
        <is>
          <t>来源对象 bz_van_288；主附魔 Fiery；真实来源地点数 2</t>
        </is>
      </c>
      <c r="G289" t="inlineStr">
        <is>
          <t>reserved</t>
        </is>
      </c>
    </row>
    <row r="290">
      <c r="A290" s="38" t="inlineStr">
        <is>
          <t>pal_289</t>
        </is>
      </c>
      <c r="B290" s="38" t="n">
        <v>6</v>
      </c>
      <c r="C290" s="38" t="inlineStr">
        <is>
          <t>pT2</t>
        </is>
      </c>
      <c r="D290" s="38" t="n">
        <v>85</v>
      </c>
      <c r="E290" s="38" t="n">
        <v>50</v>
      </c>
      <c r="F290" s="38" t="inlineStr">
        <is>
          <t>来源对象 bz_van_289；主附魔 Toxic；真实来源地点数 2</t>
        </is>
      </c>
      <c r="G290" t="inlineStr">
        <is>
          <t>reserved</t>
        </is>
      </c>
    </row>
    <row r="291">
      <c r="A291" s="38" t="inlineStr">
        <is>
          <t>pal_290</t>
        </is>
      </c>
      <c r="B291" s="38" t="n">
        <v>4</v>
      </c>
      <c r="C291" s="38" t="inlineStr">
        <is>
          <t>pT3</t>
        </is>
      </c>
      <c r="D291" s="38" t="n">
        <v>65</v>
      </c>
      <c r="E291" s="38" t="n">
        <v>40</v>
      </c>
      <c r="F291" s="38" t="inlineStr">
        <is>
          <t>来源对象 bz_van_290；主附魔 Toxic；真实来源地点数 2</t>
        </is>
      </c>
      <c r="G291" t="inlineStr">
        <is>
          <t>reserved</t>
        </is>
      </c>
    </row>
    <row r="292">
      <c r="A292" s="38" t="inlineStr">
        <is>
          <t>pal_291</t>
        </is>
      </c>
      <c r="B292" s="38" t="n">
        <v>4</v>
      </c>
      <c r="C292" s="38" t="inlineStr">
        <is>
          <t>pT3</t>
        </is>
      </c>
      <c r="D292" s="38" t="n">
        <v>65</v>
      </c>
      <c r="E292" s="38" t="n">
        <v>40</v>
      </c>
      <c r="F292" s="38" t="inlineStr">
        <is>
          <t>来源对象 bz_van_291；主附魔 Toxic；真实来源地点数 2</t>
        </is>
      </c>
      <c r="G292" t="inlineStr">
        <is>
          <t>reserved</t>
        </is>
      </c>
    </row>
    <row r="293">
      <c r="A293" s="38" t="inlineStr">
        <is>
          <t>pal_292</t>
        </is>
      </c>
      <c r="B293" s="38" t="n">
        <v>4</v>
      </c>
      <c r="C293" s="38" t="inlineStr">
        <is>
          <t>pT3</t>
        </is>
      </c>
      <c r="D293" s="38" t="n">
        <v>65</v>
      </c>
      <c r="E293" s="38" t="n">
        <v>40</v>
      </c>
      <c r="F293" s="38" t="inlineStr">
        <is>
          <t>来源对象 bz_van_292；主附魔 Golden；真实来源地点数 2</t>
        </is>
      </c>
      <c r="G293" t="inlineStr">
        <is>
          <t>reserved</t>
        </is>
      </c>
    </row>
    <row r="294">
      <c r="A294" s="38" t="inlineStr">
        <is>
          <t>pal_293</t>
        </is>
      </c>
      <c r="B294" s="38" t="n">
        <v>5</v>
      </c>
      <c r="C294" s="38" t="inlineStr">
        <is>
          <t>pT2</t>
        </is>
      </c>
      <c r="D294" s="38" t="n">
        <v>85</v>
      </c>
      <c r="E294" s="38" t="n">
        <v>50</v>
      </c>
      <c r="F294" s="38" t="inlineStr">
        <is>
          <t>来源对象 bz_van_293；主附魔 Golden；真实来源地点数 2</t>
        </is>
      </c>
      <c r="G294" t="inlineStr">
        <is>
          <t>reserved</t>
        </is>
      </c>
    </row>
    <row r="295">
      <c r="A295" s="38" t="inlineStr">
        <is>
          <t>pal_294</t>
        </is>
      </c>
      <c r="B295" s="38" t="n">
        <v>4</v>
      </c>
      <c r="C295" s="38" t="inlineStr">
        <is>
          <t>pT3</t>
        </is>
      </c>
      <c r="D295" s="38" t="n">
        <v>65</v>
      </c>
      <c r="E295" s="38" t="n">
        <v>40</v>
      </c>
      <c r="F295" s="38" t="inlineStr">
        <is>
          <t>来源对象 bz_van_294；主附魔 Golden；真实来源地点数 2</t>
        </is>
      </c>
      <c r="G295" t="inlineStr">
        <is>
          <t>reserved</t>
        </is>
      </c>
    </row>
    <row r="296">
      <c r="A296" s="38" t="inlineStr">
        <is>
          <t>pal_295</t>
        </is>
      </c>
      <c r="B296" s="38" t="n">
        <v>1</v>
      </c>
      <c r="C296" s="38" t="inlineStr">
        <is>
          <t>pT1</t>
        </is>
      </c>
      <c r="D296" s="38" t="n">
        <v>100</v>
      </c>
      <c r="E296" s="38" t="n">
        <v>60</v>
      </c>
      <c r="F296" s="38" t="inlineStr">
        <is>
          <t>来源对象 bz_van_295；主附魔 Shielded；真实来源地点数 2</t>
        </is>
      </c>
      <c r="G296" t="inlineStr">
        <is>
          <t>reserved</t>
        </is>
      </c>
    </row>
    <row r="297">
      <c r="A297" s="38" t="inlineStr">
        <is>
          <t>pal_296</t>
        </is>
      </c>
      <c r="B297" s="38" t="n">
        <v>1</v>
      </c>
      <c r="C297" s="38" t="inlineStr">
        <is>
          <t>pT1</t>
        </is>
      </c>
      <c r="D297" s="38" t="n">
        <v>100</v>
      </c>
      <c r="E297" s="38" t="n">
        <v>60</v>
      </c>
      <c r="F297" s="38" t="inlineStr">
        <is>
          <t>来源对象 bz_van_296；主附魔 Shielded；真实来源地点数 2</t>
        </is>
      </c>
      <c r="G297" t="inlineStr">
        <is>
          <t>reserved</t>
        </is>
      </c>
    </row>
    <row r="298">
      <c r="A298" s="38" t="inlineStr">
        <is>
          <t>pal_297</t>
        </is>
      </c>
      <c r="B298" s="38" t="n">
        <v>4</v>
      </c>
      <c r="C298" s="38" t="inlineStr">
        <is>
          <t>pT2</t>
        </is>
      </c>
      <c r="D298" s="38" t="n">
        <v>85</v>
      </c>
      <c r="E298" s="38" t="n">
        <v>50</v>
      </c>
      <c r="F298" s="38" t="inlineStr">
        <is>
          <t>来源对象 bz_van_297；主附魔 Heavy；真实来源地点数 2</t>
        </is>
      </c>
      <c r="G298" t="inlineStr">
        <is>
          <t>reserved</t>
        </is>
      </c>
    </row>
    <row r="299">
      <c r="A299" s="38" t="inlineStr">
        <is>
          <t>pal_298</t>
        </is>
      </c>
      <c r="B299" s="38" t="n">
        <v>4</v>
      </c>
      <c r="C299" s="38" t="inlineStr">
        <is>
          <t>pT2</t>
        </is>
      </c>
      <c r="D299" s="38" t="n">
        <v>85</v>
      </c>
      <c r="E299" s="38" t="n">
        <v>50</v>
      </c>
      <c r="F299" s="38" t="inlineStr">
        <is>
          <t>来源对象 bz_van_298；主附魔 Golden；真实来源地点数 2</t>
        </is>
      </c>
      <c r="G299" t="inlineStr">
        <is>
          <t>reserved</t>
        </is>
      </c>
    </row>
    <row r="300">
      <c r="A300" s="38" t="inlineStr">
        <is>
          <t>pal_299</t>
        </is>
      </c>
      <c r="B300" s="38" t="n">
        <v>4</v>
      </c>
      <c r="C300" s="38" t="inlineStr">
        <is>
          <t>pT2</t>
        </is>
      </c>
      <c r="D300" s="38" t="n">
        <v>85</v>
      </c>
      <c r="E300" s="38" t="n">
        <v>50</v>
      </c>
      <c r="F300" s="38" t="inlineStr">
        <is>
          <t>来源对象 bz_van_299；主附魔 Shiny；真实来源地点数 2</t>
        </is>
      </c>
      <c r="G300" t="inlineStr">
        <is>
          <t>reserved</t>
        </is>
      </c>
    </row>
    <row r="301">
      <c r="A301" s="38" t="inlineStr">
        <is>
          <t>pal_300</t>
        </is>
      </c>
      <c r="B301" s="38" t="n">
        <v>5</v>
      </c>
      <c r="C301" s="38" t="inlineStr">
        <is>
          <t>pT2</t>
        </is>
      </c>
      <c r="D301" s="38" t="n">
        <v>85</v>
      </c>
      <c r="E301" s="38" t="n">
        <v>50</v>
      </c>
      <c r="F301" s="38" t="inlineStr">
        <is>
          <t>来源对象 bz_van_300；主附魔 Shiny；真实来源地点数 2</t>
        </is>
      </c>
      <c r="G301" t="inlineStr">
        <is>
          <t>reserved</t>
        </is>
      </c>
    </row>
    <row r="302">
      <c r="A302" s="38" t="inlineStr">
        <is>
          <t>pal_301</t>
        </is>
      </c>
      <c r="B302" s="38" t="n">
        <v>5</v>
      </c>
      <c r="C302" s="38" t="inlineStr">
        <is>
          <t>pT2</t>
        </is>
      </c>
      <c r="D302" s="38" t="n">
        <v>85</v>
      </c>
      <c r="E302" s="38" t="n">
        <v>50</v>
      </c>
      <c r="F302" s="38" t="inlineStr">
        <is>
          <t>来源对象 bz_van_301；主附魔 Shiny；真实来源地点数 2</t>
        </is>
      </c>
      <c r="G302" t="inlineStr">
        <is>
          <t>reserved</t>
        </is>
      </c>
    </row>
    <row r="303">
      <c r="A303" s="38" t="inlineStr">
        <is>
          <t>pal_302</t>
        </is>
      </c>
      <c r="B303" s="38" t="n">
        <v>5</v>
      </c>
      <c r="C303" s="38" t="inlineStr">
        <is>
          <t>pT2</t>
        </is>
      </c>
      <c r="D303" s="38" t="n">
        <v>85</v>
      </c>
      <c r="E303" s="38" t="n">
        <v>50</v>
      </c>
      <c r="F303" s="38" t="inlineStr">
        <is>
          <t>来源对象 bz_van_302；主附魔 Heavy；真实来源地点数 2</t>
        </is>
      </c>
      <c r="G303" t="inlineStr">
        <is>
          <t>reserved</t>
        </is>
      </c>
    </row>
    <row r="304">
      <c r="A304" s="38" t="inlineStr">
        <is>
          <t>pal_303</t>
        </is>
      </c>
      <c r="B304" s="38" t="n">
        <v>1</v>
      </c>
      <c r="C304" s="38" t="inlineStr">
        <is>
          <t>pT1</t>
        </is>
      </c>
      <c r="D304" s="38" t="n">
        <v>100</v>
      </c>
      <c r="E304" s="38" t="n">
        <v>60</v>
      </c>
      <c r="F304" s="38" t="inlineStr">
        <is>
          <t>来源对象 bz_van_303；主附魔 Heavy；真实来源地点数 2</t>
        </is>
      </c>
      <c r="G304" t="inlineStr">
        <is>
          <t>reserved</t>
        </is>
      </c>
    </row>
    <row r="305">
      <c r="A305" s="38" t="inlineStr">
        <is>
          <t>pal_304</t>
        </is>
      </c>
      <c r="B305" s="38" t="n">
        <v>2</v>
      </c>
      <c r="C305" s="38" t="inlineStr">
        <is>
          <t>pT2</t>
        </is>
      </c>
      <c r="D305" s="38" t="n">
        <v>85</v>
      </c>
      <c r="E305" s="38" t="n">
        <v>50</v>
      </c>
      <c r="F305" s="38" t="inlineStr">
        <is>
          <t>来源对象 bz_van_304；主附魔 Heavy；真实来源地点数 2</t>
        </is>
      </c>
      <c r="G305" t="inlineStr">
        <is>
          <t>reserved</t>
        </is>
      </c>
    </row>
    <row r="306">
      <c r="A306" s="38" t="inlineStr">
        <is>
          <t>pal_305</t>
        </is>
      </c>
      <c r="B306" s="38" t="n">
        <v>1</v>
      </c>
      <c r="C306" s="38" t="inlineStr">
        <is>
          <t>pT1</t>
        </is>
      </c>
      <c r="D306" s="38" t="n">
        <v>100</v>
      </c>
      <c r="E306" s="38" t="n">
        <v>60</v>
      </c>
      <c r="F306" s="38" t="inlineStr">
        <is>
          <t>来源对象 bz_van_305；主附魔 Heavy；真实来源地点数 2</t>
        </is>
      </c>
      <c r="G306" t="inlineStr">
        <is>
          <t>reserved</t>
        </is>
      </c>
    </row>
    <row r="307">
      <c r="A307" s="38" t="inlineStr">
        <is>
          <t>pal_306</t>
        </is>
      </c>
      <c r="B307" s="38" t="n">
        <v>6</v>
      </c>
      <c r="C307" s="38" t="inlineStr">
        <is>
          <t>pT2</t>
        </is>
      </c>
      <c r="D307" s="38" t="n">
        <v>85</v>
      </c>
      <c r="E307" s="38" t="n">
        <v>50</v>
      </c>
      <c r="F307" s="38" t="inlineStr">
        <is>
          <t>来源对象 bz_van_306；主附魔 Heavy；真实来源地点数 2</t>
        </is>
      </c>
      <c r="G307" t="inlineStr">
        <is>
          <t>reserved</t>
        </is>
      </c>
    </row>
    <row r="308">
      <c r="A308" s="38" t="inlineStr">
        <is>
          <t>pal_307</t>
        </is>
      </c>
      <c r="B308" s="38" t="n">
        <v>6</v>
      </c>
      <c r="C308" s="38" t="inlineStr">
        <is>
          <t>pT2</t>
        </is>
      </c>
      <c r="D308" s="38" t="n">
        <v>85</v>
      </c>
      <c r="E308" s="38" t="n">
        <v>50</v>
      </c>
      <c r="F308" s="38" t="inlineStr">
        <is>
          <t>来源对象 bz_van_307；主附魔 Golden；真实来源地点数 2</t>
        </is>
      </c>
      <c r="G308" t="inlineStr">
        <is>
          <t>reserved</t>
        </is>
      </c>
    </row>
    <row r="309">
      <c r="A309" s="38" t="inlineStr">
        <is>
          <t>pal_308</t>
        </is>
      </c>
      <c r="B309" s="38" t="n">
        <v>6</v>
      </c>
      <c r="C309" s="38" t="inlineStr">
        <is>
          <t>pT2</t>
        </is>
      </c>
      <c r="D309" s="38" t="n">
        <v>85</v>
      </c>
      <c r="E309" s="38" t="n">
        <v>50</v>
      </c>
      <c r="F309" s="38" t="inlineStr">
        <is>
          <t>来源对象 bz_van_308；主附魔 Shiny；真实来源地点数 2</t>
        </is>
      </c>
      <c r="G309" t="inlineStr">
        <is>
          <t>reserved</t>
        </is>
      </c>
    </row>
    <row r="310">
      <c r="A310" s="38" t="inlineStr">
        <is>
          <t>pal_309</t>
        </is>
      </c>
      <c r="B310" s="38" t="n">
        <v>1</v>
      </c>
      <c r="C310" s="38" t="inlineStr">
        <is>
          <t>pT1</t>
        </is>
      </c>
      <c r="D310" s="38" t="n">
        <v>100</v>
      </c>
      <c r="E310" s="38" t="n">
        <v>60</v>
      </c>
      <c r="F310" s="38" t="inlineStr">
        <is>
          <t>来源对象 bz_van_309；主附魔 Shiny；真实来源地点数 2</t>
        </is>
      </c>
      <c r="G310" t="inlineStr">
        <is>
          <t>reserved</t>
        </is>
      </c>
    </row>
    <row r="311">
      <c r="A311" s="38" t="inlineStr">
        <is>
          <t>pal_310</t>
        </is>
      </c>
      <c r="B311" s="38" t="n">
        <v>1</v>
      </c>
      <c r="C311" s="38" t="inlineStr">
        <is>
          <t>pT1</t>
        </is>
      </c>
      <c r="D311" s="38" t="n">
        <v>100</v>
      </c>
      <c r="E311" s="38" t="n">
        <v>60</v>
      </c>
      <c r="F311" s="38" t="inlineStr">
        <is>
          <t>来源对象 bz_van_310；主附魔 Shiny；真实来源地点数 2</t>
        </is>
      </c>
      <c r="G311" t="inlineStr">
        <is>
          <t>reserved</t>
        </is>
      </c>
    </row>
    <row r="312">
      <c r="A312" s="38" t="inlineStr">
        <is>
          <t>pal_311</t>
        </is>
      </c>
      <c r="B312" s="38" t="n">
        <v>2</v>
      </c>
      <c r="C312" s="38" t="inlineStr">
        <is>
          <t>pT2</t>
        </is>
      </c>
      <c r="D312" s="38" t="n">
        <v>85</v>
      </c>
      <c r="E312" s="38" t="n">
        <v>50</v>
      </c>
      <c r="F312" s="38" t="inlineStr">
        <is>
          <t>来源对象 bz_van_311；主附魔 Heavy；真实来源地点数 2</t>
        </is>
      </c>
      <c r="G312" t="inlineStr">
        <is>
          <t>reserved</t>
        </is>
      </c>
    </row>
    <row r="313">
      <c r="A313" s="38" t="inlineStr">
        <is>
          <t>pal_312</t>
        </is>
      </c>
      <c r="B313" s="38" t="n">
        <v>1</v>
      </c>
      <c r="C313" s="38" t="inlineStr">
        <is>
          <t>pT1</t>
        </is>
      </c>
      <c r="D313" s="38" t="n">
        <v>100</v>
      </c>
      <c r="E313" s="38" t="n">
        <v>60</v>
      </c>
      <c r="F313" s="38" t="inlineStr">
        <is>
          <t>来源对象 bz_van_312；主附魔 Shiny；真实来源地点数 2</t>
        </is>
      </c>
      <c r="G313" t="inlineStr">
        <is>
          <t>reserved</t>
        </is>
      </c>
    </row>
    <row r="314">
      <c r="A314" s="38" t="inlineStr">
        <is>
          <t>pal_313</t>
        </is>
      </c>
      <c r="B314" s="38" t="n">
        <v>1</v>
      </c>
      <c r="C314" s="38" t="inlineStr">
        <is>
          <t>pT1</t>
        </is>
      </c>
      <c r="D314" s="38" t="n">
        <v>100</v>
      </c>
      <c r="E314" s="38" t="n">
        <v>60</v>
      </c>
      <c r="F314" s="38" t="inlineStr">
        <is>
          <t>来源对象 bz_van_313；主附魔 Heavy；真实来源地点数 2</t>
        </is>
      </c>
      <c r="G314" t="inlineStr">
        <is>
          <t>reserved</t>
        </is>
      </c>
    </row>
    <row r="315">
      <c r="A315" s="38" t="inlineStr">
        <is>
          <t>pal_314</t>
        </is>
      </c>
      <c r="B315" s="38" t="n">
        <v>6</v>
      </c>
      <c r="C315" s="38" t="inlineStr">
        <is>
          <t>pT2</t>
        </is>
      </c>
      <c r="D315" s="38" t="n">
        <v>85</v>
      </c>
      <c r="E315" s="38" t="n">
        <v>50</v>
      </c>
      <c r="F315" s="38" t="inlineStr">
        <is>
          <t>来源对象 bz_van_314；主附魔 Shiny；真实来源地点数 2</t>
        </is>
      </c>
      <c r="G315" t="inlineStr">
        <is>
          <t>reserved</t>
        </is>
      </c>
    </row>
    <row r="316">
      <c r="A316" s="38" t="inlineStr">
        <is>
          <t>pal_315</t>
        </is>
      </c>
      <c r="B316" s="38" t="n">
        <v>1</v>
      </c>
      <c r="C316" s="38" t="inlineStr">
        <is>
          <t>pT1</t>
        </is>
      </c>
      <c r="D316" s="38" t="n">
        <v>100</v>
      </c>
      <c r="E316" s="38" t="n">
        <v>60</v>
      </c>
      <c r="F316" s="38" t="inlineStr">
        <is>
          <t>来源对象 bz_van_315；主附魔 Heavy；真实来源地点数 2</t>
        </is>
      </c>
      <c r="G316" t="inlineStr">
        <is>
          <t>reserved</t>
        </is>
      </c>
    </row>
    <row r="317">
      <c r="A317" s="38" t="inlineStr">
        <is>
          <t>pal_316</t>
        </is>
      </c>
      <c r="B317" s="38" t="n">
        <v>1</v>
      </c>
      <c r="C317" s="38" t="inlineStr">
        <is>
          <t>pT1</t>
        </is>
      </c>
      <c r="D317" s="38" t="n">
        <v>100</v>
      </c>
      <c r="E317" s="38" t="n">
        <v>60</v>
      </c>
      <c r="F317" s="38" t="inlineStr">
        <is>
          <t>来源对象 bz_van_316；主附魔 Shiny；真实来源地点数 2</t>
        </is>
      </c>
      <c r="G317" t="inlineStr">
        <is>
          <t>reserved</t>
        </is>
      </c>
    </row>
    <row r="318">
      <c r="A318" s="38" t="inlineStr">
        <is>
          <t>pal_317</t>
        </is>
      </c>
      <c r="B318" s="38" t="n">
        <v>1</v>
      </c>
      <c r="C318" s="38" t="inlineStr">
        <is>
          <t>pT1</t>
        </is>
      </c>
      <c r="D318" s="38" t="n">
        <v>100</v>
      </c>
      <c r="E318" s="38" t="n">
        <v>60</v>
      </c>
      <c r="F318" s="38" t="inlineStr">
        <is>
          <t>来源对象 bz_van_317；主附魔 Shiny；真实来源地点数 1</t>
        </is>
      </c>
      <c r="G318" t="inlineStr">
        <is>
          <t>reserved</t>
        </is>
      </c>
    </row>
    <row r="319">
      <c r="A319" s="38" t="inlineStr">
        <is>
          <t>pal_318</t>
        </is>
      </c>
      <c r="B319" s="38" t="n">
        <v>1</v>
      </c>
      <c r="C319" s="38" t="inlineStr">
        <is>
          <t>pT1</t>
        </is>
      </c>
      <c r="D319" s="38" t="n">
        <v>100</v>
      </c>
      <c r="E319" s="38" t="n">
        <v>60</v>
      </c>
      <c r="F319" s="38" t="inlineStr">
        <is>
          <t>来源对象 bz_van_318；主附魔 Heavy；真实来源地点数 1</t>
        </is>
      </c>
      <c r="G319" t="inlineStr">
        <is>
          <t>reserved</t>
        </is>
      </c>
    </row>
    <row r="320">
      <c r="A320" s="38" t="inlineStr">
        <is>
          <t>pal_319</t>
        </is>
      </c>
      <c r="B320" s="38" t="n">
        <v>2</v>
      </c>
      <c r="C320" s="38" t="inlineStr">
        <is>
          <t>pT2</t>
        </is>
      </c>
      <c r="D320" s="38" t="n">
        <v>85</v>
      </c>
      <c r="E320" s="38" t="n">
        <v>50</v>
      </c>
      <c r="F320" s="38" t="inlineStr">
        <is>
          <t>来源对象 bz_van_319；主附魔 Shiny；真实来源地点数 2</t>
        </is>
      </c>
      <c r="G320" t="inlineStr">
        <is>
          <t>reserved</t>
        </is>
      </c>
    </row>
    <row r="321">
      <c r="A321" s="38" t="inlineStr">
        <is>
          <t>pal_320</t>
        </is>
      </c>
      <c r="B321" s="38" t="n">
        <v>4</v>
      </c>
      <c r="C321" s="38" t="inlineStr">
        <is>
          <t>pT2</t>
        </is>
      </c>
      <c r="D321" s="38" t="n">
        <v>85</v>
      </c>
      <c r="E321" s="38" t="n">
        <v>50</v>
      </c>
      <c r="F321" s="38" t="inlineStr">
        <is>
          <t>来源对象 bz_van_320；主附魔 Golden；真实来源地点数 2</t>
        </is>
      </c>
      <c r="G321" t="inlineStr">
        <is>
          <t>reserved</t>
        </is>
      </c>
    </row>
    <row r="322">
      <c r="A322" s="38" t="inlineStr">
        <is>
          <t>pal_321</t>
        </is>
      </c>
      <c r="B322" s="38" t="n">
        <v>4</v>
      </c>
      <c r="C322" s="38" t="inlineStr">
        <is>
          <t>pT2</t>
        </is>
      </c>
      <c r="D322" s="38" t="n">
        <v>85</v>
      </c>
      <c r="E322" s="38" t="n">
        <v>50</v>
      </c>
      <c r="F322" s="38" t="inlineStr">
        <is>
          <t>来源对象 bz_van_321；主附魔 Golden；真实来源地点数 2</t>
        </is>
      </c>
      <c r="G322" t="inlineStr">
        <is>
          <t>reserved</t>
        </is>
      </c>
    </row>
    <row r="323">
      <c r="A323" s="38" t="inlineStr">
        <is>
          <t>pal_322</t>
        </is>
      </c>
      <c r="B323" s="38" t="n">
        <v>4</v>
      </c>
      <c r="C323" s="38" t="inlineStr">
        <is>
          <t>pT2</t>
        </is>
      </c>
      <c r="D323" s="38" t="n">
        <v>85</v>
      </c>
      <c r="E323" s="38" t="n">
        <v>50</v>
      </c>
      <c r="F323" s="38" t="inlineStr">
        <is>
          <t>来源对象 bz_van_322；主附魔 Golden；真实来源地点数 2</t>
        </is>
      </c>
      <c r="G323" t="inlineStr">
        <is>
          <t>reserved</t>
        </is>
      </c>
    </row>
    <row r="324">
      <c r="A324" s="38" t="inlineStr">
        <is>
          <t>pal_323</t>
        </is>
      </c>
      <c r="B324" s="38" t="n">
        <v>4</v>
      </c>
      <c r="C324" s="38" t="inlineStr">
        <is>
          <t>pT2</t>
        </is>
      </c>
      <c r="D324" s="38" t="n">
        <v>85</v>
      </c>
      <c r="E324" s="38" t="n">
        <v>50</v>
      </c>
      <c r="F324" s="38" t="inlineStr">
        <is>
          <t>来源对象 bz_van_323；主附魔 Shiny；真实来源地点数 2</t>
        </is>
      </c>
      <c r="G324" t="inlineStr">
        <is>
          <t>reserved</t>
        </is>
      </c>
    </row>
    <row r="325">
      <c r="A325" s="38" t="inlineStr">
        <is>
          <t>pal_324</t>
        </is>
      </c>
      <c r="B325" s="38" t="n">
        <v>4</v>
      </c>
      <c r="C325" s="38" t="inlineStr">
        <is>
          <t>pT2</t>
        </is>
      </c>
      <c r="D325" s="38" t="n">
        <v>85</v>
      </c>
      <c r="E325" s="38" t="n">
        <v>50</v>
      </c>
      <c r="F325" s="38" t="inlineStr">
        <is>
          <t>来源对象 bz_van_324；主附魔 Shiny；真实来源地点数 2</t>
        </is>
      </c>
      <c r="G325" t="inlineStr">
        <is>
          <t>reserved</t>
        </is>
      </c>
    </row>
    <row r="326">
      <c r="A326" s="38" t="inlineStr">
        <is>
          <t>pal_325</t>
        </is>
      </c>
      <c r="B326" s="38" t="n">
        <v>1</v>
      </c>
      <c r="C326" s="38" t="inlineStr">
        <is>
          <t>pT1</t>
        </is>
      </c>
      <c r="D326" s="38" t="n">
        <v>100</v>
      </c>
      <c r="E326" s="38" t="n">
        <v>60</v>
      </c>
      <c r="F326" s="38" t="inlineStr">
        <is>
          <t>来源对象 bz_van_325；主附魔 Heavy；真实来源地点数 2</t>
        </is>
      </c>
      <c r="G326" t="inlineStr">
        <is>
          <t>reserved</t>
        </is>
      </c>
    </row>
    <row r="327">
      <c r="A327" s="38" t="inlineStr">
        <is>
          <t>pal_326</t>
        </is>
      </c>
      <c r="B327" s="38" t="n">
        <v>1</v>
      </c>
      <c r="C327" s="38" t="inlineStr">
        <is>
          <t>pT1</t>
        </is>
      </c>
      <c r="D327" s="38" t="n">
        <v>100</v>
      </c>
      <c r="E327" s="38" t="n">
        <v>60</v>
      </c>
      <c r="F327" s="38" t="inlineStr">
        <is>
          <t>来源对象 bz_van_326；主附魔 Shiny；真实来源地点数 2</t>
        </is>
      </c>
      <c r="G327" t="inlineStr">
        <is>
          <t>reserved</t>
        </is>
      </c>
    </row>
    <row r="328">
      <c r="A328" s="38" t="inlineStr">
        <is>
          <t>pal_327</t>
        </is>
      </c>
      <c r="B328" s="38" t="n">
        <v>5</v>
      </c>
      <c r="C328" s="38" t="inlineStr">
        <is>
          <t>pT2</t>
        </is>
      </c>
      <c r="D328" s="38" t="n">
        <v>85</v>
      </c>
      <c r="E328" s="38" t="n">
        <v>50</v>
      </c>
      <c r="F328" s="38" t="inlineStr">
        <is>
          <t>来源对象 bz_van_327；主附魔 Shiny；真实来源地点数 2</t>
        </is>
      </c>
      <c r="G328" t="inlineStr">
        <is>
          <t>reserved</t>
        </is>
      </c>
    </row>
    <row r="329">
      <c r="A329" s="38" t="inlineStr">
        <is>
          <t>pal_328</t>
        </is>
      </c>
      <c r="B329" s="38" t="n">
        <v>5</v>
      </c>
      <c r="C329" s="38" t="inlineStr">
        <is>
          <t>pT2</t>
        </is>
      </c>
      <c r="D329" s="38" t="n">
        <v>85</v>
      </c>
      <c r="E329" s="38" t="n">
        <v>50</v>
      </c>
      <c r="F329" s="38" t="inlineStr">
        <is>
          <t>来源对象 bz_van_328；主附魔 Golden；真实来源地点数 2</t>
        </is>
      </c>
      <c r="G329" t="inlineStr">
        <is>
          <t>reserved</t>
        </is>
      </c>
    </row>
    <row r="330">
      <c r="A330" s="38" t="inlineStr">
        <is>
          <t>pal_329</t>
        </is>
      </c>
      <c r="B330" s="38" t="n">
        <v>2</v>
      </c>
      <c r="C330" s="38" t="inlineStr">
        <is>
          <t>pT2</t>
        </is>
      </c>
      <c r="D330" s="38" t="n">
        <v>85</v>
      </c>
      <c r="E330" s="38" t="n">
        <v>50</v>
      </c>
      <c r="F330" s="38" t="inlineStr">
        <is>
          <t>来源对象 bz_van_329；主附魔 Heavy；真实来源地点数 2</t>
        </is>
      </c>
      <c r="G330" t="inlineStr">
        <is>
          <t>reserved</t>
        </is>
      </c>
    </row>
    <row r="331">
      <c r="A331" s="38" t="inlineStr">
        <is>
          <t>pal_330</t>
        </is>
      </c>
      <c r="B331" s="38" t="n">
        <v>1</v>
      </c>
      <c r="C331" s="38" t="inlineStr">
        <is>
          <t>pT1</t>
        </is>
      </c>
      <c r="D331" s="38" t="n">
        <v>100</v>
      </c>
      <c r="E331" s="38" t="n">
        <v>60</v>
      </c>
      <c r="F331" s="38" t="inlineStr">
        <is>
          <t>来源对象 bz_van_330；主附魔 Shiny；真实来源地点数 2</t>
        </is>
      </c>
      <c r="G331" t="inlineStr">
        <is>
          <t>reserved</t>
        </is>
      </c>
    </row>
    <row r="332">
      <c r="A332" s="38" t="inlineStr">
        <is>
          <t>pal_331</t>
        </is>
      </c>
      <c r="B332" s="38" t="n">
        <v>4</v>
      </c>
      <c r="C332" s="38" t="inlineStr">
        <is>
          <t>pT2</t>
        </is>
      </c>
      <c r="D332" s="38" t="n">
        <v>85</v>
      </c>
      <c r="E332" s="38" t="n">
        <v>50</v>
      </c>
      <c r="F332" s="38" t="inlineStr">
        <is>
          <t>来源对象 bz_van_331；主附魔 Heavy；真实来源地点数 2</t>
        </is>
      </c>
      <c r="G332" t="inlineStr">
        <is>
          <t>reserved</t>
        </is>
      </c>
    </row>
    <row r="333">
      <c r="A333" s="38" t="inlineStr">
        <is>
          <t>pal_332</t>
        </is>
      </c>
      <c r="B333" s="38" t="n">
        <v>1</v>
      </c>
      <c r="C333" s="38" t="inlineStr">
        <is>
          <t>pT1</t>
        </is>
      </c>
      <c r="D333" s="38" t="n">
        <v>100</v>
      </c>
      <c r="E333" s="38" t="n">
        <v>60</v>
      </c>
      <c r="F333" s="38" t="inlineStr">
        <is>
          <t>来源对象 bz_van_332；主附魔 Shiny；真实来源地点数 2</t>
        </is>
      </c>
      <c r="G333" t="inlineStr">
        <is>
          <t>reserved</t>
        </is>
      </c>
    </row>
    <row r="334">
      <c r="A334" s="38" t="inlineStr">
        <is>
          <t>pal_333</t>
        </is>
      </c>
      <c r="B334" s="38" t="n">
        <v>1</v>
      </c>
      <c r="C334" s="38" t="inlineStr">
        <is>
          <t>pT1</t>
        </is>
      </c>
      <c r="D334" s="38" t="n">
        <v>100</v>
      </c>
      <c r="E334" s="38" t="n">
        <v>60</v>
      </c>
      <c r="F334" s="38" t="inlineStr">
        <is>
          <t>来源对象 bz_van_333；主附魔 Shiny；真实来源地点数 2</t>
        </is>
      </c>
      <c r="G334" t="inlineStr">
        <is>
          <t>reserved</t>
        </is>
      </c>
    </row>
    <row r="335">
      <c r="A335" s="38" t="inlineStr">
        <is>
          <t>pal_334</t>
        </is>
      </c>
      <c r="B335" s="38" t="n">
        <v>4</v>
      </c>
      <c r="C335" s="38" t="inlineStr">
        <is>
          <t>pT3</t>
        </is>
      </c>
      <c r="D335" s="38" t="n">
        <v>65</v>
      </c>
      <c r="E335" s="38" t="n">
        <v>40</v>
      </c>
      <c r="F335" s="38" t="inlineStr">
        <is>
          <t>来源对象 bz_van_334；主附魔 Golden；真实来源地点数 2</t>
        </is>
      </c>
      <c r="G335" t="inlineStr">
        <is>
          <t>reserved</t>
        </is>
      </c>
    </row>
    <row r="336">
      <c r="A336" s="38" t="inlineStr">
        <is>
          <t>pal_335</t>
        </is>
      </c>
      <c r="B336" s="38" t="n">
        <v>5</v>
      </c>
      <c r="C336" s="38" t="inlineStr">
        <is>
          <t>pT2</t>
        </is>
      </c>
      <c r="D336" s="38" t="n">
        <v>85</v>
      </c>
      <c r="E336" s="38" t="n">
        <v>50</v>
      </c>
      <c r="F336" s="38" t="inlineStr">
        <is>
          <t>来源对象 bz_van_335；主附魔 Heavy；真实来源地点数 2</t>
        </is>
      </c>
      <c r="G336" t="inlineStr">
        <is>
          <t>reserved</t>
        </is>
      </c>
    </row>
    <row r="337">
      <c r="A337" s="38" t="inlineStr">
        <is>
          <t>pal_336</t>
        </is>
      </c>
      <c r="B337" s="38" t="n">
        <v>4</v>
      </c>
      <c r="C337" s="38" t="inlineStr">
        <is>
          <t>pT3</t>
        </is>
      </c>
      <c r="D337" s="38" t="n">
        <v>65</v>
      </c>
      <c r="E337" s="38" t="n">
        <v>40</v>
      </c>
      <c r="F337" s="38" t="inlineStr">
        <is>
          <t>来源对象 bz_van_336；主附魔 Golden；真实来源地点数 2</t>
        </is>
      </c>
      <c r="G337" t="inlineStr">
        <is>
          <t>reserved</t>
        </is>
      </c>
    </row>
    <row r="338">
      <c r="A338" s="38" t="inlineStr">
        <is>
          <t>pal_337</t>
        </is>
      </c>
      <c r="B338" s="38" t="n">
        <v>4</v>
      </c>
      <c r="C338" s="38" t="inlineStr">
        <is>
          <t>pT2</t>
        </is>
      </c>
      <c r="D338" s="38" t="n">
        <v>85</v>
      </c>
      <c r="E338" s="38" t="n">
        <v>50</v>
      </c>
      <c r="F338" s="38" t="inlineStr">
        <is>
          <t>来源对象 bz_van_337；主附魔 Heavy；真实来源地点数 2</t>
        </is>
      </c>
      <c r="G338" t="inlineStr">
        <is>
          <t>reserved</t>
        </is>
      </c>
    </row>
    <row r="339">
      <c r="A339" s="38" t="inlineStr">
        <is>
          <t>pal_338</t>
        </is>
      </c>
      <c r="B339" s="38" t="n">
        <v>4</v>
      </c>
      <c r="C339" s="38" t="inlineStr">
        <is>
          <t>pT2</t>
        </is>
      </c>
      <c r="D339" s="38" t="n">
        <v>85</v>
      </c>
      <c r="E339" s="38" t="n">
        <v>50</v>
      </c>
      <c r="F339" s="38" t="inlineStr">
        <is>
          <t>来源对象 bz_van_338；主附魔 Heavy；真实来源地点数 2</t>
        </is>
      </c>
      <c r="G339" t="inlineStr">
        <is>
          <t>reserved</t>
        </is>
      </c>
    </row>
    <row r="340">
      <c r="A340" s="38" t="inlineStr">
        <is>
          <t>pal_339</t>
        </is>
      </c>
      <c r="B340" s="38" t="n">
        <v>4</v>
      </c>
      <c r="C340" s="38" t="inlineStr">
        <is>
          <t>pT2</t>
        </is>
      </c>
      <c r="D340" s="38" t="n">
        <v>85</v>
      </c>
      <c r="E340" s="38" t="n">
        <v>50</v>
      </c>
      <c r="F340" s="38" t="inlineStr">
        <is>
          <t>来源对象 bz_van_339；主附魔 Shiny；真实来源地点数 2</t>
        </is>
      </c>
      <c r="G340" t="inlineStr">
        <is>
          <t>reserved</t>
        </is>
      </c>
    </row>
    <row r="341">
      <c r="A341" s="38" t="inlineStr">
        <is>
          <t>pal_340</t>
        </is>
      </c>
      <c r="B341" s="38" t="n">
        <v>1</v>
      </c>
      <c r="C341" s="38" t="inlineStr">
        <is>
          <t>pT1</t>
        </is>
      </c>
      <c r="D341" s="38" t="n">
        <v>100</v>
      </c>
      <c r="E341" s="38" t="n">
        <v>60</v>
      </c>
      <c r="F341" s="38" t="inlineStr">
        <is>
          <t>来源对象 bz_van_340；主附魔 Heavy；真实来源地点数 2</t>
        </is>
      </c>
      <c r="G341" t="inlineStr">
        <is>
          <t>reserved</t>
        </is>
      </c>
    </row>
    <row r="342">
      <c r="A342" s="38" t="inlineStr">
        <is>
          <t>pal_341</t>
        </is>
      </c>
      <c r="B342" s="38" t="n">
        <v>2</v>
      </c>
      <c r="C342" s="38" t="inlineStr">
        <is>
          <t>pT2</t>
        </is>
      </c>
      <c r="D342" s="38" t="n">
        <v>85</v>
      </c>
      <c r="E342" s="38" t="n">
        <v>50</v>
      </c>
      <c r="F342" s="38" t="inlineStr">
        <is>
          <t>来源对象 bz_van_341；主附魔 Heavy；真实来源地点数 2</t>
        </is>
      </c>
      <c r="G342" t="inlineStr">
        <is>
          <t>reserved</t>
        </is>
      </c>
    </row>
    <row r="343">
      <c r="A343" s="38" t="inlineStr">
        <is>
          <t>pal_342</t>
        </is>
      </c>
      <c r="B343" s="38" t="n">
        <v>1</v>
      </c>
      <c r="C343" s="38" t="inlineStr">
        <is>
          <t>pT1</t>
        </is>
      </c>
      <c r="D343" s="38" t="n">
        <v>100</v>
      </c>
      <c r="E343" s="38" t="n">
        <v>60</v>
      </c>
      <c r="F343" s="38" t="inlineStr">
        <is>
          <t>来源对象 bz_van_342；主附魔 Heavy；真实来源地点数 2</t>
        </is>
      </c>
      <c r="G343" t="inlineStr">
        <is>
          <t>reserved</t>
        </is>
      </c>
    </row>
    <row r="344">
      <c r="A344" s="38" t="inlineStr">
        <is>
          <t>pal_343</t>
        </is>
      </c>
      <c r="B344" s="38" t="n">
        <v>2</v>
      </c>
      <c r="C344" s="38" t="inlineStr">
        <is>
          <t>pT2</t>
        </is>
      </c>
      <c r="D344" s="38" t="n">
        <v>85</v>
      </c>
      <c r="E344" s="38" t="n">
        <v>50</v>
      </c>
      <c r="F344" s="38" t="inlineStr">
        <is>
          <t>来源对象 bz_van_343；主附魔 Shiny；真实来源地点数 2</t>
        </is>
      </c>
      <c r="G344" t="inlineStr">
        <is>
          <t>reserved</t>
        </is>
      </c>
    </row>
    <row r="345">
      <c r="A345" s="38" t="inlineStr">
        <is>
          <t>pal_344</t>
        </is>
      </c>
      <c r="B345" s="38" t="n">
        <v>1</v>
      </c>
      <c r="C345" s="38" t="inlineStr">
        <is>
          <t>pT1</t>
        </is>
      </c>
      <c r="D345" s="38" t="n">
        <v>100</v>
      </c>
      <c r="E345" s="38" t="n">
        <v>60</v>
      </c>
      <c r="F345" s="38" t="inlineStr">
        <is>
          <t>来源对象 bz_van_344；主附魔 Heavy；真实来源地点数 2</t>
        </is>
      </c>
      <c r="G345" t="inlineStr">
        <is>
          <t>reserved</t>
        </is>
      </c>
    </row>
    <row r="346">
      <c r="A346" s="38" t="inlineStr">
        <is>
          <t>pal_345</t>
        </is>
      </c>
      <c r="B346" s="38" t="n">
        <v>1</v>
      </c>
      <c r="C346" s="38" t="inlineStr">
        <is>
          <t>pT1</t>
        </is>
      </c>
      <c r="D346" s="38" t="n">
        <v>100</v>
      </c>
      <c r="E346" s="38" t="n">
        <v>60</v>
      </c>
      <c r="F346" s="38" t="inlineStr">
        <is>
          <t>来源对象 bz_van_345；主附魔 Shiny；真实来源地点数 2</t>
        </is>
      </c>
      <c r="G346" t="inlineStr">
        <is>
          <t>reserved</t>
        </is>
      </c>
    </row>
    <row r="347">
      <c r="A347" s="38" t="inlineStr">
        <is>
          <t>pal_346</t>
        </is>
      </c>
      <c r="B347" s="38" t="n">
        <v>1</v>
      </c>
      <c r="C347" s="38" t="inlineStr">
        <is>
          <t>pT1</t>
        </is>
      </c>
      <c r="D347" s="38" t="n">
        <v>100</v>
      </c>
      <c r="E347" s="38" t="n">
        <v>60</v>
      </c>
      <c r="F347" s="38" t="inlineStr">
        <is>
          <t>来源对象 bz_van_346；主附魔 Shiny；真实来源地点数 2</t>
        </is>
      </c>
      <c r="G347" t="inlineStr">
        <is>
          <t>reserved</t>
        </is>
      </c>
    </row>
    <row r="348">
      <c r="A348" s="38" t="inlineStr">
        <is>
          <t>pal_347</t>
        </is>
      </c>
      <c r="B348" s="38" t="n">
        <v>2</v>
      </c>
      <c r="C348" s="38" t="inlineStr">
        <is>
          <t>pT2</t>
        </is>
      </c>
      <c r="D348" s="38" t="n">
        <v>85</v>
      </c>
      <c r="E348" s="38" t="n">
        <v>50</v>
      </c>
      <c r="F348" s="38" t="inlineStr">
        <is>
          <t>来源对象 bz_van_347；主附魔 Shiny；真实来源地点数 2</t>
        </is>
      </c>
      <c r="G348" t="inlineStr">
        <is>
          <t>reserved</t>
        </is>
      </c>
    </row>
    <row r="349">
      <c r="A349" s="38" t="inlineStr">
        <is>
          <t>pal_348</t>
        </is>
      </c>
      <c r="B349" s="38" t="n">
        <v>1</v>
      </c>
      <c r="C349" s="38" t="inlineStr">
        <is>
          <t>pT1</t>
        </is>
      </c>
      <c r="D349" s="38" t="n">
        <v>100</v>
      </c>
      <c r="E349" s="38" t="n">
        <v>60</v>
      </c>
      <c r="F349" s="38" t="inlineStr">
        <is>
          <t>来源对象 bz_van_348；主附魔 Shiny；真实来源地点数 2</t>
        </is>
      </c>
      <c r="G349" t="inlineStr">
        <is>
          <t>reserved</t>
        </is>
      </c>
    </row>
    <row r="350">
      <c r="A350" s="38" t="inlineStr">
        <is>
          <t>pal_349</t>
        </is>
      </c>
      <c r="B350" s="38" t="n">
        <v>1</v>
      </c>
      <c r="C350" s="38" t="inlineStr">
        <is>
          <t>pT1</t>
        </is>
      </c>
      <c r="D350" s="38" t="n">
        <v>100</v>
      </c>
      <c r="E350" s="38" t="n">
        <v>60</v>
      </c>
      <c r="F350" s="38" t="inlineStr">
        <is>
          <t>来源对象 bz_van_349；主附魔 Shiny；真实来源地点数 2</t>
        </is>
      </c>
      <c r="G350" t="inlineStr">
        <is>
          <t>reserved</t>
        </is>
      </c>
    </row>
    <row r="351">
      <c r="A351" s="38" t="inlineStr">
        <is>
          <t>pal_350</t>
        </is>
      </c>
      <c r="B351" s="38" t="n">
        <v>2</v>
      </c>
      <c r="C351" s="38" t="inlineStr">
        <is>
          <t>pT2</t>
        </is>
      </c>
      <c r="D351" s="38" t="n">
        <v>85</v>
      </c>
      <c r="E351" s="38" t="n">
        <v>50</v>
      </c>
      <c r="F351" s="38" t="inlineStr">
        <is>
          <t>来源对象 bz_van_350；主附魔 Heavy；真实来源地点数 2</t>
        </is>
      </c>
      <c r="G351" t="inlineStr">
        <is>
          <t>reserved</t>
        </is>
      </c>
    </row>
    <row r="352">
      <c r="A352" s="38" t="inlineStr">
        <is>
          <t>pal_351</t>
        </is>
      </c>
      <c r="B352" s="38" t="n">
        <v>2</v>
      </c>
      <c r="C352" s="38" t="inlineStr">
        <is>
          <t>pT2</t>
        </is>
      </c>
      <c r="D352" s="38" t="n">
        <v>85</v>
      </c>
      <c r="E352" s="38" t="n">
        <v>50</v>
      </c>
      <c r="F352" s="38" t="inlineStr">
        <is>
          <t>来源对象 bz_van_351；主附魔 Shiny；真实来源地点数 2</t>
        </is>
      </c>
      <c r="G352" t="inlineStr">
        <is>
          <t>reserved</t>
        </is>
      </c>
    </row>
    <row r="353">
      <c r="A353" s="38" t="inlineStr">
        <is>
          <t>pal_352</t>
        </is>
      </c>
      <c r="B353" s="38" t="n">
        <v>5</v>
      </c>
      <c r="C353" s="38" t="inlineStr">
        <is>
          <t>pT2</t>
        </is>
      </c>
      <c r="D353" s="38" t="n">
        <v>85</v>
      </c>
      <c r="E353" s="38" t="n">
        <v>50</v>
      </c>
      <c r="F353" s="38" t="inlineStr">
        <is>
          <t>来源对象 bz_van_352；主附魔 Shiny；真实来源地点数 2</t>
        </is>
      </c>
      <c r="G353" t="inlineStr">
        <is>
          <t>reserved</t>
        </is>
      </c>
    </row>
    <row r="354">
      <c r="A354" s="38" t="inlineStr">
        <is>
          <t>pal_353</t>
        </is>
      </c>
      <c r="B354" s="38" t="n">
        <v>5</v>
      </c>
      <c r="C354" s="38" t="inlineStr">
        <is>
          <t>pT2</t>
        </is>
      </c>
      <c r="D354" s="38" t="n">
        <v>85</v>
      </c>
      <c r="E354" s="38" t="n">
        <v>50</v>
      </c>
      <c r="F354" s="38" t="inlineStr">
        <is>
          <t>来源对象 bz_van_353；主附魔 Shiny；真实来源地点数 2</t>
        </is>
      </c>
      <c r="G354" t="inlineStr">
        <is>
          <t>reserved</t>
        </is>
      </c>
    </row>
    <row r="355">
      <c r="A355" s="38" t="inlineStr">
        <is>
          <t>pal_354</t>
        </is>
      </c>
      <c r="B355" s="38" t="n">
        <v>5</v>
      </c>
      <c r="C355" s="38" t="inlineStr">
        <is>
          <t>pT2</t>
        </is>
      </c>
      <c r="D355" s="38" t="n">
        <v>85</v>
      </c>
      <c r="E355" s="38" t="n">
        <v>50</v>
      </c>
      <c r="F355" s="38" t="inlineStr">
        <is>
          <t>来源对象 bz_van_354；主附魔 Heavy；真实来源地点数 2</t>
        </is>
      </c>
      <c r="G355" t="inlineStr">
        <is>
          <t>reserved</t>
        </is>
      </c>
    </row>
    <row r="356">
      <c r="A356" s="38" t="inlineStr">
        <is>
          <t>pal_355</t>
        </is>
      </c>
      <c r="B356" s="38" t="n">
        <v>1</v>
      </c>
      <c r="C356" s="38" t="inlineStr">
        <is>
          <t>pT1</t>
        </is>
      </c>
      <c r="D356" s="38" t="n">
        <v>100</v>
      </c>
      <c r="E356" s="38" t="n">
        <v>60</v>
      </c>
      <c r="F356" s="38" t="inlineStr">
        <is>
          <t>来源对象 bz_van_355；主附魔 Heavy；真实来源地点数 2</t>
        </is>
      </c>
      <c r="G356" t="inlineStr">
        <is>
          <t>reserved</t>
        </is>
      </c>
    </row>
    <row r="357">
      <c r="A357" s="38" t="inlineStr">
        <is>
          <t>pal_356</t>
        </is>
      </c>
      <c r="B357" s="38" t="n">
        <v>1</v>
      </c>
      <c r="C357" s="38" t="inlineStr">
        <is>
          <t>pT1</t>
        </is>
      </c>
      <c r="D357" s="38" t="n">
        <v>100</v>
      </c>
      <c r="E357" s="38" t="n">
        <v>60</v>
      </c>
      <c r="F357" s="38" t="inlineStr">
        <is>
          <t>来源对象 bz_van_356；主附魔 Shiny；真实来源地点数 2</t>
        </is>
      </c>
      <c r="G357" t="inlineStr">
        <is>
          <t>reserved</t>
        </is>
      </c>
    </row>
    <row r="358">
      <c r="A358" s="38" t="inlineStr">
        <is>
          <t>pal_357</t>
        </is>
      </c>
      <c r="B358" s="38" t="n">
        <v>6</v>
      </c>
      <c r="C358" s="38" t="inlineStr">
        <is>
          <t>pT2</t>
        </is>
      </c>
      <c r="D358" s="38" t="n">
        <v>85</v>
      </c>
      <c r="E358" s="38" t="n">
        <v>50</v>
      </c>
      <c r="F358" s="38" t="inlineStr">
        <is>
          <t>来源对象 bz_van_357；主附魔 Heavy；真实来源地点数 2</t>
        </is>
      </c>
      <c r="G358" t="inlineStr">
        <is>
          <t>reserved</t>
        </is>
      </c>
    </row>
    <row r="359">
      <c r="A359" s="38" t="inlineStr">
        <is>
          <t>pal_358</t>
        </is>
      </c>
      <c r="B359" s="38" t="n">
        <v>1</v>
      </c>
      <c r="C359" s="38" t="inlineStr">
        <is>
          <t>pT1</t>
        </is>
      </c>
      <c r="D359" s="38" t="n">
        <v>100</v>
      </c>
      <c r="E359" s="38" t="n">
        <v>60</v>
      </c>
      <c r="F359" s="38" t="inlineStr">
        <is>
          <t>来源对象 bz_van_358；主附魔 Heavy；真实来源地点数 2</t>
        </is>
      </c>
      <c r="G359" t="inlineStr">
        <is>
          <t>reserved</t>
        </is>
      </c>
    </row>
    <row r="360">
      <c r="A360" s="38" t="inlineStr">
        <is>
          <t>pal_359</t>
        </is>
      </c>
      <c r="B360" s="38" t="n">
        <v>6</v>
      </c>
      <c r="C360" s="38" t="inlineStr">
        <is>
          <t>pT2</t>
        </is>
      </c>
      <c r="D360" s="38" t="n">
        <v>85</v>
      </c>
      <c r="E360" s="38" t="n">
        <v>50</v>
      </c>
      <c r="F360" s="38" t="inlineStr">
        <is>
          <t>来源对象 bz_van_359；主附魔 Shiny；真实来源地点数 1</t>
        </is>
      </c>
      <c r="G360" t="inlineStr">
        <is>
          <t>reserved</t>
        </is>
      </c>
    </row>
    <row r="361">
      <c r="A361" s="38" t="inlineStr">
        <is>
          <t>pal_360</t>
        </is>
      </c>
      <c r="B361" s="38" t="n">
        <v>1</v>
      </c>
      <c r="C361" s="38" t="inlineStr">
        <is>
          <t>pT1</t>
        </is>
      </c>
      <c r="D361" s="38" t="n">
        <v>100</v>
      </c>
      <c r="E361" s="38" t="n">
        <v>60</v>
      </c>
      <c r="F361" s="38" t="inlineStr">
        <is>
          <t>来源对象 bz_van_360；主附魔 Heavy；真实来源地点数 2</t>
        </is>
      </c>
      <c r="G361" t="inlineStr">
        <is>
          <t>reserved</t>
        </is>
      </c>
    </row>
    <row r="362">
      <c r="A362" s="38" t="inlineStr">
        <is>
          <t>pal_361</t>
        </is>
      </c>
      <c r="B362" s="38" t="n">
        <v>1</v>
      </c>
      <c r="C362" s="38" t="inlineStr">
        <is>
          <t>pT1</t>
        </is>
      </c>
      <c r="D362" s="38" t="n">
        <v>100</v>
      </c>
      <c r="E362" s="38" t="n">
        <v>60</v>
      </c>
      <c r="F362" s="38" t="inlineStr">
        <is>
          <t>来源对象 bz_van_361；主附魔 Shiny；真实来源地点数 2</t>
        </is>
      </c>
      <c r="G362" t="inlineStr">
        <is>
          <t>reserved</t>
        </is>
      </c>
    </row>
    <row r="363">
      <c r="A363" s="38" t="inlineStr">
        <is>
          <t>pal_362</t>
        </is>
      </c>
      <c r="B363" s="38" t="n">
        <v>1</v>
      </c>
      <c r="C363" s="38" t="inlineStr">
        <is>
          <t>pT1</t>
        </is>
      </c>
      <c r="D363" s="38" t="n">
        <v>100</v>
      </c>
      <c r="E363" s="38" t="n">
        <v>60</v>
      </c>
      <c r="F363" s="38" t="inlineStr">
        <is>
          <t>来源对象 bz_van_362；主附魔 Heavy；真实来源地点数 2</t>
        </is>
      </c>
      <c r="G363" t="inlineStr">
        <is>
          <t>reserved</t>
        </is>
      </c>
    </row>
    <row r="364">
      <c r="A364" s="38" t="inlineStr">
        <is>
          <t>pal_363</t>
        </is>
      </c>
      <c r="B364" s="38" t="n">
        <v>6</v>
      </c>
      <c r="C364" s="38" t="inlineStr">
        <is>
          <t>pT2</t>
        </is>
      </c>
      <c r="D364" s="38" t="n">
        <v>85</v>
      </c>
      <c r="E364" s="38" t="n">
        <v>50</v>
      </c>
      <c r="F364" s="38" t="inlineStr">
        <is>
          <t>来源对象 bz_van_363；主附魔 Shiny；真实来源地点数 2</t>
        </is>
      </c>
      <c r="G364" t="inlineStr">
        <is>
          <t>reserved</t>
        </is>
      </c>
    </row>
    <row r="365">
      <c r="A365" s="38" t="inlineStr">
        <is>
          <t>pal_364</t>
        </is>
      </c>
      <c r="B365" s="38" t="n">
        <v>4</v>
      </c>
      <c r="C365" s="38" t="inlineStr">
        <is>
          <t>pT3</t>
        </is>
      </c>
      <c r="D365" s="38" t="n">
        <v>65</v>
      </c>
      <c r="E365" s="38" t="n">
        <v>40</v>
      </c>
      <c r="F365" s="38" t="inlineStr">
        <is>
          <t>来源对象 bz_van_364；主附魔 Golden；真实来源地点数 2</t>
        </is>
      </c>
      <c r="G365" t="inlineStr">
        <is>
          <t>reserved</t>
        </is>
      </c>
    </row>
    <row r="366">
      <c r="A366" s="38" t="inlineStr">
        <is>
          <t>pal_365</t>
        </is>
      </c>
      <c r="B366" s="38" t="n">
        <v>4</v>
      </c>
      <c r="C366" s="38" t="inlineStr">
        <is>
          <t>pT3</t>
        </is>
      </c>
      <c r="D366" s="38" t="n">
        <v>65</v>
      </c>
      <c r="E366" s="38" t="n">
        <v>40</v>
      </c>
      <c r="F366" s="38" t="inlineStr">
        <is>
          <t>来源对象 bz_van_365；主附魔 Golden；真实来源地点数 2</t>
        </is>
      </c>
      <c r="G366" t="inlineStr">
        <is>
          <t>reserved</t>
        </is>
      </c>
    </row>
    <row r="367">
      <c r="A367" s="38" t="inlineStr">
        <is>
          <t>pal_366</t>
        </is>
      </c>
      <c r="B367" s="38" t="n">
        <v>4</v>
      </c>
      <c r="C367" s="38" t="inlineStr">
        <is>
          <t>pT3</t>
        </is>
      </c>
      <c r="D367" s="38" t="n">
        <v>65</v>
      </c>
      <c r="E367" s="38" t="n">
        <v>40</v>
      </c>
      <c r="F367" s="38" t="inlineStr">
        <is>
          <t>来源对象 bz_van_366；主附魔 Golden；真实来源地点数 2</t>
        </is>
      </c>
      <c r="G367" t="inlineStr">
        <is>
          <t>reserved</t>
        </is>
      </c>
    </row>
    <row r="368">
      <c r="A368" s="38" t="inlineStr">
        <is>
          <t>pal_367</t>
        </is>
      </c>
      <c r="B368" s="38" t="n">
        <v>6</v>
      </c>
      <c r="C368" s="38" t="inlineStr">
        <is>
          <t>pT2</t>
        </is>
      </c>
      <c r="D368" s="38" t="n">
        <v>85</v>
      </c>
      <c r="E368" s="38" t="n">
        <v>50</v>
      </c>
      <c r="F368" s="38" t="inlineStr">
        <is>
          <t>来源对象 bz_van_367；主附魔 Heavy；真实来源地点数 2</t>
        </is>
      </c>
      <c r="G368" t="inlineStr">
        <is>
          <t>reserved</t>
        </is>
      </c>
    </row>
    <row r="369">
      <c r="A369" s="38" t="inlineStr">
        <is>
          <t>pal_368</t>
        </is>
      </c>
      <c r="B369" s="38" t="n">
        <v>6</v>
      </c>
      <c r="C369" s="38" t="inlineStr">
        <is>
          <t>pT2</t>
        </is>
      </c>
      <c r="D369" s="38" t="n">
        <v>85</v>
      </c>
      <c r="E369" s="38" t="n">
        <v>50</v>
      </c>
      <c r="F369" s="38" t="inlineStr">
        <is>
          <t>来源对象 bz_van_368；主附魔 Shiny；真实来源地点数 2</t>
        </is>
      </c>
      <c r="G369" t="inlineStr">
        <is>
          <t>reserved</t>
        </is>
      </c>
    </row>
    <row r="370">
      <c r="A370" s="38" t="inlineStr">
        <is>
          <t>pal_369</t>
        </is>
      </c>
      <c r="B370" s="38" t="n">
        <v>6</v>
      </c>
      <c r="C370" s="38" t="inlineStr">
        <is>
          <t>pT2</t>
        </is>
      </c>
      <c r="D370" s="38" t="n">
        <v>85</v>
      </c>
      <c r="E370" s="38" t="n">
        <v>50</v>
      </c>
      <c r="F370" s="38" t="inlineStr">
        <is>
          <t>来源对象 bz_van_369；主附魔 Heavy；真实来源地点数 2</t>
        </is>
      </c>
      <c r="G370" t="inlineStr">
        <is>
          <t>reserved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58"/>
  <sheetViews>
    <sheetView workbookViewId="0">
      <selection activeCell="A1" sqref="A1"/>
    </sheetView>
  </sheetViews>
  <sheetFormatPr baseColWidth="8" defaultRowHeight="15"/>
  <cols>
    <col width="30" customWidth="1" style="439" min="1" max="1"/>
    <col width="22" customWidth="1" style="439" min="2" max="2"/>
    <col width="24" customWidth="1" style="439" min="3" max="3"/>
    <col width="58" customWidth="1" style="439" min="4" max="4"/>
    <col width="12" customWidth="1" style="439" min="5" max="5"/>
    <col width="21" customWidth="1" style="439" min="6" max="6"/>
    <col width="36" customWidth="1" style="439" min="7" max="7"/>
    <col width="36" customWidth="1" style="439" min="8" max="8"/>
    <col width="28" customWidth="1" style="439" min="9" max="9"/>
    <col width="36" customWidth="1" style="439" min="10" max="10"/>
    <col width="10" customWidth="1" style="439" min="11" max="11"/>
    <col width="10" customWidth="1" style="439" min="12" max="12"/>
    <col width="10" customWidth="1" style="439" min="13" max="13"/>
    <col width="10" customWidth="1" style="439" min="14" max="14"/>
    <col width="10" customWidth="1" style="439" min="15" max="15"/>
    <col width="10" customWidth="1" style="439" min="16" max="16"/>
    <col width="10" customWidth="1" style="439" min="17" max="17"/>
    <col width="10" customWidth="1" style="439" min="18" max="18"/>
    <col width="17" customWidth="1" style="439" min="19" max="19"/>
  </cols>
  <sheetData>
    <row r="1">
      <c r="A1" s="4" t="inlineStr">
        <is>
          <t>#csv</t>
        </is>
      </c>
      <c r="B1" s="4" t="inlineStr">
        <is>
          <t>04_mechanisms.csv</t>
        </is>
      </c>
      <c r="C1" s="4" t="inlineStr">
        <is>
          <t>机制注册表：机制 ID、触发、效果、接入状态。</t>
        </is>
      </c>
    </row>
    <row r="2">
      <c r="A2" s="5" t="inlineStr">
        <is>
          <t>机制编号</t>
        </is>
      </c>
      <c r="B2" s="5" t="inlineStr">
        <is>
          <t>机制ID</t>
        </is>
      </c>
      <c r="C2" s="5" t="inlineStr">
        <is>
          <t>机制名</t>
        </is>
      </c>
      <c r="D2" s="5" t="inlineStr">
        <is>
          <t>分类</t>
        </is>
      </c>
      <c r="E2" s="5" t="inlineStr">
        <is>
          <t>适用对象</t>
        </is>
      </c>
      <c r="F2" s="5" t="inlineStr">
        <is>
          <t>触发</t>
        </is>
      </c>
      <c r="G2" s="5" t="inlineStr">
        <is>
          <t>条件</t>
        </is>
      </c>
      <c r="H2" s="5" t="inlineStr">
        <is>
          <t>参数默认</t>
        </is>
      </c>
      <c r="I2" s="5" t="inlineStr">
        <is>
          <t>效果</t>
        </is>
      </c>
      <c r="J2" s="5" t="inlineStr">
        <is>
          <t>日志模板</t>
        </is>
      </c>
      <c r="K2" s="5" t="inlineStr">
        <is>
          <t>机制分</t>
        </is>
      </c>
      <c r="L2" s="5" t="inlineStr">
        <is>
          <t>强度</t>
        </is>
      </c>
      <c r="M2" s="5" t="inlineStr">
        <is>
          <t>状态</t>
        </is>
      </c>
      <c r="N2" s="5" t="inlineStr">
        <is>
          <t>接入状态</t>
        </is>
      </c>
      <c r="O2" s="5" t="inlineStr">
        <is>
          <t>宠物用</t>
        </is>
      </c>
      <c r="P2" s="5" t="inlineStr">
        <is>
          <t>怪物用</t>
        </is>
      </c>
      <c r="Q2" s="5" t="inlineStr">
        <is>
          <t>事件用</t>
        </is>
      </c>
      <c r="R2" s="5" t="inlineStr">
        <is>
          <t>波次用</t>
        </is>
      </c>
      <c r="S2" s="5" t="inlineStr">
        <is>
          <t>备注</t>
        </is>
      </c>
    </row>
    <row r="3">
      <c r="A3" s="451" t="inlineStr">
        <is>
          <t>M00</t>
        </is>
      </c>
      <c r="B3" s="451" t="inlineStr">
        <is>
          <t>none</t>
        </is>
      </c>
      <c r="C3" s="451" t="inlineStr">
        <is>
          <t>无机制</t>
        </is>
      </c>
      <c r="D3" s="451" t="inlineStr">
        <is>
          <t>占位</t>
        </is>
      </c>
      <c r="E3" s="451" t="inlineStr">
        <is>
          <t>宠物/怪物/事件/波次</t>
        </is>
      </c>
      <c r="F3" s="451" t="inlineStr">
        <is>
          <t>无</t>
        </is>
      </c>
      <c r="G3" s="451" t="inlineStr">
        <is>
          <t>无</t>
        </is>
      </c>
      <c r="H3" s="451" t="inlineStr">
        <is>
          <t>{}</t>
        </is>
      </c>
      <c r="I3" s="451" t="inlineStr">
        <is>
          <t>不产生任何效果</t>
        </is>
      </c>
      <c r="J3" s="451" t="inlineStr">
        <is>
          <t>{unit} 没有特殊机制。</t>
        </is>
      </c>
      <c r="K3" s="451" t="inlineStr">
        <is>
          <t>0</t>
        </is>
      </c>
      <c r="L3" s="451" t="inlineStr">
        <is>
          <t>无</t>
        </is>
      </c>
      <c r="M3" s="451" t="inlineStr">
        <is>
          <t>正式</t>
        </is>
      </c>
      <c r="N3" s="451" t="inlineStr">
        <is>
          <t>可接入</t>
        </is>
      </c>
      <c r="O3" s="451" t="inlineStr">
        <is>
          <t>1</t>
        </is>
      </c>
      <c r="P3" s="451" t="inlineStr">
        <is>
          <t>1</t>
        </is>
      </c>
      <c r="Q3" s="451" t="inlineStr">
        <is>
          <t>1</t>
        </is>
      </c>
      <c r="R3" s="451" t="inlineStr">
        <is>
          <t>1</t>
        </is>
      </c>
      <c r="S3" s="451" t="inlineStr">
        <is>
          <t>正式空机制，占位用。</t>
        </is>
      </c>
    </row>
    <row r="4">
      <c r="A4" s="451" t="inlineStr">
        <is>
          <t>M01</t>
        </is>
      </c>
      <c r="B4" s="451" t="inlineStr">
        <is>
          <t>mech_shield_flat</t>
        </is>
      </c>
      <c r="C4" s="451" t="inlineStr">
        <is>
          <t>开场护盾</t>
        </is>
      </c>
      <c r="D4" s="451" t="inlineStr">
        <is>
          <t>防御/护盾</t>
        </is>
      </c>
      <c r="E4" s="451" t="inlineStr">
        <is>
          <t>宠物/怪物</t>
        </is>
      </c>
      <c r="F4" s="451" t="inlineStr">
        <is>
          <t>battle_start</t>
        </is>
      </c>
      <c r="G4" s="451" t="inlineStr">
        <is>
          <t>单位入场</t>
        </is>
      </c>
      <c r="H4" s="451" t="inlineStr">
        <is>
          <t>shield=6</t>
        </is>
      </c>
      <c r="I4" s="451" t="inlineStr">
        <is>
          <t>入场获得固定护盾。</t>
        </is>
      </c>
      <c r="J4" s="451" t="inlineStr">
        <is>
          <t>{unit} 获得 {shield} 点护盾。</t>
        </is>
      </c>
      <c r="K4" s="451" t="inlineStr">
        <is>
          <t>2</t>
        </is>
      </c>
      <c r="L4" s="451" t="inlineStr">
        <is>
          <t>低</t>
        </is>
      </c>
      <c r="M4" s="451" t="inlineStr">
        <is>
          <t>正式</t>
        </is>
      </c>
      <c r="N4" s="451" t="inlineStr">
        <is>
          <t>可接入</t>
        </is>
      </c>
      <c r="O4" s="451" t="inlineStr">
        <is>
          <t>1</t>
        </is>
      </c>
      <c r="P4" s="451" t="inlineStr">
        <is>
          <t>1</t>
        </is>
      </c>
      <c r="Q4" s="451" t="inlineStr">
        <is>
          <t>0</t>
        </is>
      </c>
      <c r="R4" s="451" t="inlineStr">
        <is>
          <t>0</t>
        </is>
      </c>
      <c r="S4" s="451" t="inlineStr">
        <is>
          <t>最基础护盾词条。</t>
        </is>
      </c>
    </row>
    <row r="5">
      <c r="A5" s="451" t="inlineStr">
        <is>
          <t>M02</t>
        </is>
      </c>
      <c r="B5" s="451" t="inlineStr">
        <is>
          <t>mech_armor_flat</t>
        </is>
      </c>
      <c r="C5" s="451" t="inlineStr">
        <is>
          <t>护甲减伤</t>
        </is>
      </c>
      <c r="D5" s="451" t="inlineStr">
        <is>
          <t>防御/护盾</t>
        </is>
      </c>
      <c r="E5" s="451" t="inlineStr">
        <is>
          <t>宠物/怪物</t>
        </is>
      </c>
      <c r="F5" s="451" t="inlineStr">
        <is>
          <t>before_damage</t>
        </is>
      </c>
      <c r="G5" s="451" t="inlineStr">
        <is>
          <t>受到攻击伤害</t>
        </is>
      </c>
      <c r="H5" s="451" t="inlineStr">
        <is>
          <t>armor=2</t>
        </is>
      </c>
      <c r="I5" s="451" t="inlineStr">
        <is>
          <t>每次受攻击伤害前，先减少固定伤害。</t>
        </is>
      </c>
      <c r="J5" s="451" t="inlineStr">
        <is>
          <t>{unit} 的护甲抵消 {armor} 点伤害。</t>
        </is>
      </c>
      <c r="K5" s="451" t="inlineStr">
        <is>
          <t>3</t>
        </is>
      </c>
      <c r="L5" s="451" t="inlineStr">
        <is>
          <t>低</t>
        </is>
      </c>
      <c r="M5" s="451" t="inlineStr">
        <is>
          <t>正式</t>
        </is>
      </c>
      <c r="N5" s="451" t="inlineStr">
        <is>
          <t>可接入</t>
        </is>
      </c>
      <c r="O5" s="451" t="inlineStr">
        <is>
          <t>1</t>
        </is>
      </c>
      <c r="P5" s="451" t="inlineStr">
        <is>
          <t>1</t>
        </is>
      </c>
      <c r="Q5" s="451" t="inlineStr">
        <is>
          <t>0</t>
        </is>
      </c>
      <c r="R5" s="451" t="inlineStr">
        <is>
          <t>0</t>
        </is>
      </c>
      <c r="S5" s="451" t="inlineStr">
        <is>
          <t>适合厚盾低血怪或坦克宠物。</t>
        </is>
      </c>
    </row>
    <row r="6">
      <c r="A6" s="451" t="inlineStr">
        <is>
          <t>M03</t>
        </is>
      </c>
      <c r="B6" s="451" t="inlineStr">
        <is>
          <t>mech_damage_reduce_pct</t>
        </is>
      </c>
      <c r="C6" s="451" t="inlineStr">
        <is>
          <t>百分比免伤</t>
        </is>
      </c>
      <c r="D6" s="451" t="inlineStr">
        <is>
          <t>防御/护盾</t>
        </is>
      </c>
      <c r="E6" s="451" t="inlineStr">
        <is>
          <t>宠物/怪物</t>
        </is>
      </c>
      <c r="F6" s="451" t="inlineStr">
        <is>
          <t>before_damage</t>
        </is>
      </c>
      <c r="G6" s="451" t="inlineStr">
        <is>
          <t>受到任意伤害</t>
        </is>
      </c>
      <c r="H6" s="451" t="inlineStr">
        <is>
          <t>rate=0.3</t>
        </is>
      </c>
      <c r="I6" s="451" t="inlineStr">
        <is>
          <t>按比例降低最终伤害，至少保留 min_damage。</t>
        </is>
      </c>
      <c r="J6" s="451" t="inlineStr">
        <is>
          <t>{unit} 免伤 {percent}%，伤害降为 {damage}。</t>
        </is>
      </c>
      <c r="K6" s="451" t="inlineStr">
        <is>
          <t>5</t>
        </is>
      </c>
      <c r="L6" s="451" t="inlineStr">
        <is>
          <t>中</t>
        </is>
      </c>
      <c r="M6" s="451" t="inlineStr">
        <is>
          <t>正式</t>
        </is>
      </c>
      <c r="N6" s="451" t="inlineStr">
        <is>
          <t>待接入</t>
        </is>
      </c>
      <c r="O6" s="451" t="inlineStr">
        <is>
          <t>1</t>
        </is>
      </c>
      <c r="P6" s="451" t="inlineStr">
        <is>
          <t>1</t>
        </is>
      </c>
      <c r="Q6" s="451" t="inlineStr">
        <is>
          <t>0</t>
        </is>
      </c>
      <c r="R6" s="451" t="inlineStr">
        <is>
          <t>0</t>
        </is>
      </c>
      <c r="S6" s="451" t="inlineStr">
        <is>
          <t>需要明确四舍五入规则。</t>
        </is>
      </c>
    </row>
    <row r="7">
      <c r="A7" s="451" t="inlineStr">
        <is>
          <t>M04</t>
        </is>
      </c>
      <c r="B7" s="451" t="inlineStr">
        <is>
          <t>mech_first_hit_immunity</t>
        </is>
      </c>
      <c r="C7" s="451" t="inlineStr">
        <is>
          <t>首次免疫</t>
        </is>
      </c>
      <c r="D7" s="451" t="inlineStr">
        <is>
          <t>防御/护盾</t>
        </is>
      </c>
      <c r="E7" s="451" t="inlineStr">
        <is>
          <t>宠物/怪物</t>
        </is>
      </c>
      <c r="F7" s="451" t="inlineStr">
        <is>
          <t>before_damage</t>
        </is>
      </c>
      <c r="G7" s="451" t="inlineStr">
        <is>
          <t>本场第一次受到伤害</t>
        </is>
      </c>
      <c r="H7" s="451" t="inlineStr">
        <is>
          <t>times=1</t>
        </is>
      </c>
      <c r="I7" s="451" t="inlineStr">
        <is>
          <t>完全免疫前 N 次伤害。</t>
        </is>
      </c>
      <c r="J7" s="451" t="inlineStr">
        <is>
          <t>{unit} 触发首次免疫，抵消本次伤害。</t>
        </is>
      </c>
      <c r="K7" s="451" t="inlineStr">
        <is>
          <t>6</t>
        </is>
      </c>
      <c r="L7" s="451" t="inlineStr">
        <is>
          <t>中</t>
        </is>
      </c>
      <c r="M7" s="451" t="inlineStr">
        <is>
          <t>正式</t>
        </is>
      </c>
      <c r="N7" s="451" t="inlineStr">
        <is>
          <t>待接入</t>
        </is>
      </c>
      <c r="O7" s="451" t="inlineStr">
        <is>
          <t>1</t>
        </is>
      </c>
      <c r="P7" s="451" t="inlineStr">
        <is>
          <t>1</t>
        </is>
      </c>
      <c r="Q7" s="451" t="inlineStr">
        <is>
          <t>0</t>
        </is>
      </c>
      <c r="R7" s="451" t="inlineStr">
        <is>
          <t>0</t>
        </is>
      </c>
      <c r="S7" s="451" t="inlineStr">
        <is>
          <t>魔塔式可计算机制。</t>
        </is>
      </c>
    </row>
    <row r="8">
      <c r="A8" s="451" t="inlineStr">
        <is>
          <t>M05</t>
        </is>
      </c>
      <c r="B8" s="451" t="inlineStr">
        <is>
          <t>mech_damage_cap_per_round</t>
        </is>
      </c>
      <c r="C8" s="451" t="inlineStr">
        <is>
          <t>每回合损血上限</t>
        </is>
      </c>
      <c r="D8" s="451" t="inlineStr">
        <is>
          <t>防御/护盾</t>
        </is>
      </c>
      <c r="E8" s="451" t="inlineStr">
        <is>
          <t>怪物/首领</t>
        </is>
      </c>
      <c r="F8" s="451" t="inlineStr">
        <is>
          <t>before_damage</t>
        </is>
      </c>
      <c r="G8" s="451" t="inlineStr">
        <is>
          <t>本回合累计伤害超过上限</t>
        </is>
      </c>
      <c r="H8" s="451" t="inlineStr">
        <is>
          <t>cap=8</t>
        </is>
      </c>
      <c r="I8" s="451" t="inlineStr">
        <is>
          <t>单回合最多损失 cap 点 HP。</t>
        </is>
      </c>
      <c r="J8" s="451" t="inlineStr">
        <is>
          <t>{unit} 本回合伤害达到上限，额外伤害无效。</t>
        </is>
      </c>
      <c r="K8" s="451" t="inlineStr">
        <is>
          <t>8</t>
        </is>
      </c>
      <c r="L8" s="451" t="inlineStr">
        <is>
          <t>高</t>
        </is>
      </c>
      <c r="M8" s="451" t="inlineStr">
        <is>
          <t>正式</t>
        </is>
      </c>
      <c r="N8" s="451" t="inlineStr">
        <is>
          <t>待接入</t>
        </is>
      </c>
      <c r="O8" s="451" t="inlineStr">
        <is>
          <t>0</t>
        </is>
      </c>
      <c r="P8" s="451" t="inlineStr">
        <is>
          <t>1</t>
        </is>
      </c>
      <c r="Q8" s="451" t="inlineStr">
        <is>
          <t>0</t>
        </is>
      </c>
      <c r="R8" s="451" t="inlineStr">
        <is>
          <t>1</t>
        </is>
      </c>
      <c r="S8" s="451" t="inlineStr">
        <is>
          <t>适合防秒杀精英/首领。</t>
        </is>
      </c>
    </row>
    <row r="9">
      <c r="A9" s="451" t="inlineStr">
        <is>
          <t>M06</t>
        </is>
      </c>
      <c r="B9" s="451" t="inlineStr">
        <is>
          <t>mech_shield_regen</t>
        </is>
      </c>
      <c r="C9" s="451" t="inlineStr">
        <is>
          <t>回合回盾</t>
        </is>
      </c>
      <c r="D9" s="451" t="inlineStr">
        <is>
          <t>防御/护盾</t>
        </is>
      </c>
      <c r="E9" s="451" t="inlineStr">
        <is>
          <t>宠物/怪物</t>
        </is>
      </c>
      <c r="F9" s="451" t="inlineStr">
        <is>
          <t>round_start</t>
        </is>
      </c>
      <c r="G9" s="451" t="inlineStr">
        <is>
          <t>单位存活</t>
        </is>
      </c>
      <c r="H9" s="451" t="inlineStr">
        <is>
          <t>shield=3</t>
        </is>
      </c>
      <c r="I9" s="451" t="inlineStr">
        <is>
          <t>每回合开始获得固定护盾。</t>
        </is>
      </c>
      <c r="J9" s="451" t="inlineStr">
        <is>
          <t>{unit} 回合开始恢复 {shield} 点护盾。</t>
        </is>
      </c>
      <c r="K9" s="451" t="inlineStr">
        <is>
          <t>4</t>
        </is>
      </c>
      <c r="L9" s="451" t="inlineStr">
        <is>
          <t>中</t>
        </is>
      </c>
      <c r="M9" s="451" t="inlineStr">
        <is>
          <t>正式</t>
        </is>
      </c>
      <c r="N9" s="451" t="inlineStr">
        <is>
          <t>可接入</t>
        </is>
      </c>
      <c r="O9" s="451" t="inlineStr">
        <is>
          <t>1</t>
        </is>
      </c>
      <c r="P9" s="451" t="inlineStr">
        <is>
          <t>1</t>
        </is>
      </c>
      <c r="Q9" s="451" t="inlineStr">
        <is>
          <t>0</t>
        </is>
      </c>
      <c r="R9" s="451" t="inlineStr">
        <is>
          <t>0</t>
        </is>
      </c>
      <c r="S9" s="451" t="inlineStr">
        <is>
          <t>与拖回合惩罚形成压力。</t>
        </is>
      </c>
    </row>
    <row r="10">
      <c r="A10" s="451" t="inlineStr">
        <is>
          <t>M07</t>
        </is>
      </c>
      <c r="B10" s="451" t="inlineStr">
        <is>
          <t>mech_thorn_shield</t>
        </is>
      </c>
      <c r="C10" s="451" t="inlineStr">
        <is>
          <t>荆棘护盾</t>
        </is>
      </c>
      <c r="D10" s="451" t="inlineStr">
        <is>
          <t>防御/反击</t>
        </is>
      </c>
      <c r="E10" s="451" t="inlineStr">
        <is>
          <t>宠物/怪物</t>
        </is>
      </c>
      <c r="F10" s="451" t="inlineStr">
        <is>
          <t>after_hit</t>
        </is>
      </c>
      <c r="G10" s="451" t="inlineStr">
        <is>
          <t>有护盾时被攻击</t>
        </is>
      </c>
      <c r="H10" s="451" t="inlineStr">
        <is>
          <t>reflect=2</t>
        </is>
      </c>
      <c r="I10" s="451" t="inlineStr">
        <is>
          <t>有护盾时受到攻击，反弹固定伤害。</t>
        </is>
      </c>
      <c r="J10" s="451" t="inlineStr">
        <is>
          <t>{unit} 的荆棘反弹 {reflect} 点伤害。</t>
        </is>
      </c>
      <c r="K10" s="451" t="inlineStr">
        <is>
          <t>5</t>
        </is>
      </c>
      <c r="L10" s="451" t="inlineStr">
        <is>
          <t>中</t>
        </is>
      </c>
      <c r="M10" s="451" t="inlineStr">
        <is>
          <t>正式</t>
        </is>
      </c>
      <c r="N10" s="451" t="inlineStr">
        <is>
          <t>待接入</t>
        </is>
      </c>
      <c r="O10" s="451" t="inlineStr">
        <is>
          <t>1</t>
        </is>
      </c>
      <c r="P10" s="451" t="inlineStr">
        <is>
          <t>1</t>
        </is>
      </c>
      <c r="Q10" s="451" t="inlineStr">
        <is>
          <t>0</t>
        </is>
      </c>
      <c r="R10" s="451" t="inlineStr">
        <is>
          <t>0</t>
        </is>
      </c>
      <c r="S10" s="451" t="inlineStr">
        <is>
          <t>反伤类的低复杂版。</t>
        </is>
      </c>
    </row>
    <row r="11">
      <c r="A11" s="451" t="inlineStr">
        <is>
          <t>M08</t>
        </is>
      </c>
      <c r="B11" s="451" t="inlineStr">
        <is>
          <t>mech_element_barrier</t>
        </is>
      </c>
      <c r="C11" s="451" t="inlineStr">
        <is>
          <t>元素屏障</t>
        </is>
      </c>
      <c r="D11" s="451" t="inlineStr">
        <is>
          <t>防御/元素</t>
        </is>
      </c>
      <c r="E11" s="451" t="inlineStr">
        <is>
          <t>宠物/怪物</t>
        </is>
      </c>
      <c r="F11" s="451" t="inlineStr">
        <is>
          <t>before_damage</t>
        </is>
      </c>
      <c r="G11" s="451" t="inlineStr">
        <is>
          <t>受到非克制元素伤害</t>
        </is>
      </c>
      <c r="H11" s="451" t="inlineStr">
        <is>
          <t>element=earth; reduce=3</t>
        </is>
      </c>
      <c r="I11" s="451" t="inlineStr">
        <is>
          <t>特定元素屏障减少非克制伤害。</t>
        </is>
      </c>
      <c r="J11" s="451" t="inlineStr">
        <is>
          <t>{unit} 的 {element} 屏障抵消 {reduce} 点伤害。</t>
        </is>
      </c>
      <c r="K11" s="451" t="inlineStr">
        <is>
          <t>5</t>
        </is>
      </c>
      <c r="L11" s="451" t="inlineStr">
        <is>
          <t>中</t>
        </is>
      </c>
      <c r="M11" s="451" t="inlineStr">
        <is>
          <t>正式</t>
        </is>
      </c>
      <c r="N11" s="451" t="inlineStr">
        <is>
          <t>待接入</t>
        </is>
      </c>
      <c r="O11" s="451" t="inlineStr">
        <is>
          <t>1</t>
        </is>
      </c>
      <c r="P11" s="451" t="inlineStr">
        <is>
          <t>1</t>
        </is>
      </c>
      <c r="Q11" s="451" t="inlineStr">
        <is>
          <t>0</t>
        </is>
      </c>
      <c r="R11" s="451" t="inlineStr">
        <is>
          <t>0</t>
        </is>
      </c>
      <c r="S11" s="451" t="inlineStr">
        <is>
          <t>需要元素克制表。</t>
        </is>
      </c>
    </row>
    <row r="12">
      <c r="A12" s="451" t="inlineStr">
        <is>
          <t>M09</t>
        </is>
      </c>
      <c r="B12" s="451" t="inlineStr">
        <is>
          <t>mech_guard_taunt</t>
        </is>
      </c>
      <c r="C12" s="451" t="inlineStr">
        <is>
          <t>嘲讽守护</t>
        </is>
      </c>
      <c r="D12" s="451" t="inlineStr">
        <is>
          <t>防御/控制</t>
        </is>
      </c>
      <c r="E12" s="451" t="inlineStr">
        <is>
          <t>宠物/怪物</t>
        </is>
      </c>
      <c r="F12" s="451" t="inlineStr">
        <is>
          <t>target_select</t>
        </is>
      </c>
      <c r="G12" s="451" t="inlineStr">
        <is>
          <t>敌方选择目标时</t>
        </is>
      </c>
      <c r="H12" s="451" t="inlineStr">
        <is>
          <t>range=1</t>
        </is>
      </c>
      <c r="I12" s="451" t="inlineStr">
        <is>
          <t>强制附近敌人优先攻击自己。</t>
        </is>
      </c>
      <c r="J12" s="451" t="inlineStr">
        <is>
          <t>{unit} 嘲讽附近敌人。</t>
        </is>
      </c>
      <c r="K12" s="451" t="inlineStr">
        <is>
          <t>4</t>
        </is>
      </c>
      <c r="L12" s="451" t="inlineStr">
        <is>
          <t>中</t>
        </is>
      </c>
      <c r="M12" s="451" t="inlineStr">
        <is>
          <t>正式</t>
        </is>
      </c>
      <c r="N12" s="451" t="inlineStr">
        <is>
          <t>待接入</t>
        </is>
      </c>
      <c r="O12" s="451" t="inlineStr">
        <is>
          <t>1</t>
        </is>
      </c>
      <c r="P12" s="451" t="inlineStr">
        <is>
          <t>1</t>
        </is>
      </c>
      <c r="Q12" s="451" t="inlineStr">
        <is>
          <t>0</t>
        </is>
      </c>
      <c r="R12" s="451" t="inlineStr">
        <is>
          <t>0</t>
        </is>
      </c>
      <c r="S12" s="451" t="inlineStr">
        <is>
          <t>需要目标选择钩子。</t>
        </is>
      </c>
    </row>
    <row r="13">
      <c r="A13" s="451" t="inlineStr">
        <is>
          <t>M10</t>
        </is>
      </c>
      <c r="B13" s="451" t="inlineStr">
        <is>
          <t>mech_last_stand_shield</t>
        </is>
      </c>
      <c r="C13" s="451" t="inlineStr">
        <is>
          <t>濒死护盾</t>
        </is>
      </c>
      <c r="D13" s="451" t="inlineStr">
        <is>
          <t>防御/成长</t>
        </is>
      </c>
      <c r="E13" s="451" t="inlineStr">
        <is>
          <t>宠物/怪物</t>
        </is>
      </c>
      <c r="F13" s="451" t="inlineStr">
        <is>
          <t>after_damage</t>
        </is>
      </c>
      <c r="G13" s="451" t="inlineStr">
        <is>
          <t>HP低于阈值且未触发</t>
        </is>
      </c>
      <c r="H13" s="451" t="inlineStr">
        <is>
          <t>hp_pct=0.3; shield=10; once=true</t>
        </is>
      </c>
      <c r="I13" s="451" t="inlineStr">
        <is>
          <t>低血时获得一次大量护盾。</t>
        </is>
      </c>
      <c r="J13" s="451" t="inlineStr">
        <is>
          <t>{unit} 濒死触发，获得 {shield} 点护盾。</t>
        </is>
      </c>
      <c r="K13" s="451" t="inlineStr">
        <is>
          <t>7</t>
        </is>
      </c>
      <c r="L13" s="451" t="inlineStr">
        <is>
          <t>高</t>
        </is>
      </c>
      <c r="M13" s="451" t="inlineStr">
        <is>
          <t>正式</t>
        </is>
      </c>
      <c r="N13" s="451" t="inlineStr">
        <is>
          <t>待接入</t>
        </is>
      </c>
      <c r="O13" s="451" t="inlineStr">
        <is>
          <t>1</t>
        </is>
      </c>
      <c r="P13" s="451" t="inlineStr">
        <is>
          <t>1</t>
        </is>
      </c>
      <c r="Q13" s="451" t="inlineStr">
        <is>
          <t>0</t>
        </is>
      </c>
      <c r="R13" s="451" t="inlineStr">
        <is>
          <t>0</t>
        </is>
      </c>
      <c r="S13" s="451" t="inlineStr">
        <is>
          <t>适合精英转阶段。</t>
        </is>
      </c>
    </row>
    <row r="14">
      <c r="A14" s="451" t="inlineStr">
        <is>
          <t>M11</t>
        </is>
      </c>
      <c r="B14" s="451" t="inlineStr">
        <is>
          <t>mech_counter_damage</t>
        </is>
      </c>
      <c r="C14" s="451" t="inlineStr">
        <is>
          <t>受击反伤</t>
        </is>
      </c>
      <c r="D14" s="451" t="inlineStr">
        <is>
          <t>反击/爆炸</t>
        </is>
      </c>
      <c r="E14" s="451" t="inlineStr">
        <is>
          <t>宠物/怪物</t>
        </is>
      </c>
      <c r="F14" s="451" t="inlineStr">
        <is>
          <t>after_hit</t>
        </is>
      </c>
      <c r="G14" s="451" t="inlineStr">
        <is>
          <t>受到攻击伤害后</t>
        </is>
      </c>
      <c r="H14" s="451" t="inlineStr">
        <is>
          <t>damage=3</t>
        </is>
      </c>
      <c r="I14" s="451" t="inlineStr">
        <is>
          <t>对攻击者造成固定反伤。</t>
        </is>
      </c>
      <c r="J14" s="451" t="inlineStr">
        <is>
          <t>{unit} 反击，造成 {damage} 点伤害。</t>
        </is>
      </c>
      <c r="K14" s="451" t="inlineStr">
        <is>
          <t>4</t>
        </is>
      </c>
      <c r="L14" s="451" t="inlineStr">
        <is>
          <t>中</t>
        </is>
      </c>
      <c r="M14" s="451" t="inlineStr">
        <is>
          <t>正式</t>
        </is>
      </c>
      <c r="N14" s="451" t="inlineStr">
        <is>
          <t>可接入</t>
        </is>
      </c>
      <c r="O14" s="451" t="inlineStr">
        <is>
          <t>1</t>
        </is>
      </c>
      <c r="P14" s="451" t="inlineStr">
        <is>
          <t>1</t>
        </is>
      </c>
      <c r="Q14" s="451" t="inlineStr">
        <is>
          <t>0</t>
        </is>
      </c>
      <c r="R14" s="451" t="inlineStr">
        <is>
          <t>0</t>
        </is>
      </c>
      <c r="S14" s="451" t="inlineStr">
        <is>
          <t>最直接反击。</t>
        </is>
      </c>
    </row>
    <row r="15">
      <c r="A15" s="451" t="inlineStr">
        <is>
          <t>M12</t>
        </is>
      </c>
      <c r="B15" s="451" t="inlineStr">
        <is>
          <t>mech_death_explosion</t>
        </is>
      </c>
      <c r="C15" s="451" t="inlineStr">
        <is>
          <t>死亡爆炸</t>
        </is>
      </c>
      <c r="D15" s="451" t="inlineStr">
        <is>
          <t>反击/爆炸</t>
        </is>
      </c>
      <c r="E15" s="451" t="inlineStr">
        <is>
          <t>怪物</t>
        </is>
      </c>
      <c r="F15" s="451" t="inlineStr">
        <is>
          <t>on_death</t>
        </is>
      </c>
      <c r="G15" s="451" t="inlineStr">
        <is>
          <t>单位死亡</t>
        </is>
      </c>
      <c r="H15" s="451" t="inlineStr">
        <is>
          <t>damage=6; radius=cross1</t>
        </is>
      </c>
      <c r="I15" s="451" t="inlineStr">
        <is>
          <t>死亡时对周围造成伤害。</t>
        </is>
      </c>
      <c r="J15" s="451" t="inlineStr">
        <is>
          <t>{unit} 死亡爆炸，造成 {damage} 点伤害。</t>
        </is>
      </c>
      <c r="K15" s="451" t="inlineStr">
        <is>
          <t>6</t>
        </is>
      </c>
      <c r="L15" s="451" t="inlineStr">
        <is>
          <t>中</t>
        </is>
      </c>
      <c r="M15" s="451" t="inlineStr">
        <is>
          <t>正式</t>
        </is>
      </c>
      <c r="N15" s="451" t="inlineStr">
        <is>
          <t>可接入</t>
        </is>
      </c>
      <c r="O15" s="451" t="inlineStr">
        <is>
          <t>0</t>
        </is>
      </c>
      <c r="P15" s="451" t="inlineStr">
        <is>
          <t>1</t>
        </is>
      </c>
      <c r="Q15" s="451" t="inlineStr">
        <is>
          <t>0</t>
        </is>
      </c>
      <c r="R15" s="451" t="inlineStr">
        <is>
          <t>1</t>
        </is>
      </c>
      <c r="S15" s="451" t="inlineStr">
        <is>
          <t>已在怪物方向讨论过。</t>
        </is>
      </c>
    </row>
    <row r="16">
      <c r="A16" s="451" t="inlineStr">
        <is>
          <t>M13</t>
        </is>
      </c>
      <c r="B16" s="451" t="inlineStr">
        <is>
          <t>mech_self_destruct</t>
        </is>
      </c>
      <c r="C16" s="451" t="inlineStr">
        <is>
          <t>自爆倒计时</t>
        </is>
      </c>
      <c r="D16" s="451" t="inlineStr">
        <is>
          <t>反击/爆炸</t>
        </is>
      </c>
      <c r="E16" s="451" t="inlineStr">
        <is>
          <t>怪物</t>
        </is>
      </c>
      <c r="F16" s="451" t="inlineStr">
        <is>
          <t>round_end</t>
        </is>
      </c>
      <c r="G16" s="451" t="inlineStr">
        <is>
          <t>倒计时结束且存活</t>
        </is>
      </c>
      <c r="H16" s="451" t="inlineStr">
        <is>
          <t>rounds=2; damage=8; radius=cross1</t>
        </is>
      </c>
      <c r="I16" s="451" t="inlineStr">
        <is>
          <t>存活到倒计时结束后自爆。</t>
        </is>
      </c>
      <c r="J16" s="451" t="inlineStr">
        <is>
          <t>{unit} 自爆，造成 {damage} 点伤害。</t>
        </is>
      </c>
      <c r="K16" s="451" t="inlineStr">
        <is>
          <t>7</t>
        </is>
      </c>
      <c r="L16" s="451" t="inlineStr">
        <is>
          <t>高</t>
        </is>
      </c>
      <c r="M16" s="451" t="inlineStr">
        <is>
          <t>正式</t>
        </is>
      </c>
      <c r="N16" s="451" t="inlineStr">
        <is>
          <t>待接入</t>
        </is>
      </c>
      <c r="O16" s="451" t="inlineStr">
        <is>
          <t>0</t>
        </is>
      </c>
      <c r="P16" s="451" t="inlineStr">
        <is>
          <t>1</t>
        </is>
      </c>
      <c r="Q16" s="451" t="inlineStr">
        <is>
          <t>0</t>
        </is>
      </c>
      <c r="R16" s="451" t="inlineStr">
        <is>
          <t>1</t>
        </is>
      </c>
      <c r="S16" s="451" t="inlineStr">
        <is>
          <t>促使玩家优先处理。</t>
        </is>
      </c>
    </row>
    <row r="17">
      <c r="A17" s="451" t="inlineStr">
        <is>
          <t>M14</t>
        </is>
      </c>
      <c r="B17" s="451" t="inlineStr">
        <is>
          <t>mech_on_hit_blast</t>
        </is>
      </c>
      <c r="C17" s="451" t="inlineStr">
        <is>
          <t>受击溅射</t>
        </is>
      </c>
      <c r="D17" s="451" t="inlineStr">
        <is>
          <t>反击/爆炸</t>
        </is>
      </c>
      <c r="E17" s="451" t="inlineStr">
        <is>
          <t>宠物/怪物</t>
        </is>
      </c>
      <c r="F17" s="451" t="inlineStr">
        <is>
          <t>after_hit</t>
        </is>
      </c>
      <c r="G17" s="451" t="inlineStr">
        <is>
          <t>受到伤害后</t>
        </is>
      </c>
      <c r="H17" s="451" t="inlineStr">
        <is>
          <t>damage=2; radius=adjacent</t>
        </is>
      </c>
      <c r="I17" s="451" t="inlineStr">
        <is>
          <t>被打后对周围溅射。</t>
        </is>
      </c>
      <c r="J17" s="451" t="inlineStr">
        <is>
          <t>{unit} 受击溅射，周围受到 {damage} 点伤害。</t>
        </is>
      </c>
      <c r="K17" s="451" t="inlineStr">
        <is>
          <t>5</t>
        </is>
      </c>
      <c r="L17" s="451" t="inlineStr">
        <is>
          <t>中</t>
        </is>
      </c>
      <c r="M17" s="451" t="inlineStr">
        <is>
          <t>正式</t>
        </is>
      </c>
      <c r="N17" s="451" t="inlineStr">
        <is>
          <t>待接入</t>
        </is>
      </c>
      <c r="O17" s="451" t="inlineStr">
        <is>
          <t>1</t>
        </is>
      </c>
      <c r="P17" s="451" t="inlineStr">
        <is>
          <t>1</t>
        </is>
      </c>
      <c r="Q17" s="451" t="inlineStr">
        <is>
          <t>0</t>
        </is>
      </c>
      <c r="R17" s="451" t="inlineStr">
        <is>
          <t>0</t>
        </is>
      </c>
      <c r="S17" s="451" t="inlineStr">
        <is>
          <t>需要区分敌我伤害。</t>
        </is>
      </c>
    </row>
    <row r="18">
      <c r="A18" s="451" t="inlineStr">
        <is>
          <t>M15</t>
        </is>
      </c>
      <c r="B18" s="451" t="inlineStr">
        <is>
          <t>mech_reflect_first_hit</t>
        </is>
      </c>
      <c r="C18" s="451" t="inlineStr">
        <is>
          <t>首次反弹</t>
        </is>
      </c>
      <c r="D18" s="451" t="inlineStr">
        <is>
          <t>反击/防御</t>
        </is>
      </c>
      <c r="E18" s="451" t="inlineStr">
        <is>
          <t>宠物/怪物</t>
        </is>
      </c>
      <c r="F18" s="451" t="inlineStr">
        <is>
          <t>after_hit</t>
        </is>
      </c>
      <c r="G18" s="451" t="inlineStr">
        <is>
          <t>第一次被命中</t>
        </is>
      </c>
      <c r="H18" s="451" t="inlineStr">
        <is>
          <t>rate=1.0</t>
        </is>
      </c>
      <c r="I18" s="451" t="inlineStr">
        <is>
          <t>第一次被命中时反弹等量伤害。</t>
        </is>
      </c>
      <c r="J18" s="451" t="inlineStr">
        <is>
          <t>{unit} 首次反弹 {damage} 点伤害。</t>
        </is>
      </c>
      <c r="K18" s="451" t="inlineStr">
        <is>
          <t>6</t>
        </is>
      </c>
      <c r="L18" s="451" t="inlineStr">
        <is>
          <t>中</t>
        </is>
      </c>
      <c r="M18" s="451" t="inlineStr">
        <is>
          <t>正式</t>
        </is>
      </c>
      <c r="N18" s="451" t="inlineStr">
        <is>
          <t>待接入</t>
        </is>
      </c>
      <c r="O18" s="451" t="inlineStr">
        <is>
          <t>1</t>
        </is>
      </c>
      <c r="P18" s="451" t="inlineStr">
        <is>
          <t>1</t>
        </is>
      </c>
      <c r="Q18" s="451" t="inlineStr">
        <is>
          <t>0</t>
        </is>
      </c>
      <c r="R18" s="451" t="inlineStr">
        <is>
          <t>0</t>
        </is>
      </c>
      <c r="S18" s="451" t="inlineStr">
        <is>
          <t>首次免疫的进攻版。</t>
        </is>
      </c>
    </row>
    <row r="19">
      <c r="A19" s="451" t="inlineStr">
        <is>
          <t>M16</t>
        </is>
      </c>
      <c r="B19" s="451" t="inlineStr">
        <is>
          <t>mech_shield_break_explosion</t>
        </is>
      </c>
      <c r="C19" s="451" t="inlineStr">
        <is>
          <t>破盾爆炸</t>
        </is>
      </c>
      <c r="D19" s="451" t="inlineStr">
        <is>
          <t>反击/爆炸</t>
        </is>
      </c>
      <c r="E19" s="451" t="inlineStr">
        <is>
          <t>宠物/怪物</t>
        </is>
      </c>
      <c r="F19" s="451" t="inlineStr">
        <is>
          <t>on_shield_break</t>
        </is>
      </c>
      <c r="G19" s="451" t="inlineStr">
        <is>
          <t>护盾从正数降到0</t>
        </is>
      </c>
      <c r="H19" s="451" t="inlineStr">
        <is>
          <t>damage=5; radius=cross1</t>
        </is>
      </c>
      <c r="I19" s="451" t="inlineStr">
        <is>
          <t>破盾时爆炸。</t>
        </is>
      </c>
      <c r="J19" s="451" t="inlineStr">
        <is>
          <t>{unit} 破盾爆炸，造成 {damage} 点伤害。</t>
        </is>
      </c>
      <c r="K19" s="451" t="inlineStr">
        <is>
          <t>6</t>
        </is>
      </c>
      <c r="L19" s="451" t="inlineStr">
        <is>
          <t>中</t>
        </is>
      </c>
      <c r="M19" s="451" t="inlineStr">
        <is>
          <t>正式</t>
        </is>
      </c>
      <c r="N19" s="451" t="inlineStr">
        <is>
          <t>待接入</t>
        </is>
      </c>
      <c r="O19" s="451" t="inlineStr">
        <is>
          <t>1</t>
        </is>
      </c>
      <c r="P19" s="451" t="inlineStr">
        <is>
          <t>1</t>
        </is>
      </c>
      <c r="Q19" s="451" t="inlineStr">
        <is>
          <t>0</t>
        </is>
      </c>
      <c r="R19" s="451" t="inlineStr">
        <is>
          <t>0</t>
        </is>
      </c>
      <c r="S19" s="451" t="inlineStr">
        <is>
          <t>盾怪破盾反馈。</t>
        </is>
      </c>
    </row>
    <row r="20">
      <c r="A20" s="451" t="inlineStr">
        <is>
          <t>M17</t>
        </is>
      </c>
      <c r="B20" s="451" t="inlineStr">
        <is>
          <t>mech_retaliate_summon</t>
        </is>
      </c>
      <c r="C20" s="451" t="inlineStr">
        <is>
          <t>受击召唤</t>
        </is>
      </c>
      <c r="D20" s="451" t="inlineStr">
        <is>
          <t>反击/召唤</t>
        </is>
      </c>
      <c r="E20" s="451" t="inlineStr">
        <is>
          <t>怪物/首领</t>
        </is>
      </c>
      <c r="F20" s="451" t="inlineStr">
        <is>
          <t>after_hit</t>
        </is>
      </c>
      <c r="G20" s="451" t="inlineStr">
        <is>
          <t>每回合首次受击</t>
        </is>
      </c>
      <c r="H20" s="451" t="inlineStr">
        <is>
          <t>summon=mon_swarm_plain_01; count=1</t>
        </is>
      </c>
      <c r="I20" s="451" t="inlineStr">
        <is>
          <t>受击后召唤小怪。</t>
        </is>
      </c>
      <c r="J20" s="451" t="inlineStr">
        <is>
          <t>{unit} 受击召唤 {count} 个援军。</t>
        </is>
      </c>
      <c r="K20" s="451" t="inlineStr">
        <is>
          <t>8</t>
        </is>
      </c>
      <c r="L20" s="451" t="inlineStr">
        <is>
          <t>高</t>
        </is>
      </c>
      <c r="M20" s="451" t="inlineStr">
        <is>
          <t>正式</t>
        </is>
      </c>
      <c r="N20" s="451" t="inlineStr">
        <is>
          <t>待接入</t>
        </is>
      </c>
      <c r="O20" s="451" t="inlineStr">
        <is>
          <t>0</t>
        </is>
      </c>
      <c r="P20" s="451" t="inlineStr">
        <is>
          <t>1</t>
        </is>
      </c>
      <c r="Q20" s="451" t="inlineStr">
        <is>
          <t>0</t>
        </is>
      </c>
      <c r="R20" s="451" t="inlineStr">
        <is>
          <t>1</t>
        </is>
      </c>
      <c r="S20" s="451" t="inlineStr">
        <is>
          <t>精英/首领用。</t>
        </is>
      </c>
    </row>
    <row r="21">
      <c r="A21" s="451" t="inlineStr">
        <is>
          <t>M18</t>
        </is>
      </c>
      <c r="B21" s="451" t="inlineStr">
        <is>
          <t>mech_revenge_buff</t>
        </is>
      </c>
      <c r="C21" s="451" t="inlineStr">
        <is>
          <t>复仇强化</t>
        </is>
      </c>
      <c r="D21" s="451" t="inlineStr">
        <is>
          <t>反击/成长</t>
        </is>
      </c>
      <c r="E21" s="451" t="inlineStr">
        <is>
          <t>宠物/怪物</t>
        </is>
      </c>
      <c r="F21" s="451" t="inlineStr">
        <is>
          <t>ally_death</t>
        </is>
      </c>
      <c r="G21" s="451" t="inlineStr">
        <is>
          <t>同阵营单位死亡</t>
        </is>
      </c>
      <c r="H21" s="451" t="inlineStr">
        <is>
          <t>atk=1; shield=2</t>
        </is>
      </c>
      <c r="I21" s="451" t="inlineStr">
        <is>
          <t>友方死亡时自身加攻/盾。</t>
        </is>
      </c>
      <c r="J21" s="451" t="inlineStr">
        <is>
          <t>{unit} 因同伴死亡获得复仇强化。</t>
        </is>
      </c>
      <c r="K21" s="451" t="inlineStr">
        <is>
          <t>6</t>
        </is>
      </c>
      <c r="L21" s="451" t="inlineStr">
        <is>
          <t>中</t>
        </is>
      </c>
      <c r="M21" s="451" t="inlineStr">
        <is>
          <t>正式</t>
        </is>
      </c>
      <c r="N21" s="451" t="inlineStr">
        <is>
          <t>待接入</t>
        </is>
      </c>
      <c r="O21" s="451" t="inlineStr">
        <is>
          <t>1</t>
        </is>
      </c>
      <c r="P21" s="451" t="inlineStr">
        <is>
          <t>1</t>
        </is>
      </c>
      <c r="Q21" s="451" t="inlineStr">
        <is>
          <t>0</t>
        </is>
      </c>
      <c r="R21" s="451" t="inlineStr">
        <is>
          <t>1</t>
        </is>
      </c>
      <c r="S21" s="451" t="inlineStr">
        <is>
          <t>群怪联动。</t>
        </is>
      </c>
    </row>
    <row r="22">
      <c r="A22" s="451" t="inlineStr">
        <is>
          <t>M19</t>
        </is>
      </c>
      <c r="B22" s="451" t="inlineStr">
        <is>
          <t>mech_thorns_percent</t>
        </is>
      </c>
      <c r="C22" s="451" t="inlineStr">
        <is>
          <t>比例反伤</t>
        </is>
      </c>
      <c r="D22" s="451" t="inlineStr">
        <is>
          <t>反击/防御</t>
        </is>
      </c>
      <c r="E22" s="451" t="inlineStr">
        <is>
          <t>宠物/怪物</t>
        </is>
      </c>
      <c r="F22" s="451" t="inlineStr">
        <is>
          <t>after_hit</t>
        </is>
      </c>
      <c r="G22" s="451" t="inlineStr">
        <is>
          <t>受到攻击伤害后</t>
        </is>
      </c>
      <c r="H22" s="451" t="inlineStr">
        <is>
          <t>rate=0.3</t>
        </is>
      </c>
      <c r="I22" s="451" t="inlineStr">
        <is>
          <t>按受到伤害比例反弹。</t>
        </is>
      </c>
      <c r="J22" s="451" t="inlineStr">
        <is>
          <t>{unit} 反弹 {damage} 点伤害。</t>
        </is>
      </c>
      <c r="K22" s="451" t="inlineStr">
        <is>
          <t>6</t>
        </is>
      </c>
      <c r="L22" s="451" t="inlineStr">
        <is>
          <t>中</t>
        </is>
      </c>
      <c r="M22" s="451" t="inlineStr">
        <is>
          <t>正式</t>
        </is>
      </c>
      <c r="N22" s="451" t="inlineStr">
        <is>
          <t>待接入</t>
        </is>
      </c>
      <c r="O22" s="451" t="inlineStr">
        <is>
          <t>1</t>
        </is>
      </c>
      <c r="P22" s="451" t="inlineStr">
        <is>
          <t>1</t>
        </is>
      </c>
      <c r="Q22" s="451" t="inlineStr">
        <is>
          <t>0</t>
        </is>
      </c>
      <c r="R22" s="451" t="inlineStr">
        <is>
          <t>0</t>
        </is>
      </c>
      <c r="S22" s="451" t="inlineStr">
        <is>
          <t>比固定反伤更易失控。</t>
        </is>
      </c>
    </row>
    <row r="23">
      <c r="A23" s="451" t="inlineStr">
        <is>
          <t>M20</t>
        </is>
      </c>
      <c r="B23" s="451" t="inlineStr">
        <is>
          <t>mech_counter_attack</t>
        </is>
      </c>
      <c r="C23" s="451" t="inlineStr">
        <is>
          <t>受击反击行动</t>
        </is>
      </c>
      <c r="D23" s="451" t="inlineStr">
        <is>
          <t>反击/行动</t>
        </is>
      </c>
      <c r="E23" s="451" t="inlineStr">
        <is>
          <t>宠物/怪物</t>
        </is>
      </c>
      <c r="F23" s="451" t="inlineStr">
        <is>
          <t>after_hit</t>
        </is>
      </c>
      <c r="G23" s="451" t="inlineStr">
        <is>
          <t>AP足够且未反击过</t>
        </is>
      </c>
      <c r="H23" s="451" t="inlineStr">
        <is>
          <t>ap_cost=1; damage=atk</t>
        </is>
      </c>
      <c r="I23" s="451" t="inlineStr">
        <is>
          <t>被攻击后立即进行一次反击行动。</t>
        </is>
      </c>
      <c r="J23" s="451" t="inlineStr">
        <is>
          <t>{unit} 立即反击。</t>
        </is>
      </c>
      <c r="K23" s="451" t="inlineStr">
        <is>
          <t>8</t>
        </is>
      </c>
      <c r="L23" s="451" t="inlineStr">
        <is>
          <t>高</t>
        </is>
      </c>
      <c r="M23" s="451" t="inlineStr">
        <is>
          <t>正式</t>
        </is>
      </c>
      <c r="N23" s="451" t="inlineStr">
        <is>
          <t>待接入</t>
        </is>
      </c>
      <c r="O23" s="451" t="inlineStr">
        <is>
          <t>1</t>
        </is>
      </c>
      <c r="P23" s="451" t="inlineStr">
        <is>
          <t>1</t>
        </is>
      </c>
      <c r="Q23" s="451" t="inlineStr">
        <is>
          <t>0</t>
        </is>
      </c>
      <c r="R23" s="451" t="inlineStr">
        <is>
          <t>0</t>
        </is>
      </c>
      <c r="S23" s="451" t="inlineStr">
        <is>
          <t>需要行动队列钩子。</t>
        </is>
      </c>
    </row>
    <row r="24">
      <c r="A24" s="451" t="inlineStr">
        <is>
          <t>M21</t>
        </is>
      </c>
      <c r="B24" s="451" t="inlineStr">
        <is>
          <t>mech_grow_atk_each_round</t>
        </is>
      </c>
      <c r="C24" s="451" t="inlineStr">
        <is>
          <t>每回合加攻</t>
        </is>
      </c>
      <c r="D24" s="451" t="inlineStr">
        <is>
          <t>成长/狂暴</t>
        </is>
      </c>
      <c r="E24" s="451" t="inlineStr">
        <is>
          <t>宠物/怪物</t>
        </is>
      </c>
      <c r="F24" s="451" t="inlineStr">
        <is>
          <t>round_start</t>
        </is>
      </c>
      <c r="G24" s="451" t="inlineStr">
        <is>
          <t>单位存活</t>
        </is>
      </c>
      <c r="H24" s="451" t="inlineStr">
        <is>
          <t>atk=1</t>
        </is>
      </c>
      <c r="I24" s="451" t="inlineStr">
        <is>
          <t>每回合开始攻击增加。</t>
        </is>
      </c>
      <c r="J24" s="451" t="inlineStr">
        <is>
          <t>{unit} 攻击提升 {atk}。</t>
        </is>
      </c>
      <c r="K24" s="451" t="inlineStr">
        <is>
          <t>4</t>
        </is>
      </c>
      <c r="L24" s="451" t="inlineStr">
        <is>
          <t>中</t>
        </is>
      </c>
      <c r="M24" s="451" t="inlineStr">
        <is>
          <t>正式</t>
        </is>
      </c>
      <c r="N24" s="451" t="inlineStr">
        <is>
          <t>可接入</t>
        </is>
      </c>
      <c r="O24" s="451" t="inlineStr">
        <is>
          <t>1</t>
        </is>
      </c>
      <c r="P24" s="451" t="inlineStr">
        <is>
          <t>1</t>
        </is>
      </c>
      <c r="Q24" s="451" t="inlineStr">
        <is>
          <t>0</t>
        </is>
      </c>
      <c r="R24" s="451" t="inlineStr">
        <is>
          <t>1</t>
        </is>
      </c>
      <c r="S24" s="451" t="inlineStr">
        <is>
          <t>杀戮尖塔式成长。</t>
        </is>
      </c>
    </row>
    <row r="25">
      <c r="A25" s="451" t="inlineStr">
        <is>
          <t>M22</t>
        </is>
      </c>
      <c r="B25" s="451" t="inlineStr">
        <is>
          <t>mech_grow_shield_each_round</t>
        </is>
      </c>
      <c r="C25" s="451" t="inlineStr">
        <is>
          <t>每回合加盾</t>
        </is>
      </c>
      <c r="D25" s="451" t="inlineStr">
        <is>
          <t>成长/护盾</t>
        </is>
      </c>
      <c r="E25" s="451" t="inlineStr">
        <is>
          <t>宠物/怪物</t>
        </is>
      </c>
      <c r="F25" s="451" t="inlineStr">
        <is>
          <t>round_start</t>
        </is>
      </c>
      <c r="G25" s="451" t="inlineStr">
        <is>
          <t>单位存活</t>
        </is>
      </c>
      <c r="H25" s="451" t="inlineStr">
        <is>
          <t>shield=3</t>
        </is>
      </c>
      <c r="I25" s="451" t="inlineStr">
        <is>
          <t>每回合开始获得更多护盾。</t>
        </is>
      </c>
      <c r="J25" s="451" t="inlineStr">
        <is>
          <t>{unit} 护盾提升 {shield}。</t>
        </is>
      </c>
      <c r="K25" s="451" t="inlineStr">
        <is>
          <t>4</t>
        </is>
      </c>
      <c r="L25" s="451" t="inlineStr">
        <is>
          <t>中</t>
        </is>
      </c>
      <c r="M25" s="451" t="inlineStr">
        <is>
          <t>正式</t>
        </is>
      </c>
      <c r="N25" s="451" t="inlineStr">
        <is>
          <t>可接入</t>
        </is>
      </c>
      <c r="O25" s="451" t="inlineStr">
        <is>
          <t>1</t>
        </is>
      </c>
      <c r="P25" s="451" t="inlineStr">
        <is>
          <t>1</t>
        </is>
      </c>
      <c r="Q25" s="451" t="inlineStr">
        <is>
          <t>0</t>
        </is>
      </c>
      <c r="R25" s="451" t="inlineStr">
        <is>
          <t>1</t>
        </is>
      </c>
      <c r="S25" s="451" t="inlineStr">
        <is>
          <t>拖回合压力。</t>
        </is>
      </c>
    </row>
    <row r="26">
      <c r="A26" s="451" t="inlineStr">
        <is>
          <t>M23</t>
        </is>
      </c>
      <c r="B26" s="451" t="inlineStr">
        <is>
          <t>mech_rage_low_hp</t>
        </is>
      </c>
      <c r="C26" s="451" t="inlineStr">
        <is>
          <t>低血狂暴</t>
        </is>
      </c>
      <c r="D26" s="451" t="inlineStr">
        <is>
          <t>成长/狂暴</t>
        </is>
      </c>
      <c r="E26" s="451" t="inlineStr">
        <is>
          <t>宠物/怪物</t>
        </is>
      </c>
      <c r="F26" s="451" t="inlineStr">
        <is>
          <t>after_damage</t>
        </is>
      </c>
      <c r="G26" s="451" t="inlineStr">
        <is>
          <t>HP低于阈值</t>
        </is>
      </c>
      <c r="H26" s="451" t="inlineStr">
        <is>
          <t>hp_pct=0.5; atk=3</t>
        </is>
      </c>
      <c r="I26" s="451" t="inlineStr">
        <is>
          <t>低血后攻击增强。</t>
        </is>
      </c>
      <c r="J26" s="451" t="inlineStr">
        <is>
          <t>{unit} 进入狂暴，攻击+{atk}。</t>
        </is>
      </c>
      <c r="K26" s="451" t="inlineStr">
        <is>
          <t>6</t>
        </is>
      </c>
      <c r="L26" s="451" t="inlineStr">
        <is>
          <t>中</t>
        </is>
      </c>
      <c r="M26" s="451" t="inlineStr">
        <is>
          <t>正式</t>
        </is>
      </c>
      <c r="N26" s="451" t="inlineStr">
        <is>
          <t>待接入</t>
        </is>
      </c>
      <c r="O26" s="451" t="inlineStr">
        <is>
          <t>1</t>
        </is>
      </c>
      <c r="P26" s="451" t="inlineStr">
        <is>
          <t>1</t>
        </is>
      </c>
      <c r="Q26" s="451" t="inlineStr">
        <is>
          <t>0</t>
        </is>
      </c>
      <c r="R26" s="451" t="inlineStr">
        <is>
          <t>0</t>
        </is>
      </c>
      <c r="S26" s="451" t="inlineStr">
        <is>
          <t>二阶段简化版。</t>
        </is>
      </c>
    </row>
    <row r="27">
      <c r="A27" s="451" t="inlineStr">
        <is>
          <t>M24</t>
        </is>
      </c>
      <c r="B27" s="451" t="inlineStr">
        <is>
          <t>mech_harden_when_hit</t>
        </is>
      </c>
      <c r="C27" s="451" t="inlineStr">
        <is>
          <t>越打越硬</t>
        </is>
      </c>
      <c r="D27" s="451" t="inlineStr">
        <is>
          <t>成长/护盾</t>
        </is>
      </c>
      <c r="E27" s="451" t="inlineStr">
        <is>
          <t>宠物/怪物</t>
        </is>
      </c>
      <c r="F27" s="451" t="inlineStr">
        <is>
          <t>after_hit</t>
        </is>
      </c>
      <c r="G27" s="451" t="inlineStr">
        <is>
          <t>受到伤害后</t>
        </is>
      </c>
      <c r="H27" s="451" t="inlineStr">
        <is>
          <t>def=1; max=5</t>
        </is>
      </c>
      <c r="I27" s="451" t="inlineStr">
        <is>
          <t>每次受击增加防御。</t>
        </is>
      </c>
      <c r="J27" s="451" t="inlineStr">
        <is>
          <t>{unit} 变硬，防御+{def}。</t>
        </is>
      </c>
      <c r="K27" s="451" t="inlineStr">
        <is>
          <t>6</t>
        </is>
      </c>
      <c r="L27" s="451" t="inlineStr">
        <is>
          <t>中</t>
        </is>
      </c>
      <c r="M27" s="451" t="inlineStr">
        <is>
          <t>正式</t>
        </is>
      </c>
      <c r="N27" s="451" t="inlineStr">
        <is>
          <t>待接入</t>
        </is>
      </c>
      <c r="O27" s="451" t="inlineStr">
        <is>
          <t>1</t>
        </is>
      </c>
      <c r="P27" s="451" t="inlineStr">
        <is>
          <t>1</t>
        </is>
      </c>
      <c r="Q27" s="451" t="inlineStr">
        <is>
          <t>0</t>
        </is>
      </c>
      <c r="R27" s="451" t="inlineStr">
        <is>
          <t>0</t>
        </is>
      </c>
      <c r="S27" s="451" t="inlineStr">
        <is>
          <t>厚怪时间压力。</t>
        </is>
      </c>
    </row>
    <row r="28">
      <c r="A28" s="451" t="inlineStr">
        <is>
          <t>M25</t>
        </is>
      </c>
      <c r="B28" s="451" t="inlineStr">
        <is>
          <t>mech_soften_when_hit</t>
        </is>
      </c>
      <c r="C28" s="451" t="inlineStr">
        <is>
          <t>破甲递减</t>
        </is>
      </c>
      <c r="D28" s="451" t="inlineStr">
        <is>
          <t>成长/破甲</t>
        </is>
      </c>
      <c r="E28" s="451" t="inlineStr">
        <is>
          <t>怪物</t>
        </is>
      </c>
      <c r="F28" s="451" t="inlineStr">
        <is>
          <t>after_hit</t>
        </is>
      </c>
      <c r="G28" s="451" t="inlineStr">
        <is>
          <t>受到伤害后</t>
        </is>
      </c>
      <c r="H28" s="451" t="inlineStr">
        <is>
          <t>def=-1; min=0</t>
        </is>
      </c>
      <c r="I28" s="451" t="inlineStr">
        <is>
          <t>每次受击降低防御。</t>
        </is>
      </c>
      <c r="J28" s="451" t="inlineStr">
        <is>
          <t>{unit} 被削弱，防御下降。</t>
        </is>
      </c>
      <c r="K28" s="451" t="inlineStr">
        <is>
          <t>4</t>
        </is>
      </c>
      <c r="L28" s="451" t="inlineStr">
        <is>
          <t>低</t>
        </is>
      </c>
      <c r="M28" s="451" t="inlineStr">
        <is>
          <t>正式</t>
        </is>
      </c>
      <c r="N28" s="451" t="inlineStr">
        <is>
          <t>待接入</t>
        </is>
      </c>
      <c r="O28" s="451" t="inlineStr">
        <is>
          <t>0</t>
        </is>
      </c>
      <c r="P28" s="451" t="inlineStr">
        <is>
          <t>1</t>
        </is>
      </c>
      <c r="Q28" s="451" t="inlineStr">
        <is>
          <t>0</t>
        </is>
      </c>
      <c r="R28" s="451" t="inlineStr">
        <is>
          <t>0</t>
        </is>
      </c>
      <c r="S28" s="451" t="inlineStr">
        <is>
          <t>鼓励多段攻击。</t>
        </is>
      </c>
    </row>
    <row r="29">
      <c r="A29" s="451" t="inlineStr">
        <is>
          <t>M26</t>
        </is>
      </c>
      <c r="B29" s="451" t="inlineStr">
        <is>
          <t>mech_delayed_powerup</t>
        </is>
      </c>
      <c r="C29" s="451" t="inlineStr">
        <is>
          <t>延迟强化</t>
        </is>
      </c>
      <c r="D29" s="451" t="inlineStr">
        <is>
          <t>成长/倒计时</t>
        </is>
      </c>
      <c r="E29" s="451" t="inlineStr">
        <is>
          <t>怪物/首领</t>
        </is>
      </c>
      <c r="F29" s="451" t="inlineStr">
        <is>
          <t>round_start</t>
        </is>
      </c>
      <c r="G29" s="451" t="inlineStr">
        <is>
          <t>达到指定回合</t>
        </is>
      </c>
      <c r="H29" s="451" t="inlineStr">
        <is>
          <t>round=3; atk=5; shield=10</t>
        </is>
      </c>
      <c r="I29" s="451" t="inlineStr">
        <is>
          <t>指定回合后大幅强化。</t>
        </is>
      </c>
      <c r="J29" s="451" t="inlineStr">
        <is>
          <t>{unit} 完成蓄力，获得强化。</t>
        </is>
      </c>
      <c r="K29" s="451" t="inlineStr">
        <is>
          <t>7</t>
        </is>
      </c>
      <c r="L29" s="451" t="inlineStr">
        <is>
          <t>高</t>
        </is>
      </c>
      <c r="M29" s="451" t="inlineStr">
        <is>
          <t>正式</t>
        </is>
      </c>
      <c r="N29" s="451" t="inlineStr">
        <is>
          <t>待接入</t>
        </is>
      </c>
      <c r="O29" s="451" t="inlineStr">
        <is>
          <t>0</t>
        </is>
      </c>
      <c r="P29" s="451" t="inlineStr">
        <is>
          <t>1</t>
        </is>
      </c>
      <c r="Q29" s="451" t="inlineStr">
        <is>
          <t>0</t>
        </is>
      </c>
      <c r="R29" s="451" t="inlineStr">
        <is>
          <t>1</t>
        </is>
      </c>
      <c r="S29" s="451" t="inlineStr">
        <is>
          <t>与5回合奖励目标相容。</t>
        </is>
      </c>
    </row>
    <row r="30">
      <c r="A30" s="451" t="inlineStr">
        <is>
          <t>M27</t>
        </is>
      </c>
      <c r="B30" s="451" t="inlineStr">
        <is>
          <t>mech_consume_layers_grow</t>
        </is>
      </c>
      <c r="C30" s="451" t="inlineStr">
        <is>
          <t>吸收元素成长</t>
        </is>
      </c>
      <c r="D30" s="451" t="inlineStr">
        <is>
          <t>成长/元素</t>
        </is>
      </c>
      <c r="E30" s="451" t="inlineStr">
        <is>
          <t>宠物/怪物</t>
        </is>
      </c>
      <c r="F30" s="451" t="inlineStr">
        <is>
          <t>after_element_apply</t>
        </is>
      </c>
      <c r="G30" s="451" t="inlineStr">
        <is>
          <t>所在格有元素层</t>
        </is>
      </c>
      <c r="H30" s="451" t="inlineStr">
        <is>
          <t>element=any; atk_per_layer=1</t>
        </is>
      </c>
      <c r="I30" s="451" t="inlineStr">
        <is>
          <t>吸收格子元素层获得成长。</t>
        </is>
      </c>
      <c r="J30" s="451" t="inlineStr">
        <is>
          <t>{unit} 吸收元素，攻击提升。</t>
        </is>
      </c>
      <c r="K30" s="451" t="inlineStr">
        <is>
          <t>8</t>
        </is>
      </c>
      <c r="L30" s="451" t="inlineStr">
        <is>
          <t>高</t>
        </is>
      </c>
      <c r="M30" s="451" t="inlineStr">
        <is>
          <t>正式</t>
        </is>
      </c>
      <c r="N30" s="451" t="inlineStr">
        <is>
          <t>待接入</t>
        </is>
      </c>
      <c r="O30" s="451" t="inlineStr">
        <is>
          <t>1</t>
        </is>
      </c>
      <c r="P30" s="451" t="inlineStr">
        <is>
          <t>1</t>
        </is>
      </c>
      <c r="Q30" s="451" t="inlineStr">
        <is>
          <t>0</t>
        </is>
      </c>
      <c r="R30" s="451" t="inlineStr">
        <is>
          <t>0</t>
        </is>
      </c>
      <c r="S30" s="451" t="inlineStr">
        <is>
          <t>需元素层钩子。</t>
        </is>
      </c>
    </row>
    <row r="31">
      <c r="A31" s="451" t="inlineStr">
        <is>
          <t>M28</t>
        </is>
      </c>
      <c r="B31" s="451" t="inlineStr">
        <is>
          <t>mech_enrage_after_round</t>
        </is>
      </c>
      <c r="C31" s="451" t="inlineStr">
        <is>
          <t>回合狂暴</t>
        </is>
      </c>
      <c r="D31" s="451" t="inlineStr">
        <is>
          <t>成长/波次</t>
        </is>
      </c>
      <c r="E31" s="451" t="inlineStr">
        <is>
          <t>怪物/首领</t>
        </is>
      </c>
      <c r="F31" s="451" t="inlineStr">
        <is>
          <t>round_start</t>
        </is>
      </c>
      <c r="G31" s="451" t="inlineStr">
        <is>
          <t>当前回合&gt;=阈值</t>
        </is>
      </c>
      <c r="H31" s="451" t="inlineStr">
        <is>
          <t>round=5; atk=3</t>
        </is>
      </c>
      <c r="I31" s="451" t="inlineStr">
        <is>
          <t>战斗拖到指定回合后强化。</t>
        </is>
      </c>
      <c r="J31" s="451" t="inlineStr">
        <is>
          <t>{unit} 因战斗拖延进入狂暴。</t>
        </is>
      </c>
      <c r="K31" s="451" t="inlineStr">
        <is>
          <t>7</t>
        </is>
      </c>
      <c r="L31" s="451" t="inlineStr">
        <is>
          <t>高</t>
        </is>
      </c>
      <c r="M31" s="451" t="inlineStr">
        <is>
          <t>正式</t>
        </is>
      </c>
      <c r="N31" s="451" t="inlineStr">
        <is>
          <t>待接入</t>
        </is>
      </c>
      <c r="O31" s="451" t="inlineStr">
        <is>
          <t>0</t>
        </is>
      </c>
      <c r="P31" s="451" t="inlineStr">
        <is>
          <t>1</t>
        </is>
      </c>
      <c r="Q31" s="451" t="inlineStr">
        <is>
          <t>0</t>
        </is>
      </c>
      <c r="R31" s="451" t="inlineStr">
        <is>
          <t>1</t>
        </is>
      </c>
      <c r="S31" s="451" t="inlineStr">
        <is>
          <t>压缩战斗节奏。</t>
        </is>
      </c>
    </row>
    <row r="32">
      <c r="A32" s="451" t="inlineStr">
        <is>
          <t>M29</t>
        </is>
      </c>
      <c r="B32" s="451" t="inlineStr">
        <is>
          <t>mech_second_phase</t>
        </is>
      </c>
      <c r="C32" s="451" t="inlineStr">
        <is>
          <t>二阶段转化</t>
        </is>
      </c>
      <c r="D32" s="451" t="inlineStr">
        <is>
          <t>成长/首领</t>
        </is>
      </c>
      <c r="E32" s="451" t="inlineStr">
        <is>
          <t>首领/精英</t>
        </is>
      </c>
      <c r="F32" s="451" t="inlineStr">
        <is>
          <t>after_damage</t>
        </is>
      </c>
      <c r="G32" s="451" t="inlineStr">
        <is>
          <t>HP低于阈值</t>
        </is>
      </c>
      <c r="H32" s="451" t="inlineStr">
        <is>
          <t>hp_pct=0.5; new_mech=mech_rage_low_hp</t>
        </is>
      </c>
      <c r="I32" s="451" t="inlineStr">
        <is>
          <t>进入第二阶段并切换机制。</t>
        </is>
      </c>
      <c r="J32" s="451" t="inlineStr">
        <is>
          <t>{unit} 进入第二阶段。</t>
        </is>
      </c>
      <c r="K32" s="451" t="inlineStr">
        <is>
          <t>10</t>
        </is>
      </c>
      <c r="L32" s="451" t="inlineStr">
        <is>
          <t>高</t>
        </is>
      </c>
      <c r="M32" s="451" t="inlineStr">
        <is>
          <t>正式</t>
        </is>
      </c>
      <c r="N32" s="451" t="inlineStr">
        <is>
          <t>待接入</t>
        </is>
      </c>
      <c r="O32" s="451" t="inlineStr">
        <is>
          <t>0</t>
        </is>
      </c>
      <c r="P32" s="451" t="inlineStr">
        <is>
          <t>1</t>
        </is>
      </c>
      <c r="Q32" s="451" t="inlineStr">
        <is>
          <t>0</t>
        </is>
      </c>
      <c r="R32" s="451" t="inlineStr">
        <is>
          <t>1</t>
        </is>
      </c>
      <c r="S32" s="451" t="inlineStr">
        <is>
          <t>首领核心机制。</t>
        </is>
      </c>
    </row>
    <row r="33">
      <c r="A33" s="451" t="inlineStr">
        <is>
          <t>M30</t>
        </is>
      </c>
      <c r="B33" s="451" t="inlineStr">
        <is>
          <t>mech_scale_with_allies</t>
        </is>
      </c>
      <c r="C33" s="451" t="inlineStr">
        <is>
          <t>随同伴成长</t>
        </is>
      </c>
      <c r="D33" s="451" t="inlineStr">
        <is>
          <t>成长/群怪</t>
        </is>
      </c>
      <c r="E33" s="451" t="inlineStr">
        <is>
          <t>怪物</t>
        </is>
      </c>
      <c r="F33" s="451" t="inlineStr">
        <is>
          <t>round_start</t>
        </is>
      </c>
      <c r="G33" s="451" t="inlineStr">
        <is>
          <t>同阵营存活数量&gt;1</t>
        </is>
      </c>
      <c r="H33" s="451" t="inlineStr">
        <is>
          <t>atk_per_ally=1; shield_per_ally=1</t>
        </is>
      </c>
      <c r="I33" s="451" t="inlineStr">
        <is>
          <t>同伴越多越强。</t>
        </is>
      </c>
      <c r="J33" s="451" t="inlineStr">
        <is>
          <t>{unit} 因同伴获得强化。</t>
        </is>
      </c>
      <c r="K33" s="451" t="inlineStr">
        <is>
          <t>7</t>
        </is>
      </c>
      <c r="L33" s="451" t="inlineStr">
        <is>
          <t>中</t>
        </is>
      </c>
      <c r="M33" s="451" t="inlineStr">
        <is>
          <t>正式</t>
        </is>
      </c>
      <c r="N33" s="451" t="inlineStr">
        <is>
          <t>待接入</t>
        </is>
      </c>
      <c r="O33" s="451" t="inlineStr">
        <is>
          <t>0</t>
        </is>
      </c>
      <c r="P33" s="451" t="inlineStr">
        <is>
          <t>1</t>
        </is>
      </c>
      <c r="Q33" s="451" t="inlineStr">
        <is>
          <t>0</t>
        </is>
      </c>
      <c r="R33" s="451" t="inlineStr">
        <is>
          <t>1</t>
        </is>
      </c>
      <c r="S33" s="451" t="inlineStr">
        <is>
          <t>鼓励先清小怪。</t>
        </is>
      </c>
    </row>
    <row r="34">
      <c r="A34" s="451" t="inlineStr">
        <is>
          <t>M31</t>
        </is>
      </c>
      <c r="B34" s="451" t="inlineStr">
        <is>
          <t>mech_summon_each_round</t>
        </is>
      </c>
      <c r="C34" s="451" t="inlineStr">
        <is>
          <t>每回合召唤</t>
        </is>
      </c>
      <c r="D34" s="451" t="inlineStr">
        <is>
          <t>召唤/分裂</t>
        </is>
      </c>
      <c r="E34" s="451" t="inlineStr">
        <is>
          <t>怪物/首领</t>
        </is>
      </c>
      <c r="F34" s="451" t="inlineStr">
        <is>
          <t>round_start</t>
        </is>
      </c>
      <c r="G34" s="451" t="inlineStr">
        <is>
          <t>召唤位可用</t>
        </is>
      </c>
      <c r="H34" s="451" t="inlineStr">
        <is>
          <t>summon=mon_swarm_plain_01; count=1</t>
        </is>
      </c>
      <c r="I34" s="451" t="inlineStr">
        <is>
          <t>每回合召唤小怪。</t>
        </is>
      </c>
      <c r="J34" s="451" t="inlineStr">
        <is>
          <t>{unit} 召唤 {count} 个单位。</t>
        </is>
      </c>
      <c r="K34" s="451" t="inlineStr">
        <is>
          <t>8</t>
        </is>
      </c>
      <c r="L34" s="451" t="inlineStr">
        <is>
          <t>高</t>
        </is>
      </c>
      <c r="M34" s="451" t="inlineStr">
        <is>
          <t>正式</t>
        </is>
      </c>
      <c r="N34" s="451" t="inlineStr">
        <is>
          <t>待接入</t>
        </is>
      </c>
      <c r="O34" s="451" t="inlineStr">
        <is>
          <t>0</t>
        </is>
      </c>
      <c r="P34" s="451" t="inlineStr">
        <is>
          <t>1</t>
        </is>
      </c>
      <c r="Q34" s="451" t="inlineStr">
        <is>
          <t>0</t>
        </is>
      </c>
      <c r="R34" s="451" t="inlineStr">
        <is>
          <t>1</t>
        </is>
      </c>
      <c r="S34" s="451" t="inlineStr">
        <is>
          <t>核心召唤压力。</t>
        </is>
      </c>
    </row>
    <row r="35">
      <c r="A35" s="451" t="inlineStr">
        <is>
          <t>M32</t>
        </is>
      </c>
      <c r="B35" s="451" t="inlineStr">
        <is>
          <t>mech_death_summon</t>
        </is>
      </c>
      <c r="C35" s="451" t="inlineStr">
        <is>
          <t>死亡召唤</t>
        </is>
      </c>
      <c r="D35" s="451" t="inlineStr">
        <is>
          <t>召唤/分裂</t>
        </is>
      </c>
      <c r="E35" s="451" t="inlineStr">
        <is>
          <t>宠物/怪物</t>
        </is>
      </c>
      <c r="F35" s="451" t="inlineStr">
        <is>
          <t>on_death</t>
        </is>
      </c>
      <c r="G35" s="451" t="inlineStr">
        <is>
          <t>死亡时</t>
        </is>
      </c>
      <c r="H35" s="451" t="inlineStr">
        <is>
          <t>summon=mon_swarm_plain_01; count=2</t>
        </is>
      </c>
      <c r="I35" s="451" t="inlineStr">
        <is>
          <t>死亡后召唤单位。</t>
        </is>
      </c>
      <c r="J35" s="451" t="inlineStr">
        <is>
          <t>{unit} 死亡后留下 {count} 个单位。</t>
        </is>
      </c>
      <c r="K35" s="451" t="inlineStr">
        <is>
          <t>7</t>
        </is>
      </c>
      <c r="L35" s="451" t="inlineStr">
        <is>
          <t>高</t>
        </is>
      </c>
      <c r="M35" s="451" t="inlineStr">
        <is>
          <t>正式</t>
        </is>
      </c>
      <c r="N35" s="451" t="inlineStr">
        <is>
          <t>待接入</t>
        </is>
      </c>
      <c r="O35" s="451" t="inlineStr">
        <is>
          <t>1</t>
        </is>
      </c>
      <c r="P35" s="451" t="inlineStr">
        <is>
          <t>1</t>
        </is>
      </c>
      <c r="Q35" s="451" t="inlineStr">
        <is>
          <t>0</t>
        </is>
      </c>
      <c r="R35" s="451" t="inlineStr">
        <is>
          <t>1</t>
        </is>
      </c>
      <c r="S35" s="451" t="inlineStr">
        <is>
          <t>适合分裂怪。</t>
        </is>
      </c>
    </row>
    <row r="36">
      <c r="A36" s="451" t="inlineStr">
        <is>
          <t>M33</t>
        </is>
      </c>
      <c r="B36" s="451" t="inlineStr">
        <is>
          <t>mech_split_into_minions</t>
        </is>
      </c>
      <c r="C36" s="451" t="inlineStr">
        <is>
          <t>分裂小怪</t>
        </is>
      </c>
      <c r="D36" s="451" t="inlineStr">
        <is>
          <t>召唤/分裂</t>
        </is>
      </c>
      <c r="E36" s="451" t="inlineStr">
        <is>
          <t>怪物</t>
        </is>
      </c>
      <c r="F36" s="451" t="inlineStr">
        <is>
          <t>on_death</t>
        </is>
      </c>
      <c r="G36" s="451" t="inlineStr">
        <is>
          <t>体型&gt;=中型</t>
        </is>
      </c>
      <c r="H36" s="451" t="inlineStr">
        <is>
          <t>count=2; hp_pct=0.4</t>
        </is>
      </c>
      <c r="I36" s="451" t="inlineStr">
        <is>
          <t>死亡分裂成多只小怪。</t>
        </is>
      </c>
      <c r="J36" s="451" t="inlineStr">
        <is>
          <t>{unit} 分裂成 {count} 只小怪。</t>
        </is>
      </c>
      <c r="K36" s="451" t="inlineStr">
        <is>
          <t>8</t>
        </is>
      </c>
      <c r="L36" s="451" t="inlineStr">
        <is>
          <t>高</t>
        </is>
      </c>
      <c r="M36" s="451" t="inlineStr">
        <is>
          <t>正式</t>
        </is>
      </c>
      <c r="N36" s="451" t="inlineStr">
        <is>
          <t>待接入</t>
        </is>
      </c>
      <c r="O36" s="451" t="inlineStr">
        <is>
          <t>0</t>
        </is>
      </c>
      <c r="P36" s="451" t="inlineStr">
        <is>
          <t>1</t>
        </is>
      </c>
      <c r="Q36" s="451" t="inlineStr">
        <is>
          <t>0</t>
        </is>
      </c>
      <c r="R36" s="451" t="inlineStr">
        <is>
          <t>1</t>
        </is>
      </c>
      <c r="S36" s="451" t="inlineStr">
        <is>
          <t>杀戮尖塔史莱姆方向。</t>
        </is>
      </c>
    </row>
    <row r="37">
      <c r="A37" s="451" t="inlineStr">
        <is>
          <t>M34</t>
        </is>
      </c>
      <c r="B37" s="451" t="inlineStr">
        <is>
          <t>mech_summon_on_empty_cell</t>
        </is>
      </c>
      <c r="C37" s="451" t="inlineStr">
        <is>
          <t>空格召唤</t>
        </is>
      </c>
      <c r="D37" s="451" t="inlineStr">
        <is>
          <t>召唤/元素</t>
        </is>
      </c>
      <c r="E37" s="451" t="inlineStr">
        <is>
          <t>宠物</t>
        </is>
      </c>
      <c r="F37" s="451" t="inlineStr">
        <is>
          <t>after_element_apply</t>
        </is>
      </c>
      <c r="G37" s="451" t="inlineStr">
        <is>
          <t>目标格为空且有元素</t>
        </is>
      </c>
      <c r="H37" s="451" t="inlineStr">
        <is>
          <t>summon=ally_sprite; hp=6</t>
        </is>
      </c>
      <c r="I37" s="451" t="inlineStr">
        <is>
          <t>在元素格生成召唤物。</t>
        </is>
      </c>
      <c r="J37" s="451" t="inlineStr">
        <is>
          <t>{unit} 在元素格召唤小灵。</t>
        </is>
      </c>
      <c r="K37" s="451" t="inlineStr">
        <is>
          <t>6</t>
        </is>
      </c>
      <c r="L37" s="451" t="inlineStr">
        <is>
          <t>中</t>
        </is>
      </c>
      <c r="M37" s="451" t="inlineStr">
        <is>
          <t>正式</t>
        </is>
      </c>
      <c r="N37" s="451" t="inlineStr">
        <is>
          <t>待接入</t>
        </is>
      </c>
      <c r="O37" s="451" t="inlineStr">
        <is>
          <t>1</t>
        </is>
      </c>
      <c r="P37" s="451" t="inlineStr">
        <is>
          <t>0</t>
        </is>
      </c>
      <c r="Q37" s="451" t="inlineStr">
        <is>
          <t>0</t>
        </is>
      </c>
      <c r="R37" s="451" t="inlineStr">
        <is>
          <t>0</t>
        </is>
      </c>
      <c r="S37" s="451" t="inlineStr">
        <is>
          <t>对应召芽灵方向。</t>
        </is>
      </c>
    </row>
    <row r="38">
      <c r="A38" s="451" t="inlineStr">
        <is>
          <t>M35</t>
        </is>
      </c>
      <c r="B38" s="451" t="inlineStr">
        <is>
          <t>mech_copy_weak_self</t>
        </is>
      </c>
      <c r="C38" s="451" t="inlineStr">
        <is>
          <t>复制弱化体</t>
        </is>
      </c>
      <c r="D38" s="451" t="inlineStr">
        <is>
          <t>召唤/复制</t>
        </is>
      </c>
      <c r="E38" s="451" t="inlineStr">
        <is>
          <t>宠物/怪物</t>
        </is>
      </c>
      <c r="F38" s="451" t="inlineStr">
        <is>
          <t>after_action</t>
        </is>
      </c>
      <c r="G38" s="451" t="inlineStr">
        <is>
          <t>满足冷却</t>
        </is>
      </c>
      <c r="H38" s="451" t="inlineStr">
        <is>
          <t>count=1; hp_pct=0.5; atk_pct=0.5</t>
        </is>
      </c>
      <c r="I38" s="451" t="inlineStr">
        <is>
          <t>复制一个弱化自身。</t>
        </is>
      </c>
      <c r="J38" s="451" t="inlineStr">
        <is>
          <t>{unit} 复制出一个弱化体。</t>
        </is>
      </c>
      <c r="K38" s="451" t="inlineStr">
        <is>
          <t>9</t>
        </is>
      </c>
      <c r="L38" s="451" t="inlineStr">
        <is>
          <t>高</t>
        </is>
      </c>
      <c r="M38" s="451" t="inlineStr">
        <is>
          <t>正式</t>
        </is>
      </c>
      <c r="N38" s="451" t="inlineStr">
        <is>
          <t>待接入</t>
        </is>
      </c>
      <c r="O38" s="451" t="inlineStr">
        <is>
          <t>1</t>
        </is>
      </c>
      <c r="P38" s="451" t="inlineStr">
        <is>
          <t>1</t>
        </is>
      </c>
      <c r="Q38" s="451" t="inlineStr">
        <is>
          <t>0</t>
        </is>
      </c>
      <c r="R38" s="451" t="inlineStr">
        <is>
          <t>0</t>
        </is>
      </c>
      <c r="S38" s="451" t="inlineStr">
        <is>
          <t>高风险强反馈。</t>
        </is>
      </c>
    </row>
    <row r="39">
      <c r="A39" s="451" t="inlineStr">
        <is>
          <t>M36</t>
        </is>
      </c>
      <c r="B39" s="451" t="inlineStr">
        <is>
          <t>mech_summon_wall</t>
        </is>
      </c>
      <c r="C39" s="451" t="inlineStr">
        <is>
          <t>召唤障碍</t>
        </is>
      </c>
      <c r="D39" s="451" t="inlineStr">
        <is>
          <t>召唤/地形</t>
        </is>
      </c>
      <c r="E39" s="451" t="inlineStr">
        <is>
          <t>宠物/怪物</t>
        </is>
      </c>
      <c r="F39" s="451" t="inlineStr">
        <is>
          <t>after_action</t>
        </is>
      </c>
      <c r="G39" s="451" t="inlineStr">
        <is>
          <t>指定格可放置</t>
        </is>
      </c>
      <c r="H39" s="451" t="inlineStr">
        <is>
          <t>hp=8; duration=2</t>
        </is>
      </c>
      <c r="I39" s="451" t="inlineStr">
        <is>
          <t>召唤可阻挡单位的障碍。</t>
        </is>
      </c>
      <c r="J39" s="451" t="inlineStr">
        <is>
          <t>{unit} 召唤障碍。</t>
        </is>
      </c>
      <c r="K39" s="451" t="inlineStr">
        <is>
          <t>6</t>
        </is>
      </c>
      <c r="L39" s="451" t="inlineStr">
        <is>
          <t>中</t>
        </is>
      </c>
      <c r="M39" s="451" t="inlineStr">
        <is>
          <t>正式</t>
        </is>
      </c>
      <c r="N39" s="451" t="inlineStr">
        <is>
          <t>待接入</t>
        </is>
      </c>
      <c r="O39" s="451" t="inlineStr">
        <is>
          <t>1</t>
        </is>
      </c>
      <c r="P39" s="451" t="inlineStr">
        <is>
          <t>1</t>
        </is>
      </c>
      <c r="Q39" s="451" t="inlineStr">
        <is>
          <t>0</t>
        </is>
      </c>
      <c r="R39" s="451" t="inlineStr">
        <is>
          <t>0</t>
        </is>
      </c>
      <c r="S39" s="451" t="inlineStr">
        <is>
          <t>需要单位/地形层区分。</t>
        </is>
      </c>
    </row>
    <row r="40">
      <c r="A40" s="451" t="inlineStr">
        <is>
          <t>M37</t>
        </is>
      </c>
      <c r="B40" s="451" t="inlineStr">
        <is>
          <t>mech_summon_trap</t>
        </is>
      </c>
      <c r="C40" s="451" t="inlineStr">
        <is>
          <t>生成陷阱</t>
        </is>
      </c>
      <c r="D40" s="451" t="inlineStr">
        <is>
          <t>召唤/陷阱</t>
        </is>
      </c>
      <c r="E40" s="451" t="inlineStr">
        <is>
          <t>宠物/怪物</t>
        </is>
      </c>
      <c r="F40" s="451" t="inlineStr">
        <is>
          <t>after_action</t>
        </is>
      </c>
      <c r="G40" s="451" t="inlineStr">
        <is>
          <t>目标格可放陷阱</t>
        </is>
      </c>
      <c r="H40" s="451" t="inlineStr">
        <is>
          <t>element=fire; layers=2</t>
        </is>
      </c>
      <c r="I40" s="451" t="inlineStr">
        <is>
          <t>在格子生成元素陷阱。</t>
        </is>
      </c>
      <c r="J40" s="451" t="inlineStr">
        <is>
          <t>{unit} 生成 {element} 陷阱。</t>
        </is>
      </c>
      <c r="K40" s="451" t="inlineStr">
        <is>
          <t>6</t>
        </is>
      </c>
      <c r="L40" s="451" t="inlineStr">
        <is>
          <t>中</t>
        </is>
      </c>
      <c r="M40" s="451" t="inlineStr">
        <is>
          <t>正式</t>
        </is>
      </c>
      <c r="N40" s="451" t="inlineStr">
        <is>
          <t>待接入</t>
        </is>
      </c>
      <c r="O40" s="451" t="inlineStr">
        <is>
          <t>1</t>
        </is>
      </c>
      <c r="P40" s="451" t="inlineStr">
        <is>
          <t>1</t>
        </is>
      </c>
      <c r="Q40" s="451" t="inlineStr">
        <is>
          <t>0</t>
        </is>
      </c>
      <c r="R40" s="451" t="inlineStr">
        <is>
          <t>0</t>
        </is>
      </c>
      <c r="S40" s="451" t="inlineStr">
        <is>
          <t>和陷阱层规则联动。</t>
        </is>
      </c>
    </row>
    <row r="41">
      <c r="A41" s="451" t="inlineStr">
        <is>
          <t>M38</t>
        </is>
      </c>
      <c r="B41" s="451" t="inlineStr">
        <is>
          <t>mech_summon_when_hit</t>
        </is>
      </c>
      <c r="C41" s="451" t="inlineStr">
        <is>
          <t>受击分裂</t>
        </is>
      </c>
      <c r="D41" s="451" t="inlineStr">
        <is>
          <t>召唤/反击</t>
        </is>
      </c>
      <c r="E41" s="451" t="inlineStr">
        <is>
          <t>怪物</t>
        </is>
      </c>
      <c r="F41" s="451" t="inlineStr">
        <is>
          <t>after_hit</t>
        </is>
      </c>
      <c r="G41" s="451" t="inlineStr">
        <is>
          <t>每回合一次</t>
        </is>
      </c>
      <c r="H41" s="451" t="inlineStr">
        <is>
          <t>summon=mon_swarm_plain_01; count=1</t>
        </is>
      </c>
      <c r="I41" s="451" t="inlineStr">
        <is>
          <t>受击后分裂出小怪。</t>
        </is>
      </c>
      <c r="J41" s="451" t="inlineStr">
        <is>
          <t>{unit} 受击分裂出小怪。</t>
        </is>
      </c>
      <c r="K41" s="451" t="inlineStr">
        <is>
          <t>8</t>
        </is>
      </c>
      <c r="L41" s="451" t="inlineStr">
        <is>
          <t>高</t>
        </is>
      </c>
      <c r="M41" s="451" t="inlineStr">
        <is>
          <t>正式</t>
        </is>
      </c>
      <c r="N41" s="451" t="inlineStr">
        <is>
          <t>待接入</t>
        </is>
      </c>
      <c r="O41" s="451" t="inlineStr">
        <is>
          <t>0</t>
        </is>
      </c>
      <c r="P41" s="451" t="inlineStr">
        <is>
          <t>1</t>
        </is>
      </c>
      <c r="Q41" s="451" t="inlineStr">
        <is>
          <t>0</t>
        </is>
      </c>
      <c r="R41" s="451" t="inlineStr">
        <is>
          <t>1</t>
        </is>
      </c>
      <c r="S41" s="451" t="inlineStr">
        <is>
          <t>比受击召唤更偏群压。</t>
        </is>
      </c>
    </row>
    <row r="42">
      <c r="A42" s="451" t="inlineStr">
        <is>
          <t>M39</t>
        </is>
      </c>
      <c r="B42" s="451" t="inlineStr">
        <is>
          <t>mech_summon_after_kill</t>
        </is>
      </c>
      <c r="C42" s="451" t="inlineStr">
        <is>
          <t>击杀召唤</t>
        </is>
      </c>
      <c r="D42" s="451" t="inlineStr">
        <is>
          <t>召唤/成长</t>
        </is>
      </c>
      <c r="E42" s="451" t="inlineStr">
        <is>
          <t>宠物/怪物</t>
        </is>
      </c>
      <c r="F42" s="451" t="inlineStr">
        <is>
          <t>after_kill</t>
        </is>
      </c>
      <c r="G42" s="451" t="inlineStr">
        <is>
          <t>击杀目标</t>
        </is>
      </c>
      <c r="H42" s="451" t="inlineStr">
        <is>
          <t>summon=ally_sprite; count=1</t>
        </is>
      </c>
      <c r="I42" s="451" t="inlineStr">
        <is>
          <t>击杀后召唤单位。</t>
        </is>
      </c>
      <c r="J42" s="451" t="inlineStr">
        <is>
          <t>{unit} 击杀后召唤援军。</t>
        </is>
      </c>
      <c r="K42" s="451" t="inlineStr">
        <is>
          <t>7</t>
        </is>
      </c>
      <c r="L42" s="451" t="inlineStr">
        <is>
          <t>中</t>
        </is>
      </c>
      <c r="M42" s="451" t="inlineStr">
        <is>
          <t>正式</t>
        </is>
      </c>
      <c r="N42" s="451" t="inlineStr">
        <is>
          <t>待接入</t>
        </is>
      </c>
      <c r="O42" s="451" t="inlineStr">
        <is>
          <t>1</t>
        </is>
      </c>
      <c r="P42" s="451" t="inlineStr">
        <is>
          <t>1</t>
        </is>
      </c>
      <c r="Q42" s="451" t="inlineStr">
        <is>
          <t>0</t>
        </is>
      </c>
      <c r="R42" s="451" t="inlineStr">
        <is>
          <t>0</t>
        </is>
      </c>
      <c r="S42" s="451" t="inlineStr">
        <is>
          <t>适合爽感滚雪球。</t>
        </is>
      </c>
    </row>
    <row r="43">
      <c r="A43" s="451" t="inlineStr">
        <is>
          <t>M40</t>
        </is>
      </c>
      <c r="B43" s="451" t="inlineStr">
        <is>
          <t>mech_hatch_after_rounds</t>
        </is>
      </c>
      <c r="C43" s="451" t="inlineStr">
        <is>
          <t>孵化倒计时</t>
        </is>
      </c>
      <c r="D43" s="451" t="inlineStr">
        <is>
          <t>召唤/倒计时</t>
        </is>
      </c>
      <c r="E43" s="451" t="inlineStr">
        <is>
          <t>怪物/事件</t>
        </is>
      </c>
      <c r="F43" s="451" t="inlineStr">
        <is>
          <t>round_end</t>
        </is>
      </c>
      <c r="G43" s="451" t="inlineStr">
        <is>
          <t>倒计时归零</t>
        </is>
      </c>
      <c r="H43" s="451" t="inlineStr">
        <is>
          <t>rounds=3; summon=mon_elite_egg</t>
        </is>
      </c>
      <c r="I43" s="451" t="inlineStr">
        <is>
          <t>若未提前击破，孵化成更强单位。</t>
        </is>
      </c>
      <c r="J43" s="451" t="inlineStr">
        <is>
          <t>{unit} 孵化完成。</t>
        </is>
      </c>
      <c r="K43" s="451" t="inlineStr">
        <is>
          <t>8</t>
        </is>
      </c>
      <c r="L43" s="451" t="inlineStr">
        <is>
          <t>高</t>
        </is>
      </c>
      <c r="M43" s="451" t="inlineStr">
        <is>
          <t>正式</t>
        </is>
      </c>
      <c r="N43" s="451" t="inlineStr">
        <is>
          <t>待接入</t>
        </is>
      </c>
      <c r="O43" s="451" t="inlineStr">
        <is>
          <t>0</t>
        </is>
      </c>
      <c r="P43" s="451" t="inlineStr">
        <is>
          <t>1</t>
        </is>
      </c>
      <c r="Q43" s="451" t="inlineStr">
        <is>
          <t>1</t>
        </is>
      </c>
      <c r="R43" s="451" t="inlineStr">
        <is>
          <t>1</t>
        </is>
      </c>
      <c r="S43" s="451" t="inlineStr">
        <is>
          <t>非常适合事件怪/蛋。</t>
        </is>
      </c>
    </row>
    <row r="44">
      <c r="A44" s="451" t="inlineStr">
        <is>
          <t>M41</t>
        </is>
      </c>
      <c r="B44" s="451" t="inlineStr">
        <is>
          <t>mech_fire_ignite_bonus</t>
        </is>
      </c>
      <c r="C44" s="451" t="inlineStr">
        <is>
          <t>火层增伤</t>
        </is>
      </c>
      <c r="D44" s="451" t="inlineStr">
        <is>
          <t>元素/火</t>
        </is>
      </c>
      <c r="E44" s="451" t="inlineStr">
        <is>
          <t>宠物/怪物</t>
        </is>
      </c>
      <c r="F44" s="451" t="inlineStr">
        <is>
          <t>element_damage</t>
        </is>
      </c>
      <c r="G44" s="451" t="inlineStr">
        <is>
          <t>火层结算</t>
        </is>
      </c>
      <c r="H44" s="451" t="inlineStr">
        <is>
          <t>per_layer=1</t>
        </is>
      </c>
      <c r="I44" s="451" t="inlineStr">
        <is>
          <t>火元素层结算额外增伤。</t>
        </is>
      </c>
      <c r="J44" s="451" t="inlineStr">
        <is>
          <t>火焰增强，额外造成 {bonus} 伤害。</t>
        </is>
      </c>
      <c r="K44" s="451" t="inlineStr">
        <is>
          <t>5</t>
        </is>
      </c>
      <c r="L44" s="451" t="inlineStr">
        <is>
          <t>中</t>
        </is>
      </c>
      <c r="M44" s="451" t="inlineStr">
        <is>
          <t>正式</t>
        </is>
      </c>
      <c r="N44" s="451" t="inlineStr">
        <is>
          <t>可接入</t>
        </is>
      </c>
      <c r="O44" s="451" t="inlineStr">
        <is>
          <t>1</t>
        </is>
      </c>
      <c r="P44" s="451" t="inlineStr">
        <is>
          <t>1</t>
        </is>
      </c>
      <c r="Q44" s="451" t="inlineStr">
        <is>
          <t>0</t>
        </is>
      </c>
      <c r="R44" s="451" t="inlineStr">
        <is>
          <t>0</t>
        </is>
      </c>
      <c r="S44" s="451" t="inlineStr">
        <is>
          <t>火系基础词条。</t>
        </is>
      </c>
    </row>
    <row r="45">
      <c r="A45" s="451" t="inlineStr">
        <is>
          <t>M42</t>
        </is>
      </c>
      <c r="B45" s="451" t="inlineStr">
        <is>
          <t>mech_water_heal_on_layer</t>
        </is>
      </c>
      <c r="C45" s="451" t="inlineStr">
        <is>
          <t>水层治疗</t>
        </is>
      </c>
      <c r="D45" s="451" t="inlineStr">
        <is>
          <t>元素/水</t>
        </is>
      </c>
      <c r="E45" s="451" t="inlineStr">
        <is>
          <t>宠物</t>
        </is>
      </c>
      <c r="F45" s="451" t="inlineStr">
        <is>
          <t>after_element_apply</t>
        </is>
      </c>
      <c r="G45" s="451" t="inlineStr">
        <is>
          <t>施加水层</t>
        </is>
      </c>
      <c r="H45" s="451" t="inlineStr">
        <is>
          <t>heal_per_layer=1</t>
        </is>
      </c>
      <c r="I45" s="451" t="inlineStr">
        <is>
          <t>施加水层时治疗友方。</t>
        </is>
      </c>
      <c r="J45" s="451" t="inlineStr">
        <is>
          <t>水流治疗 {heal} 点。</t>
        </is>
      </c>
      <c r="K45" s="451" t="inlineStr">
        <is>
          <t>5</t>
        </is>
      </c>
      <c r="L45" s="451" t="inlineStr">
        <is>
          <t>中</t>
        </is>
      </c>
      <c r="M45" s="451" t="inlineStr">
        <is>
          <t>正式</t>
        </is>
      </c>
      <c r="N45" s="451" t="inlineStr">
        <is>
          <t>待接入</t>
        </is>
      </c>
      <c r="O45" s="451" t="inlineStr">
        <is>
          <t>1</t>
        </is>
      </c>
      <c r="P45" s="451" t="inlineStr">
        <is>
          <t>0</t>
        </is>
      </c>
      <c r="Q45" s="451" t="inlineStr">
        <is>
          <t>0</t>
        </is>
      </c>
      <c r="R45" s="451" t="inlineStr">
        <is>
          <t>0</t>
        </is>
      </c>
      <c r="S45" s="451" t="inlineStr">
        <is>
          <t>水系基础词条。</t>
        </is>
      </c>
    </row>
    <row r="46">
      <c r="A46" s="451" t="inlineStr">
        <is>
          <t>M43</t>
        </is>
      </c>
      <c r="B46" s="451" t="inlineStr">
        <is>
          <t>mech_wind_push_on_hit</t>
        </is>
      </c>
      <c r="C46" s="451" t="inlineStr">
        <is>
          <t>元素推拉</t>
        </is>
      </c>
      <c r="D46" s="451" t="inlineStr">
        <is>
          <t>元素/通用</t>
        </is>
      </c>
      <c r="E46" s="451" t="inlineStr">
        <is>
          <t>宠物/怪物</t>
        </is>
      </c>
      <c r="F46" s="451" t="inlineStr">
        <is>
          <t>after_hit</t>
        </is>
      </c>
      <c r="G46" s="451" t="inlineStr">
        <is>
          <t>指定元素命中(element 参数为空时任意元素)</t>
        </is>
      </c>
      <c r="H46" s="451" t="inlineStr">
        <is>
          <t>element=火; distance=1</t>
        </is>
      </c>
      <c r="I46" s="451" t="inlineStr">
        <is>
          <t>命中后按攻击方向推开/拉动目标。</t>
        </is>
      </c>
      <c r="J46" s="451" t="inlineStr">
        <is>
          <t>{element}元素推动目标 {distance} 格。</t>
        </is>
      </c>
      <c r="K46" s="451" t="inlineStr">
        <is>
          <t>6</t>
        </is>
      </c>
      <c r="L46" s="451" t="inlineStr">
        <is>
          <t>中</t>
        </is>
      </c>
      <c r="M46" s="451" t="inlineStr">
        <is>
          <t>正式</t>
        </is>
      </c>
      <c r="N46" s="451" t="inlineStr">
        <is>
          <t>可接入</t>
        </is>
      </c>
      <c r="O46" s="451" t="inlineStr">
        <is>
          <t>1</t>
        </is>
      </c>
      <c r="P46" s="451" t="inlineStr">
        <is>
          <t>1</t>
        </is>
      </c>
      <c r="Q46" s="451" t="inlineStr">
        <is>
          <t>0</t>
        </is>
      </c>
      <c r="R46" s="451" t="inlineStr">
        <is>
          <t>0</t>
        </is>
      </c>
      <c r="S46" s="451" t="inlineStr">
        <is>
          <t>兼容旧机制ID；适配九系与双属性；第一套黑角犀以 element=火 接入。</t>
        </is>
      </c>
    </row>
    <row r="47">
      <c r="A47" s="451" t="inlineStr">
        <is>
          <t>M44</t>
        </is>
      </c>
      <c r="B47" s="451" t="inlineStr">
        <is>
          <t>mech_earth_shield_on_layer</t>
        </is>
      </c>
      <c r="C47" s="451" t="inlineStr">
        <is>
          <t>元素层护盾</t>
        </is>
      </c>
      <c r="D47" s="451" t="inlineStr">
        <is>
          <t>元素/通用</t>
        </is>
      </c>
      <c r="E47" s="451" t="inlineStr">
        <is>
          <t>宠物</t>
        </is>
      </c>
      <c r="F47" s="451" t="inlineStr">
        <is>
          <t>after_element_apply</t>
        </is>
      </c>
      <c r="G47" s="451" t="inlineStr">
        <is>
          <t>施加任意元素层</t>
        </is>
      </c>
      <c r="H47" s="451" t="inlineStr">
        <is>
          <t>shield_per_layer=2</t>
        </is>
      </c>
      <c r="I47" s="451" t="inlineStr">
        <is>
          <t>施加元素层获得护盾。</t>
        </is>
      </c>
      <c r="J47" s="451" t="inlineStr">
        <is>
          <t>{element}元素提供 {shield} 点护盾。</t>
        </is>
      </c>
      <c r="K47" s="451" t="inlineStr">
        <is>
          <t>5</t>
        </is>
      </c>
      <c r="L47" s="451" t="inlineStr">
        <is>
          <t>中</t>
        </is>
      </c>
      <c r="M47" s="451" t="inlineStr">
        <is>
          <t>正式</t>
        </is>
      </c>
      <c r="N47" s="451" t="inlineStr">
        <is>
          <t>待接入</t>
        </is>
      </c>
      <c r="O47" s="451" t="inlineStr">
        <is>
          <t>1</t>
        </is>
      </c>
      <c r="P47" s="451" t="inlineStr">
        <is>
          <t>0</t>
        </is>
      </c>
      <c r="Q47" s="451" t="inlineStr">
        <is>
          <t>0</t>
        </is>
      </c>
      <c r="R47" s="451" t="inlineStr">
        <is>
          <t>0</t>
        </is>
      </c>
      <c r="S47" s="451" t="inlineStr">
        <is>
          <t>兼容旧机制ID；适配九系与双属性。</t>
        </is>
      </c>
    </row>
    <row r="48">
      <c r="A48" s="451" t="inlineStr">
        <is>
          <t>M45</t>
        </is>
      </c>
      <c r="B48" s="451" t="inlineStr">
        <is>
          <t>mech_multi_element_bonus</t>
        </is>
      </c>
      <c r="C48" s="451" t="inlineStr">
        <is>
          <t>多元素共鸣</t>
        </is>
      </c>
      <c r="D48" s="451" t="inlineStr">
        <is>
          <t>元素/多元素</t>
        </is>
      </c>
      <c r="E48" s="451" t="inlineStr">
        <is>
          <t>宠物/怪物</t>
        </is>
      </c>
      <c r="F48" s="451" t="inlineStr">
        <is>
          <t>element_settle</t>
        </is>
      </c>
      <c r="G48" s="451" t="inlineStr">
        <is>
          <t>同格多元素&gt;=2</t>
        </is>
      </c>
      <c r="H48" s="451" t="inlineStr">
        <is>
          <t>bonus=3</t>
        </is>
      </c>
      <c r="I48" s="451" t="inlineStr">
        <is>
          <t>同格多元素结算额外效果。</t>
        </is>
      </c>
      <c r="J48" s="451" t="inlineStr">
        <is>
          <t>多元素共鸣，额外造成 {bonus}。</t>
        </is>
      </c>
      <c r="K48" s="451" t="inlineStr">
        <is>
          <t>7</t>
        </is>
      </c>
      <c r="L48" s="451" t="inlineStr">
        <is>
          <t>高</t>
        </is>
      </c>
      <c r="M48" s="451" t="inlineStr">
        <is>
          <t>正式</t>
        </is>
      </c>
      <c r="N48" s="451" t="inlineStr">
        <is>
          <t>待接入</t>
        </is>
      </c>
      <c r="O48" s="451" t="inlineStr">
        <is>
          <t>1</t>
        </is>
      </c>
      <c r="P48" s="451" t="inlineStr">
        <is>
          <t>1</t>
        </is>
      </c>
      <c r="Q48" s="451" t="inlineStr">
        <is>
          <t>0</t>
        </is>
      </c>
      <c r="R48" s="451" t="inlineStr">
        <is>
          <t>0</t>
        </is>
      </c>
      <c r="S48" s="451" t="inlineStr">
        <is>
          <t>别过早削弱。</t>
        </is>
      </c>
    </row>
    <row r="49">
      <c r="A49" s="451" t="inlineStr">
        <is>
          <t>M46</t>
        </is>
      </c>
      <c r="B49" s="451" t="inlineStr">
        <is>
          <t>mech_trap_stack_trigger</t>
        </is>
      </c>
      <c r="C49" s="451" t="inlineStr">
        <is>
          <t>陷阱叠加触发</t>
        </is>
      </c>
      <c r="D49" s="451" t="inlineStr">
        <is>
          <t>元素/陷阱</t>
        </is>
      </c>
      <c r="E49" s="451" t="inlineStr">
        <is>
          <t>宠物/怪物</t>
        </is>
      </c>
      <c r="F49" s="451" t="inlineStr">
        <is>
          <t>on_enter_cell</t>
        </is>
      </c>
      <c r="G49" s="451" t="inlineStr">
        <is>
          <t>进入陷阱格</t>
        </is>
      </c>
      <c r="H49" s="451" t="inlineStr">
        <is>
          <t>trigger_all=true</t>
        </is>
      </c>
      <c r="I49" s="451" t="inlineStr">
        <is>
          <t>踩入格子时触发该格所有元素陷阱。</t>
        </is>
      </c>
      <c r="J49" s="451" t="inlineStr">
        <is>
          <t>{unit} 踩中陷阱，触发全部元素。</t>
        </is>
      </c>
      <c r="K49" s="451" t="inlineStr">
        <is>
          <t>7</t>
        </is>
      </c>
      <c r="L49" s="451" t="inlineStr">
        <is>
          <t>高</t>
        </is>
      </c>
      <c r="M49" s="451" t="inlineStr">
        <is>
          <t>正式</t>
        </is>
      </c>
      <c r="N49" s="451" t="inlineStr">
        <is>
          <t>待接入</t>
        </is>
      </c>
      <c r="O49" s="451" t="inlineStr">
        <is>
          <t>1</t>
        </is>
      </c>
      <c r="P49" s="451" t="inlineStr">
        <is>
          <t>1</t>
        </is>
      </c>
      <c r="Q49" s="451" t="inlineStr">
        <is>
          <t>0</t>
        </is>
      </c>
      <c r="R49" s="451" t="inlineStr">
        <is>
          <t>1</t>
        </is>
      </c>
      <c r="S49" s="451" t="inlineStr">
        <is>
          <t>对应已定陷阱叠加规则。</t>
        </is>
      </c>
    </row>
    <row r="50">
      <c r="A50" s="451" t="inlineStr">
        <is>
          <t>M47</t>
        </is>
      </c>
      <c r="B50" s="451" t="inlineStr">
        <is>
          <t>mech_fire_cross_detonate_diamond</t>
        </is>
      </c>
      <c r="C50" s="451" t="inlineStr">
        <is>
          <t>火魔十字引爆</t>
        </is>
      </c>
      <c r="D50" s="451" t="inlineStr">
        <is>
          <t>元素/火</t>
        </is>
      </c>
      <c r="E50" s="451" t="inlineStr">
        <is>
          <t>钻石火魔</t>
        </is>
      </c>
      <c r="F50" s="451" t="inlineStr">
        <is>
          <t>element_explode</t>
        </is>
      </c>
      <c r="G50" s="451" t="inlineStr">
        <is>
          <t>火魔钻石且在场/背包</t>
        </is>
      </c>
      <c r="H50" s="451" t="inlineStr">
        <is>
          <t>shape=cross5</t>
        </is>
      </c>
      <c r="I50" s="451" t="inlineStr">
        <is>
          <t>火引爆改为十字五格。</t>
        </is>
      </c>
      <c r="J50" s="451" t="inlineStr">
        <is>
          <t>火魔引爆十字区域。</t>
        </is>
      </c>
      <c r="K50" s="451" t="inlineStr">
        <is>
          <t>10</t>
        </is>
      </c>
      <c r="L50" s="451" t="inlineStr">
        <is>
          <t>高</t>
        </is>
      </c>
      <c r="M50" s="451" t="inlineStr">
        <is>
          <t>正式</t>
        </is>
      </c>
      <c r="N50" s="451" t="inlineStr">
        <is>
          <t>待接入</t>
        </is>
      </c>
      <c r="O50" s="451" t="inlineStr">
        <is>
          <t>1</t>
        </is>
      </c>
      <c r="P50" s="451" t="inlineStr">
        <is>
          <t>0</t>
        </is>
      </c>
      <c r="Q50" s="451" t="inlineStr">
        <is>
          <t>0</t>
        </is>
      </c>
      <c r="R50" s="451" t="inlineStr">
        <is>
          <t>0</t>
        </is>
      </c>
      <c r="S50" s="451" t="inlineStr">
        <is>
          <t>仅钻石火魔，不得默认全局启用。</t>
        </is>
      </c>
    </row>
    <row r="51">
      <c r="A51" s="451" t="inlineStr">
        <is>
          <t>M48</t>
        </is>
      </c>
      <c r="B51" s="451" t="inlineStr">
        <is>
          <t>mech_water_cleanse_debuff</t>
        </is>
      </c>
      <c r="C51" s="451" t="inlineStr">
        <is>
          <t>水系净化</t>
        </is>
      </c>
      <c r="D51" s="451" t="inlineStr">
        <is>
          <t>元素/水</t>
        </is>
      </c>
      <c r="E51" s="451" t="inlineStr">
        <is>
          <t>宠物</t>
        </is>
      </c>
      <c r="F51" s="451" t="inlineStr">
        <is>
          <t>round_start</t>
        </is>
      </c>
      <c r="G51" s="451" t="inlineStr">
        <is>
          <t>友方有负面状态</t>
        </is>
      </c>
      <c r="H51" s="451" t="inlineStr">
        <is>
          <t>cleanse=1</t>
        </is>
      </c>
      <c r="I51" s="451" t="inlineStr">
        <is>
          <t>移除负面状态。</t>
        </is>
      </c>
      <c r="J51" s="451" t="inlineStr">
        <is>
          <t>水流净化了 {count} 个负面状态。</t>
        </is>
      </c>
      <c r="K51" s="451" t="inlineStr">
        <is>
          <t>6</t>
        </is>
      </c>
      <c r="L51" s="451" t="inlineStr">
        <is>
          <t>中</t>
        </is>
      </c>
      <c r="M51" s="451" t="inlineStr">
        <is>
          <t>正式</t>
        </is>
      </c>
      <c r="N51" s="451" t="inlineStr">
        <is>
          <t>待接入</t>
        </is>
      </c>
      <c r="O51" s="451" t="inlineStr">
        <is>
          <t>1</t>
        </is>
      </c>
      <c r="P51" s="451" t="inlineStr">
        <is>
          <t>0</t>
        </is>
      </c>
      <c r="Q51" s="451" t="inlineStr">
        <is>
          <t>0</t>
        </is>
      </c>
      <c r="R51" s="451" t="inlineStr">
        <is>
          <t>0</t>
        </is>
      </c>
      <c r="S51" s="451" t="inlineStr">
        <is>
          <t>状态系统后接。</t>
        </is>
      </c>
    </row>
    <row r="52">
      <c r="A52" s="451" t="inlineStr">
        <is>
          <t>M49</t>
        </is>
      </c>
      <c r="B52" s="451" t="inlineStr">
        <is>
          <t>mech_wind_slow_ap</t>
        </is>
      </c>
      <c r="C52" s="451" t="inlineStr">
        <is>
          <t>元素减行动</t>
        </is>
      </c>
      <c r="D52" s="451" t="inlineStr">
        <is>
          <t>元素/通用</t>
        </is>
      </c>
      <c r="E52" s="451" t="inlineStr">
        <is>
          <t>宠物/怪物</t>
        </is>
      </c>
      <c r="F52" s="451" t="inlineStr">
        <is>
          <t>after_hit</t>
        </is>
      </c>
      <c r="G52" s="451" t="inlineStr">
        <is>
          <t>任意元素命中</t>
        </is>
      </c>
      <c r="H52" s="451" t="inlineStr">
        <is>
          <t>ap_delta=-1</t>
        </is>
      </c>
      <c r="I52" s="451" t="inlineStr">
        <is>
          <t>降低目标行动力或本回合AP。</t>
        </is>
      </c>
      <c r="J52" s="451" t="inlineStr">
        <is>
          <t>{element}元素降低目标行动力。</t>
        </is>
      </c>
      <c r="K52" s="451" t="inlineStr">
        <is>
          <t>6</t>
        </is>
      </c>
      <c r="L52" s="451" t="inlineStr">
        <is>
          <t>中</t>
        </is>
      </c>
      <c r="M52" s="451" t="inlineStr">
        <is>
          <t>正式</t>
        </is>
      </c>
      <c r="N52" s="451" t="inlineStr">
        <is>
          <t>待接入</t>
        </is>
      </c>
      <c r="O52" s="451" t="inlineStr">
        <is>
          <t>1</t>
        </is>
      </c>
      <c r="P52" s="451" t="inlineStr">
        <is>
          <t>1</t>
        </is>
      </c>
      <c r="Q52" s="451" t="inlineStr">
        <is>
          <t>0</t>
        </is>
      </c>
      <c r="R52" s="451" t="inlineStr">
        <is>
          <t>0</t>
        </is>
      </c>
      <c r="S52" s="451" t="inlineStr">
        <is>
          <t>兼容旧机制ID；适配九系与双属性。</t>
        </is>
      </c>
    </row>
    <row r="53">
      <c r="A53" s="451" t="inlineStr">
        <is>
          <t>M50</t>
        </is>
      </c>
      <c r="B53" s="451" t="inlineStr">
        <is>
          <t>mech_earth_block_cell</t>
        </is>
      </c>
      <c r="C53" s="451" t="inlineStr">
        <is>
          <t>元素阻挡</t>
        </is>
      </c>
      <c r="D53" s="451" t="inlineStr">
        <is>
          <t>元素/通用</t>
        </is>
      </c>
      <c r="E53" s="451" t="inlineStr">
        <is>
          <t>宠物/怪物</t>
        </is>
      </c>
      <c r="F53" s="451" t="inlineStr">
        <is>
          <t>after_element_apply</t>
        </is>
      </c>
      <c r="G53" s="451" t="inlineStr">
        <is>
          <t>目标格可阻挡</t>
        </is>
      </c>
      <c r="H53" s="451" t="inlineStr">
        <is>
          <t>duration=1; hp=6</t>
        </is>
      </c>
      <c r="I53" s="451" t="inlineStr">
        <is>
          <t>任意元素形成阻挡地块。</t>
        </is>
      </c>
      <c r="J53" s="451" t="inlineStr">
        <is>
          <t>元素地块阻挡路径。</t>
        </is>
      </c>
      <c r="K53" s="451" t="inlineStr">
        <is>
          <t>7</t>
        </is>
      </c>
      <c r="L53" s="451" t="inlineStr">
        <is>
          <t>高</t>
        </is>
      </c>
      <c r="M53" s="451" t="inlineStr">
        <is>
          <t>正式</t>
        </is>
      </c>
      <c r="N53" s="451" t="inlineStr">
        <is>
          <t>待接入</t>
        </is>
      </c>
      <c r="O53" s="451" t="inlineStr">
        <is>
          <t>1</t>
        </is>
      </c>
      <c r="P53" s="451" t="inlineStr">
        <is>
          <t>1</t>
        </is>
      </c>
      <c r="Q53" s="451" t="inlineStr">
        <is>
          <t>0</t>
        </is>
      </c>
      <c r="R53" s="451" t="inlineStr">
        <is>
          <t>0</t>
        </is>
      </c>
      <c r="S53" s="451" t="inlineStr">
        <is>
          <t>兼容旧机制ID；适配九系与双属性。</t>
        </is>
      </c>
    </row>
    <row r="54">
      <c r="A54" s="451" t="inlineStr">
        <is>
          <t>M51</t>
        </is>
      </c>
      <c r="B54" s="451" t="inlineStr">
        <is>
          <t>mech_curse_gold_loss</t>
        </is>
      </c>
      <c r="C54" s="451" t="inlineStr">
        <is>
          <t>金币诅咒</t>
        </is>
      </c>
      <c r="D54" s="451" t="inlineStr">
        <is>
          <t>诅咒/经济</t>
        </is>
      </c>
      <c r="E54" s="451" t="inlineStr">
        <is>
          <t>事件/怪物</t>
        </is>
      </c>
      <c r="F54" s="451" t="inlineStr">
        <is>
          <t>battle_end</t>
        </is>
      </c>
      <c r="G54" s="451" t="inlineStr">
        <is>
          <t>单位存活或事件选择</t>
        </is>
      </c>
      <c r="H54" s="451" t="inlineStr">
        <is>
          <t>gold=-2</t>
        </is>
      </c>
      <c r="I54" s="451" t="inlineStr">
        <is>
          <t>减少金币。</t>
        </is>
      </c>
      <c r="J54" s="451" t="inlineStr">
        <is>
          <t>诅咒生效，金币 {gold}。</t>
        </is>
      </c>
      <c r="K54" s="451" t="inlineStr">
        <is>
          <t>4</t>
        </is>
      </c>
      <c r="L54" s="451" t="inlineStr">
        <is>
          <t>中</t>
        </is>
      </c>
      <c r="M54" s="451" t="inlineStr">
        <is>
          <t>正式</t>
        </is>
      </c>
      <c r="N54" s="451" t="inlineStr">
        <is>
          <t>待接入</t>
        </is>
      </c>
      <c r="O54" s="451" t="inlineStr">
        <is>
          <t>0</t>
        </is>
      </c>
      <c r="P54" s="451" t="inlineStr">
        <is>
          <t>1</t>
        </is>
      </c>
      <c r="Q54" s="451" t="inlineStr">
        <is>
          <t>1</t>
        </is>
      </c>
      <c r="R54" s="451" t="inlineStr">
        <is>
          <t>1</t>
        </is>
      </c>
      <c r="S54" s="451" t="inlineStr">
        <is>
          <t>事件和失败惩罚可复用。</t>
        </is>
      </c>
    </row>
    <row r="55">
      <c r="A55" s="451" t="inlineStr">
        <is>
          <t>M52</t>
        </is>
      </c>
      <c r="B55" s="451" t="inlineStr">
        <is>
          <t>mech_reduce_reward_if_alive</t>
        </is>
      </c>
      <c r="C55" s="451" t="inlineStr">
        <is>
          <t>存活减奖</t>
        </is>
      </c>
      <c r="D55" s="451" t="inlineStr">
        <is>
          <t>诅咒/奖励</t>
        </is>
      </c>
      <c r="E55" s="451" t="inlineStr">
        <is>
          <t>波次/怪物</t>
        </is>
      </c>
      <c r="F55" s="451" t="inlineStr">
        <is>
          <t>battle_end</t>
        </is>
      </c>
      <c r="G55" s="451" t="inlineStr">
        <is>
          <t>特定怪物未击杀</t>
        </is>
      </c>
      <c r="H55" s="451" t="inlineStr">
        <is>
          <t>reward_pct=-0.2</t>
        </is>
      </c>
      <c r="I55" s="451" t="inlineStr">
        <is>
          <t>降低奖励倍率。</t>
        </is>
      </c>
      <c r="J55" s="451" t="inlineStr">
        <is>
          <t>敌人未清，奖励降低。</t>
        </is>
      </c>
      <c r="K55" s="451" t="inlineStr">
        <is>
          <t>5</t>
        </is>
      </c>
      <c r="L55" s="451" t="inlineStr">
        <is>
          <t>中</t>
        </is>
      </c>
      <c r="M55" s="451" t="inlineStr">
        <is>
          <t>正式</t>
        </is>
      </c>
      <c r="N55" s="451" t="inlineStr">
        <is>
          <t>待接入</t>
        </is>
      </c>
      <c r="O55" s="451" t="inlineStr">
        <is>
          <t>0</t>
        </is>
      </c>
      <c r="P55" s="451" t="inlineStr">
        <is>
          <t>1</t>
        </is>
      </c>
      <c r="Q55" s="451" t="inlineStr">
        <is>
          <t>1</t>
        </is>
      </c>
      <c r="R55" s="451" t="inlineStr">
        <is>
          <t>1</t>
        </is>
      </c>
      <c r="S55" s="451" t="inlineStr">
        <is>
          <t>波次用。</t>
        </is>
      </c>
    </row>
    <row r="56">
      <c r="A56" s="451" t="inlineStr">
        <is>
          <t>M53</t>
        </is>
      </c>
      <c r="B56" s="451" t="inlineStr">
        <is>
          <t>mech_castle_line_damage</t>
        </is>
      </c>
      <c r="C56" s="451" t="inlineStr">
        <is>
          <t>英雄耐久损耗（兼容ID）</t>
        </is>
      </c>
      <c r="D56" s="451" t="inlineStr">
        <is>
          <t>外层/失败</t>
        </is>
      </c>
      <c r="E56" s="451" t="inlineStr">
        <is>
          <t>单局</t>
        </is>
      </c>
      <c r="F56" s="451" t="inlineStr">
        <is>
          <t>battle_fail</t>
        </is>
      </c>
      <c r="G56" s="451" t="inlineStr">
        <is>
          <t>战斗失败</t>
        </is>
      </c>
      <c r="H56" s="451" t="inlineStr">
        <is>
          <t>run_health=-day</t>
        </is>
      </c>
      <c r="I56" s="451" t="inlineStr">
        <is>
          <t>按当前天数扣英雄耐久。</t>
        </is>
      </c>
      <c r="J56" s="451" t="inlineStr">
        <is>
          <t>英雄耐久受到 {damage} 点损害。</t>
        </is>
      </c>
      <c r="K56" s="451" t="inlineStr">
        <is>
          <t>5</t>
        </is>
      </c>
      <c r="L56" s="451" t="inlineStr">
        <is>
          <t>中</t>
        </is>
      </c>
      <c r="M56" s="451" t="inlineStr">
        <is>
          <t>正式</t>
        </is>
      </c>
      <c r="N56" s="451" t="inlineStr">
        <is>
          <t>已替代旧城堡规则</t>
        </is>
      </c>
      <c r="O56" s="451" t="inlineStr">
        <is>
          <t>0</t>
        </is>
      </c>
      <c r="P56" s="451" t="inlineStr">
        <is>
          <t>0</t>
        </is>
      </c>
      <c r="Q56" s="451" t="inlineStr">
        <is>
          <t>1</t>
        </is>
      </c>
      <c r="R56" s="451" t="inlineStr">
        <is>
          <t>0</t>
        </is>
      </c>
      <c r="S56" s="451" t="inlineStr">
        <is>
          <t>兼容旧机制ID；城堡扣线与经济衰减已由英雄耐久外层规则取代。</t>
        </is>
      </c>
    </row>
    <row r="57">
      <c r="A57" s="451" t="inlineStr">
        <is>
          <t>M54</t>
        </is>
      </c>
      <c r="B57" s="451" t="inlineStr">
        <is>
          <t>mech_economy_decay_on_fail</t>
        </is>
      </c>
      <c r="C57" s="451" t="inlineStr">
        <is>
          <t>失败经济折损（兼容ID）</t>
        </is>
      </c>
      <c r="D57" s="451" t="inlineStr">
        <is>
          <t>外层/失败</t>
        </is>
      </c>
      <c r="E57" s="451" t="inlineStr">
        <is>
          <t>单局</t>
        </is>
      </c>
      <c r="F57" s="451" t="inlineStr">
        <is>
          <t>battle_fail</t>
        </is>
      </c>
      <c r="G57" s="451" t="inlineStr">
        <is>
          <t>战斗失败</t>
        </is>
      </c>
      <c r="H57" s="451" t="inlineStr">
        <is>
          <t>none</t>
        </is>
      </c>
      <c r="I57" s="451" t="inlineStr">
        <is>
          <t>不再降低经济倍率。</t>
        </is>
      </c>
      <c r="J57" s="451" t="inlineStr">
        <is>
          <t>英雄耐久规则已取代失败经济折损。</t>
        </is>
      </c>
      <c r="K57" s="451" t="inlineStr">
        <is>
          <t>6</t>
        </is>
      </c>
      <c r="L57" s="451" t="inlineStr">
        <is>
          <t>中</t>
        </is>
      </c>
      <c r="M57" s="451" t="inlineStr">
        <is>
          <t>正式</t>
        </is>
      </c>
      <c r="N57" s="451" t="inlineStr">
        <is>
          <t>已由英雄耐久取代</t>
        </is>
      </c>
      <c r="O57" s="451" t="inlineStr">
        <is>
          <t>0</t>
        </is>
      </c>
      <c r="P57" s="451" t="inlineStr">
        <is>
          <t>0</t>
        </is>
      </c>
      <c r="Q57" s="451" t="inlineStr">
        <is>
          <t>1</t>
        </is>
      </c>
      <c r="R57" s="451" t="inlineStr">
        <is>
          <t>0</t>
        </is>
      </c>
      <c r="S57" s="451" t="inlineStr">
        <is>
          <t>兼容旧机制ID；战败经济衰减不再生效。</t>
        </is>
      </c>
    </row>
    <row r="58">
      <c r="A58" s="451" t="inlineStr">
        <is>
          <t>M55</t>
        </is>
      </c>
      <c r="B58" s="451" t="inlineStr">
        <is>
          <t>mech_dirty_cell</t>
        </is>
      </c>
      <c r="C58" s="451" t="inlineStr">
        <is>
          <t>污染格子</t>
        </is>
      </c>
      <c r="D58" s="451" t="inlineStr">
        <is>
          <t>诅咒/地形</t>
        </is>
      </c>
      <c r="E58" s="451" t="inlineStr">
        <is>
          <t>怪物/事件</t>
        </is>
      </c>
      <c r="F58" s="451" t="inlineStr">
        <is>
          <t>after_action</t>
        </is>
      </c>
      <c r="G58" s="451" t="inlineStr">
        <is>
          <t>目标格可污染</t>
        </is>
      </c>
      <c r="H58" s="451" t="inlineStr">
        <is>
          <t>duration=2; penalty=1</t>
        </is>
      </c>
      <c r="I58" s="451" t="inlineStr">
        <is>
          <t>生成污染地块，影响站位/路径。</t>
        </is>
      </c>
      <c r="J58" s="451" t="inlineStr">
        <is>
          <t>{unit} 污染了格子。</t>
        </is>
      </c>
      <c r="K58" s="451" t="inlineStr">
        <is>
          <t>6</t>
        </is>
      </c>
      <c r="L58" s="451" t="inlineStr">
        <is>
          <t>中</t>
        </is>
      </c>
      <c r="M58" s="451" t="inlineStr">
        <is>
          <t>正式</t>
        </is>
      </c>
      <c r="N58" s="451" t="inlineStr">
        <is>
          <t>待接入</t>
        </is>
      </c>
      <c r="O58" s="451" t="inlineStr">
        <is>
          <t>0</t>
        </is>
      </c>
      <c r="P58" s="451" t="inlineStr">
        <is>
          <t>1</t>
        </is>
      </c>
      <c r="Q58" s="451" t="inlineStr">
        <is>
          <t>1</t>
        </is>
      </c>
      <c r="R58" s="451" t="inlineStr">
        <is>
          <t>1</t>
        </is>
      </c>
      <c r="S58" s="451" t="inlineStr">
        <is>
          <t>地形层实现。</t>
        </is>
      </c>
    </row>
    <row r="59">
      <c r="A59" s="451" t="inlineStr">
        <is>
          <t>M56</t>
        </is>
      </c>
      <c r="B59" s="451" t="inlineStr">
        <is>
          <t>mech_countdown_pressure</t>
        </is>
      </c>
      <c r="C59" s="451" t="inlineStr">
        <is>
          <t>倒计时压力</t>
        </is>
      </c>
      <c r="D59" s="451" t="inlineStr">
        <is>
          <t>波次/倒计时</t>
        </is>
      </c>
      <c r="E59" s="451" t="inlineStr">
        <is>
          <t>波次/事件</t>
        </is>
      </c>
      <c r="F59" s="451" t="inlineStr">
        <is>
          <t>round_start</t>
        </is>
      </c>
      <c r="G59" s="451" t="inlineStr">
        <is>
          <t>指定回合后</t>
        </is>
      </c>
      <c r="H59" s="451" t="inlineStr">
        <is>
          <t>round=5; effect=spawn_extra</t>
        </is>
      </c>
      <c r="I59" s="451" t="inlineStr">
        <is>
          <t>达到回合后追加惩罚。</t>
        </is>
      </c>
      <c r="J59" s="451" t="inlineStr">
        <is>
          <t>倒计时触发，战场压力上升。</t>
        </is>
      </c>
      <c r="K59" s="451" t="inlineStr">
        <is>
          <t>7</t>
        </is>
      </c>
      <c r="L59" s="451" t="inlineStr">
        <is>
          <t>高</t>
        </is>
      </c>
      <c r="M59" s="451" t="inlineStr">
        <is>
          <t>正式</t>
        </is>
      </c>
      <c r="N59" s="451" t="inlineStr">
        <is>
          <t>待接入</t>
        </is>
      </c>
      <c r="O59" s="451" t="inlineStr">
        <is>
          <t>0</t>
        </is>
      </c>
      <c r="P59" s="451" t="inlineStr">
        <is>
          <t>0</t>
        </is>
      </c>
      <c r="Q59" s="451" t="inlineStr">
        <is>
          <t>1</t>
        </is>
      </c>
      <c r="R59" s="451" t="inlineStr">
        <is>
          <t>1</t>
        </is>
      </c>
      <c r="S59" s="451" t="inlineStr">
        <is>
          <t>压缩战斗节奏。</t>
        </is>
      </c>
    </row>
    <row r="60">
      <c r="A60" s="451" t="inlineStr">
        <is>
          <t>M57</t>
        </is>
      </c>
      <c r="B60" s="451" t="inlineStr">
        <is>
          <t>mech_shop_discount_after_clear</t>
        </is>
      </c>
      <c r="C60" s="451" t="inlineStr">
        <is>
          <t>快速清场折扣</t>
        </is>
      </c>
      <c r="D60" s="451" t="inlineStr">
        <is>
          <t>奖励/商店</t>
        </is>
      </c>
      <c r="E60" s="451" t="inlineStr">
        <is>
          <t>波次/事件</t>
        </is>
      </c>
      <c r="F60" s="451" t="inlineStr">
        <is>
          <t>battle_end</t>
        </is>
      </c>
      <c r="G60" s="451" t="inlineStr">
        <is>
          <t>5回合内清场</t>
        </is>
      </c>
      <c r="H60" s="451" t="inlineStr">
        <is>
          <t>discount=1; slots=1</t>
        </is>
      </c>
      <c r="I60" s="451" t="inlineStr">
        <is>
          <t>下一商店获得折扣位。</t>
        </is>
      </c>
      <c r="J60" s="451" t="inlineStr">
        <is>
          <t>快速清场，获得折扣商店位。</t>
        </is>
      </c>
      <c r="K60" s="451" t="inlineStr">
        <is>
          <t>5</t>
        </is>
      </c>
      <c r="L60" s="451" t="inlineStr">
        <is>
          <t>中</t>
        </is>
      </c>
      <c r="M60" s="451" t="inlineStr">
        <is>
          <t>正式</t>
        </is>
      </c>
      <c r="N60" s="451" t="inlineStr">
        <is>
          <t>待接入</t>
        </is>
      </c>
      <c r="O60" s="451" t="inlineStr">
        <is>
          <t>0</t>
        </is>
      </c>
      <c r="P60" s="451" t="inlineStr">
        <is>
          <t>0</t>
        </is>
      </c>
      <c r="Q60" s="451" t="inlineStr">
        <is>
          <t>1</t>
        </is>
      </c>
      <c r="R60" s="451" t="inlineStr">
        <is>
          <t>1</t>
        </is>
      </c>
      <c r="S60" s="451" t="inlineStr">
        <is>
          <t>大巴扎式奖励。</t>
        </is>
      </c>
    </row>
    <row r="61">
      <c r="A61" s="451" t="inlineStr">
        <is>
          <t>M58</t>
        </is>
      </c>
      <c r="B61" s="451" t="inlineStr">
        <is>
          <t>mech_bonus_reward_under_round5</t>
        </is>
      </c>
      <c r="C61" s="451" t="inlineStr">
        <is>
          <t>5回合高奖</t>
        </is>
      </c>
      <c r="D61" s="451" t="inlineStr">
        <is>
          <t>奖励/波次</t>
        </is>
      </c>
      <c r="E61" s="451" t="inlineStr">
        <is>
          <t>波次</t>
        </is>
      </c>
      <c r="F61" s="451" t="inlineStr">
        <is>
          <t>battle_end</t>
        </is>
      </c>
      <c r="G61" s="451" t="inlineStr">
        <is>
          <t>回合&lt;=5且胜利</t>
        </is>
      </c>
      <c r="H61" s="451" t="inlineStr">
        <is>
          <t>reward_pct=1.3</t>
        </is>
      </c>
      <c r="I61" s="451" t="inlineStr">
        <is>
          <t>5回合内胜利提高奖励。</t>
        </is>
      </c>
      <c r="J61" s="451" t="inlineStr">
        <is>
          <t>5回合清场，奖励提升。</t>
        </is>
      </c>
      <c r="K61" s="451" t="inlineStr">
        <is>
          <t>6</t>
        </is>
      </c>
      <c r="L61" s="451" t="inlineStr">
        <is>
          <t>中</t>
        </is>
      </c>
      <c r="M61" s="451" t="inlineStr">
        <is>
          <t>正式</t>
        </is>
      </c>
      <c r="N61" s="451" t="inlineStr">
        <is>
          <t>待接入</t>
        </is>
      </c>
      <c r="O61" s="451" t="inlineStr">
        <is>
          <t>0</t>
        </is>
      </c>
      <c r="P61" s="451" t="inlineStr">
        <is>
          <t>0</t>
        </is>
      </c>
      <c r="Q61" s="451" t="inlineStr">
        <is>
          <t>1</t>
        </is>
      </c>
      <c r="R61" s="451" t="inlineStr">
        <is>
          <t>1</t>
        </is>
      </c>
      <c r="S61" s="451" t="inlineStr">
        <is>
          <t>用户已定目标。</t>
        </is>
      </c>
    </row>
    <row r="62">
      <c r="A62" s="451" t="inlineStr">
        <is>
          <t>M59</t>
        </is>
      </c>
      <c r="B62" s="451" t="inlineStr">
        <is>
          <t>mech_penalty_after_round10</t>
        </is>
      </c>
      <c r="C62" s="451" t="inlineStr">
        <is>
          <t>10回合失败</t>
        </is>
      </c>
      <c r="D62" s="451" t="inlineStr">
        <is>
          <t>失败/波次</t>
        </is>
      </c>
      <c r="E62" s="451" t="inlineStr">
        <is>
          <t>波次</t>
        </is>
      </c>
      <c r="F62" s="451" t="inlineStr">
        <is>
          <t>round_end</t>
        </is>
      </c>
      <c r="G62" s="451" t="inlineStr">
        <is>
          <t>回合&gt;10且未清场</t>
        </is>
      </c>
      <c r="H62" s="451" t="inlineStr">
        <is>
          <t>fail=true</t>
        </is>
      </c>
      <c r="I62" s="451" t="inlineStr">
        <is>
          <t>超过10回合判失败并结算惩罚。</t>
        </is>
      </c>
      <c r="J62" s="451" t="inlineStr">
        <is>
          <t>超过10回合，战斗失败。</t>
        </is>
      </c>
      <c r="K62" s="451" t="inlineStr">
        <is>
          <t>8</t>
        </is>
      </c>
      <c r="L62" s="451" t="inlineStr">
        <is>
          <t>高</t>
        </is>
      </c>
      <c r="M62" s="451" t="inlineStr">
        <is>
          <t>正式</t>
        </is>
      </c>
      <c r="N62" s="451" t="inlineStr">
        <is>
          <t>待接入</t>
        </is>
      </c>
      <c r="O62" s="451" t="inlineStr">
        <is>
          <t>0</t>
        </is>
      </c>
      <c r="P62" s="451" t="inlineStr">
        <is>
          <t>0</t>
        </is>
      </c>
      <c r="Q62" s="451" t="inlineStr">
        <is>
          <t>1</t>
        </is>
      </c>
      <c r="R62" s="451" t="inlineStr">
        <is>
          <t>1</t>
        </is>
      </c>
      <c r="S62" s="451" t="inlineStr">
        <is>
          <t>用户已定硬规则。</t>
        </is>
      </c>
    </row>
    <row r="63">
      <c r="A63" s="451" t="inlineStr">
        <is>
          <t>M60</t>
        </is>
      </c>
      <c r="B63" s="451" t="inlineStr">
        <is>
          <t>mech_elite_reward_bonus</t>
        </is>
      </c>
      <c r="C63" s="451" t="inlineStr">
        <is>
          <t>精英额外奖励</t>
        </is>
      </c>
      <c r="D63" s="451" t="inlineStr">
        <is>
          <t>奖励/精英</t>
        </is>
      </c>
      <c r="E63" s="451" t="inlineStr">
        <is>
          <t>怪物/波次</t>
        </is>
      </c>
      <c r="F63" s="451" t="inlineStr">
        <is>
          <t>battle_end</t>
        </is>
      </c>
      <c r="G63" s="451" t="inlineStr">
        <is>
          <t>精英死亡且胜利</t>
        </is>
      </c>
      <c r="H63" s="451" t="inlineStr">
        <is>
          <t>reward=elite_chest</t>
        </is>
      </c>
      <c r="I63" s="451" t="inlineStr">
        <is>
          <t>击杀精英提供额外奖励。</t>
        </is>
      </c>
      <c r="J63" s="451" t="inlineStr">
        <is>
          <t>击败精英，获得额外奖励。</t>
        </is>
      </c>
      <c r="K63" s="451" t="inlineStr">
        <is>
          <t>6</t>
        </is>
      </c>
      <c r="L63" s="451" t="inlineStr">
        <is>
          <t>中</t>
        </is>
      </c>
      <c r="M63" s="451" t="inlineStr">
        <is>
          <t>正式</t>
        </is>
      </c>
      <c r="N63" s="451" t="inlineStr">
        <is>
          <t>待接入</t>
        </is>
      </c>
      <c r="O63" s="451" t="inlineStr">
        <is>
          <t>0</t>
        </is>
      </c>
      <c r="P63" s="451" t="inlineStr">
        <is>
          <t>1</t>
        </is>
      </c>
      <c r="Q63" s="451" t="inlineStr">
        <is>
          <t>1</t>
        </is>
      </c>
      <c r="R63" s="451" t="inlineStr">
        <is>
          <t>1</t>
        </is>
      </c>
      <c r="S63" s="451" t="inlineStr">
        <is>
          <t>精英/事件用。</t>
        </is>
      </c>
    </row>
    <row r="64">
      <c r="A64" s="451" t="inlineStr">
        <is>
          <t>M62</t>
        </is>
      </c>
      <c r="B64" s="451" t="inlineStr">
        <is>
          <t>mech_element_spread_adjacent</t>
        </is>
      </c>
      <c r="C64" s="451" t="inlineStr">
        <is>
          <t>雷火跃迁</t>
        </is>
      </c>
      <c r="D64" s="451" t="inlineStr">
        <is>
          <t>宠物/火种</t>
        </is>
      </c>
      <c r="E64" s="451" t="inlineStr">
        <is>
          <t>宠物</t>
        </is>
      </c>
      <c r="F64" s="451" t="inlineStr">
        <is>
          <t>after_element_apply</t>
        </is>
      </c>
      <c r="G64" s="451" t="inlineStr">
        <is>
          <t>自身铺设火种地形</t>
        </is>
      </c>
      <c r="H64" s="451" t="inlineStr">
        <is>
          <t>element=火; spread_layers=1</t>
        </is>
      </c>
      <c r="I64" s="451" t="inlineStr">
        <is>
          <t>上下左右相邻格各获得1层火种地形。</t>
        </is>
      </c>
      <c r="J64" s="451" t="inlineStr">
        <is>
          <t>雷火跃迁：相邻格各获得1层火种。</t>
        </is>
      </c>
      <c r="K64" s="451" t="n">
        <v>6</v>
      </c>
      <c r="L64" s="451" t="inlineStr">
        <is>
          <t>中</t>
        </is>
      </c>
      <c r="M64" s="451" t="inlineStr">
        <is>
          <t>正式</t>
        </is>
      </c>
      <c r="N64" s="451" t="inlineStr">
        <is>
          <t>可接入</t>
        </is>
      </c>
      <c r="O64" s="451" t="n">
        <v>1</v>
      </c>
      <c r="P64" s="451" t="n">
        <v>0</v>
      </c>
      <c r="Q64" s="451" t="n">
        <v>0</v>
      </c>
      <c r="R64" s="451" t="n">
        <v>0</v>
      </c>
      <c r="S64" s="451" t="inlineStr">
        <is>
          <t>只写地形；扩散不会递归触发。</t>
        </is>
      </c>
    </row>
    <row r="65">
      <c r="A65" s="451" t="inlineStr">
        <is>
          <t>M63</t>
        </is>
      </c>
      <c r="B65" s="451" t="inlineStr">
        <is>
          <t>mech_element_apply_bonus</t>
        </is>
      </c>
      <c r="C65" s="451" t="inlineStr">
        <is>
          <t>踏火留种</t>
        </is>
      </c>
      <c r="D65" s="451" t="inlineStr">
        <is>
          <t>宠物/火种</t>
        </is>
      </c>
      <c r="E65" s="451" t="inlineStr">
        <is>
          <t>宠物</t>
        </is>
      </c>
      <c r="F65" s="451" t="inlineStr">
        <is>
          <t>after_element_apply</t>
        </is>
      </c>
      <c r="G65" s="451" t="inlineStr">
        <is>
          <t>自身铺设火种地形</t>
        </is>
      </c>
      <c r="H65" s="451" t="inlineStr">
        <is>
          <t>element=火; bonus_layers=1</t>
        </is>
      </c>
      <c r="I65" s="451" t="inlineStr">
        <is>
          <t>本次铺火所在格额外获得1层火种地形。</t>
        </is>
      </c>
      <c r="J65" s="451" t="inlineStr">
        <is>
          <t>踏火留种：该格火种+1层。</t>
        </is>
      </c>
      <c r="K65" s="451" t="n">
        <v>5</v>
      </c>
      <c r="L65" s="451" t="inlineStr">
        <is>
          <t>中</t>
        </is>
      </c>
      <c r="M65" s="451" t="inlineStr">
        <is>
          <t>正式</t>
        </is>
      </c>
      <c r="N65" s="451" t="inlineStr">
        <is>
          <t>可接入</t>
        </is>
      </c>
      <c r="O65" s="451" t="n">
        <v>1</v>
      </c>
      <c r="P65" s="451" t="n">
        <v>0</v>
      </c>
      <c r="Q65" s="451" t="n">
        <v>0</v>
      </c>
      <c r="R65" s="451" t="n">
        <v>0</v>
      </c>
      <c r="S65" s="451" t="inlineStr">
        <is>
          <t>第一套基础火种供应。</t>
        </is>
      </c>
    </row>
    <row r="66">
      <c r="A66" s="451" t="inlineStr">
        <is>
          <t>M64</t>
        </is>
      </c>
      <c r="B66" s="451" t="inlineStr">
        <is>
          <t>mech_element_pair_bonus</t>
        </is>
      </c>
      <c r="C66" s="451" t="inlineStr">
        <is>
          <t>电棘引燃</t>
        </is>
      </c>
      <c r="D66" s="451" t="inlineStr">
        <is>
          <t>宠物/火雷</t>
        </is>
      </c>
      <c r="E66" s="451" t="inlineStr">
        <is>
          <t>宠物</t>
        </is>
      </c>
      <c r="F66" s="451" t="inlineStr">
        <is>
          <t>element_settle</t>
        </is>
      </c>
      <c r="G66" s="451" t="inlineStr">
        <is>
          <t>同格同时存在火种与雷地形</t>
        </is>
      </c>
      <c r="H66" s="451" t="inlineStr">
        <is>
          <t>element_a=火; element_b=雷; per_pair=2</t>
        </is>
      </c>
      <c r="I66" s="451" t="inlineStr">
        <is>
          <t>火种统一结算时，按火雷配对层数每层额外造成2点伤害。</t>
        </is>
      </c>
      <c r="J66" s="451" t="inlineStr">
        <is>
          <t>电棘引燃：火雷配对额外造成伤害。</t>
        </is>
      </c>
      <c r="K66" s="451" t="n">
        <v>7</v>
      </c>
      <c r="L66" s="451" t="inlineStr">
        <is>
          <t>高</t>
        </is>
      </c>
      <c r="M66" s="451" t="inlineStr">
        <is>
          <t>正式</t>
        </is>
      </c>
      <c r="N66" s="451" t="inlineStr">
        <is>
          <t>可接入</t>
        </is>
      </c>
      <c r="O66" s="451" t="n">
        <v>1</v>
      </c>
      <c r="P66" s="451" t="n">
        <v>0</v>
      </c>
      <c r="Q66" s="451" t="n">
        <v>0</v>
      </c>
      <c r="R66" s="451" t="n">
        <v>0</v>
      </c>
      <c r="S66" s="451" t="inlineStr">
        <is>
          <t>只读取同格地形快照。</t>
        </is>
      </c>
    </row>
    <row r="67">
      <c r="A67" s="451" t="inlineStr">
        <is>
          <t>M65</t>
        </is>
      </c>
      <c r="B67" s="451" t="inlineStr">
        <is>
          <t>mech_win_gold_bonus</t>
        </is>
      </c>
      <c r="C67" s="451" t="inlineStr">
        <is>
          <t>火场生意</t>
        </is>
      </c>
      <c r="D67" s="451" t="inlineStr">
        <is>
          <t>宠物/经济</t>
        </is>
      </c>
      <c r="E67" s="451" t="inlineStr">
        <is>
          <t>宠物</t>
        </is>
      </c>
      <c r="F67" s="451" t="inlineStr">
        <is>
          <t>battle_end</t>
        </is>
      </c>
      <c r="G67" s="451" t="inlineStr">
        <is>
          <t>胜利且自身存活</t>
        </is>
      </c>
      <c r="H67" s="451" t="inlineStr">
        <is>
          <t>gold=1</t>
        </is>
      </c>
      <c r="I67" s="451" t="inlineStr">
        <is>
          <t>战斗胜利后额外获得1金币。</t>
        </is>
      </c>
      <c r="J67" s="451" t="inlineStr">
        <is>
          <t>火场生意：额外获得1金币。</t>
        </is>
      </c>
      <c r="K67" s="451" t="n">
        <v>5</v>
      </c>
      <c r="L67" s="451" t="inlineStr">
        <is>
          <t>中</t>
        </is>
      </c>
      <c r="M67" s="451" t="inlineStr">
        <is>
          <t>正式</t>
        </is>
      </c>
      <c r="N67" s="451" t="inlineStr">
        <is>
          <t>可接入</t>
        </is>
      </c>
      <c r="O67" s="451" t="n">
        <v>1</v>
      </c>
      <c r="P67" s="451" t="n">
        <v>0</v>
      </c>
      <c r="Q67" s="451" t="n">
        <v>0</v>
      </c>
      <c r="R67" s="451" t="n">
        <v>0</v>
      </c>
      <c r="S67" s="451" t="inlineStr">
        <is>
          <t>第一套经济桥接。</t>
        </is>
      </c>
    </row>
    <row r="68">
      <c r="A68" s="451" t="inlineStr">
        <is>
          <t>M67</t>
        </is>
      </c>
      <c r="B68" s="451" t="inlineStr">
        <is>
          <t>mech_element_layer_threshold_bonus</t>
        </is>
      </c>
      <c r="C68" s="451" t="inlineStr">
        <is>
          <t>地火伏爆</t>
        </is>
      </c>
      <c r="D68" s="451" t="inlineStr">
        <is>
          <t>宠物/火种</t>
        </is>
      </c>
      <c r="E68" s="451" t="inlineStr">
        <is>
          <t>宠物</t>
        </is>
      </c>
      <c r="F68" s="451" t="inlineStr">
        <is>
          <t>element_settle</t>
        </is>
      </c>
      <c r="G68" s="451" t="inlineStr">
        <is>
          <t>火种地形达到3层</t>
        </is>
      </c>
      <c r="H68" s="451" t="inlineStr">
        <is>
          <t>element=火; threshold=3; bonus=5</t>
        </is>
      </c>
      <c r="I68" s="451" t="inlineStr">
        <is>
          <t>火种统一结算额外造成5点伤害。</t>
        </is>
      </c>
      <c r="J68" s="451" t="inlineStr">
        <is>
          <t>地火伏爆：额外造成5点伤害。</t>
        </is>
      </c>
      <c r="K68" s="451" t="n">
        <v>7</v>
      </c>
      <c r="L68" s="451" t="inlineStr">
        <is>
          <t>高</t>
        </is>
      </c>
      <c r="M68" s="451" t="inlineStr">
        <is>
          <t>正式</t>
        </is>
      </c>
      <c r="N68" s="451" t="inlineStr">
        <is>
          <t>可接入</t>
        </is>
      </c>
      <c r="O68" s="451" t="n">
        <v>1</v>
      </c>
      <c r="P68" s="451" t="n">
        <v>0</v>
      </c>
      <c r="Q68" s="451" t="n">
        <v>0</v>
      </c>
      <c r="R68" s="451" t="n">
        <v>0</v>
      </c>
      <c r="S68" s="451" t="inlineStr">
        <is>
          <t>第一套高层火种副核。</t>
        </is>
      </c>
    </row>
    <row r="69">
      <c r="A69" s="451" t="n"/>
      <c r="B69" s="451" t="n"/>
      <c r="C69" s="451" t="n"/>
      <c r="D69" s="451" t="n"/>
      <c r="E69" s="451" t="n"/>
      <c r="F69" s="451" t="n"/>
      <c r="G69" s="451" t="n"/>
      <c r="H69" s="451" t="n"/>
      <c r="I69" s="451" t="n"/>
      <c r="J69" s="451" t="n"/>
      <c r="K69" s="451" t="n"/>
      <c r="L69" s="451" t="n"/>
      <c r="M69" s="451" t="n"/>
      <c r="N69" s="451" t="n"/>
      <c r="O69" s="451" t="n"/>
      <c r="P69" s="451" t="n"/>
      <c r="Q69" s="451" t="n"/>
      <c r="R69" s="451" t="n"/>
      <c r="S69" s="451" t="n"/>
    </row>
    <row r="70">
      <c r="A70" s="6" t="inlineStr">
        <is>
          <t>#csv</t>
        </is>
      </c>
      <c r="B70" s="6" t="inlineStr">
        <is>
          <t>28_quality_growth.csv</t>
        </is>
      </c>
      <c r="C70" s="6" t="inlineStr">
        <is>
          <t>品质成长数值。</t>
        </is>
      </c>
      <c r="D70" s="6" t="n"/>
      <c r="E70" s="6" t="n"/>
      <c r="F70" s="6" t="n"/>
      <c r="G70" s="6" t="n"/>
      <c r="H70" s="6" t="n"/>
      <c r="I70" s="6" t="n"/>
      <c r="J70" s="6" t="n"/>
      <c r="K70" s="6" t="n"/>
      <c r="L70" s="6" t="n"/>
      <c r="M70" s="6" t="n"/>
      <c r="N70" s="6" t="n"/>
      <c r="O70" s="6" t="n"/>
      <c r="P70" s="6" t="n"/>
      <c r="Q70" s="6" t="n"/>
      <c r="R70" s="6" t="n"/>
      <c r="S70" s="6" t="n"/>
    </row>
    <row r="71">
      <c r="A71" s="5" t="inlineStr">
        <is>
          <t>quality</t>
        </is>
      </c>
      <c r="B71" s="5" t="inlineStr">
        <is>
          <t>label</t>
        </is>
      </c>
      <c r="C71" s="5" t="inlineStr">
        <is>
          <t>shape_size</t>
        </is>
      </c>
      <c r="D71" s="5" t="inlineStr">
        <is>
          <t>hp_bonus</t>
        </is>
      </c>
      <c r="E71" s="5" t="inlineStr">
        <is>
          <t>atk_bonus</t>
        </is>
      </c>
      <c r="F71" s="5" t="inlineStr">
        <is>
          <t>mechanic</t>
        </is>
      </c>
      <c r="G71" s="5" t="inlineStr">
        <is>
          <t>description</t>
        </is>
      </c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</row>
    <row r="72">
      <c r="A72" s="451" t="inlineStr">
        <is>
          <t>bronze</t>
        </is>
      </c>
      <c r="B72" s="451" t="inlineStr">
        <is>
          <t>青铜</t>
        </is>
      </c>
      <c r="C72" s="451" t="inlineStr">
        <is>
          <t>1</t>
        </is>
      </c>
      <c r="D72" s="451" t="inlineStr">
        <is>
          <t>0</t>
        </is>
      </c>
      <c r="E72" s="451" t="inlineStr">
        <is>
          <t>0</t>
        </is>
      </c>
      <c r="F72" s="451" t="inlineStr">
        <is>
          <t>基础</t>
        </is>
      </c>
      <c r="G72" s="451" t="inlineStr">
        <is>
          <t>只有基础生命、攻击和 3 个行动形状。</t>
        </is>
      </c>
      <c r="H72" s="451" t="n"/>
      <c r="I72" s="451" t="n"/>
      <c r="J72" s="451" t="n"/>
      <c r="K72" s="451" t="n"/>
      <c r="L72" s="451" t="n"/>
      <c r="M72" s="451" t="n"/>
      <c r="N72" s="451" t="n"/>
      <c r="O72" s="451" t="n"/>
      <c r="P72" s="451" t="n"/>
      <c r="Q72" s="451" t="n"/>
      <c r="R72" s="451" t="n"/>
      <c r="S72" s="451" t="n"/>
    </row>
    <row r="73">
      <c r="A73" s="451" t="inlineStr">
        <is>
          <t>bronze</t>
        </is>
      </c>
      <c r="B73" s="451" t="inlineStr">
        <is>
          <t>青铜</t>
        </is>
      </c>
      <c r="C73" s="451" t="inlineStr">
        <is>
          <t>2</t>
        </is>
      </c>
      <c r="D73" s="451" t="inlineStr">
        <is>
          <t>0</t>
        </is>
      </c>
      <c r="E73" s="451" t="inlineStr">
        <is>
          <t>0</t>
        </is>
      </c>
      <c r="F73" s="451" t="inlineStr">
        <is>
          <t>基础</t>
        </is>
      </c>
      <c r="G73" s="451" t="inlineStr">
        <is>
          <t>只有基础生命、攻击和 3 个行动形状。</t>
        </is>
      </c>
      <c r="H73" s="451" t="n"/>
      <c r="I73" s="451" t="n"/>
      <c r="J73" s="451" t="n"/>
      <c r="K73" s="451" t="n"/>
      <c r="L73" s="451" t="n"/>
      <c r="M73" s="451" t="n"/>
      <c r="N73" s="451" t="n"/>
      <c r="O73" s="451" t="n"/>
      <c r="P73" s="451" t="n"/>
      <c r="Q73" s="451" t="n"/>
      <c r="R73" s="451" t="n"/>
      <c r="S73" s="451" t="n"/>
    </row>
    <row r="74">
      <c r="A74" s="451" t="inlineStr">
        <is>
          <t>bronze</t>
        </is>
      </c>
      <c r="B74" s="451" t="inlineStr">
        <is>
          <t>青铜</t>
        </is>
      </c>
      <c r="C74" s="451" t="inlineStr">
        <is>
          <t>3</t>
        </is>
      </c>
      <c r="D74" s="451" t="inlineStr">
        <is>
          <t>0</t>
        </is>
      </c>
      <c r="E74" s="451" t="inlineStr">
        <is>
          <t>0</t>
        </is>
      </c>
      <c r="F74" s="451" t="inlineStr">
        <is>
          <t>基础</t>
        </is>
      </c>
      <c r="G74" s="451" t="inlineStr">
        <is>
          <t>只有基础生命、攻击和 3 个行动形状。</t>
        </is>
      </c>
      <c r="H74" s="451" t="n"/>
      <c r="I74" s="451" t="n"/>
      <c r="J74" s="451" t="n"/>
      <c r="K74" s="451" t="n"/>
      <c r="L74" s="451" t="n"/>
      <c r="M74" s="451" t="n"/>
      <c r="N74" s="451" t="n"/>
      <c r="O74" s="451" t="n"/>
      <c r="P74" s="451" t="n"/>
      <c r="Q74" s="451" t="n"/>
      <c r="R74" s="451" t="n"/>
      <c r="S74" s="451" t="n"/>
    </row>
    <row r="75">
      <c r="A75" s="451" t="inlineStr">
        <is>
          <t>silver</t>
        </is>
      </c>
      <c r="B75" s="451" t="inlineStr">
        <is>
          <t>白银</t>
        </is>
      </c>
      <c r="C75" s="451" t="inlineStr">
        <is>
          <t>1</t>
        </is>
      </c>
      <c r="D75" s="451" t="inlineStr">
        <is>
          <t>4</t>
        </is>
      </c>
      <c r="E75" s="451" t="inlineStr">
        <is>
          <t>1</t>
        </is>
      </c>
      <c r="F75" s="451" t="inlineStr">
        <is>
          <t>白银 Buff</t>
        </is>
      </c>
      <c r="G75" s="451" t="inlineStr">
        <is>
          <t>获得小幅数值成长，并获得 1 个自动触发的白银 Buff。</t>
        </is>
      </c>
      <c r="H75" s="451" t="n"/>
      <c r="I75" s="451" t="n"/>
      <c r="J75" s="451" t="n"/>
      <c r="K75" s="451" t="n"/>
      <c r="L75" s="451" t="n"/>
      <c r="M75" s="451" t="n"/>
      <c r="N75" s="451" t="n"/>
      <c r="O75" s="451" t="n"/>
      <c r="P75" s="451" t="n"/>
      <c r="Q75" s="451" t="n"/>
      <c r="R75" s="451" t="n"/>
      <c r="S75" s="451" t="n"/>
    </row>
    <row r="76">
      <c r="A76" s="451" t="inlineStr">
        <is>
          <t>silver</t>
        </is>
      </c>
      <c r="B76" s="451" t="inlineStr">
        <is>
          <t>白银</t>
        </is>
      </c>
      <c r="C76" s="451" t="inlineStr">
        <is>
          <t>2</t>
        </is>
      </c>
      <c r="D76" s="451" t="inlineStr">
        <is>
          <t>5</t>
        </is>
      </c>
      <c r="E76" s="451" t="inlineStr">
        <is>
          <t>1</t>
        </is>
      </c>
      <c r="F76" s="451" t="inlineStr">
        <is>
          <t>白银 Buff</t>
        </is>
      </c>
      <c r="G76" s="451" t="inlineStr">
        <is>
          <t>获得小幅数值成长，并获得 1 个自动触发的白银 Buff。</t>
        </is>
      </c>
      <c r="H76" s="451" t="n"/>
      <c r="I76" s="451" t="n"/>
      <c r="J76" s="451" t="n"/>
      <c r="K76" s="451" t="n"/>
      <c r="L76" s="451" t="n"/>
      <c r="M76" s="451" t="n"/>
      <c r="N76" s="451" t="n"/>
      <c r="O76" s="451" t="n"/>
      <c r="P76" s="451" t="n"/>
      <c r="Q76" s="451" t="n"/>
      <c r="R76" s="451" t="n"/>
      <c r="S76" s="451" t="n"/>
    </row>
    <row r="77">
      <c r="A77" s="451" t="inlineStr">
        <is>
          <t>silver</t>
        </is>
      </c>
      <c r="B77" s="451" t="inlineStr">
        <is>
          <t>白银</t>
        </is>
      </c>
      <c r="C77" s="451" t="inlineStr">
        <is>
          <t>3</t>
        </is>
      </c>
      <c r="D77" s="451" t="inlineStr">
        <is>
          <t>6</t>
        </is>
      </c>
      <c r="E77" s="451" t="inlineStr">
        <is>
          <t>1</t>
        </is>
      </c>
      <c r="F77" s="451" t="inlineStr">
        <is>
          <t>白银 Buff</t>
        </is>
      </c>
      <c r="G77" s="451" t="inlineStr">
        <is>
          <t>获得小幅数值成长，并获得 1 个自动触发的白银 Buff。</t>
        </is>
      </c>
      <c r="H77" s="451" t="n"/>
      <c r="I77" s="451" t="n"/>
      <c r="J77" s="451" t="n"/>
      <c r="K77" s="451" t="n"/>
      <c r="L77" s="451" t="n"/>
      <c r="M77" s="451" t="n"/>
      <c r="N77" s="451" t="n"/>
      <c r="O77" s="451" t="n"/>
      <c r="P77" s="451" t="n"/>
      <c r="Q77" s="451" t="n"/>
      <c r="R77" s="451" t="n"/>
      <c r="S77" s="451" t="n"/>
    </row>
    <row r="78">
      <c r="A78" s="451" t="inlineStr">
        <is>
          <t>gold</t>
        </is>
      </c>
      <c r="B78" s="451" t="inlineStr">
        <is>
          <t>黄金</t>
        </is>
      </c>
      <c r="C78" s="451" t="inlineStr">
        <is>
          <t>1</t>
        </is>
      </c>
      <c r="D78" s="451" t="inlineStr">
        <is>
          <t>8</t>
        </is>
      </c>
      <c r="E78" s="451" t="inlineStr">
        <is>
          <t>2</t>
        </is>
      </c>
      <c r="F78" s="451" t="inlineStr">
        <is>
          <t>黄金升级</t>
        </is>
      </c>
      <c r="G78" s="451" t="inlineStr">
        <is>
          <t>获得中幅数值成长，并获得 1 个黄金升级。黄金升级主要围绕形状强化。</t>
        </is>
      </c>
      <c r="H78" s="451" t="n"/>
      <c r="I78" s="451" t="n"/>
      <c r="J78" s="451" t="n"/>
      <c r="K78" s="451" t="n"/>
      <c r="L78" s="451" t="n"/>
      <c r="M78" s="451" t="n"/>
      <c r="N78" s="451" t="n"/>
      <c r="O78" s="451" t="n"/>
      <c r="P78" s="451" t="n"/>
      <c r="Q78" s="451" t="n"/>
      <c r="R78" s="451" t="n"/>
      <c r="S78" s="451" t="n"/>
    </row>
    <row r="79">
      <c r="A79" s="451" t="inlineStr">
        <is>
          <t>gold</t>
        </is>
      </c>
      <c r="B79" s="451" t="inlineStr">
        <is>
          <t>黄金</t>
        </is>
      </c>
      <c r="C79" s="451" t="inlineStr">
        <is>
          <t>2</t>
        </is>
      </c>
      <c r="D79" s="451" t="inlineStr">
        <is>
          <t>10</t>
        </is>
      </c>
      <c r="E79" s="451" t="inlineStr">
        <is>
          <t>2</t>
        </is>
      </c>
      <c r="F79" s="451" t="inlineStr">
        <is>
          <t>黄金升级</t>
        </is>
      </c>
      <c r="G79" s="451" t="inlineStr">
        <is>
          <t>获得中幅数值成长，并获得 1 个黄金升级。黄金升级主要围绕形状强化。</t>
        </is>
      </c>
      <c r="H79" s="451" t="n"/>
      <c r="I79" s="451" t="n"/>
      <c r="J79" s="451" t="n"/>
      <c r="K79" s="451" t="n"/>
      <c r="L79" s="451" t="n"/>
      <c r="M79" s="451" t="n"/>
      <c r="N79" s="451" t="n"/>
      <c r="O79" s="451" t="n"/>
      <c r="P79" s="451" t="n"/>
      <c r="Q79" s="451" t="n"/>
      <c r="R79" s="451" t="n"/>
      <c r="S79" s="451" t="n"/>
    </row>
    <row r="80">
      <c r="A80" s="451" t="inlineStr">
        <is>
          <t>gold</t>
        </is>
      </c>
      <c r="B80" s="451" t="inlineStr">
        <is>
          <t>黄金</t>
        </is>
      </c>
      <c r="C80" s="451" t="inlineStr">
        <is>
          <t>3</t>
        </is>
      </c>
      <c r="D80" s="451" t="inlineStr">
        <is>
          <t>12</t>
        </is>
      </c>
      <c r="E80" s="451" t="inlineStr">
        <is>
          <t>2</t>
        </is>
      </c>
      <c r="F80" s="451" t="inlineStr">
        <is>
          <t>黄金升级</t>
        </is>
      </c>
      <c r="G80" s="451" t="inlineStr">
        <is>
          <t>获得中幅数值成长，并获得 1 个黄金升级。黄金升级主要围绕形状强化。</t>
        </is>
      </c>
      <c r="H80" s="451" t="n"/>
      <c r="I80" s="451" t="n"/>
      <c r="J80" s="451" t="n"/>
      <c r="K80" s="451" t="n"/>
      <c r="L80" s="451" t="n"/>
      <c r="M80" s="451" t="n"/>
      <c r="N80" s="451" t="n"/>
      <c r="O80" s="451" t="n"/>
      <c r="P80" s="451" t="n"/>
      <c r="Q80" s="451" t="n"/>
      <c r="R80" s="451" t="n"/>
      <c r="S80" s="451" t="n"/>
    </row>
    <row r="81">
      <c r="A81" s="451" t="inlineStr">
        <is>
          <t>diamond</t>
        </is>
      </c>
      <c r="B81" s="451" t="inlineStr">
        <is>
          <t>钻石</t>
        </is>
      </c>
      <c r="C81" s="451" t="inlineStr">
        <is>
          <t>1</t>
        </is>
      </c>
      <c r="D81" s="451" t="inlineStr">
        <is>
          <t>12</t>
        </is>
      </c>
      <c r="E81" s="451" t="inlineStr">
        <is>
          <t>3</t>
        </is>
      </c>
      <c r="F81" s="451" t="inlineStr">
        <is>
          <t>钻石质变</t>
        </is>
      </c>
      <c r="G81" s="451" t="inlineStr">
        <is>
          <t>获得高幅数值成长，并获得 1 个钻石质变。钻石主要改变形状、结算或棋盘。</t>
        </is>
      </c>
      <c r="H81" s="451" t="n"/>
      <c r="I81" s="451" t="n"/>
      <c r="J81" s="451" t="n"/>
      <c r="K81" s="451" t="n"/>
      <c r="L81" s="451" t="n"/>
      <c r="M81" s="451" t="n"/>
      <c r="N81" s="451" t="n"/>
      <c r="O81" s="451" t="n"/>
      <c r="P81" s="451" t="n"/>
      <c r="Q81" s="451" t="n"/>
      <c r="R81" s="451" t="n"/>
      <c r="S81" s="451" t="n"/>
    </row>
    <row r="82">
      <c r="A82" s="451" t="inlineStr">
        <is>
          <t>diamond</t>
        </is>
      </c>
      <c r="B82" s="451" t="inlineStr">
        <is>
          <t>钻石</t>
        </is>
      </c>
      <c r="C82" s="451" t="inlineStr">
        <is>
          <t>2</t>
        </is>
      </c>
      <c r="D82" s="451" t="inlineStr">
        <is>
          <t>15</t>
        </is>
      </c>
      <c r="E82" s="451" t="inlineStr">
        <is>
          <t>3</t>
        </is>
      </c>
      <c r="F82" s="451" t="inlineStr">
        <is>
          <t>钻石质变</t>
        </is>
      </c>
      <c r="G82" s="451" t="inlineStr">
        <is>
          <t>获得高幅数值成长，并获得 1 个钻石质变。钻石主要改变形状、结算或棋盘。</t>
        </is>
      </c>
      <c r="H82" s="451" t="n"/>
      <c r="I82" s="451" t="n"/>
      <c r="J82" s="451" t="n"/>
      <c r="K82" s="451" t="n"/>
      <c r="L82" s="451" t="n"/>
      <c r="M82" s="451" t="n"/>
      <c r="N82" s="451" t="n"/>
      <c r="O82" s="451" t="n"/>
      <c r="P82" s="451" t="n"/>
      <c r="Q82" s="451" t="n"/>
      <c r="R82" s="451" t="n"/>
      <c r="S82" s="451" t="n"/>
    </row>
    <row r="83">
      <c r="A83" s="451" t="inlineStr">
        <is>
          <t>diamond</t>
        </is>
      </c>
      <c r="B83" s="451" t="inlineStr">
        <is>
          <t>钻石</t>
        </is>
      </c>
      <c r="C83" s="451" t="inlineStr">
        <is>
          <t>3</t>
        </is>
      </c>
      <c r="D83" s="451" t="inlineStr">
        <is>
          <t>18</t>
        </is>
      </c>
      <c r="E83" s="451" t="inlineStr">
        <is>
          <t>3</t>
        </is>
      </c>
      <c r="F83" s="451" t="inlineStr">
        <is>
          <t>钻石质变</t>
        </is>
      </c>
      <c r="G83" s="451" t="inlineStr">
        <is>
          <t>获得高幅数值成长，并获得 1 个钻石质变。钻石主要改变形状、结算或棋盘。</t>
        </is>
      </c>
      <c r="H83" s="451" t="n"/>
      <c r="I83" s="451" t="n"/>
      <c r="J83" s="451" t="n"/>
      <c r="K83" s="451" t="n"/>
      <c r="L83" s="451" t="n"/>
      <c r="M83" s="451" t="n"/>
      <c r="N83" s="451" t="n"/>
      <c r="O83" s="451" t="n"/>
      <c r="P83" s="451" t="n"/>
      <c r="Q83" s="451" t="n"/>
      <c r="R83" s="451" t="n"/>
      <c r="S83" s="451" t="n"/>
    </row>
    <row r="84">
      <c r="A84" s="451" t="n"/>
      <c r="B84" s="451" t="n"/>
      <c r="C84" s="451" t="n"/>
      <c r="D84" s="451" t="n"/>
      <c r="E84" s="451" t="n"/>
      <c r="F84" s="451" t="n"/>
      <c r="G84" s="451" t="n"/>
      <c r="H84" s="451" t="n"/>
      <c r="I84" s="451" t="n"/>
      <c r="J84" s="451" t="n"/>
      <c r="K84" s="451" t="n"/>
      <c r="L84" s="451" t="n"/>
      <c r="M84" s="451" t="n"/>
      <c r="N84" s="451" t="n"/>
      <c r="O84" s="451" t="n"/>
      <c r="P84" s="451" t="n"/>
      <c r="Q84" s="451" t="n"/>
      <c r="R84" s="451" t="n"/>
      <c r="S84" s="451" t="n"/>
    </row>
    <row r="85">
      <c r="A85" s="6" t="inlineStr">
        <is>
          <t>#csv</t>
        </is>
      </c>
      <c r="B85" s="6" t="inlineStr">
        <is>
          <t>29_quality_upgrades.csv</t>
        </is>
      </c>
      <c r="C85" s="6" t="inlineStr">
        <is>
          <t>品质升级质变。</t>
        </is>
      </c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  <c r="O85" s="6" t="n"/>
      <c r="P85" s="6" t="n"/>
      <c r="Q85" s="6" t="n"/>
      <c r="R85" s="6" t="n"/>
      <c r="S85" s="6" t="n"/>
    </row>
    <row r="86">
      <c r="A86" s="5" t="inlineStr">
        <is>
          <t>upgrade_id</t>
        </is>
      </c>
      <c r="B86" s="5" t="inlineStr">
        <is>
          <t>name</t>
        </is>
      </c>
      <c r="C86" s="5" t="inlineStr">
        <is>
          <t>quality</t>
        </is>
      </c>
      <c r="D86" s="5" t="inlineStr">
        <is>
          <t>category</t>
        </is>
      </c>
      <c r="E86" s="5" t="inlineStr">
        <is>
          <t>operation_level</t>
        </is>
      </c>
      <c r="F86" s="5" t="inlineStr">
        <is>
          <t>allowed_shape_sizes</t>
        </is>
      </c>
      <c r="G86" s="5" t="inlineStr">
        <is>
          <t>effect</t>
        </is>
      </c>
      <c r="H86" s="5" t="inlineStr">
        <is>
          <t>design_note</t>
        </is>
      </c>
      <c r="I86" s="5" t="inlineStr">
        <is>
          <t>runtime_status</t>
        </is>
      </c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</row>
    <row r="87">
      <c r="A87" s="451" t="inlineStr">
        <is>
          <t>S01</t>
        </is>
      </c>
      <c r="B87" s="451" t="inlineStr">
        <is>
          <t>护体</t>
        </is>
      </c>
      <c r="C87" s="451" t="inlineStr">
        <is>
          <t>silver</t>
        </is>
      </c>
      <c r="D87" s="451" t="inlineStr">
        <is>
          <t>passive</t>
        </is>
      </c>
      <c r="E87" s="451" t="inlineStr">
        <is>
          <t>none</t>
        </is>
      </c>
      <c r="F87" s="451" t="inlineStr">
        <is>
          <t>1|2|3</t>
        </is>
      </c>
      <c r="G87" s="451" t="inlineStr">
        <is>
          <t>回合开始时，获得 15 点护盾。</t>
        </is>
      </c>
      <c r="H87" s="451" t="n"/>
      <c r="I87" s="451" t="inlineStr">
        <is>
          <t>implemented</t>
        </is>
      </c>
      <c r="J87" s="451" t="n"/>
      <c r="K87" s="451" t="n"/>
      <c r="L87" s="451" t="n"/>
      <c r="M87" s="451" t="n"/>
      <c r="N87" s="451" t="n"/>
      <c r="O87" s="451" t="n"/>
      <c r="P87" s="451" t="n"/>
      <c r="Q87" s="451" t="n"/>
      <c r="R87" s="451" t="n"/>
      <c r="S87" s="451" t="n"/>
    </row>
    <row r="88">
      <c r="A88" s="451" t="inlineStr">
        <is>
          <t>S02</t>
        </is>
      </c>
      <c r="B88" s="451" t="inlineStr">
        <is>
          <t>自愈</t>
        </is>
      </c>
      <c r="C88" s="451" t="inlineStr">
        <is>
          <t>silver</t>
        </is>
      </c>
      <c r="D88" s="451" t="inlineStr">
        <is>
          <t>passive</t>
        </is>
      </c>
      <c r="E88" s="451" t="inlineStr">
        <is>
          <t>none</t>
        </is>
      </c>
      <c r="F88" s="451" t="inlineStr">
        <is>
          <t>1|2|3</t>
        </is>
      </c>
      <c r="G88" s="451" t="inlineStr">
        <is>
          <t>回合开始时，恢复自身 20 点生命值。</t>
        </is>
      </c>
      <c r="H88" s="451" t="n"/>
      <c r="I88" s="451" t="inlineStr">
        <is>
          <t>implemented</t>
        </is>
      </c>
      <c r="J88" s="451" t="n"/>
      <c r="K88" s="451" t="n"/>
      <c r="L88" s="451" t="n"/>
      <c r="M88" s="451" t="n"/>
      <c r="N88" s="451" t="n"/>
      <c r="O88" s="451" t="n"/>
      <c r="P88" s="451" t="n"/>
      <c r="Q88" s="451" t="n"/>
      <c r="R88" s="451" t="n"/>
      <c r="S88" s="451" t="n"/>
    </row>
    <row r="89">
      <c r="A89" s="451" t="inlineStr">
        <is>
          <t>S03</t>
        </is>
      </c>
      <c r="B89" s="451" t="inlineStr">
        <is>
          <t>壮体</t>
        </is>
      </c>
      <c r="C89" s="451" t="inlineStr">
        <is>
          <t>silver</t>
        </is>
      </c>
      <c r="D89" s="451" t="inlineStr">
        <is>
          <t>passive</t>
        </is>
      </c>
      <c r="E89" s="451" t="inlineStr">
        <is>
          <t>none</t>
        </is>
      </c>
      <c r="F89" s="451" t="inlineStr">
        <is>
          <t>1|2|3</t>
        </is>
      </c>
      <c r="G89" s="451" t="inlineStr">
        <is>
          <t>回合开始时，最大生命值翻倍，但最大生命值最多不超过 30。</t>
        </is>
      </c>
      <c r="H89" s="451" t="n"/>
      <c r="I89" s="451" t="inlineStr">
        <is>
          <t>implemented</t>
        </is>
      </c>
      <c r="J89" s="451" t="n"/>
      <c r="K89" s="451" t="n"/>
      <c r="L89" s="451" t="n"/>
      <c r="M89" s="451" t="n"/>
      <c r="N89" s="451" t="n"/>
      <c r="O89" s="451" t="n"/>
      <c r="P89" s="451" t="n"/>
      <c r="Q89" s="451" t="n"/>
      <c r="R89" s="451" t="n"/>
      <c r="S89" s="451" t="n"/>
    </row>
    <row r="90">
      <c r="A90" s="451" t="inlineStr">
        <is>
          <t>S04</t>
        </is>
      </c>
      <c r="B90" s="451" t="inlineStr">
        <is>
          <t>元素回响</t>
        </is>
      </c>
      <c r="C90" s="451" t="inlineStr">
        <is>
          <t>silver</t>
        </is>
      </c>
      <c r="D90" s="451" t="inlineStr">
        <is>
          <t>passive</t>
        </is>
      </c>
      <c r="E90" s="451" t="inlineStr">
        <is>
          <t>none</t>
        </is>
      </c>
      <c r="F90" s="451" t="inlineStr">
        <is>
          <t>1|2|3</t>
        </is>
      </c>
      <c r="G90" s="451" t="inlineStr">
        <is>
          <t>造成元素伤害时，该元素伤害重复结算 1 次。</t>
        </is>
      </c>
      <c r="H90" s="451" t="n"/>
      <c r="I90" s="451" t="inlineStr">
        <is>
          <t>implemented</t>
        </is>
      </c>
      <c r="J90" s="451" t="n"/>
      <c r="K90" s="451" t="n"/>
      <c r="L90" s="451" t="n"/>
      <c r="M90" s="451" t="n"/>
      <c r="N90" s="451" t="n"/>
      <c r="O90" s="451" t="n"/>
      <c r="P90" s="451" t="n"/>
      <c r="Q90" s="451" t="n"/>
      <c r="R90" s="451" t="n"/>
      <c r="S90" s="451" t="n"/>
    </row>
    <row r="91">
      <c r="A91" s="451" t="inlineStr">
        <is>
          <t>S05</t>
        </is>
      </c>
      <c r="B91" s="451" t="inlineStr">
        <is>
          <t>收尾暴击</t>
        </is>
      </c>
      <c r="C91" s="451" t="inlineStr">
        <is>
          <t>silver</t>
        </is>
      </c>
      <c r="D91" s="451" t="inlineStr">
        <is>
          <t>passive</t>
        </is>
      </c>
      <c r="E91" s="451" t="inlineStr">
        <is>
          <t>none</t>
        </is>
      </c>
      <c r="F91" s="451" t="inlineStr">
        <is>
          <t>2|3</t>
        </is>
      </c>
      <c r="G91" s="451" t="inlineStr">
        <is>
          <t>本次行动的最后一击必定暴击。</t>
        </is>
      </c>
      <c r="H91" s="451" t="inlineStr">
        <is>
          <t>更适合二格、三格、多段结算角色。</t>
        </is>
      </c>
      <c r="I91" s="451" t="inlineStr">
        <is>
          <t>implemented</t>
        </is>
      </c>
      <c r="J91" s="451" t="n"/>
      <c r="K91" s="451" t="n"/>
      <c r="L91" s="451" t="n"/>
      <c r="M91" s="451" t="n"/>
      <c r="N91" s="451" t="n"/>
      <c r="O91" s="451" t="n"/>
      <c r="P91" s="451" t="n"/>
      <c r="Q91" s="451" t="n"/>
      <c r="R91" s="451" t="n"/>
      <c r="S91" s="451" t="n"/>
    </row>
    <row r="92">
      <c r="A92" s="451" t="inlineStr">
        <is>
          <t>S06</t>
        </is>
      </c>
      <c r="B92" s="451" t="inlineStr">
        <is>
          <t>连击倍增</t>
        </is>
      </c>
      <c r="C92" s="451" t="inlineStr">
        <is>
          <t>silver</t>
        </is>
      </c>
      <c r="D92" s="451" t="inlineStr">
        <is>
          <t>passive</t>
        </is>
      </c>
      <c r="E92" s="451" t="inlineStr">
        <is>
          <t>none</t>
        </is>
      </c>
      <c r="F92" s="451" t="inlineStr">
        <is>
          <t>2|3</t>
        </is>
      </c>
      <c r="G92" s="451" t="inlineStr">
        <is>
          <t>第一击伤害减半，之后每一击都是前一击的 2 倍。</t>
        </is>
      </c>
      <c r="H92" s="451" t="n"/>
      <c r="I92" s="451" t="inlineStr">
        <is>
          <t>implemented</t>
        </is>
      </c>
      <c r="J92" s="451" t="n"/>
      <c r="K92" s="451" t="n"/>
      <c r="L92" s="451" t="n"/>
      <c r="M92" s="451" t="n"/>
      <c r="N92" s="451" t="n"/>
      <c r="O92" s="451" t="n"/>
      <c r="P92" s="451" t="n"/>
      <c r="Q92" s="451" t="n"/>
      <c r="R92" s="451" t="n"/>
      <c r="S92" s="451" t="n"/>
    </row>
    <row r="93">
      <c r="A93" s="451" t="inlineStr">
        <is>
          <t>S07</t>
        </is>
      </c>
      <c r="B93" s="451" t="inlineStr">
        <is>
          <t>越战越勇</t>
        </is>
      </c>
      <c r="C93" s="451" t="inlineStr">
        <is>
          <t>silver</t>
        </is>
      </c>
      <c r="D93" s="451" t="inlineStr">
        <is>
          <t>passive</t>
        </is>
      </c>
      <c r="E93" s="451" t="inlineStr">
        <is>
          <t>none</t>
        </is>
      </c>
      <c r="F93" s="451" t="inlineStr">
        <is>
          <t>1|2|3</t>
        </is>
      </c>
      <c r="G93" s="451" t="inlineStr">
        <is>
          <t>每击杀 5 个怪，永久 +1 攻击力。</t>
        </is>
      </c>
      <c r="H93" s="451" t="n"/>
      <c r="I93" s="451" t="inlineStr">
        <is>
          <t>implemented</t>
        </is>
      </c>
      <c r="J93" s="451" t="n"/>
      <c r="K93" s="451" t="n"/>
      <c r="L93" s="451" t="n"/>
      <c r="M93" s="451" t="n"/>
      <c r="N93" s="451" t="n"/>
      <c r="O93" s="451" t="n"/>
      <c r="P93" s="451" t="n"/>
      <c r="Q93" s="451" t="n"/>
      <c r="R93" s="451" t="n"/>
      <c r="S93" s="451" t="n"/>
    </row>
    <row r="94">
      <c r="A94" s="451" t="inlineStr">
        <is>
          <t>S08</t>
        </is>
      </c>
      <c r="B94" s="451" t="inlineStr">
        <is>
          <t>本命爆发</t>
        </is>
      </c>
      <c r="C94" s="451" t="inlineStr">
        <is>
          <t>silver</t>
        </is>
      </c>
      <c r="D94" s="451" t="inlineStr">
        <is>
          <t>passive</t>
        </is>
      </c>
      <c r="E94" s="451" t="inlineStr">
        <is>
          <t>none</t>
        </is>
      </c>
      <c r="F94" s="451" t="inlineStr">
        <is>
          <t>1|2|3</t>
        </is>
      </c>
      <c r="G94" s="451" t="inlineStr">
        <is>
          <t>如果自身携带和自己相同的元素，元素爆发翻倍。</t>
        </is>
      </c>
      <c r="H94" s="451" t="n"/>
      <c r="I94" s="451" t="inlineStr">
        <is>
          <t>implemented</t>
        </is>
      </c>
      <c r="J94" s="451" t="n"/>
      <c r="K94" s="451" t="n"/>
      <c r="L94" s="451" t="n"/>
      <c r="M94" s="451" t="n"/>
      <c r="N94" s="451" t="n"/>
      <c r="O94" s="451" t="n"/>
      <c r="P94" s="451" t="n"/>
      <c r="Q94" s="451" t="n"/>
      <c r="R94" s="451" t="n"/>
      <c r="S94" s="451" t="n"/>
    </row>
    <row r="95">
      <c r="A95" s="451" t="inlineStr">
        <is>
          <t>G01</t>
        </is>
      </c>
      <c r="B95" s="451" t="inlineStr">
        <is>
          <t>攻守切换</t>
        </is>
      </c>
      <c r="C95" s="451" t="inlineStr">
        <is>
          <t>gold</t>
        </is>
      </c>
      <c r="D95" s="451" t="inlineStr">
        <is>
          <t>dualMode</t>
        </is>
      </c>
      <c r="E95" s="451" t="inlineStr">
        <is>
          <t>low</t>
        </is>
      </c>
      <c r="F95" s="451" t="inlineStr">
        <is>
          <t>1|2|3</t>
        </is>
      </c>
      <c r="G95" s="451" t="inlineStr">
        <is>
          <t>每回合可在攻/守之间切换。攻形态伤害 +2；守形态回合开始获得 8 护盾。</t>
        </is>
      </c>
      <c r="H95" s="451" t="n"/>
      <c r="I95" s="451" t="inlineStr">
        <is>
          <t>implemented</t>
        </is>
      </c>
      <c r="J95" s="451" t="n"/>
      <c r="K95" s="451" t="n"/>
      <c r="L95" s="451" t="n"/>
      <c r="M95" s="451" t="n"/>
      <c r="N95" s="451" t="n"/>
      <c r="O95" s="451" t="n"/>
      <c r="P95" s="451" t="n"/>
      <c r="Q95" s="451" t="n"/>
      <c r="R95" s="451" t="n"/>
      <c r="S95" s="451" t="n"/>
    </row>
    <row r="96">
      <c r="A96" s="451" t="inlineStr">
        <is>
          <t>G02</t>
        </is>
      </c>
      <c r="B96" s="451" t="inlineStr">
        <is>
          <t>稳爆切换</t>
        </is>
      </c>
      <c r="C96" s="451" t="inlineStr">
        <is>
          <t>gold</t>
        </is>
      </c>
      <c r="D96" s="451" t="inlineStr">
        <is>
          <t>dualMode</t>
        </is>
      </c>
      <c r="E96" s="451" t="inlineStr">
        <is>
          <t>low</t>
        </is>
      </c>
      <c r="F96" s="451" t="inlineStr">
        <is>
          <t>1|2|3</t>
        </is>
      </c>
      <c r="G96" s="451" t="inlineStr">
        <is>
          <t>可在稳定/爆发之间切换。稳定形态攻击 +1；爆发形态本回合第一次命中伤害 +4。</t>
        </is>
      </c>
      <c r="H96" s="451" t="n"/>
      <c r="I96" s="451" t="inlineStr">
        <is>
          <t>implemented</t>
        </is>
      </c>
      <c r="J96" s="451" t="n"/>
      <c r="K96" s="451" t="n"/>
      <c r="L96" s="451" t="n"/>
      <c r="M96" s="451" t="n"/>
      <c r="N96" s="451" t="n"/>
      <c r="O96" s="451" t="n"/>
      <c r="P96" s="451" t="n"/>
      <c r="Q96" s="451" t="n"/>
      <c r="R96" s="451" t="n"/>
      <c r="S96" s="451" t="n"/>
    </row>
    <row r="97">
      <c r="A97" s="451" t="inlineStr">
        <is>
          <t>G03</t>
        </is>
      </c>
      <c r="B97" s="451" t="inlineStr">
        <is>
          <t>金色核心格</t>
        </is>
      </c>
      <c r="C97" s="451" t="inlineStr">
        <is>
          <t>gold</t>
        </is>
      </c>
      <c r="D97" s="451" t="inlineStr">
        <is>
          <t>empoweredCell</t>
        </is>
      </c>
      <c r="E97" s="451" t="inlineStr">
        <is>
          <t>none</t>
        </is>
      </c>
      <c r="F97" s="451" t="inlineStr">
        <is>
          <t>1|2|3</t>
        </is>
      </c>
      <c r="G97" s="451" t="inlineStr">
        <is>
          <t>每个行动形状中有 1 个金色核心格，核心格命中敌人时伤害 +3。</t>
        </is>
      </c>
      <c r="H97" s="451" t="n"/>
      <c r="I97" s="451" t="inlineStr">
        <is>
          <t>implemented</t>
        </is>
      </c>
      <c r="J97" s="451" t="n"/>
      <c r="K97" s="451" t="n"/>
      <c r="L97" s="451" t="n"/>
      <c r="M97" s="451" t="n"/>
      <c r="N97" s="451" t="n"/>
      <c r="O97" s="451" t="n"/>
      <c r="P97" s="451" t="n"/>
      <c r="Q97" s="451" t="n"/>
      <c r="R97" s="451" t="n"/>
      <c r="S97" s="451" t="n"/>
    </row>
    <row r="98">
      <c r="A98" s="451" t="inlineStr">
        <is>
          <t>G04</t>
        </is>
      </c>
      <c r="B98" s="451" t="inlineStr">
        <is>
          <t>守护核心格</t>
        </is>
      </c>
      <c r="C98" s="451" t="inlineStr">
        <is>
          <t>gold</t>
        </is>
      </c>
      <c r="D98" s="451" t="inlineStr">
        <is>
          <t>empoweredCell</t>
        </is>
      </c>
      <c r="E98" s="451" t="inlineStr">
        <is>
          <t>none</t>
        </is>
      </c>
      <c r="F98" s="451" t="inlineStr">
        <is>
          <t>1|2|3</t>
        </is>
      </c>
      <c r="G98" s="451" t="inlineStr">
        <is>
          <t>核心格覆盖友方时，该友方获得 8 护盾。</t>
        </is>
      </c>
      <c r="H98" s="451" t="n"/>
      <c r="I98" s="451" t="inlineStr">
        <is>
          <t>implemented</t>
        </is>
      </c>
      <c r="J98" s="451" t="n"/>
      <c r="K98" s="451" t="n"/>
      <c r="L98" s="451" t="n"/>
      <c r="M98" s="451" t="n"/>
      <c r="N98" s="451" t="n"/>
      <c r="O98" s="451" t="n"/>
      <c r="P98" s="451" t="n"/>
      <c r="Q98" s="451" t="n"/>
      <c r="R98" s="451" t="n"/>
      <c r="S98" s="451" t="n"/>
    </row>
    <row r="99">
      <c r="A99" s="451" t="inlineStr">
        <is>
          <t>G05</t>
        </is>
      </c>
      <c r="B99" s="451" t="inlineStr">
        <is>
          <t>回春核心格</t>
        </is>
      </c>
      <c r="C99" s="451" t="inlineStr">
        <is>
          <t>gold</t>
        </is>
      </c>
      <c r="D99" s="451" t="inlineStr">
        <is>
          <t>empoweredCell</t>
        </is>
      </c>
      <c r="E99" s="451" t="inlineStr">
        <is>
          <t>none</t>
        </is>
      </c>
      <c r="F99" s="451" t="inlineStr">
        <is>
          <t>1|2|3</t>
        </is>
      </c>
      <c r="G99" s="451" t="inlineStr">
        <is>
          <t>核心格覆盖友方时，恢复 6 生命。</t>
        </is>
      </c>
      <c r="H99" s="451" t="n"/>
      <c r="I99" s="451" t="inlineStr">
        <is>
          <t>implemented</t>
        </is>
      </c>
      <c r="J99" s="451" t="n"/>
      <c r="K99" s="451" t="n"/>
      <c r="L99" s="451" t="n"/>
      <c r="M99" s="451" t="n"/>
      <c r="N99" s="451" t="n"/>
      <c r="O99" s="451" t="n"/>
      <c r="P99" s="451" t="n"/>
      <c r="Q99" s="451" t="n"/>
      <c r="R99" s="451" t="n"/>
      <c r="S99" s="451" t="n"/>
    </row>
    <row r="100">
      <c r="A100" s="451" t="inlineStr">
        <is>
          <t>G06</t>
        </is>
      </c>
      <c r="B100" s="451" t="inlineStr">
        <is>
          <t>破敌核心格</t>
        </is>
      </c>
      <c r="C100" s="451" t="inlineStr">
        <is>
          <t>gold</t>
        </is>
      </c>
      <c r="D100" s="451" t="inlineStr">
        <is>
          <t>empoweredCell</t>
        </is>
      </c>
      <c r="E100" s="451" t="inlineStr">
        <is>
          <t>none</t>
        </is>
      </c>
      <c r="F100" s="451" t="inlineStr">
        <is>
          <t>1|2|3</t>
        </is>
      </c>
      <c r="G100" s="451" t="inlineStr">
        <is>
          <t>核心格命中敌人时，额外造成 2 点破甲伤害。</t>
        </is>
      </c>
      <c r="H100" s="451" t="n"/>
      <c r="I100" s="451" t="inlineStr">
        <is>
          <t>implemented</t>
        </is>
      </c>
      <c r="J100" s="451" t="n"/>
      <c r="K100" s="451" t="n"/>
      <c r="L100" s="451" t="n"/>
      <c r="M100" s="451" t="n"/>
      <c r="N100" s="451" t="n"/>
      <c r="O100" s="451" t="n"/>
      <c r="P100" s="451" t="n"/>
      <c r="Q100" s="451" t="n"/>
      <c r="R100" s="451" t="n"/>
      <c r="S100" s="451" t="n"/>
    </row>
    <row r="101">
      <c r="A101" s="451" t="inlineStr">
        <is>
          <t>G07</t>
        </is>
      </c>
      <c r="B101" s="451" t="inlineStr">
        <is>
          <t>正向强化</t>
        </is>
      </c>
      <c r="C101" s="451" t="inlineStr">
        <is>
          <t>gold</t>
        </is>
      </c>
      <c r="D101" s="451" t="inlineStr">
        <is>
          <t>directionBonus</t>
        </is>
      </c>
      <c r="E101" s="451" t="inlineStr">
        <is>
          <t>none</t>
        </is>
      </c>
      <c r="F101" s="451" t="inlineStr">
        <is>
          <t>1|2|3</t>
        </is>
      </c>
      <c r="G101" s="451" t="inlineStr">
        <is>
          <t>形状朝向正前方的最远格伤害 +3。</t>
        </is>
      </c>
      <c r="H101" s="451" t="n"/>
      <c r="I101" s="451" t="inlineStr">
        <is>
          <t>implemented</t>
        </is>
      </c>
      <c r="J101" s="451" t="n"/>
      <c r="K101" s="451" t="n"/>
      <c r="L101" s="451" t="n"/>
      <c r="M101" s="451" t="n"/>
      <c r="N101" s="451" t="n"/>
      <c r="O101" s="451" t="n"/>
      <c r="P101" s="451" t="n"/>
      <c r="Q101" s="451" t="n"/>
      <c r="R101" s="451" t="n"/>
      <c r="S101" s="451" t="n"/>
    </row>
    <row r="102">
      <c r="A102" s="451" t="inlineStr">
        <is>
          <t>G08</t>
        </is>
      </c>
      <c r="B102" s="451" t="inlineStr">
        <is>
          <t>背向守势</t>
        </is>
      </c>
      <c r="C102" s="451" t="inlineStr">
        <is>
          <t>gold</t>
        </is>
      </c>
      <c r="D102" s="451" t="inlineStr">
        <is>
          <t>directionBonus</t>
        </is>
      </c>
      <c r="E102" s="451" t="inlineStr">
        <is>
          <t>none</t>
        </is>
      </c>
      <c r="F102" s="451" t="inlineStr">
        <is>
          <t>1|2|3</t>
        </is>
      </c>
      <c r="G102" s="451" t="inlineStr">
        <is>
          <t>形状背后的格子若覆盖友方，该友方获得 10 护盾。</t>
        </is>
      </c>
      <c r="H102" s="451" t="n"/>
      <c r="I102" s="451" t="inlineStr">
        <is>
          <t>implemented</t>
        </is>
      </c>
      <c r="J102" s="451" t="n"/>
      <c r="K102" s="451" t="n"/>
      <c r="L102" s="451" t="n"/>
      <c r="M102" s="451" t="n"/>
      <c r="N102" s="451" t="n"/>
      <c r="O102" s="451" t="n"/>
      <c r="P102" s="451" t="n"/>
      <c r="Q102" s="451" t="n"/>
      <c r="R102" s="451" t="n"/>
      <c r="S102" s="451" t="n"/>
    </row>
    <row r="103">
      <c r="A103" s="451" t="inlineStr">
        <is>
          <t>G09</t>
        </is>
      </c>
      <c r="B103" s="451" t="inlineStr">
        <is>
          <t>左右借势</t>
        </is>
      </c>
      <c r="C103" s="451" t="inlineStr">
        <is>
          <t>gold</t>
        </is>
      </c>
      <c r="D103" s="451" t="inlineStr">
        <is>
          <t>directionBonus</t>
        </is>
      </c>
      <c r="E103" s="451" t="inlineStr">
        <is>
          <t>none</t>
        </is>
      </c>
      <c r="F103" s="451" t="inlineStr">
        <is>
          <t>2|3</t>
        </is>
      </c>
      <c r="G103" s="451" t="inlineStr">
        <is>
          <t>形状左右两侧格命中敌人时，各额外造成 1 点伤害。</t>
        </is>
      </c>
      <c r="H103" s="451" t="n"/>
      <c r="I103" s="451" t="inlineStr">
        <is>
          <t>implemented</t>
        </is>
      </c>
      <c r="J103" s="451" t="n"/>
      <c r="K103" s="451" t="n"/>
      <c r="L103" s="451" t="n"/>
      <c r="M103" s="451" t="n"/>
      <c r="N103" s="451" t="n"/>
      <c r="O103" s="451" t="n"/>
      <c r="P103" s="451" t="n"/>
      <c r="Q103" s="451" t="n"/>
      <c r="R103" s="451" t="n"/>
      <c r="S103" s="451" t="n"/>
    </row>
    <row r="104">
      <c r="A104" s="451" t="inlineStr">
        <is>
          <t>G10</t>
        </is>
      </c>
      <c r="B104" s="451" t="inlineStr">
        <is>
          <t>终点重击</t>
        </is>
      </c>
      <c r="C104" s="451" t="inlineStr">
        <is>
          <t>gold</t>
        </is>
      </c>
      <c r="D104" s="451" t="inlineStr">
        <is>
          <t>empoweredCell</t>
        </is>
      </c>
      <c r="E104" s="451" t="inlineStr">
        <is>
          <t>none</t>
        </is>
      </c>
      <c r="F104" s="451" t="inlineStr">
        <is>
          <t>1|2|3</t>
        </is>
      </c>
      <c r="G104" s="451" t="inlineStr">
        <is>
          <t>形状最远端格子命中敌人时，伤害 +4。</t>
        </is>
      </c>
      <c r="H104" s="451" t="n"/>
      <c r="I104" s="451" t="inlineStr">
        <is>
          <t>implemented</t>
        </is>
      </c>
      <c r="J104" s="451" t="n"/>
      <c r="K104" s="451" t="n"/>
      <c r="L104" s="451" t="n"/>
      <c r="M104" s="451" t="n"/>
      <c r="N104" s="451" t="n"/>
      <c r="O104" s="451" t="n"/>
      <c r="P104" s="451" t="n"/>
      <c r="Q104" s="451" t="n"/>
      <c r="R104" s="451" t="n"/>
      <c r="S104" s="451" t="n"/>
    </row>
    <row r="105">
      <c r="A105" s="451" t="inlineStr">
        <is>
          <t>G11</t>
        </is>
      </c>
      <c r="B105" s="451" t="inlineStr">
        <is>
          <t>单挑</t>
        </is>
      </c>
      <c r="C105" s="451" t="inlineStr">
        <is>
          <t>gold</t>
        </is>
      </c>
      <c r="D105" s="451" t="inlineStr">
        <is>
          <t>empoweredCell</t>
        </is>
      </c>
      <c r="E105" s="451" t="inlineStr">
        <is>
          <t>none</t>
        </is>
      </c>
      <c r="F105" s="451" t="inlineStr">
        <is>
          <t>1</t>
        </is>
      </c>
      <c r="G105" s="451" t="inlineStr">
        <is>
          <t>如果本次形状只命中 1 个敌人，伤害 +5。</t>
        </is>
      </c>
      <c r="H105" s="451" t="n"/>
      <c r="I105" s="451" t="inlineStr">
        <is>
          <t>implemented</t>
        </is>
      </c>
      <c r="J105" s="451" t="n"/>
      <c r="K105" s="451" t="n"/>
      <c r="L105" s="451" t="n"/>
      <c r="M105" s="451" t="n"/>
      <c r="N105" s="451" t="n"/>
      <c r="O105" s="451" t="n"/>
      <c r="P105" s="451" t="n"/>
      <c r="Q105" s="451" t="n"/>
      <c r="R105" s="451" t="n"/>
      <c r="S105" s="451" t="n"/>
    </row>
    <row r="106">
      <c r="A106" s="451" t="inlineStr">
        <is>
          <t>G12</t>
        </is>
      </c>
      <c r="B106" s="451" t="inlineStr">
        <is>
          <t>点穴</t>
        </is>
      </c>
      <c r="C106" s="451" t="inlineStr">
        <is>
          <t>gold</t>
        </is>
      </c>
      <c r="D106" s="451" t="inlineStr">
        <is>
          <t>empoweredCell</t>
        </is>
      </c>
      <c r="E106" s="451" t="inlineStr">
        <is>
          <t>none</t>
        </is>
      </c>
      <c r="F106" s="451" t="inlineStr">
        <is>
          <t>1</t>
        </is>
      </c>
      <c r="G106" s="451" t="inlineStr">
        <is>
          <t>命中敌人后，使该敌人下次受到伤害 +3。</t>
        </is>
      </c>
      <c r="H106" s="451" t="n"/>
      <c r="I106" s="451" t="inlineStr">
        <is>
          <t>implemented</t>
        </is>
      </c>
      <c r="J106" s="451" t="n"/>
      <c r="K106" s="451" t="n"/>
      <c r="L106" s="451" t="n"/>
      <c r="M106" s="451" t="n"/>
      <c r="N106" s="451" t="n"/>
      <c r="O106" s="451" t="n"/>
      <c r="P106" s="451" t="n"/>
      <c r="Q106" s="451" t="n"/>
      <c r="R106" s="451" t="n"/>
      <c r="S106" s="451" t="n"/>
    </row>
    <row r="107">
      <c r="A107" s="451" t="inlineStr">
        <is>
          <t>G13</t>
        </is>
      </c>
      <c r="B107" s="451" t="inlineStr">
        <is>
          <t>隔山打牛</t>
        </is>
      </c>
      <c r="C107" s="451" t="inlineStr">
        <is>
          <t>gold</t>
        </is>
      </c>
      <c r="D107" s="451" t="inlineStr">
        <is>
          <t>directionBonus</t>
        </is>
      </c>
      <c r="E107" s="451" t="inlineStr">
        <is>
          <t>none</t>
        </is>
      </c>
      <c r="F107" s="451" t="inlineStr">
        <is>
          <t>1</t>
        </is>
      </c>
      <c r="G107" s="451" t="inlineStr">
        <is>
          <t>隔点形状命中时，伤害 +4。</t>
        </is>
      </c>
      <c r="H107" s="451" t="n"/>
      <c r="I107" s="451" t="inlineStr">
        <is>
          <t>implemented</t>
        </is>
      </c>
      <c r="J107" s="451" t="n"/>
      <c r="K107" s="451" t="n"/>
      <c r="L107" s="451" t="n"/>
      <c r="M107" s="451" t="n"/>
      <c r="N107" s="451" t="n"/>
      <c r="O107" s="451" t="n"/>
      <c r="P107" s="451" t="n"/>
      <c r="Q107" s="451" t="n"/>
      <c r="R107" s="451" t="n"/>
      <c r="S107" s="451" t="n"/>
    </row>
    <row r="108">
      <c r="A108" s="451" t="inlineStr">
        <is>
          <t>G14</t>
        </is>
      </c>
      <c r="B108" s="451" t="inlineStr">
        <is>
          <t>破绽一击</t>
        </is>
      </c>
      <c r="C108" s="451" t="inlineStr">
        <is>
          <t>gold</t>
        </is>
      </c>
      <c r="D108" s="451" t="inlineStr">
        <is>
          <t>dualMode</t>
        </is>
      </c>
      <c r="E108" s="451" t="inlineStr">
        <is>
          <t>low</t>
        </is>
      </c>
      <c r="F108" s="451" t="inlineStr">
        <is>
          <t>1</t>
        </is>
      </c>
      <c r="G108" s="451" t="inlineStr">
        <is>
          <t>可切换稳击/重击。稳击伤害 +2；重击伤害 +6，但本回合只能结算这一个形状格。</t>
        </is>
      </c>
      <c r="H108" s="451" t="n"/>
      <c r="I108" s="451" t="inlineStr">
        <is>
          <t>implemented</t>
        </is>
      </c>
      <c r="J108" s="451" t="n"/>
      <c r="K108" s="451" t="n"/>
      <c r="L108" s="451" t="n"/>
      <c r="M108" s="451" t="n"/>
      <c r="N108" s="451" t="n"/>
      <c r="O108" s="451" t="n"/>
      <c r="P108" s="451" t="n"/>
      <c r="Q108" s="451" t="n"/>
      <c r="R108" s="451" t="n"/>
      <c r="S108" s="451" t="n"/>
    </row>
    <row r="109">
      <c r="A109" s="451" t="inlineStr">
        <is>
          <t>G15</t>
        </is>
      </c>
      <c r="B109" s="451" t="inlineStr">
        <is>
          <t>斩首</t>
        </is>
      </c>
      <c r="C109" s="451" t="inlineStr">
        <is>
          <t>gold</t>
        </is>
      </c>
      <c r="D109" s="451" t="inlineStr">
        <is>
          <t>empoweredCell</t>
        </is>
      </c>
      <c r="E109" s="451" t="inlineStr">
        <is>
          <t>none</t>
        </is>
      </c>
      <c r="F109" s="451" t="inlineStr">
        <is>
          <t>1</t>
        </is>
      </c>
      <c r="G109" s="451" t="inlineStr">
        <is>
          <t>如果目标生命值不高于 8，额外造成 8 点伤害。</t>
        </is>
      </c>
      <c r="H109" s="451" t="n"/>
      <c r="I109" s="451" t="inlineStr">
        <is>
          <t>implemented</t>
        </is>
      </c>
      <c r="J109" s="451" t="n"/>
      <c r="K109" s="451" t="n"/>
      <c r="L109" s="451" t="n"/>
      <c r="M109" s="451" t="n"/>
      <c r="N109" s="451" t="n"/>
      <c r="O109" s="451" t="n"/>
      <c r="P109" s="451" t="n"/>
      <c r="Q109" s="451" t="n"/>
      <c r="R109" s="451" t="n"/>
      <c r="S109" s="451" t="n"/>
    </row>
    <row r="110">
      <c r="A110" s="451" t="inlineStr">
        <is>
          <t>G16</t>
        </is>
      </c>
      <c r="B110" s="451" t="inlineStr">
        <is>
          <t>追魂点</t>
        </is>
      </c>
      <c r="C110" s="451" t="inlineStr">
        <is>
          <t>gold</t>
        </is>
      </c>
      <c r="D110" s="451" t="inlineStr">
        <is>
          <t>empoweredCell</t>
        </is>
      </c>
      <c r="E110" s="451" t="inlineStr">
        <is>
          <t>none</t>
        </is>
      </c>
      <c r="F110" s="451" t="inlineStr">
        <is>
          <t>1</t>
        </is>
      </c>
      <c r="G110" s="451" t="inlineStr">
        <is>
          <t>若该格击杀敌人，对最近敌人追加 3 点伤害。</t>
        </is>
      </c>
      <c r="H110" s="451" t="n"/>
      <c r="I110" s="451" t="inlineStr">
        <is>
          <t>implemented</t>
        </is>
      </c>
      <c r="J110" s="451" t="n"/>
      <c r="K110" s="451" t="n"/>
      <c r="L110" s="451" t="n"/>
      <c r="M110" s="451" t="n"/>
      <c r="N110" s="451" t="n"/>
      <c r="O110" s="451" t="n"/>
      <c r="P110" s="451" t="n"/>
      <c r="Q110" s="451" t="n"/>
      <c r="R110" s="451" t="n"/>
      <c r="S110" s="451" t="n"/>
    </row>
    <row r="111">
      <c r="A111" s="451" t="inlineStr">
        <is>
          <t>G17</t>
        </is>
      </c>
      <c r="B111" s="451" t="inlineStr">
        <is>
          <t>精准印记</t>
        </is>
      </c>
      <c r="C111" s="451" t="inlineStr">
        <is>
          <t>gold</t>
        </is>
      </c>
      <c r="D111" s="451" t="inlineStr">
        <is>
          <t>manualMark</t>
        </is>
      </c>
      <c r="E111" s="451" t="inlineStr">
        <is>
          <t>medium</t>
        </is>
      </c>
      <c r="F111" s="451" t="inlineStr">
        <is>
          <t>1</t>
        </is>
      </c>
      <c r="G111" s="451" t="inlineStr">
        <is>
          <t>每回合可选择自己 1 个作用格，使其获得印记。该格本回合伤害 +5。</t>
        </is>
      </c>
      <c r="H111" s="451" t="inlineStr">
        <is>
          <t>手动选格，数量要少。只给一格英雄比较安全。</t>
        </is>
      </c>
      <c r="I111" s="451" t="inlineStr">
        <is>
          <t>implemented</t>
        </is>
      </c>
      <c r="J111" s="451" t="n"/>
      <c r="K111" s="451" t="n"/>
      <c r="L111" s="451" t="n"/>
      <c r="M111" s="451" t="n"/>
      <c r="N111" s="451" t="n"/>
      <c r="O111" s="451" t="n"/>
      <c r="P111" s="451" t="n"/>
      <c r="Q111" s="451" t="n"/>
      <c r="R111" s="451" t="n"/>
      <c r="S111" s="451" t="n"/>
    </row>
    <row r="112">
      <c r="A112" s="451" t="inlineStr">
        <is>
          <t>G18</t>
        </is>
      </c>
      <c r="B112" s="451" t="inlineStr">
        <is>
          <t>双点连击</t>
        </is>
      </c>
      <c r="C112" s="451" t="inlineStr">
        <is>
          <t>gold</t>
        </is>
      </c>
      <c r="D112" s="451" t="inlineStr">
        <is>
          <t>empoweredCell</t>
        </is>
      </c>
      <c r="E112" s="451" t="inlineStr">
        <is>
          <t>none</t>
        </is>
      </c>
      <c r="F112" s="451" t="inlineStr">
        <is>
          <t>2</t>
        </is>
      </c>
      <c r="G112" s="451" t="inlineStr">
        <is>
          <t>如果两个作用格都命中敌人，第二个命中的敌人伤害 +4。</t>
        </is>
      </c>
      <c r="H112" s="451" t="n"/>
      <c r="I112" s="451" t="inlineStr">
        <is>
          <t>implemented</t>
        </is>
      </c>
      <c r="J112" s="451" t="n"/>
      <c r="K112" s="451" t="n"/>
      <c r="L112" s="451" t="n"/>
      <c r="M112" s="451" t="n"/>
      <c r="N112" s="451" t="n"/>
      <c r="O112" s="451" t="n"/>
      <c r="P112" s="451" t="n"/>
      <c r="Q112" s="451" t="n"/>
      <c r="R112" s="451" t="n"/>
      <c r="S112" s="451" t="n"/>
    </row>
    <row r="113">
      <c r="A113" s="451" t="inlineStr">
        <is>
          <t>G19</t>
        </is>
      </c>
      <c r="B113" s="451" t="inlineStr">
        <is>
          <t>前后夹击</t>
        </is>
      </c>
      <c r="C113" s="451" t="inlineStr">
        <is>
          <t>gold</t>
        </is>
      </c>
      <c r="D113" s="451" t="inlineStr">
        <is>
          <t>directionBonus</t>
        </is>
      </c>
      <c r="E113" s="451" t="inlineStr">
        <is>
          <t>none</t>
        </is>
      </c>
      <c r="F113" s="451" t="inlineStr">
        <is>
          <t>2</t>
        </is>
      </c>
      <c r="G113" s="451" t="inlineStr">
        <is>
          <t>前后两个格子都命中敌人时，两个敌人各额外受到 2 点伤害。</t>
        </is>
      </c>
      <c r="H113" s="451" t="n"/>
      <c r="I113" s="451" t="inlineStr">
        <is>
          <t>implemented</t>
        </is>
      </c>
      <c r="J113" s="451" t="n"/>
      <c r="K113" s="451" t="n"/>
      <c r="L113" s="451" t="n"/>
      <c r="M113" s="451" t="n"/>
      <c r="N113" s="451" t="n"/>
      <c r="O113" s="451" t="n"/>
      <c r="P113" s="451" t="n"/>
      <c r="Q113" s="451" t="n"/>
      <c r="R113" s="451" t="n"/>
      <c r="S113" s="451" t="n"/>
    </row>
    <row r="114">
      <c r="A114" s="451" t="inlineStr">
        <is>
          <t>G20</t>
        </is>
      </c>
      <c r="B114" s="451" t="inlineStr">
        <is>
          <t>对角穿心</t>
        </is>
      </c>
      <c r="C114" s="451" t="inlineStr">
        <is>
          <t>gold</t>
        </is>
      </c>
      <c r="D114" s="451" t="inlineStr">
        <is>
          <t>directionBonus</t>
        </is>
      </c>
      <c r="E114" s="451" t="inlineStr">
        <is>
          <t>none</t>
        </is>
      </c>
      <c r="F114" s="451" t="inlineStr">
        <is>
          <t>2</t>
        </is>
      </c>
      <c r="G114" s="451" t="inlineStr">
        <is>
          <t>对角两格命中时，较远的目标伤害 +4。</t>
        </is>
      </c>
      <c r="H114" s="451" t="n"/>
      <c r="I114" s="451" t="inlineStr">
        <is>
          <t>implemented</t>
        </is>
      </c>
      <c r="J114" s="451" t="n"/>
      <c r="K114" s="451" t="n"/>
      <c r="L114" s="451" t="n"/>
      <c r="M114" s="451" t="n"/>
      <c r="N114" s="451" t="n"/>
      <c r="O114" s="451" t="n"/>
      <c r="P114" s="451" t="n"/>
      <c r="Q114" s="451" t="n"/>
      <c r="R114" s="451" t="n"/>
      <c r="S114" s="451" t="n"/>
    </row>
    <row r="115">
      <c r="A115" s="451" t="inlineStr">
        <is>
          <t>G21</t>
        </is>
      </c>
      <c r="B115" s="451" t="inlineStr">
        <is>
          <t>一攻一守</t>
        </is>
      </c>
      <c r="C115" s="451" t="inlineStr">
        <is>
          <t>gold</t>
        </is>
      </c>
      <c r="D115" s="451" t="inlineStr">
        <is>
          <t>dualMode</t>
        </is>
      </c>
      <c r="E115" s="451" t="inlineStr">
        <is>
          <t>low</t>
        </is>
      </c>
      <c r="F115" s="451" t="inlineStr">
        <is>
          <t>2</t>
        </is>
      </c>
      <c r="G115" s="451" t="inlineStr">
        <is>
          <t>两格中靠前格伤害 +2；靠后格若覆盖友方，则该友方获得 8 护盾。</t>
        </is>
      </c>
      <c r="H115" s="451" t="n"/>
      <c r="I115" s="451" t="inlineStr">
        <is>
          <t>implemented</t>
        </is>
      </c>
      <c r="J115" s="451" t="n"/>
      <c r="K115" s="451" t="n"/>
      <c r="L115" s="451" t="n"/>
      <c r="M115" s="451" t="n"/>
      <c r="N115" s="451" t="n"/>
      <c r="O115" s="451" t="n"/>
      <c r="P115" s="451" t="n"/>
      <c r="Q115" s="451" t="n"/>
      <c r="R115" s="451" t="n"/>
      <c r="S115" s="451" t="n"/>
    </row>
    <row r="116">
      <c r="A116" s="451" t="inlineStr">
        <is>
          <t>G22</t>
        </is>
      </c>
      <c r="B116" s="451" t="inlineStr">
        <is>
          <t>双印择一</t>
        </is>
      </c>
      <c r="C116" s="451" t="inlineStr">
        <is>
          <t>gold</t>
        </is>
      </c>
      <c r="D116" s="451" t="inlineStr">
        <is>
          <t>manualMark</t>
        </is>
      </c>
      <c r="E116" s="451" t="inlineStr">
        <is>
          <t>medium</t>
        </is>
      </c>
      <c r="F116" s="451" t="inlineStr">
        <is>
          <t>2</t>
        </is>
      </c>
      <c r="G116" s="451" t="inlineStr">
        <is>
          <t>每回合可在两个作用格中选择 1 格加金印。命中敌人伤害 +4；覆盖友方护盾 +8。</t>
        </is>
      </c>
      <c r="H116" s="451" t="inlineStr">
        <is>
          <t>二格英雄可少量使用，不能泛滥。</t>
        </is>
      </c>
      <c r="I116" s="451" t="inlineStr">
        <is>
          <t>implemented</t>
        </is>
      </c>
      <c r="J116" s="451" t="n"/>
      <c r="K116" s="451" t="n"/>
      <c r="L116" s="451" t="n"/>
      <c r="M116" s="451" t="n"/>
      <c r="N116" s="451" t="n"/>
      <c r="O116" s="451" t="n"/>
      <c r="P116" s="451" t="n"/>
      <c r="Q116" s="451" t="n"/>
      <c r="R116" s="451" t="n"/>
      <c r="S116" s="451" t="n"/>
    </row>
    <row r="117">
      <c r="A117" s="451" t="inlineStr">
        <is>
          <t>G23</t>
        </is>
      </c>
      <c r="B117" s="451" t="inlineStr">
        <is>
          <t>连环标记</t>
        </is>
      </c>
      <c r="C117" s="451" t="inlineStr">
        <is>
          <t>gold</t>
        </is>
      </c>
      <c r="D117" s="451" t="inlineStr">
        <is>
          <t>empoweredCell</t>
        </is>
      </c>
      <c r="E117" s="451" t="inlineStr">
        <is>
          <t>none</t>
        </is>
      </c>
      <c r="F117" s="451" t="inlineStr">
        <is>
          <t>2</t>
        </is>
      </c>
      <c r="G117" s="451" t="inlineStr">
        <is>
          <t>第一个命中的敌人被标记，第二个命中的敌人伤害 +3。</t>
        </is>
      </c>
      <c r="H117" s="451" t="n"/>
      <c r="I117" s="451" t="inlineStr">
        <is>
          <t>implemented</t>
        </is>
      </c>
      <c r="J117" s="451" t="n"/>
      <c r="K117" s="451" t="n"/>
      <c r="L117" s="451" t="n"/>
      <c r="M117" s="451" t="n"/>
      <c r="N117" s="451" t="n"/>
      <c r="O117" s="451" t="n"/>
      <c r="P117" s="451" t="n"/>
      <c r="Q117" s="451" t="n"/>
      <c r="R117" s="451" t="n"/>
      <c r="S117" s="451" t="n"/>
    </row>
    <row r="118">
      <c r="A118" s="451" t="inlineStr">
        <is>
          <t>G24</t>
        </is>
      </c>
      <c r="B118" s="451" t="inlineStr">
        <is>
          <t>双锋</t>
        </is>
      </c>
      <c r="C118" s="451" t="inlineStr">
        <is>
          <t>gold</t>
        </is>
      </c>
      <c r="D118" s="451" t="inlineStr">
        <is>
          <t>dualMode</t>
        </is>
      </c>
      <c r="E118" s="451" t="inlineStr">
        <is>
          <t>low</t>
        </is>
      </c>
      <c r="F118" s="451" t="inlineStr">
        <is>
          <t>2</t>
        </is>
      </c>
      <c r="G118" s="451" t="inlineStr">
        <is>
          <t>可切换同伤/主副。同伤为两个格子各 +1 伤害；主副为第一个格子 +4，第二个格子不加成。</t>
        </is>
      </c>
      <c r="H118" s="451" t="n"/>
      <c r="I118" s="451" t="inlineStr">
        <is>
          <t>implemented</t>
        </is>
      </c>
      <c r="J118" s="451" t="n"/>
      <c r="K118" s="451" t="n"/>
      <c r="L118" s="451" t="n"/>
      <c r="M118" s="451" t="n"/>
      <c r="N118" s="451" t="n"/>
      <c r="O118" s="451" t="n"/>
      <c r="P118" s="451" t="n"/>
      <c r="Q118" s="451" t="n"/>
      <c r="R118" s="451" t="n"/>
      <c r="S118" s="451" t="n"/>
    </row>
    <row r="119">
      <c r="A119" s="451" t="inlineStr">
        <is>
          <t>G25</t>
        </is>
      </c>
      <c r="B119" s="451" t="inlineStr">
        <is>
          <t>三格核心</t>
        </is>
      </c>
      <c r="C119" s="451" t="inlineStr">
        <is>
          <t>gold</t>
        </is>
      </c>
      <c r="D119" s="451" t="inlineStr">
        <is>
          <t>empoweredCell</t>
        </is>
      </c>
      <c r="E119" s="451" t="inlineStr">
        <is>
          <t>none</t>
        </is>
      </c>
      <c r="F119" s="451" t="inlineStr">
        <is>
          <t>3</t>
        </is>
      </c>
      <c r="G119" s="451" t="inlineStr">
        <is>
          <t>三格形状中固定 1 个核心格，核心格伤害 +3。</t>
        </is>
      </c>
      <c r="H119" s="451" t="n"/>
      <c r="I119" s="451" t="inlineStr">
        <is>
          <t>implemented</t>
        </is>
      </c>
      <c r="J119" s="451" t="n"/>
      <c r="K119" s="451" t="n"/>
      <c r="L119" s="451" t="n"/>
      <c r="M119" s="451" t="n"/>
      <c r="N119" s="451" t="n"/>
      <c r="O119" s="451" t="n"/>
      <c r="P119" s="451" t="n"/>
      <c r="Q119" s="451" t="n"/>
      <c r="R119" s="451" t="n"/>
      <c r="S119" s="451" t="n"/>
    </row>
    <row r="120">
      <c r="A120" s="451" t="inlineStr">
        <is>
          <t>G26</t>
        </is>
      </c>
      <c r="B120" s="451" t="inlineStr">
        <is>
          <t>横扫压制</t>
        </is>
      </c>
      <c r="C120" s="451" t="inlineStr">
        <is>
          <t>gold</t>
        </is>
      </c>
      <c r="D120" s="451" t="inlineStr">
        <is>
          <t>empoweredCell</t>
        </is>
      </c>
      <c r="E120" s="451" t="inlineStr">
        <is>
          <t>none</t>
        </is>
      </c>
      <c r="F120" s="451" t="inlineStr">
        <is>
          <t>3</t>
        </is>
      </c>
      <c r="G120" s="451" t="inlineStr">
        <is>
          <t>横扫三格命中 2 个以上敌人时，每个敌人额外受到 1 点伤害。</t>
        </is>
      </c>
      <c r="H120" s="451" t="n"/>
      <c r="I120" s="451" t="inlineStr">
        <is>
          <t>implemented</t>
        </is>
      </c>
      <c r="J120" s="451" t="n"/>
      <c r="K120" s="451" t="n"/>
      <c r="L120" s="451" t="n"/>
      <c r="M120" s="451" t="n"/>
      <c r="N120" s="451" t="n"/>
      <c r="O120" s="451" t="n"/>
      <c r="P120" s="451" t="n"/>
      <c r="Q120" s="451" t="n"/>
      <c r="R120" s="451" t="n"/>
      <c r="S120" s="451" t="n"/>
    </row>
    <row r="121">
      <c r="A121" s="451" t="inlineStr">
        <is>
          <t>G27</t>
        </is>
      </c>
      <c r="B121" s="451" t="inlineStr">
        <is>
          <t>竖线贯通</t>
        </is>
      </c>
      <c r="C121" s="451" t="inlineStr">
        <is>
          <t>gold</t>
        </is>
      </c>
      <c r="D121" s="451" t="inlineStr">
        <is>
          <t>directionBonus</t>
        </is>
      </c>
      <c r="E121" s="451" t="inlineStr">
        <is>
          <t>none</t>
        </is>
      </c>
      <c r="F121" s="451" t="inlineStr">
        <is>
          <t>3</t>
        </is>
      </c>
      <c r="G121" s="451" t="inlineStr">
        <is>
          <t>直线三格从近到远结算，第三格伤害 +3。</t>
        </is>
      </c>
      <c r="H121" s="451" t="n"/>
      <c r="I121" s="451" t="inlineStr">
        <is>
          <t>implemented</t>
        </is>
      </c>
      <c r="J121" s="451" t="n"/>
      <c r="K121" s="451" t="n"/>
      <c r="L121" s="451" t="n"/>
      <c r="M121" s="451" t="n"/>
      <c r="N121" s="451" t="n"/>
      <c r="O121" s="451" t="n"/>
      <c r="P121" s="451" t="n"/>
      <c r="Q121" s="451" t="n"/>
      <c r="R121" s="451" t="n"/>
      <c r="S121" s="451" t="n"/>
    </row>
    <row r="122">
      <c r="A122" s="451" t="inlineStr">
        <is>
          <t>G28</t>
        </is>
      </c>
      <c r="B122" s="451" t="inlineStr">
        <is>
          <t>三点成阵</t>
        </is>
      </c>
      <c r="C122" s="451" t="inlineStr">
        <is>
          <t>gold</t>
        </is>
      </c>
      <c r="D122" s="451" t="inlineStr">
        <is>
          <t>empoweredCell</t>
        </is>
      </c>
      <c r="E122" s="451" t="inlineStr">
        <is>
          <t>none</t>
        </is>
      </c>
      <c r="F122" s="451" t="inlineStr">
        <is>
          <t>3</t>
        </is>
      </c>
      <c r="G122" s="451" t="inlineStr">
        <is>
          <t>三个作用格都覆盖到单位时，敌人受伤 +2，友方获得 5 护盾。</t>
        </is>
      </c>
      <c r="H122" s="451" t="n"/>
      <c r="I122" s="451" t="inlineStr">
        <is>
          <t>implemented</t>
        </is>
      </c>
      <c r="J122" s="451" t="n"/>
      <c r="K122" s="451" t="n"/>
      <c r="L122" s="451" t="n"/>
      <c r="M122" s="451" t="n"/>
      <c r="N122" s="451" t="n"/>
      <c r="O122" s="451" t="n"/>
      <c r="P122" s="451" t="n"/>
      <c r="Q122" s="451" t="n"/>
      <c r="R122" s="451" t="n"/>
      <c r="S122" s="451" t="n"/>
    </row>
    <row r="123">
      <c r="A123" s="451" t="inlineStr">
        <is>
          <t>G29</t>
        </is>
      </c>
      <c r="B123" s="451" t="inlineStr">
        <is>
          <t>首尾呼应</t>
        </is>
      </c>
      <c r="C123" s="451" t="inlineStr">
        <is>
          <t>gold</t>
        </is>
      </c>
      <c r="D123" s="451" t="inlineStr">
        <is>
          <t>directionBonus</t>
        </is>
      </c>
      <c r="E123" s="451" t="inlineStr">
        <is>
          <t>none</t>
        </is>
      </c>
      <c r="F123" s="451" t="inlineStr">
        <is>
          <t>3</t>
        </is>
      </c>
      <c r="G123" s="451" t="inlineStr">
        <is>
          <t>形状第一格和最远格同时命中时，最远格伤害 +4。</t>
        </is>
      </c>
      <c r="H123" s="451" t="n"/>
      <c r="I123" s="451" t="inlineStr">
        <is>
          <t>implemented</t>
        </is>
      </c>
      <c r="J123" s="451" t="n"/>
      <c r="K123" s="451" t="n"/>
      <c r="L123" s="451" t="n"/>
      <c r="M123" s="451" t="n"/>
      <c r="N123" s="451" t="n"/>
      <c r="O123" s="451" t="n"/>
      <c r="P123" s="451" t="n"/>
      <c r="Q123" s="451" t="n"/>
      <c r="R123" s="451" t="n"/>
      <c r="S123" s="451" t="n"/>
    </row>
    <row r="124">
      <c r="A124" s="451" t="inlineStr">
        <is>
          <t>G30</t>
        </is>
      </c>
      <c r="B124" s="451" t="inlineStr">
        <is>
          <t>三选一金印</t>
        </is>
      </c>
      <c r="C124" s="451" t="inlineStr">
        <is>
          <t>gold</t>
        </is>
      </c>
      <c r="D124" s="451" t="inlineStr">
        <is>
          <t>manualMark</t>
        </is>
      </c>
      <c r="E124" s="451" t="inlineStr">
        <is>
          <t>medium</t>
        </is>
      </c>
      <c r="F124" s="451" t="inlineStr">
        <is>
          <t>3</t>
        </is>
      </c>
      <c r="G124" s="451" t="inlineStr">
        <is>
          <t>每回合可从三个作用格中选 1 个加金印。该格伤害 +3。</t>
        </is>
      </c>
      <c r="H124" s="451" t="inlineStr">
        <is>
          <t>三格本身覆盖大，所以手动强化数值要比一格、二格低。</t>
        </is>
      </c>
      <c r="I124" s="451" t="inlineStr">
        <is>
          <t>implemented</t>
        </is>
      </c>
      <c r="J124" s="451" t="n"/>
      <c r="K124" s="451" t="n"/>
      <c r="L124" s="451" t="n"/>
      <c r="M124" s="451" t="n"/>
      <c r="N124" s="451" t="n"/>
      <c r="O124" s="451" t="n"/>
      <c r="P124" s="451" t="n"/>
      <c r="Q124" s="451" t="n"/>
      <c r="R124" s="451" t="n"/>
      <c r="S124" s="451" t="n"/>
    </row>
    <row r="125">
      <c r="A125" s="451" t="inlineStr">
        <is>
          <t>D01</t>
        </is>
      </c>
      <c r="B125" s="451" t="inlineStr">
        <is>
          <t>末端延伸</t>
        </is>
      </c>
      <c r="C125" s="451" t="inlineStr">
        <is>
          <t>diamond</t>
        </is>
      </c>
      <c r="D125" s="451" t="inlineStr">
        <is>
          <t>shapeMutation</t>
        </is>
      </c>
      <c r="E125" s="451" t="inlineStr">
        <is>
          <t>none</t>
        </is>
      </c>
      <c r="F125" s="451" t="inlineStr">
        <is>
          <t>1|2|3</t>
        </is>
      </c>
      <c r="G125" s="451" t="inlineStr">
        <is>
          <t>形状最远端额外延伸 1 格。</t>
        </is>
      </c>
      <c r="H125" s="451" t="n"/>
      <c r="I125" s="451" t="inlineStr">
        <is>
          <t>implemented</t>
        </is>
      </c>
      <c r="J125" s="451" t="n"/>
      <c r="K125" s="451" t="n"/>
      <c r="L125" s="451" t="n"/>
      <c r="M125" s="451" t="n"/>
      <c r="N125" s="451" t="n"/>
      <c r="O125" s="451" t="n"/>
      <c r="P125" s="451" t="n"/>
      <c r="Q125" s="451" t="n"/>
      <c r="R125" s="451" t="n"/>
      <c r="S125" s="451" t="n"/>
    </row>
    <row r="126">
      <c r="A126" s="451" t="inlineStr">
        <is>
          <t>D02</t>
        </is>
      </c>
      <c r="B126" s="451" t="inlineStr">
        <is>
          <t>起点回扫</t>
        </is>
      </c>
      <c r="C126" s="451" t="inlineStr">
        <is>
          <t>diamond</t>
        </is>
      </c>
      <c r="D126" s="451" t="inlineStr">
        <is>
          <t>shapeMutation</t>
        </is>
      </c>
      <c r="E126" s="451" t="inlineStr">
        <is>
          <t>none</t>
        </is>
      </c>
      <c r="F126" s="451" t="inlineStr">
        <is>
          <t>2|3</t>
        </is>
      </c>
      <c r="G126" s="451" t="inlineStr">
        <is>
          <t>形状结算后，反方向再结算 1 次，反向伤害 -2。</t>
        </is>
      </c>
      <c r="H126" s="451" t="n"/>
      <c r="I126" s="451" t="inlineStr">
        <is>
          <t>implemented</t>
        </is>
      </c>
      <c r="J126" s="451" t="n"/>
      <c r="K126" s="451" t="n"/>
      <c r="L126" s="451" t="n"/>
      <c r="M126" s="451" t="n"/>
      <c r="N126" s="451" t="n"/>
      <c r="O126" s="451" t="n"/>
      <c r="P126" s="451" t="n"/>
      <c r="Q126" s="451" t="n"/>
      <c r="R126" s="451" t="n"/>
      <c r="S126" s="451" t="n"/>
    </row>
    <row r="127">
      <c r="A127" s="451" t="inlineStr">
        <is>
          <t>D03</t>
        </is>
      </c>
      <c r="B127" s="451" t="inlineStr">
        <is>
          <t>镜像形状</t>
        </is>
      </c>
      <c r="C127" s="451" t="inlineStr">
        <is>
          <t>diamond</t>
        </is>
      </c>
      <c r="D127" s="451" t="inlineStr">
        <is>
          <t>shapeMutation</t>
        </is>
      </c>
      <c r="E127" s="451" t="inlineStr">
        <is>
          <t>none</t>
        </is>
      </c>
      <c r="F127" s="451" t="inlineStr">
        <is>
          <t>1|2</t>
        </is>
      </c>
      <c r="G127" s="451" t="inlineStr">
        <is>
          <t>当前形状会向相反方向复制 1 次。</t>
        </is>
      </c>
      <c r="H127" s="451" t="inlineStr">
        <is>
          <t>不建议给三格，容易爆表。</t>
        </is>
      </c>
      <c r="I127" s="451" t="inlineStr">
        <is>
          <t>implemented</t>
        </is>
      </c>
      <c r="J127" s="451" t="n"/>
      <c r="K127" s="451" t="n"/>
      <c r="L127" s="451" t="n"/>
      <c r="M127" s="451" t="n"/>
      <c r="N127" s="451" t="n"/>
      <c r="O127" s="451" t="n"/>
      <c r="P127" s="451" t="n"/>
      <c r="Q127" s="451" t="n"/>
      <c r="R127" s="451" t="n"/>
      <c r="S127" s="451" t="n"/>
    </row>
    <row r="128">
      <c r="A128" s="451" t="inlineStr">
        <is>
          <t>D04</t>
        </is>
      </c>
      <c r="B128" s="451" t="inlineStr">
        <is>
          <t>斜向复制</t>
        </is>
      </c>
      <c r="C128" s="451" t="inlineStr">
        <is>
          <t>diamond</t>
        </is>
      </c>
      <c r="D128" s="451" t="inlineStr">
        <is>
          <t>shapeMutation</t>
        </is>
      </c>
      <c r="E128" s="451" t="inlineStr">
        <is>
          <t>none</t>
        </is>
      </c>
      <c r="F128" s="451" t="inlineStr">
        <is>
          <t>1|2</t>
        </is>
      </c>
      <c r="G128" s="451" t="inlineStr">
        <is>
          <t>当前形状命中后，在斜向相邻位置额外生成 1 个作用格。</t>
        </is>
      </c>
      <c r="H128" s="451" t="n"/>
      <c r="I128" s="451" t="inlineStr">
        <is>
          <t>implemented</t>
        </is>
      </c>
      <c r="J128" s="451" t="n"/>
      <c r="K128" s="451" t="n"/>
      <c r="L128" s="451" t="n"/>
      <c r="M128" s="451" t="n"/>
      <c r="N128" s="451" t="n"/>
      <c r="O128" s="451" t="n"/>
      <c r="P128" s="451" t="n"/>
      <c r="Q128" s="451" t="n"/>
      <c r="R128" s="451" t="n"/>
      <c r="S128" s="451" t="n"/>
    </row>
    <row r="129">
      <c r="A129" s="451" t="inlineStr">
        <is>
          <t>D05</t>
        </is>
      </c>
      <c r="B129" s="451" t="inlineStr">
        <is>
          <t>核心扩散</t>
        </is>
      </c>
      <c r="C129" s="451" t="inlineStr">
        <is>
          <t>diamond</t>
        </is>
      </c>
      <c r="D129" s="451" t="inlineStr">
        <is>
          <t>shapeMutation</t>
        </is>
      </c>
      <c r="E129" s="451" t="inlineStr">
        <is>
          <t>none</t>
        </is>
      </c>
      <c r="F129" s="451" t="inlineStr">
        <is>
          <t>1</t>
        </is>
      </c>
      <c r="G129" s="451" t="inlineStr">
        <is>
          <t>命中目标后，对目标上下左右各造成 1 点溅射伤害。</t>
        </is>
      </c>
      <c r="H129" s="451" t="n"/>
      <c r="I129" s="451" t="inlineStr">
        <is>
          <t>implemented</t>
        </is>
      </c>
      <c r="J129" s="451" t="n"/>
      <c r="K129" s="451" t="n"/>
      <c r="L129" s="451" t="n"/>
      <c r="M129" s="451" t="n"/>
      <c r="N129" s="451" t="n"/>
      <c r="O129" s="451" t="n"/>
      <c r="P129" s="451" t="n"/>
      <c r="Q129" s="451" t="n"/>
      <c r="R129" s="451" t="n"/>
      <c r="S129" s="451" t="n"/>
    </row>
    <row r="130">
      <c r="A130" s="451" t="inlineStr">
        <is>
          <t>D06</t>
        </is>
      </c>
      <c r="B130" s="451" t="inlineStr">
        <is>
          <t>双端开花</t>
        </is>
      </c>
      <c r="C130" s="451" t="inlineStr">
        <is>
          <t>diamond</t>
        </is>
      </c>
      <c r="D130" s="451" t="inlineStr">
        <is>
          <t>shapeMutation</t>
        </is>
      </c>
      <c r="E130" s="451" t="inlineStr">
        <is>
          <t>none</t>
        </is>
      </c>
      <c r="F130" s="451" t="inlineStr">
        <is>
          <t>2</t>
        </is>
      </c>
      <c r="G130" s="451" t="inlineStr">
        <is>
          <t>两个作用格的外侧各额外延伸 1 格，但额外格伤害 -2。</t>
        </is>
      </c>
      <c r="H130" s="451" t="n"/>
      <c r="I130" s="451" t="inlineStr">
        <is>
          <t>implemented</t>
        </is>
      </c>
      <c r="J130" s="451" t="n"/>
      <c r="K130" s="451" t="n"/>
      <c r="L130" s="451" t="n"/>
      <c r="M130" s="451" t="n"/>
      <c r="N130" s="451" t="n"/>
      <c r="O130" s="451" t="n"/>
      <c r="P130" s="451" t="n"/>
      <c r="Q130" s="451" t="n"/>
      <c r="R130" s="451" t="n"/>
      <c r="S130" s="451" t="n"/>
    </row>
    <row r="131">
      <c r="A131" s="451" t="inlineStr">
        <is>
          <t>D07</t>
        </is>
      </c>
      <c r="B131" s="451" t="inlineStr">
        <is>
          <t>三格收束</t>
        </is>
      </c>
      <c r="C131" s="451" t="inlineStr">
        <is>
          <t>diamond</t>
        </is>
      </c>
      <c r="D131" s="451" t="inlineStr">
        <is>
          <t>shapeMutation</t>
        </is>
      </c>
      <c r="E131" s="451" t="inlineStr">
        <is>
          <t>none</t>
        </is>
      </c>
      <c r="F131" s="451" t="inlineStr">
        <is>
          <t>3</t>
        </is>
      </c>
      <c r="G131" s="451" t="inlineStr">
        <is>
          <t>三格形状如果只命中 1 个敌人，该敌人额外受到 6 点伤害。</t>
        </is>
      </c>
      <c r="H131" s="451" t="n"/>
      <c r="I131" s="451" t="inlineStr">
        <is>
          <t>implemented</t>
        </is>
      </c>
      <c r="J131" s="451" t="n"/>
      <c r="K131" s="451" t="n"/>
      <c r="L131" s="451" t="n"/>
      <c r="M131" s="451" t="n"/>
      <c r="N131" s="451" t="n"/>
      <c r="O131" s="451" t="n"/>
      <c r="P131" s="451" t="n"/>
      <c r="Q131" s="451" t="n"/>
      <c r="R131" s="451" t="n"/>
      <c r="S131" s="451" t="n"/>
    </row>
    <row r="132">
      <c r="A132" s="451" t="inlineStr">
        <is>
          <t>D08</t>
        </is>
      </c>
      <c r="B132" s="451" t="inlineStr">
        <is>
          <t>三格外放</t>
        </is>
      </c>
      <c r="C132" s="451" t="inlineStr">
        <is>
          <t>diamond</t>
        </is>
      </c>
      <c r="D132" s="451" t="inlineStr">
        <is>
          <t>shapeMutation</t>
        </is>
      </c>
      <c r="E132" s="451" t="inlineStr">
        <is>
          <t>none</t>
        </is>
      </c>
      <c r="F132" s="451" t="inlineStr">
        <is>
          <t>3</t>
        </is>
      </c>
      <c r="G132" s="451" t="inlineStr">
        <is>
          <t>三格形状命中 2 个以上敌人时，额外对每个目标造成 2 点伤害。</t>
        </is>
      </c>
      <c r="H132" s="451" t="n"/>
      <c r="I132" s="451" t="inlineStr">
        <is>
          <t>implemented</t>
        </is>
      </c>
      <c r="J132" s="451" t="n"/>
      <c r="K132" s="451" t="n"/>
      <c r="L132" s="451" t="n"/>
      <c r="M132" s="451" t="n"/>
      <c r="N132" s="451" t="n"/>
      <c r="O132" s="451" t="n"/>
      <c r="P132" s="451" t="n"/>
      <c r="Q132" s="451" t="n"/>
      <c r="R132" s="451" t="n"/>
      <c r="S132" s="451" t="n"/>
    </row>
    <row r="133">
      <c r="A133" s="451" t="inlineStr">
        <is>
          <t>D09</t>
        </is>
      </c>
      <c r="B133" s="451" t="inlineStr">
        <is>
          <t>角形补点</t>
        </is>
      </c>
      <c r="C133" s="451" t="inlineStr">
        <is>
          <t>diamond</t>
        </is>
      </c>
      <c r="D133" s="451" t="inlineStr">
        <is>
          <t>shapeMutation</t>
        </is>
      </c>
      <c r="E133" s="451" t="inlineStr">
        <is>
          <t>none</t>
        </is>
      </c>
      <c r="F133" s="451" t="inlineStr">
        <is>
          <t>3</t>
        </is>
      </c>
      <c r="G133" s="451" t="inlineStr">
        <is>
          <t>L 型三格的缺角位置额外生成 1 个作用格，伤害 -2。</t>
        </is>
      </c>
      <c r="H133" s="451" t="n"/>
      <c r="I133" s="451" t="inlineStr">
        <is>
          <t>implemented</t>
        </is>
      </c>
      <c r="J133" s="451" t="n"/>
      <c r="K133" s="451" t="n"/>
      <c r="L133" s="451" t="n"/>
      <c r="M133" s="451" t="n"/>
      <c r="N133" s="451" t="n"/>
      <c r="O133" s="451" t="n"/>
      <c r="P133" s="451" t="n"/>
      <c r="Q133" s="451" t="n"/>
      <c r="R133" s="451" t="n"/>
      <c r="S133" s="451" t="n"/>
    </row>
    <row r="134">
      <c r="A134" s="451" t="inlineStr">
        <is>
          <t>D10</t>
        </is>
      </c>
      <c r="B134" s="451" t="inlineStr">
        <is>
          <t>直线贯穿</t>
        </is>
      </c>
      <c r="C134" s="451" t="inlineStr">
        <is>
          <t>diamond</t>
        </is>
      </c>
      <c r="D134" s="451" t="inlineStr">
        <is>
          <t>shapeMutation</t>
        </is>
      </c>
      <c r="E134" s="451" t="inlineStr">
        <is>
          <t>none</t>
        </is>
      </c>
      <c r="F134" s="451" t="inlineStr">
        <is>
          <t>3</t>
        </is>
      </c>
      <c r="G134" s="451" t="inlineStr">
        <is>
          <t>直线形状末端再贯穿 1 格，额外格伤害 -1。</t>
        </is>
      </c>
      <c r="H134" s="451" t="n"/>
      <c r="I134" s="451" t="inlineStr">
        <is>
          <t>implemented</t>
        </is>
      </c>
      <c r="J134" s="451" t="n"/>
      <c r="K134" s="451" t="n"/>
      <c r="L134" s="451" t="n"/>
      <c r="M134" s="451" t="n"/>
      <c r="N134" s="451" t="n"/>
      <c r="O134" s="451" t="n"/>
      <c r="P134" s="451" t="n"/>
      <c r="Q134" s="451" t="n"/>
      <c r="R134" s="451" t="n"/>
      <c r="S134" s="451" t="n"/>
    </row>
    <row r="135">
      <c r="A135" s="451" t="inlineStr">
        <is>
          <t>D11</t>
        </is>
      </c>
      <c r="B135" s="451" t="inlineStr">
        <is>
          <t>抢先结算</t>
        </is>
      </c>
      <c r="C135" s="451" t="inlineStr">
        <is>
          <t>diamond</t>
        </is>
      </c>
      <c r="D135" s="451" t="inlineStr">
        <is>
          <t>settlementMutation</t>
        </is>
      </c>
      <c r="E135" s="451" t="inlineStr">
        <is>
          <t>none</t>
        </is>
      </c>
      <c r="F135" s="451" t="inlineStr">
        <is>
          <t>1|2|3</t>
        </is>
      </c>
      <c r="G135" s="451" t="inlineStr">
        <is>
          <t>该角色总是最先结算。</t>
        </is>
      </c>
      <c r="H135" s="451" t="n"/>
      <c r="I135" s="451" t="inlineStr">
        <is>
          <t>implemented</t>
        </is>
      </c>
      <c r="J135" s="451" t="n"/>
      <c r="K135" s="451" t="n"/>
      <c r="L135" s="451" t="n"/>
      <c r="M135" s="451" t="n"/>
      <c r="N135" s="451" t="n"/>
      <c r="O135" s="451" t="n"/>
      <c r="P135" s="451" t="n"/>
      <c r="Q135" s="451" t="n"/>
      <c r="R135" s="451" t="n"/>
      <c r="S135" s="451" t="n"/>
    </row>
    <row r="136">
      <c r="A136" s="451" t="inlineStr">
        <is>
          <t>D12</t>
        </is>
      </c>
      <c r="B136" s="451" t="inlineStr">
        <is>
          <t>压轴结算</t>
        </is>
      </c>
      <c r="C136" s="451" t="inlineStr">
        <is>
          <t>diamond</t>
        </is>
      </c>
      <c r="D136" s="451" t="inlineStr">
        <is>
          <t>settlementMutation</t>
        </is>
      </c>
      <c r="E136" s="451" t="inlineStr">
        <is>
          <t>none</t>
        </is>
      </c>
      <c r="F136" s="451" t="inlineStr">
        <is>
          <t>1|2|3</t>
        </is>
      </c>
      <c r="G136" s="451" t="inlineStr">
        <is>
          <t>该角色总是最后结算，最后一击伤害 +5。</t>
        </is>
      </c>
      <c r="H136" s="451" t="n"/>
      <c r="I136" s="451" t="inlineStr">
        <is>
          <t>implemented</t>
        </is>
      </c>
      <c r="J136" s="451" t="n"/>
      <c r="K136" s="451" t="n"/>
      <c r="L136" s="451" t="n"/>
      <c r="M136" s="451" t="n"/>
      <c r="N136" s="451" t="n"/>
      <c r="O136" s="451" t="n"/>
      <c r="P136" s="451" t="n"/>
      <c r="Q136" s="451" t="n"/>
      <c r="R136" s="451" t="n"/>
      <c r="S136" s="451" t="n"/>
    </row>
    <row r="137">
      <c r="A137" s="451" t="inlineStr">
        <is>
          <t>D13</t>
        </is>
      </c>
      <c r="B137" s="451" t="inlineStr">
        <is>
          <t>残血追击</t>
        </is>
      </c>
      <c r="C137" s="451" t="inlineStr">
        <is>
          <t>diamond</t>
        </is>
      </c>
      <c r="D137" s="451" t="inlineStr">
        <is>
          <t>settlementMutation</t>
        </is>
      </c>
      <c r="E137" s="451" t="inlineStr">
        <is>
          <t>none</t>
        </is>
      </c>
      <c r="F137" s="451" t="inlineStr">
        <is>
          <t>1|2|3</t>
        </is>
      </c>
      <c r="G137" s="451" t="inlineStr">
        <is>
          <t>若本次结算后有敌人生命不高于 5，对其追加 5 点伤害。</t>
        </is>
      </c>
      <c r="H137" s="451" t="n"/>
      <c r="I137" s="451" t="inlineStr">
        <is>
          <t>implemented</t>
        </is>
      </c>
      <c r="J137" s="451" t="n"/>
      <c r="K137" s="451" t="n"/>
      <c r="L137" s="451" t="n"/>
      <c r="M137" s="451" t="n"/>
      <c r="N137" s="451" t="n"/>
      <c r="O137" s="451" t="n"/>
      <c r="P137" s="451" t="n"/>
      <c r="Q137" s="451" t="n"/>
      <c r="R137" s="451" t="n"/>
      <c r="S137" s="451" t="n"/>
    </row>
    <row r="138">
      <c r="A138" s="451" t="inlineStr">
        <is>
          <t>D14</t>
        </is>
      </c>
      <c r="B138" s="451" t="inlineStr">
        <is>
          <t>击杀连锁</t>
        </is>
      </c>
      <c r="C138" s="451" t="inlineStr">
        <is>
          <t>diamond</t>
        </is>
      </c>
      <c r="D138" s="451" t="inlineStr">
        <is>
          <t>settlementMutation</t>
        </is>
      </c>
      <c r="E138" s="451" t="inlineStr">
        <is>
          <t>none</t>
        </is>
      </c>
      <c r="F138" s="451" t="inlineStr">
        <is>
          <t>1|2</t>
        </is>
      </c>
      <c r="G138" s="451" t="inlineStr">
        <is>
          <t>击杀敌人后，对最近敌人追加 4 点伤害。</t>
        </is>
      </c>
      <c r="H138" s="451" t="n"/>
      <c r="I138" s="451" t="inlineStr">
        <is>
          <t>implemented</t>
        </is>
      </c>
      <c r="J138" s="451" t="n"/>
      <c r="K138" s="451" t="n"/>
      <c r="L138" s="451" t="n"/>
      <c r="M138" s="451" t="n"/>
      <c r="N138" s="451" t="n"/>
      <c r="O138" s="451" t="n"/>
      <c r="P138" s="451" t="n"/>
      <c r="Q138" s="451" t="n"/>
      <c r="R138" s="451" t="n"/>
      <c r="S138" s="451" t="n"/>
    </row>
    <row r="139">
      <c r="A139" s="451" t="inlineStr">
        <is>
          <t>D15</t>
        </is>
      </c>
      <c r="B139" s="451" t="inlineStr">
        <is>
          <t>破阵启动</t>
        </is>
      </c>
      <c r="C139" s="451" t="inlineStr">
        <is>
          <t>diamond</t>
        </is>
      </c>
      <c r="D139" s="451" t="inlineStr">
        <is>
          <t>settlementMutation</t>
        </is>
      </c>
      <c r="E139" s="451" t="inlineStr">
        <is>
          <t>none</t>
        </is>
      </c>
      <c r="F139" s="451" t="inlineStr">
        <is>
          <t>3</t>
        </is>
      </c>
      <c r="G139" s="451" t="inlineStr">
        <is>
          <t>若本次命中 3 个单位，立即额外结算一次核心格。</t>
        </is>
      </c>
      <c r="H139" s="451" t="n"/>
      <c r="I139" s="451" t="inlineStr">
        <is>
          <t>implemented</t>
        </is>
      </c>
      <c r="J139" s="451" t="n"/>
      <c r="K139" s="451" t="n"/>
      <c r="L139" s="451" t="n"/>
      <c r="M139" s="451" t="n"/>
      <c r="N139" s="451" t="n"/>
      <c r="O139" s="451" t="n"/>
      <c r="P139" s="451" t="n"/>
      <c r="Q139" s="451" t="n"/>
      <c r="R139" s="451" t="n"/>
      <c r="S139" s="451" t="n"/>
    </row>
    <row r="140">
      <c r="A140" s="451" t="inlineStr">
        <is>
          <t>D16</t>
        </is>
      </c>
      <c r="B140" s="451" t="inlineStr">
        <is>
          <t>反复敲打</t>
        </is>
      </c>
      <c r="C140" s="451" t="inlineStr">
        <is>
          <t>diamond</t>
        </is>
      </c>
      <c r="D140" s="451" t="inlineStr">
        <is>
          <t>settlementMutation</t>
        </is>
      </c>
      <c r="E140" s="451" t="inlineStr">
        <is>
          <t>none</t>
        </is>
      </c>
      <c r="F140" s="451" t="inlineStr">
        <is>
          <t>1</t>
        </is>
      </c>
      <c r="G140" s="451" t="inlineStr">
        <is>
          <t>如果只命中 1 个敌人，同一格重复结算 1 次。</t>
        </is>
      </c>
      <c r="H140" s="451" t="n"/>
      <c r="I140" s="451" t="inlineStr">
        <is>
          <t>implemented</t>
        </is>
      </c>
      <c r="J140" s="451" t="n"/>
      <c r="K140" s="451" t="n"/>
      <c r="L140" s="451" t="n"/>
      <c r="M140" s="451" t="n"/>
      <c r="N140" s="451" t="n"/>
      <c r="O140" s="451" t="n"/>
      <c r="P140" s="451" t="n"/>
      <c r="Q140" s="451" t="n"/>
      <c r="R140" s="451" t="n"/>
      <c r="S140" s="451" t="n"/>
    </row>
    <row r="141">
      <c r="A141" s="451" t="inlineStr">
        <is>
          <t>D17</t>
        </is>
      </c>
      <c r="B141" s="451" t="inlineStr">
        <is>
          <t>二段行动</t>
        </is>
      </c>
      <c r="C141" s="451" t="inlineStr">
        <is>
          <t>diamond</t>
        </is>
      </c>
      <c r="D141" s="451" t="inlineStr">
        <is>
          <t>settlementMutation</t>
        </is>
      </c>
      <c r="E141" s="451" t="inlineStr">
        <is>
          <t>none</t>
        </is>
      </c>
      <c r="F141" s="451" t="inlineStr">
        <is>
          <t>1|2|3</t>
        </is>
      </c>
      <c r="G141" s="451" t="inlineStr">
        <is>
          <t>本角色先结算一半伤害，所有友方结算后再结算剩余伤害。</t>
        </is>
      </c>
      <c r="H141" s="451" t="inlineStr">
        <is>
          <t>有一定理解成本，建议少量使用。</t>
        </is>
      </c>
      <c r="I141" s="451" t="inlineStr">
        <is>
          <t>implemented</t>
        </is>
      </c>
      <c r="J141" s="451" t="n"/>
      <c r="K141" s="451" t="n"/>
      <c r="L141" s="451" t="n"/>
      <c r="M141" s="451" t="n"/>
      <c r="N141" s="451" t="n"/>
      <c r="O141" s="451" t="n"/>
      <c r="P141" s="451" t="n"/>
      <c r="Q141" s="451" t="n"/>
      <c r="R141" s="451" t="n"/>
      <c r="S141" s="451" t="n"/>
    </row>
    <row r="142">
      <c r="A142" s="451" t="inlineStr">
        <is>
          <t>D18</t>
        </is>
      </c>
      <c r="B142" s="451" t="inlineStr">
        <is>
          <t>元素先爆</t>
        </is>
      </c>
      <c r="C142" s="451" t="inlineStr">
        <is>
          <t>diamond</t>
        </is>
      </c>
      <c r="D142" s="451" t="inlineStr">
        <is>
          <t>settlementMutation</t>
        </is>
      </c>
      <c r="E142" s="451" t="inlineStr">
        <is>
          <t>none</t>
        </is>
      </c>
      <c r="F142" s="451" t="inlineStr">
        <is>
          <t>1|2|3</t>
        </is>
      </c>
      <c r="G142" s="451" t="inlineStr">
        <is>
          <t>如果本次触发元素爆发，该元素爆发提前到本角色普通伤害前结算。</t>
        </is>
      </c>
      <c r="H142" s="451" t="n"/>
      <c r="I142" s="451" t="inlineStr">
        <is>
          <t>implemented</t>
        </is>
      </c>
      <c r="J142" s="451" t="n"/>
      <c r="K142" s="451" t="n"/>
      <c r="L142" s="451" t="n"/>
      <c r="M142" s="451" t="n"/>
      <c r="N142" s="451" t="n"/>
      <c r="O142" s="451" t="n"/>
      <c r="P142" s="451" t="n"/>
      <c r="Q142" s="451" t="n"/>
      <c r="R142" s="451" t="n"/>
      <c r="S142" s="451" t="n"/>
    </row>
    <row r="143">
      <c r="A143" s="451" t="inlineStr">
        <is>
          <t>D19</t>
        </is>
      </c>
      <c r="B143" s="451" t="inlineStr">
        <is>
          <t>收割顺序</t>
        </is>
      </c>
      <c r="C143" s="451" t="inlineStr">
        <is>
          <t>diamond</t>
        </is>
      </c>
      <c r="D143" s="451" t="inlineStr">
        <is>
          <t>settlementMutation</t>
        </is>
      </c>
      <c r="E143" s="451" t="inlineStr">
        <is>
          <t>none</t>
        </is>
      </c>
      <c r="F143" s="451" t="inlineStr">
        <is>
          <t>1|2|3</t>
        </is>
      </c>
      <c r="G143" s="451" t="inlineStr">
        <is>
          <t>结算时优先攻击生命最低的目标。</t>
        </is>
      </c>
      <c r="H143" s="451" t="inlineStr">
        <is>
          <t>会改变默认结算逻辑，建议只给少数角色。</t>
        </is>
      </c>
      <c r="I143" s="451" t="inlineStr">
        <is>
          <t>implemented</t>
        </is>
      </c>
      <c r="J143" s="451" t="n"/>
      <c r="K143" s="451" t="n"/>
      <c r="L143" s="451" t="n"/>
      <c r="M143" s="451" t="n"/>
      <c r="N143" s="451" t="n"/>
      <c r="O143" s="451" t="n"/>
      <c r="P143" s="451" t="n"/>
      <c r="Q143" s="451" t="n"/>
      <c r="R143" s="451" t="n"/>
      <c r="S143" s="451" t="n"/>
    </row>
    <row r="144">
      <c r="A144" s="451" t="inlineStr">
        <is>
          <t>D20</t>
        </is>
      </c>
      <c r="B144" s="451" t="inlineStr">
        <is>
          <t>反向结算</t>
        </is>
      </c>
      <c r="C144" s="451" t="inlineStr">
        <is>
          <t>diamond</t>
        </is>
      </c>
      <c r="D144" s="451" t="inlineStr">
        <is>
          <t>settlementMutation</t>
        </is>
      </c>
      <c r="E144" s="451" t="inlineStr">
        <is>
          <t>none</t>
        </is>
      </c>
      <c r="F144" s="451" t="inlineStr">
        <is>
          <t>2|3</t>
        </is>
      </c>
      <c r="G144" s="451" t="inlineStr">
        <is>
          <t>形状从最远格开始结算，而不是从近格开始结算。</t>
        </is>
      </c>
      <c r="H144" s="451" t="n"/>
      <c r="I144" s="451" t="inlineStr">
        <is>
          <t>implemented</t>
        </is>
      </c>
      <c r="J144" s="451" t="n"/>
      <c r="K144" s="451" t="n"/>
      <c r="L144" s="451" t="n"/>
      <c r="M144" s="451" t="n"/>
      <c r="N144" s="451" t="n"/>
      <c r="O144" s="451" t="n"/>
      <c r="P144" s="451" t="n"/>
      <c r="Q144" s="451" t="n"/>
      <c r="R144" s="451" t="n"/>
      <c r="S144" s="451" t="n"/>
    </row>
    <row r="145">
      <c r="A145" s="451" t="inlineStr">
        <is>
          <t>D21</t>
        </is>
      </c>
      <c r="B145" s="451" t="inlineStr">
        <is>
          <t>火痕</t>
        </is>
      </c>
      <c r="C145" s="451" t="inlineStr">
        <is>
          <t>diamond</t>
        </is>
      </c>
      <c r="D145" s="451" t="inlineStr">
        <is>
          <t>boardTrace</t>
        </is>
      </c>
      <c r="E145" s="451" t="inlineStr">
        <is>
          <t>none</t>
        </is>
      </c>
      <c r="F145" s="451" t="inlineStr">
        <is>
          <t>1|2|3</t>
        </is>
      </c>
      <c r="G145" s="451" t="inlineStr">
        <is>
          <t>形状覆盖过的空格留下火痕 1 回合，敌人站上受到 3 点火伤害。</t>
        </is>
      </c>
      <c r="H145" s="451" t="n"/>
      <c r="I145" s="451" t="inlineStr">
        <is>
          <t>implemented</t>
        </is>
      </c>
      <c r="J145" s="451" t="n"/>
      <c r="K145" s="451" t="n"/>
      <c r="L145" s="451" t="n"/>
      <c r="M145" s="451" t="n"/>
      <c r="N145" s="451" t="n"/>
      <c r="O145" s="451" t="n"/>
      <c r="P145" s="451" t="n"/>
      <c r="Q145" s="451" t="n"/>
      <c r="R145" s="451" t="n"/>
      <c r="S145" s="451" t="n"/>
    </row>
    <row r="146">
      <c r="A146" s="451" t="inlineStr">
        <is>
          <t>D22</t>
        </is>
      </c>
      <c r="B146" s="451" t="inlineStr">
        <is>
          <t>水痕</t>
        </is>
      </c>
      <c r="C146" s="451" t="inlineStr">
        <is>
          <t>diamond</t>
        </is>
      </c>
      <c r="D146" s="451" t="inlineStr">
        <is>
          <t>boardTrace</t>
        </is>
      </c>
      <c r="E146" s="451" t="inlineStr">
        <is>
          <t>none</t>
        </is>
      </c>
      <c r="F146" s="451" t="inlineStr">
        <is>
          <t>1|2|3</t>
        </is>
      </c>
      <c r="G146" s="451" t="inlineStr">
        <is>
          <t>覆盖格留下水痕 1 回合，友方站上恢复 5 生命。</t>
        </is>
      </c>
      <c r="H146" s="451" t="n"/>
      <c r="I146" s="451" t="inlineStr">
        <is>
          <t>implemented</t>
        </is>
      </c>
      <c r="J146" s="451" t="n"/>
      <c r="K146" s="451" t="n"/>
      <c r="L146" s="451" t="n"/>
      <c r="M146" s="451" t="n"/>
      <c r="N146" s="451" t="n"/>
      <c r="O146" s="451" t="n"/>
      <c r="P146" s="451" t="n"/>
      <c r="Q146" s="451" t="n"/>
      <c r="R146" s="451" t="n"/>
      <c r="S146" s="451" t="n"/>
    </row>
    <row r="147">
      <c r="A147" s="451" t="inlineStr">
        <is>
          <t>D23</t>
        </is>
      </c>
      <c r="B147" s="451" t="inlineStr">
        <is>
          <t>风痕</t>
        </is>
      </c>
      <c r="C147" s="451" t="inlineStr">
        <is>
          <t>diamond</t>
        </is>
      </c>
      <c r="D147" s="451" t="inlineStr">
        <is>
          <t>boardTrace</t>
        </is>
      </c>
      <c r="E147" s="451" t="inlineStr">
        <is>
          <t>none</t>
        </is>
      </c>
      <c r="F147" s="451" t="inlineStr">
        <is>
          <t>1|2|3</t>
        </is>
      </c>
      <c r="G147" s="451" t="inlineStr">
        <is>
          <t>覆盖格留下风痕 1 回合，友方站上时下次伤害 +2。</t>
        </is>
      </c>
      <c r="H147" s="451" t="n"/>
      <c r="I147" s="451" t="inlineStr">
        <is>
          <t>implemented</t>
        </is>
      </c>
      <c r="J147" s="451" t="n"/>
      <c r="K147" s="451" t="n"/>
      <c r="L147" s="451" t="n"/>
      <c r="M147" s="451" t="n"/>
      <c r="N147" s="451" t="n"/>
      <c r="O147" s="451" t="n"/>
      <c r="P147" s="451" t="n"/>
      <c r="Q147" s="451" t="n"/>
      <c r="R147" s="451" t="n"/>
      <c r="S147" s="451" t="n"/>
    </row>
    <row r="148">
      <c r="A148" s="451" t="inlineStr">
        <is>
          <t>D24</t>
        </is>
      </c>
      <c r="B148" s="451" t="inlineStr">
        <is>
          <t>土痕</t>
        </is>
      </c>
      <c r="C148" s="451" t="inlineStr">
        <is>
          <t>diamond</t>
        </is>
      </c>
      <c r="D148" s="451" t="inlineStr">
        <is>
          <t>boardTrace</t>
        </is>
      </c>
      <c r="E148" s="451" t="inlineStr">
        <is>
          <t>none</t>
        </is>
      </c>
      <c r="F148" s="451" t="inlineStr">
        <is>
          <t>1|2|3</t>
        </is>
      </c>
      <c r="G148" s="451" t="inlineStr">
        <is>
          <t>覆盖格留下土痕 1 回合，友方站上获得 8 护盾。</t>
        </is>
      </c>
      <c r="H148" s="451" t="n"/>
      <c r="I148" s="451" t="inlineStr">
        <is>
          <t>implemented</t>
        </is>
      </c>
      <c r="J148" s="451" t="n"/>
      <c r="K148" s="451" t="n"/>
      <c r="L148" s="451" t="n"/>
      <c r="M148" s="451" t="n"/>
      <c r="N148" s="451" t="n"/>
      <c r="O148" s="451" t="n"/>
      <c r="P148" s="451" t="n"/>
      <c r="Q148" s="451" t="n"/>
      <c r="R148" s="451" t="n"/>
      <c r="S148" s="451" t="n"/>
    </row>
    <row r="149">
      <c r="A149" s="451" t="inlineStr">
        <is>
          <t>D25</t>
        </is>
      </c>
      <c r="B149" s="451" t="inlineStr">
        <is>
          <t>金痕</t>
        </is>
      </c>
      <c r="C149" s="451" t="inlineStr">
        <is>
          <t>diamond</t>
        </is>
      </c>
      <c r="D149" s="451" t="inlineStr">
        <is>
          <t>boardTrace</t>
        </is>
      </c>
      <c r="E149" s="451" t="inlineStr">
        <is>
          <t>none</t>
        </is>
      </c>
      <c r="F149" s="451" t="inlineStr">
        <is>
          <t>1|2|3</t>
        </is>
      </c>
      <c r="G149" s="451" t="inlineStr">
        <is>
          <t>覆盖格留下金痕 1 回合，下一次命中该格敌人的攻击伤害 +2。</t>
        </is>
      </c>
      <c r="H149" s="451" t="n"/>
      <c r="I149" s="451" t="inlineStr">
        <is>
          <t>implemented</t>
        </is>
      </c>
      <c r="J149" s="451" t="n"/>
      <c r="K149" s="451" t="n"/>
      <c r="L149" s="451" t="n"/>
      <c r="M149" s="451" t="n"/>
      <c r="N149" s="451" t="n"/>
      <c r="O149" s="451" t="n"/>
      <c r="P149" s="451" t="n"/>
      <c r="Q149" s="451" t="n"/>
      <c r="R149" s="451" t="n"/>
      <c r="S149" s="451" t="n"/>
    </row>
    <row r="150">
      <c r="A150" s="451" t="inlineStr">
        <is>
          <t>D26</t>
        </is>
      </c>
      <c r="B150" s="451" t="inlineStr">
        <is>
          <t>木痕</t>
        </is>
      </c>
      <c r="C150" s="451" t="inlineStr">
        <is>
          <t>diamond</t>
        </is>
      </c>
      <c r="D150" s="451" t="inlineStr">
        <is>
          <t>boardTrace</t>
        </is>
      </c>
      <c r="E150" s="451" t="inlineStr">
        <is>
          <t>none</t>
        </is>
      </c>
      <c r="F150" s="451" t="inlineStr">
        <is>
          <t>1|2|3</t>
        </is>
      </c>
      <c r="G150" s="451" t="inlineStr">
        <is>
          <t>覆盖格留下木痕 1 回合，回合开始时恢复站在上面的友方 4 生命。</t>
        </is>
      </c>
      <c r="H150" s="451" t="n"/>
      <c r="I150" s="451" t="inlineStr">
        <is>
          <t>implemented</t>
        </is>
      </c>
      <c r="J150" s="451" t="n"/>
      <c r="K150" s="451" t="n"/>
      <c r="L150" s="451" t="n"/>
      <c r="M150" s="451" t="n"/>
      <c r="N150" s="451" t="n"/>
      <c r="O150" s="451" t="n"/>
      <c r="P150" s="451" t="n"/>
      <c r="Q150" s="451" t="n"/>
      <c r="R150" s="451" t="n"/>
      <c r="S150" s="451" t="n"/>
    </row>
    <row r="151">
      <c r="A151" s="451" t="inlineStr">
        <is>
          <t>D27</t>
        </is>
      </c>
      <c r="B151" s="451" t="inlineStr">
        <is>
          <t>佛光</t>
        </is>
      </c>
      <c r="C151" s="451" t="inlineStr">
        <is>
          <t>diamond</t>
        </is>
      </c>
      <c r="D151" s="451" t="inlineStr">
        <is>
          <t>boardTrace</t>
        </is>
      </c>
      <c r="E151" s="451" t="inlineStr">
        <is>
          <t>none</t>
        </is>
      </c>
      <c r="F151" s="451" t="inlineStr">
        <is>
          <t>1|2|3</t>
        </is>
      </c>
      <c r="G151" s="451" t="inlineStr">
        <is>
          <t>覆盖格留下佛光 1 回合，友方站上恢复 6 生命，敌人站上无效果。</t>
        </is>
      </c>
      <c r="H151" s="451" t="n"/>
      <c r="I151" s="451" t="inlineStr">
        <is>
          <t>implemented</t>
        </is>
      </c>
      <c r="J151" s="451" t="n"/>
      <c r="K151" s="451" t="n"/>
      <c r="L151" s="451" t="n"/>
      <c r="M151" s="451" t="n"/>
      <c r="N151" s="451" t="n"/>
      <c r="O151" s="451" t="n"/>
      <c r="P151" s="451" t="n"/>
      <c r="Q151" s="451" t="n"/>
      <c r="R151" s="451" t="n"/>
      <c r="S151" s="451" t="n"/>
    </row>
    <row r="152">
      <c r="A152" s="451" t="inlineStr">
        <is>
          <t>D28</t>
        </is>
      </c>
      <c r="B152" s="451" t="inlineStr">
        <is>
          <t>流沙</t>
        </is>
      </c>
      <c r="C152" s="451" t="inlineStr">
        <is>
          <t>diamond</t>
        </is>
      </c>
      <c r="D152" s="451" t="inlineStr">
        <is>
          <t>boardTrace</t>
        </is>
      </c>
      <c r="E152" s="451" t="inlineStr">
        <is>
          <t>none</t>
        </is>
      </c>
      <c r="F152" s="451" t="inlineStr">
        <is>
          <t>1|2|3</t>
        </is>
      </c>
      <c r="G152" s="451" t="inlineStr">
        <is>
          <t>覆盖格留下流沙 1 回合，敌人站上受到 2 点伤害，并使其下次受伤 +2。</t>
        </is>
      </c>
      <c r="H152" s="451" t="n"/>
      <c r="I152" s="451" t="inlineStr">
        <is>
          <t>implemented</t>
        </is>
      </c>
      <c r="J152" s="451" t="n"/>
      <c r="K152" s="451" t="n"/>
      <c r="L152" s="451" t="n"/>
      <c r="M152" s="451" t="n"/>
      <c r="N152" s="451" t="n"/>
      <c r="O152" s="451" t="n"/>
      <c r="P152" s="451" t="n"/>
      <c r="Q152" s="451" t="n"/>
      <c r="R152" s="451" t="n"/>
      <c r="S152" s="451" t="n"/>
    </row>
    <row r="153">
      <c r="A153" s="451" t="inlineStr">
        <is>
          <t>D29</t>
        </is>
      </c>
      <c r="B153" s="451" t="inlineStr">
        <is>
          <t>妖印</t>
        </is>
      </c>
      <c r="C153" s="451" t="inlineStr">
        <is>
          <t>diamond</t>
        </is>
      </c>
      <c r="D153" s="451" t="inlineStr">
        <is>
          <t>boardTrace</t>
        </is>
      </c>
      <c r="E153" s="451" t="inlineStr">
        <is>
          <t>none</t>
        </is>
      </c>
      <c r="F153" s="451" t="inlineStr">
        <is>
          <t>1|2|3</t>
        </is>
      </c>
      <c r="G153" s="451" t="inlineStr">
        <is>
          <t>覆盖格留下妖印 1 回合，敌人站上后被标记，下次受到伤害 +4。</t>
        </is>
      </c>
      <c r="H153" s="451" t="n"/>
      <c r="I153" s="451" t="inlineStr">
        <is>
          <t>implemented</t>
        </is>
      </c>
      <c r="J153" s="451" t="n"/>
      <c r="K153" s="451" t="n"/>
      <c r="L153" s="451" t="n"/>
      <c r="M153" s="451" t="n"/>
      <c r="N153" s="451" t="n"/>
      <c r="O153" s="451" t="n"/>
      <c r="P153" s="451" t="n"/>
      <c r="Q153" s="451" t="n"/>
      <c r="R153" s="451" t="n"/>
      <c r="S153" s="451" t="n"/>
    </row>
    <row r="154">
      <c r="A154" s="451" t="inlineStr">
        <is>
          <t>D30</t>
        </is>
      </c>
      <c r="B154" s="451" t="inlineStr">
        <is>
          <t>纸符</t>
        </is>
      </c>
      <c r="C154" s="451" t="inlineStr">
        <is>
          <t>diamond</t>
        </is>
      </c>
      <c r="D154" s="451" t="inlineStr">
        <is>
          <t>boardTrace</t>
        </is>
      </c>
      <c r="E154" s="451" t="inlineStr">
        <is>
          <t>none</t>
        </is>
      </c>
      <c r="F154" s="451" t="inlineStr">
        <is>
          <t>1|2|3</t>
        </is>
      </c>
      <c r="G154" s="451" t="inlineStr">
        <is>
          <t>核心格留下纸符 1 回合，下一次经过该格的作用形状额外结算 1 次。</t>
        </is>
      </c>
      <c r="H154" s="451" t="inlineStr">
        <is>
          <t>最有纸上西游特色，但强度较高，建议稀有。</t>
        </is>
      </c>
      <c r="I154" s="451" t="inlineStr">
        <is>
          <t>implemented</t>
        </is>
      </c>
      <c r="J154" s="451" t="n"/>
      <c r="K154" s="451" t="n"/>
      <c r="L154" s="451" t="n"/>
      <c r="M154" s="451" t="n"/>
      <c r="N154" s="451" t="n"/>
      <c r="O154" s="451" t="n"/>
      <c r="P154" s="451" t="n"/>
      <c r="Q154" s="451" t="n"/>
      <c r="R154" s="451" t="n"/>
      <c r="S154" s="451" t="n"/>
    </row>
    <row r="155">
      <c r="A155" s="9" t="inlineStr">
        <is>
          <t>#csv</t>
        </is>
      </c>
      <c r="B155" s="9" t="inlineStr">
        <is>
          <t>31_battle_rules.csv</t>
        </is>
      </c>
      <c r="C155" s="9" t="inlineStr">
        <is>
          <t>正式双人战斗可调规则：宠物重置次数补充间隔和开局次数。</t>
        </is>
      </c>
      <c r="D155" s="9" t="n"/>
      <c r="E155" s="9" t="n"/>
      <c r="F155" s="9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</row>
    <row r="156">
      <c r="A156" s="14" t="inlineStr">
        <is>
          <t>rule_id</t>
        </is>
      </c>
      <c r="B156" s="14" t="inlineStr">
        <is>
          <t>value</t>
        </is>
      </c>
      <c r="C156" s="14" t="inlineStr">
        <is>
          <t>unit</t>
        </is>
      </c>
      <c r="D156" s="14" t="inlineStr">
        <is>
          <t>description</t>
        </is>
      </c>
      <c r="E156" s="14" t="inlineStr">
        <is>
          <t>status</t>
        </is>
      </c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  <c r="Q156" s="14" t="n"/>
      <c r="R156" s="14" t="n"/>
      <c r="S156" s="14" t="n"/>
    </row>
    <row r="157">
      <c r="A157" s="451" t="inlineStr">
        <is>
          <t>pet_reset_charge_interval</t>
        </is>
      </c>
      <c r="B157" s="451" t="n">
        <v>5</v>
      </c>
      <c r="C157" s="451" t="inlineStr">
        <is>
          <t>rounds</t>
        </is>
      </c>
      <c r="D157" s="451" t="inlineStr">
        <is>
          <t>正式双人战斗每5回合为双方各增加1次宠物重置次数；进入第5和第10回合时补充。</t>
        </is>
      </c>
      <c r="E157" s="451" t="inlineStr">
        <is>
          <t>正式</t>
        </is>
      </c>
    </row>
    <row r="158">
      <c r="A158" s="451" t="inlineStr">
        <is>
          <t>pet_reset_initial_charges</t>
        </is>
      </c>
      <c r="B158" s="451" t="n">
        <v>0</v>
      </c>
      <c r="C158" s="451" t="inlineStr">
        <is>
          <t>count</t>
        </is>
      </c>
      <c r="D158" s="451" t="inlineStr">
        <is>
          <t>正式双人战斗开局不赠送宠物重置次数。</t>
        </is>
      </c>
      <c r="E158" s="451" t="inlineStr">
        <is>
          <t>正式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A87"/>
  <sheetViews>
    <sheetView workbookViewId="0">
      <selection activeCell="A1" sqref="A1"/>
    </sheetView>
  </sheetViews>
  <sheetFormatPr baseColWidth="8" defaultRowHeight="15"/>
  <cols>
    <col width="24" customWidth="1" style="439" min="1" max="1"/>
    <col width="20" customWidth="1" style="439" min="2" max="2"/>
    <col width="62" customWidth="1" style="439" min="3" max="3"/>
    <col width="24" customWidth="1" style="439" min="4" max="4"/>
    <col width="48" customWidth="1" style="439" min="5" max="5"/>
    <col width="20" customWidth="1" style="439" min="6" max="6"/>
    <col width="20" customWidth="1" style="439" min="7" max="7"/>
    <col width="20" customWidth="1" style="439" min="8" max="8"/>
    <col width="20" customWidth="1" style="439" min="9" max="9"/>
    <col width="10" customWidth="1" style="439" min="10" max="10"/>
    <col width="21" customWidth="1" style="439" min="11" max="11"/>
    <col width="10" customWidth="1" style="439" min="12" max="12"/>
    <col width="10" customWidth="1" style="439" min="13" max="13"/>
    <col width="16" customWidth="1" style="439" min="14" max="14"/>
    <col width="13" customWidth="1" style="439" min="15" max="15"/>
    <col width="10" customWidth="1" style="439" min="16" max="16"/>
    <col width="10" customWidth="1" style="439" min="17" max="17"/>
    <col width="10" customWidth="1" style="439" min="18" max="18"/>
    <col width="10" customWidth="1" style="439" min="19" max="19"/>
    <col width="10" customWidth="1" style="439" min="20" max="20"/>
    <col width="10" customWidth="1" style="439" min="21" max="21"/>
    <col width="10" customWidth="1" style="439" min="22" max="22"/>
    <col width="10" customWidth="1" style="439" min="23" max="23"/>
    <col width="10" customWidth="1" style="439" min="24" max="24"/>
    <col width="10" customWidth="1" style="439" min="25" max="25"/>
    <col width="10" customWidth="1" style="439" min="26" max="26"/>
    <col width="30" customWidth="1" style="439" min="27" max="27"/>
  </cols>
  <sheetData>
    <row r="1">
      <c r="A1" s="4" t="inlineStr">
        <is>
          <t>#csv</t>
        </is>
      </c>
      <c r="B1" s="4" t="inlineStr">
        <is>
          <t>27_shape_catalog.csv</t>
        </is>
      </c>
      <c r="C1" s="4" t="inlineStr">
        <is>
          <t>19 个战斗形状目录；offsets/grid 会影响运行时攻击范围和 UI 展示。</t>
        </is>
      </c>
    </row>
    <row r="2">
      <c r="A2" s="5" t="inlineStr">
        <is>
          <t>shape_id</t>
        </is>
      </c>
      <c r="B2" s="5" t="inlineStr">
        <is>
          <t>group</t>
        </is>
      </c>
      <c r="C2" s="5" t="inlineStr">
        <is>
          <t>label</t>
        </is>
      </c>
      <c r="D2" s="5" t="inlineStr">
        <is>
          <t>cell_count</t>
        </is>
      </c>
      <c r="E2" s="5" t="inlineStr">
        <is>
          <t>settle_count</t>
        </is>
      </c>
      <c r="F2" s="5" t="inlineStr">
        <is>
          <t>offsets</t>
        </is>
      </c>
      <c r="G2" s="5" t="inlineStr">
        <is>
          <t>grid</t>
        </is>
      </c>
      <c r="H2" s="5" t="inlineStr">
        <is>
          <t>note</t>
        </is>
      </c>
      <c r="I2" s="451" t="n"/>
      <c r="J2" s="451" t="n"/>
      <c r="K2" s="451" t="n"/>
      <c r="L2" s="451" t="n"/>
      <c r="M2" s="451" t="n"/>
      <c r="N2" s="451" t="n"/>
      <c r="O2" s="451" t="n"/>
      <c r="P2" s="451" t="n"/>
      <c r="Q2" s="451" t="n"/>
      <c r="R2" s="451" t="n"/>
      <c r="S2" s="451" t="n"/>
      <c r="T2" s="451" t="n"/>
      <c r="U2" s="451" t="n"/>
      <c r="V2" s="451" t="n"/>
      <c r="W2" s="451" t="n"/>
      <c r="X2" s="451" t="n"/>
      <c r="Y2" s="451" t="n"/>
      <c r="Z2" s="451" t="n"/>
      <c r="AA2" s="451" t="n"/>
    </row>
    <row r="3">
      <c r="A3" s="451" t="inlineStr">
        <is>
          <t>01</t>
        </is>
      </c>
      <c r="B3" s="451" t="inlineStr">
        <is>
          <t>one</t>
        </is>
      </c>
      <c r="C3" s="451" t="inlineStr">
        <is>
          <t>形状01</t>
        </is>
      </c>
      <c r="D3" s="451" t="inlineStr">
        <is>
          <t>1</t>
        </is>
      </c>
      <c r="E3" s="451" t="inlineStr">
        <is>
          <t>3</t>
        </is>
      </c>
      <c r="F3" s="451" t="inlineStr">
        <is>
          <t>[{"dr":0,"dc":1}]</t>
        </is>
      </c>
      <c r="G3" s="451" t="inlineStr">
        <is>
          <t>....... / ...●■.. / .......</t>
        </is>
      </c>
      <c r="H3" s="451" t="inlineStr">
        <is>
          <t>一格，右侧相邻。</t>
        </is>
      </c>
      <c r="I3" s="451" t="n"/>
      <c r="J3" s="451" t="n"/>
      <c r="K3" s="451" t="n"/>
      <c r="L3" s="451" t="n"/>
      <c r="M3" s="451" t="n"/>
      <c r="N3" s="451" t="n"/>
      <c r="O3" s="451" t="n"/>
      <c r="P3" s="451" t="n"/>
      <c r="Q3" s="451" t="n"/>
      <c r="R3" s="451" t="n"/>
      <c r="S3" s="451" t="n"/>
      <c r="T3" s="451" t="n"/>
      <c r="U3" s="451" t="n"/>
      <c r="V3" s="451" t="n"/>
      <c r="W3" s="451" t="n"/>
      <c r="X3" s="451" t="n"/>
      <c r="Y3" s="451" t="n"/>
      <c r="Z3" s="451" t="n"/>
      <c r="AA3" s="451" t="n"/>
    </row>
    <row r="4">
      <c r="A4" s="451" t="inlineStr">
        <is>
          <t>02</t>
        </is>
      </c>
      <c r="B4" s="451" t="inlineStr">
        <is>
          <t>one</t>
        </is>
      </c>
      <c r="C4" s="451" t="inlineStr">
        <is>
          <t>形状02</t>
        </is>
      </c>
      <c r="D4" s="451" t="inlineStr">
        <is>
          <t>1</t>
        </is>
      </c>
      <c r="E4" s="451" t="inlineStr">
        <is>
          <t>3</t>
        </is>
      </c>
      <c r="F4" s="451" t="inlineStr">
        <is>
          <t>[{"dr":0,"dc":2}]</t>
        </is>
      </c>
      <c r="G4" s="451" t="inlineStr">
        <is>
          <t>....... / ...●.■. / .......</t>
        </is>
      </c>
      <c r="H4" s="451" t="inlineStr">
        <is>
          <t>一格，右侧隔一格。</t>
        </is>
      </c>
      <c r="I4" s="451" t="n"/>
      <c r="J4" s="451" t="n"/>
      <c r="K4" s="451" t="n"/>
      <c r="L4" s="451" t="n"/>
      <c r="M4" s="451" t="n"/>
      <c r="N4" s="451" t="n"/>
      <c r="O4" s="451" t="n"/>
      <c r="P4" s="451" t="n"/>
      <c r="Q4" s="451" t="n"/>
      <c r="R4" s="451" t="n"/>
      <c r="S4" s="451" t="n"/>
      <c r="T4" s="451" t="n"/>
      <c r="U4" s="451" t="n"/>
      <c r="V4" s="451" t="n"/>
      <c r="W4" s="451" t="n"/>
      <c r="X4" s="451" t="n"/>
      <c r="Y4" s="451" t="n"/>
      <c r="Z4" s="451" t="n"/>
      <c r="AA4" s="451" t="n"/>
    </row>
    <row r="5">
      <c r="A5" s="451" t="inlineStr">
        <is>
          <t>03</t>
        </is>
      </c>
      <c r="B5" s="451" t="inlineStr">
        <is>
          <t>one</t>
        </is>
      </c>
      <c r="C5" s="451" t="inlineStr">
        <is>
          <t>形状03</t>
        </is>
      </c>
      <c r="D5" s="451" t="inlineStr">
        <is>
          <t>1</t>
        </is>
      </c>
      <c r="E5" s="451" t="inlineStr">
        <is>
          <t>3</t>
        </is>
      </c>
      <c r="F5" s="451" t="inlineStr">
        <is>
          <t>[{"dr":0,"dc":3}]</t>
        </is>
      </c>
      <c r="G5" s="451" t="inlineStr">
        <is>
          <t>....... / ...●..■ / .......</t>
        </is>
      </c>
      <c r="H5" s="451" t="inlineStr">
        <is>
          <t>一格，右侧隔两格。</t>
        </is>
      </c>
      <c r="I5" s="451" t="n"/>
      <c r="J5" s="451" t="n"/>
      <c r="K5" s="451" t="n"/>
      <c r="L5" s="451" t="n"/>
      <c r="M5" s="451" t="n"/>
      <c r="N5" s="451" t="n"/>
      <c r="O5" s="451" t="n"/>
      <c r="P5" s="451" t="n"/>
      <c r="Q5" s="451" t="n"/>
      <c r="R5" s="451" t="n"/>
      <c r="S5" s="451" t="n"/>
      <c r="T5" s="451" t="n"/>
      <c r="U5" s="451" t="n"/>
      <c r="V5" s="451" t="n"/>
      <c r="W5" s="451" t="n"/>
      <c r="X5" s="451" t="n"/>
      <c r="Y5" s="451" t="n"/>
      <c r="Z5" s="451" t="n"/>
      <c r="AA5" s="451" t="n"/>
    </row>
    <row r="6">
      <c r="A6" s="451" t="inlineStr">
        <is>
          <t>04</t>
        </is>
      </c>
      <c r="B6" s="451" t="inlineStr">
        <is>
          <t>one</t>
        </is>
      </c>
      <c r="C6" s="451" t="inlineStr">
        <is>
          <t>形状04</t>
        </is>
      </c>
      <c r="D6" s="451" t="inlineStr">
        <is>
          <t>1</t>
        </is>
      </c>
      <c r="E6" s="451" t="inlineStr">
        <is>
          <t>3</t>
        </is>
      </c>
      <c r="F6" s="451" t="inlineStr">
        <is>
          <t>[{"dr":0,"dc":4}]</t>
        </is>
      </c>
      <c r="G6" s="451" t="inlineStr">
        <is>
          <t>........ / ...●...■ / ........</t>
        </is>
      </c>
      <c r="H6" s="451" t="inlineStr">
        <is>
          <t>一格，右侧更远点。</t>
        </is>
      </c>
      <c r="I6" s="451" t="n"/>
      <c r="J6" s="451" t="n"/>
      <c r="K6" s="451" t="n"/>
      <c r="L6" s="451" t="n"/>
      <c r="M6" s="451" t="n"/>
      <c r="N6" s="451" t="n"/>
      <c r="O6" s="451" t="n"/>
      <c r="P6" s="451" t="n"/>
      <c r="Q6" s="451" t="n"/>
      <c r="R6" s="451" t="n"/>
      <c r="S6" s="451" t="n"/>
      <c r="T6" s="451" t="n"/>
      <c r="U6" s="451" t="n"/>
      <c r="V6" s="451" t="n"/>
      <c r="W6" s="451" t="n"/>
      <c r="X6" s="451" t="n"/>
      <c r="Y6" s="451" t="n"/>
      <c r="Z6" s="451" t="n"/>
      <c r="AA6" s="451" t="n"/>
    </row>
    <row r="7">
      <c r="A7" s="451" t="inlineStr">
        <is>
          <t>05</t>
        </is>
      </c>
      <c r="B7" s="451" t="inlineStr">
        <is>
          <t>two</t>
        </is>
      </c>
      <c r="C7" s="451" t="inlineStr">
        <is>
          <t>形状05</t>
        </is>
      </c>
      <c r="D7" s="451" t="inlineStr">
        <is>
          <t>2</t>
        </is>
      </c>
      <c r="E7" s="451" t="inlineStr">
        <is>
          <t>3</t>
        </is>
      </c>
      <c r="F7" s="451" t="inlineStr">
        <is>
          <t>[{"dr":0,"dc":1},{"dr":0,"dc":2}]</t>
        </is>
      </c>
      <c r="G7" s="451" t="inlineStr">
        <is>
          <t>....... / ...●■■. / .......</t>
        </is>
      </c>
      <c r="H7" s="451" t="inlineStr">
        <is>
          <t>二格，右侧连续两格。</t>
        </is>
      </c>
      <c r="I7" s="451" t="n"/>
      <c r="J7" s="451" t="n"/>
      <c r="K7" s="451" t="n"/>
      <c r="L7" s="451" t="n"/>
      <c r="M7" s="451" t="n"/>
      <c r="N7" s="451" t="n"/>
      <c r="O7" s="451" t="n"/>
      <c r="P7" s="451" t="n"/>
      <c r="Q7" s="451" t="n"/>
      <c r="R7" s="451" t="n"/>
      <c r="S7" s="451" t="n"/>
      <c r="T7" s="451" t="n"/>
      <c r="U7" s="451" t="n"/>
      <c r="V7" s="451" t="n"/>
      <c r="W7" s="451" t="n"/>
      <c r="X7" s="451" t="n"/>
      <c r="Y7" s="451" t="n"/>
      <c r="Z7" s="451" t="n"/>
      <c r="AA7" s="451" t="n"/>
    </row>
    <row r="8">
      <c r="A8" s="451" t="inlineStr">
        <is>
          <t>06</t>
        </is>
      </c>
      <c r="B8" s="451" t="inlineStr">
        <is>
          <t>two</t>
        </is>
      </c>
      <c r="C8" s="451" t="inlineStr">
        <is>
          <t>形状06</t>
        </is>
      </c>
      <c r="D8" s="451" t="inlineStr">
        <is>
          <t>2</t>
        </is>
      </c>
      <c r="E8" s="451" t="inlineStr">
        <is>
          <t>3</t>
        </is>
      </c>
      <c r="F8" s="451" t="inlineStr">
        <is>
          <t>[{"dr":0,"dc":-1},{"dr":0,"dc":1}]</t>
        </is>
      </c>
      <c r="G8" s="451" t="inlineStr">
        <is>
          <t>....... / ..■●■.. / .......</t>
        </is>
      </c>
      <c r="H8" s="451" t="inlineStr">
        <is>
          <t>二格，角色左右各一格。</t>
        </is>
      </c>
      <c r="I8" s="451" t="n"/>
      <c r="J8" s="451" t="n"/>
      <c r="K8" s="451" t="n"/>
      <c r="L8" s="451" t="n"/>
      <c r="M8" s="451" t="n"/>
      <c r="N8" s="451" t="n"/>
      <c r="O8" s="451" t="n"/>
      <c r="P8" s="451" t="n"/>
      <c r="Q8" s="451" t="n"/>
      <c r="R8" s="451" t="n"/>
      <c r="S8" s="451" t="n"/>
      <c r="T8" s="451" t="n"/>
      <c r="U8" s="451" t="n"/>
      <c r="V8" s="451" t="n"/>
      <c r="W8" s="451" t="n"/>
      <c r="X8" s="451" t="n"/>
      <c r="Y8" s="451" t="n"/>
      <c r="Z8" s="451" t="n"/>
      <c r="AA8" s="451" t="n"/>
    </row>
    <row r="9">
      <c r="A9" s="451" t="inlineStr">
        <is>
          <t>07</t>
        </is>
      </c>
      <c r="B9" s="451" t="inlineStr">
        <is>
          <t>two</t>
        </is>
      </c>
      <c r="C9" s="451" t="inlineStr">
        <is>
          <t>形状07</t>
        </is>
      </c>
      <c r="D9" s="451" t="inlineStr">
        <is>
          <t>2</t>
        </is>
      </c>
      <c r="E9" s="451" t="inlineStr">
        <is>
          <t>3</t>
        </is>
      </c>
      <c r="F9" s="451" t="inlineStr">
        <is>
          <t>[{"dr":0,"dc":-2},{"dr":0,"dc":2}]</t>
        </is>
      </c>
      <c r="G9" s="451" t="inlineStr">
        <is>
          <t>....... / .■.●.■. / .......</t>
        </is>
      </c>
      <c r="H9" s="451" t="inlineStr">
        <is>
          <t>二格，角色左右隔点。</t>
        </is>
      </c>
      <c r="I9" s="451" t="n"/>
      <c r="J9" s="451" t="n"/>
      <c r="K9" s="451" t="n"/>
      <c r="L9" s="451" t="n"/>
      <c r="M9" s="451" t="n"/>
      <c r="N9" s="451" t="n"/>
      <c r="O9" s="451" t="n"/>
      <c r="P9" s="451" t="n"/>
      <c r="Q9" s="451" t="n"/>
      <c r="R9" s="451" t="n"/>
      <c r="S9" s="451" t="n"/>
      <c r="T9" s="451" t="n"/>
      <c r="U9" s="451" t="n"/>
      <c r="V9" s="451" t="n"/>
      <c r="W9" s="451" t="n"/>
      <c r="X9" s="451" t="n"/>
      <c r="Y9" s="451" t="n"/>
      <c r="Z9" s="451" t="n"/>
      <c r="AA9" s="451" t="n"/>
    </row>
    <row r="10">
      <c r="A10" s="451" t="inlineStr">
        <is>
          <t>08</t>
        </is>
      </c>
      <c r="B10" s="451" t="inlineStr">
        <is>
          <t>two</t>
        </is>
      </c>
      <c r="C10" s="451" t="inlineStr">
        <is>
          <t>形状08</t>
        </is>
      </c>
      <c r="D10" s="451" t="inlineStr">
        <is>
          <t>2</t>
        </is>
      </c>
      <c r="E10" s="451" t="inlineStr">
        <is>
          <t>3</t>
        </is>
      </c>
      <c r="F10" s="451" t="inlineStr">
        <is>
          <t>[{"dr":0,"dc":2},{"dr":0,"dc":3}]</t>
        </is>
      </c>
      <c r="G10" s="451" t="inlineStr">
        <is>
          <t>....... / ...●.■■ / .......</t>
        </is>
      </c>
      <c r="H10" s="451" t="inlineStr">
        <is>
          <t>二格，右侧远端连续两格。</t>
        </is>
      </c>
      <c r="I10" s="451" t="n"/>
      <c r="J10" s="451" t="n"/>
      <c r="K10" s="451" t="n"/>
      <c r="L10" s="451" t="n"/>
      <c r="M10" s="451" t="n"/>
      <c r="N10" s="451" t="n"/>
      <c r="O10" s="451" t="n"/>
      <c r="P10" s="451" t="n"/>
      <c r="Q10" s="451" t="n"/>
      <c r="R10" s="451" t="n"/>
      <c r="S10" s="451" t="n"/>
      <c r="T10" s="451" t="n"/>
      <c r="U10" s="451" t="n"/>
      <c r="V10" s="451" t="n"/>
      <c r="W10" s="451" t="n"/>
      <c r="X10" s="451" t="n"/>
      <c r="Y10" s="451" t="n"/>
      <c r="Z10" s="451" t="n"/>
      <c r="AA10" s="451" t="n"/>
    </row>
    <row r="11">
      <c r="A11" s="451" t="inlineStr">
        <is>
          <t>09</t>
        </is>
      </c>
      <c r="B11" s="451" t="inlineStr">
        <is>
          <t>two</t>
        </is>
      </c>
      <c r="C11" s="451" t="inlineStr">
        <is>
          <t>形状09</t>
        </is>
      </c>
      <c r="D11" s="451" t="inlineStr">
        <is>
          <t>2</t>
        </is>
      </c>
      <c r="E11" s="451" t="inlineStr">
        <is>
          <t>3</t>
        </is>
      </c>
      <c r="F11" s="451" t="inlineStr">
        <is>
          <t>[{"dr":-1,"dc":1},{"dr":1,"dc":1}]</t>
        </is>
      </c>
      <c r="G11" s="451" t="inlineStr">
        <is>
          <t>....■.. / ...●... / ....■..</t>
        </is>
      </c>
      <c r="H11" s="451" t="inlineStr">
        <is>
          <t>二格，右上与右下。</t>
        </is>
      </c>
      <c r="I11" s="451" t="n"/>
      <c r="J11" s="451" t="n"/>
      <c r="K11" s="451" t="n"/>
      <c r="L11" s="451" t="n"/>
      <c r="M11" s="451" t="n"/>
      <c r="N11" s="451" t="n"/>
      <c r="O11" s="451" t="n"/>
      <c r="P11" s="451" t="n"/>
      <c r="Q11" s="451" t="n"/>
      <c r="R11" s="451" t="n"/>
      <c r="S11" s="451" t="n"/>
      <c r="T11" s="451" t="n"/>
      <c r="U11" s="451" t="n"/>
      <c r="V11" s="451" t="n"/>
      <c r="W11" s="451" t="n"/>
      <c r="X11" s="451" t="n"/>
      <c r="Y11" s="451" t="n"/>
      <c r="Z11" s="451" t="n"/>
      <c r="AA11" s="451" t="n"/>
    </row>
    <row r="12">
      <c r="A12" s="451" t="inlineStr">
        <is>
          <t>10</t>
        </is>
      </c>
      <c r="B12" s="451" t="inlineStr">
        <is>
          <t>two</t>
        </is>
      </c>
      <c r="C12" s="451" t="inlineStr">
        <is>
          <t>形状10</t>
        </is>
      </c>
      <c r="D12" s="451" t="inlineStr">
        <is>
          <t>2</t>
        </is>
      </c>
      <c r="E12" s="451" t="inlineStr">
        <is>
          <t>3</t>
        </is>
      </c>
      <c r="F12" s="451" t="inlineStr">
        <is>
          <t>[{"dr":-1,"dc":2},{"dr":1,"dc":2}]</t>
        </is>
      </c>
      <c r="G12" s="451" t="inlineStr">
        <is>
          <t>.....■. / ...●... / .....■.</t>
        </is>
      </c>
      <c r="H12" s="451" t="inlineStr">
        <is>
          <t>二格，隔点右上与右下。</t>
        </is>
      </c>
      <c r="I12" s="451" t="n"/>
      <c r="J12" s="451" t="n"/>
      <c r="K12" s="451" t="n"/>
      <c r="L12" s="451" t="n"/>
      <c r="M12" s="451" t="n"/>
      <c r="N12" s="451" t="n"/>
      <c r="O12" s="451" t="n"/>
      <c r="P12" s="451" t="n"/>
      <c r="Q12" s="451" t="n"/>
      <c r="R12" s="451" t="n"/>
      <c r="S12" s="451" t="n"/>
      <c r="T12" s="451" t="n"/>
      <c r="U12" s="451" t="n"/>
      <c r="V12" s="451" t="n"/>
      <c r="W12" s="451" t="n"/>
      <c r="X12" s="451" t="n"/>
      <c r="Y12" s="451" t="n"/>
      <c r="Z12" s="451" t="n"/>
      <c r="AA12" s="451" t="n"/>
    </row>
    <row r="13">
      <c r="A13" s="451" t="inlineStr">
        <is>
          <t>11</t>
        </is>
      </c>
      <c r="B13" s="451" t="inlineStr">
        <is>
          <t>two</t>
        </is>
      </c>
      <c r="C13" s="451" t="inlineStr">
        <is>
          <t>形状11</t>
        </is>
      </c>
      <c r="D13" s="451" t="inlineStr">
        <is>
          <t>2</t>
        </is>
      </c>
      <c r="E13" s="451" t="inlineStr">
        <is>
          <t>3</t>
        </is>
      </c>
      <c r="F13" s="451" t="inlineStr">
        <is>
          <t>[{"dr":-1,"dc":-1},{"dr":1,"dc":1}]</t>
        </is>
      </c>
      <c r="G13" s="451" t="inlineStr">
        <is>
          <t>..■.... / ...●... / ....■..</t>
        </is>
      </c>
      <c r="H13" s="451" t="inlineStr">
        <is>
          <t>二格，左上与右下对角。</t>
        </is>
      </c>
      <c r="I13" s="451" t="n"/>
      <c r="J13" s="451" t="n"/>
      <c r="K13" s="451" t="n"/>
      <c r="L13" s="451" t="n"/>
      <c r="M13" s="451" t="n"/>
      <c r="N13" s="451" t="n"/>
      <c r="O13" s="451" t="n"/>
      <c r="P13" s="451" t="n"/>
      <c r="Q13" s="451" t="n"/>
      <c r="R13" s="451" t="n"/>
      <c r="S13" s="451" t="n"/>
      <c r="T13" s="451" t="n"/>
      <c r="U13" s="451" t="n"/>
      <c r="V13" s="451" t="n"/>
      <c r="W13" s="451" t="n"/>
      <c r="X13" s="451" t="n"/>
      <c r="Y13" s="451" t="n"/>
      <c r="Z13" s="451" t="n"/>
      <c r="AA13" s="451" t="n"/>
    </row>
    <row r="14">
      <c r="A14" s="451" t="inlineStr">
        <is>
          <t>12</t>
        </is>
      </c>
      <c r="B14" s="451" t="inlineStr">
        <is>
          <t>two</t>
        </is>
      </c>
      <c r="C14" s="451" t="inlineStr">
        <is>
          <t>形状12</t>
        </is>
      </c>
      <c r="D14" s="451" t="inlineStr">
        <is>
          <t>2</t>
        </is>
      </c>
      <c r="E14" s="451" t="inlineStr">
        <is>
          <t>3</t>
        </is>
      </c>
      <c r="F14" s="451" t="inlineStr">
        <is>
          <t>[{"dr":0,"dc":-1},{"dr":0,"dc":3}]</t>
        </is>
      </c>
      <c r="G14" s="451" t="inlineStr">
        <is>
          <t>....... / ..■●...■ / .......</t>
        </is>
      </c>
      <c r="H14" s="451" t="inlineStr">
        <is>
          <t>二格，左邻一格与右侧远点。</t>
        </is>
      </c>
      <c r="I14" s="451" t="n"/>
      <c r="J14" s="451" t="n"/>
      <c r="K14" s="451" t="n"/>
      <c r="L14" s="451" t="n"/>
      <c r="M14" s="451" t="n"/>
      <c r="N14" s="451" t="n"/>
      <c r="O14" s="451" t="n"/>
      <c r="P14" s="451" t="n"/>
      <c r="Q14" s="451" t="n"/>
      <c r="R14" s="451" t="n"/>
      <c r="S14" s="451" t="n"/>
      <c r="T14" s="451" t="n"/>
      <c r="U14" s="451" t="n"/>
      <c r="V14" s="451" t="n"/>
      <c r="W14" s="451" t="n"/>
      <c r="X14" s="451" t="n"/>
      <c r="Y14" s="451" t="n"/>
      <c r="Z14" s="451" t="n"/>
      <c r="AA14" s="451" t="n"/>
    </row>
    <row r="15">
      <c r="A15" s="451" t="inlineStr">
        <is>
          <t>13</t>
        </is>
      </c>
      <c r="B15" s="451" t="inlineStr">
        <is>
          <t>three</t>
        </is>
      </c>
      <c r="C15" s="451" t="inlineStr">
        <is>
          <t>形状13</t>
        </is>
      </c>
      <c r="D15" s="451" t="inlineStr">
        <is>
          <t>3</t>
        </is>
      </c>
      <c r="E15" s="451" t="inlineStr">
        <is>
          <t>3</t>
        </is>
      </c>
      <c r="F15" s="451" t="inlineStr">
        <is>
          <t>[{"dr":-1,"dc":1},{"dr":0,"dc":1},{"dr":1,"dc":1}]</t>
        </is>
      </c>
      <c r="G15" s="451" t="inlineStr">
        <is>
          <t>....■.. / ...●■.. / ....■..</t>
        </is>
      </c>
      <c r="H15" s="451" t="inlineStr">
        <is>
          <t>三格，右侧相邻竖三格。</t>
        </is>
      </c>
      <c r="I15" s="451" t="n"/>
      <c r="J15" s="451" t="n"/>
      <c r="K15" s="451" t="n"/>
      <c r="L15" s="451" t="n"/>
      <c r="M15" s="451" t="n"/>
      <c r="N15" s="451" t="n"/>
      <c r="O15" s="451" t="n"/>
      <c r="P15" s="451" t="n"/>
      <c r="Q15" s="451" t="n"/>
      <c r="R15" s="451" t="n"/>
      <c r="S15" s="451" t="n"/>
      <c r="T15" s="451" t="n"/>
      <c r="U15" s="451" t="n"/>
      <c r="V15" s="451" t="n"/>
      <c r="W15" s="451" t="n"/>
      <c r="X15" s="451" t="n"/>
      <c r="Y15" s="451" t="n"/>
      <c r="Z15" s="451" t="n"/>
      <c r="AA15" s="451" t="n"/>
    </row>
    <row r="16">
      <c r="A16" s="451" t="inlineStr">
        <is>
          <t>14</t>
        </is>
      </c>
      <c r="B16" s="451" t="inlineStr">
        <is>
          <t>three</t>
        </is>
      </c>
      <c r="C16" s="451" t="inlineStr">
        <is>
          <t>形状14</t>
        </is>
      </c>
      <c r="D16" s="451" t="inlineStr">
        <is>
          <t>3</t>
        </is>
      </c>
      <c r="E16" s="451" t="inlineStr">
        <is>
          <t>3</t>
        </is>
      </c>
      <c r="F16" s="451" t="inlineStr">
        <is>
          <t>[{"dr":-1,"dc":2},{"dr":0,"dc":1},{"dr":1,"dc":2}]</t>
        </is>
      </c>
      <c r="G16" s="451" t="inlineStr">
        <is>
          <t>.....■. / ...●■.. / .....■.</t>
        </is>
      </c>
      <c r="H16" s="451" t="inlineStr">
        <is>
          <t>三格，右侧近点加远端上下。</t>
        </is>
      </c>
      <c r="I16" s="451" t="n"/>
      <c r="J16" s="451" t="n"/>
      <c r="K16" s="451" t="n"/>
      <c r="L16" s="451" t="n"/>
      <c r="M16" s="451" t="n"/>
      <c r="N16" s="451" t="n"/>
      <c r="O16" s="451" t="n"/>
      <c r="P16" s="451" t="n"/>
      <c r="Q16" s="451" t="n"/>
      <c r="R16" s="451" t="n"/>
      <c r="S16" s="451" t="n"/>
      <c r="T16" s="451" t="n"/>
      <c r="U16" s="451" t="n"/>
      <c r="V16" s="451" t="n"/>
      <c r="W16" s="451" t="n"/>
      <c r="X16" s="451" t="n"/>
      <c r="Y16" s="451" t="n"/>
      <c r="Z16" s="451" t="n"/>
      <c r="AA16" s="451" t="n"/>
    </row>
    <row r="17">
      <c r="A17" s="451" t="inlineStr">
        <is>
          <t>15</t>
        </is>
      </c>
      <c r="B17" s="451" t="inlineStr">
        <is>
          <t>three</t>
        </is>
      </c>
      <c r="C17" s="451" t="inlineStr">
        <is>
          <t>形状15</t>
        </is>
      </c>
      <c r="D17" s="451" t="inlineStr">
        <is>
          <t>3</t>
        </is>
      </c>
      <c r="E17" s="451" t="inlineStr">
        <is>
          <t>3</t>
        </is>
      </c>
      <c r="F17" s="451" t="inlineStr">
        <is>
          <t>[{"dr":0,"dc":1},{"dr":0,"dc":2},{"dr":0,"dc":3}]</t>
        </is>
      </c>
      <c r="G17" s="451" t="inlineStr">
        <is>
          <t>....... / ...●■■■ / .......</t>
        </is>
      </c>
      <c r="H17" s="451" t="inlineStr">
        <is>
          <t>三格，右侧连续三格。</t>
        </is>
      </c>
      <c r="I17" s="451" t="n"/>
      <c r="J17" s="451" t="n"/>
      <c r="K17" s="451" t="n"/>
      <c r="L17" s="451" t="n"/>
      <c r="M17" s="451" t="n"/>
      <c r="N17" s="451" t="n"/>
      <c r="O17" s="451" t="n"/>
      <c r="P17" s="451" t="n"/>
      <c r="Q17" s="451" t="n"/>
      <c r="R17" s="451" t="n"/>
      <c r="S17" s="451" t="n"/>
      <c r="T17" s="451" t="n"/>
      <c r="U17" s="451" t="n"/>
      <c r="V17" s="451" t="n"/>
      <c r="W17" s="451" t="n"/>
      <c r="X17" s="451" t="n"/>
      <c r="Y17" s="451" t="n"/>
      <c r="Z17" s="451" t="n"/>
      <c r="AA17" s="451" t="n"/>
    </row>
    <row r="18">
      <c r="A18" s="451" t="inlineStr">
        <is>
          <t>16</t>
        </is>
      </c>
      <c r="B18" s="451" t="inlineStr">
        <is>
          <t>three</t>
        </is>
      </c>
      <c r="C18" s="451" t="inlineStr">
        <is>
          <t>形状16</t>
        </is>
      </c>
      <c r="D18" s="451" t="inlineStr">
        <is>
          <t>3</t>
        </is>
      </c>
      <c r="E18" s="451" t="inlineStr">
        <is>
          <t>3</t>
        </is>
      </c>
      <c r="F18" s="451" t="inlineStr">
        <is>
          <t>[{"dr":-1,"dc":2},{"dr":0,"dc":2},{"dr":1,"dc":2}]</t>
        </is>
      </c>
      <c r="G18" s="451" t="inlineStr">
        <is>
          <t>.....■. / ...●.■. / .....■.</t>
        </is>
      </c>
      <c r="H18" s="451" t="inlineStr">
        <is>
          <t>三格，隔点竖三格。</t>
        </is>
      </c>
      <c r="I18" s="451" t="n"/>
      <c r="J18" s="451" t="n"/>
      <c r="K18" s="451" t="n"/>
      <c r="L18" s="451" t="n"/>
      <c r="M18" s="451" t="n"/>
      <c r="N18" s="451" t="n"/>
      <c r="O18" s="451" t="n"/>
      <c r="P18" s="451" t="n"/>
      <c r="Q18" s="451" t="n"/>
      <c r="R18" s="451" t="n"/>
      <c r="S18" s="451" t="n"/>
      <c r="T18" s="451" t="n"/>
      <c r="U18" s="451" t="n"/>
      <c r="V18" s="451" t="n"/>
      <c r="W18" s="451" t="n"/>
      <c r="X18" s="451" t="n"/>
      <c r="Y18" s="451" t="n"/>
      <c r="Z18" s="451" t="n"/>
      <c r="AA18" s="451" t="n"/>
    </row>
    <row r="19">
      <c r="A19" s="451" t="inlineStr">
        <is>
          <t>17</t>
        </is>
      </c>
      <c r="B19" s="451" t="inlineStr">
        <is>
          <t>three</t>
        </is>
      </c>
      <c r="C19" s="451" t="inlineStr">
        <is>
          <t>形状17</t>
        </is>
      </c>
      <c r="D19" s="451" t="inlineStr">
        <is>
          <t>3</t>
        </is>
      </c>
      <c r="E19" s="451" t="inlineStr">
        <is>
          <t>3</t>
        </is>
      </c>
      <c r="F19" s="451" t="inlineStr">
        <is>
          <t>[{"dr":-1,"dc":0},{"dr":0,"dc":1},{"dr":1,"dc":0}]</t>
        </is>
      </c>
      <c r="G19" s="451" t="inlineStr">
        <is>
          <t>...■... / ...●■.. / ...■...</t>
        </is>
      </c>
      <c r="H19" s="451" t="inlineStr">
        <is>
          <t>三格，上下夹身加右侧相邻。</t>
        </is>
      </c>
      <c r="I19" s="451" t="n"/>
      <c r="J19" s="451" t="n"/>
      <c r="K19" s="451" t="n"/>
      <c r="L19" s="451" t="n"/>
      <c r="M19" s="451" t="n"/>
      <c r="N19" s="451" t="n"/>
      <c r="O19" s="451" t="n"/>
      <c r="P19" s="451" t="n"/>
      <c r="Q19" s="451" t="n"/>
      <c r="R19" s="451" t="n"/>
      <c r="S19" s="451" t="n"/>
      <c r="T19" s="451" t="n"/>
      <c r="U19" s="451" t="n"/>
      <c r="V19" s="451" t="n"/>
      <c r="W19" s="451" t="n"/>
      <c r="X19" s="451" t="n"/>
      <c r="Y19" s="451" t="n"/>
      <c r="Z19" s="451" t="n"/>
      <c r="AA19" s="451" t="n"/>
    </row>
    <row r="20">
      <c r="A20" s="451" t="inlineStr">
        <is>
          <t>18</t>
        </is>
      </c>
      <c r="B20" s="451" t="inlineStr">
        <is>
          <t>three</t>
        </is>
      </c>
      <c r="C20" s="451" t="inlineStr">
        <is>
          <t>形状18</t>
        </is>
      </c>
      <c r="D20" s="451" t="inlineStr">
        <is>
          <t>3</t>
        </is>
      </c>
      <c r="E20" s="451" t="inlineStr">
        <is>
          <t>3</t>
        </is>
      </c>
      <c r="F20" s="451" t="inlineStr">
        <is>
          <t>[{"dr":-1,"dc":0},{"dr":-1,"dc":1},{"dr":0,"dc":1}]</t>
        </is>
      </c>
      <c r="G20" s="451" t="inlineStr">
        <is>
          <t>...■■.. / ...●■.. / .......</t>
        </is>
      </c>
      <c r="H20" s="451" t="inlineStr">
        <is>
          <t>三格，右上小角。</t>
        </is>
      </c>
      <c r="I20" s="451" t="n"/>
      <c r="J20" s="451" t="n"/>
      <c r="K20" s="451" t="n"/>
      <c r="L20" s="451" t="n"/>
      <c r="M20" s="451" t="n"/>
      <c r="N20" s="451" t="n"/>
      <c r="O20" s="451" t="n"/>
      <c r="P20" s="451" t="n"/>
      <c r="Q20" s="451" t="n"/>
      <c r="R20" s="451" t="n"/>
      <c r="S20" s="451" t="n"/>
      <c r="T20" s="451" t="n"/>
      <c r="U20" s="451" t="n"/>
      <c r="V20" s="451" t="n"/>
      <c r="W20" s="451" t="n"/>
      <c r="X20" s="451" t="n"/>
      <c r="Y20" s="451" t="n"/>
      <c r="Z20" s="451" t="n"/>
      <c r="AA20" s="451" t="n"/>
    </row>
    <row r="21">
      <c r="A21" s="451" t="inlineStr">
        <is>
          <t>19</t>
        </is>
      </c>
      <c r="B21" s="451" t="inlineStr">
        <is>
          <t>three</t>
        </is>
      </c>
      <c r="C21" s="451" t="inlineStr">
        <is>
          <t>形状19</t>
        </is>
      </c>
      <c r="D21" s="451" t="inlineStr">
        <is>
          <t>3</t>
        </is>
      </c>
      <c r="E21" s="451" t="inlineStr">
        <is>
          <t>3</t>
        </is>
      </c>
      <c r="F21" s="451" t="inlineStr">
        <is>
          <t>[{"dr":-1,"dc":1},{"dr":-1,"dc":2},{"dr":0,"dc":2}]</t>
        </is>
      </c>
      <c r="G21" s="451" t="inlineStr">
        <is>
          <t>....■■. / ...●.■. / .......</t>
        </is>
      </c>
      <c r="H21" s="451" t="inlineStr">
        <is>
          <t>三格，隔点右上小角。</t>
        </is>
      </c>
      <c r="I21" s="451" t="n"/>
      <c r="J21" s="451" t="n"/>
      <c r="K21" s="451" t="n"/>
      <c r="L21" s="451" t="n"/>
      <c r="M21" s="451" t="n"/>
      <c r="N21" s="451" t="n"/>
      <c r="O21" s="451" t="n"/>
      <c r="P21" s="451" t="n"/>
      <c r="Q21" s="451" t="n"/>
      <c r="R21" s="451" t="n"/>
      <c r="S21" s="451" t="n"/>
      <c r="T21" s="451" t="n"/>
      <c r="U21" s="451" t="n"/>
      <c r="V21" s="451" t="n"/>
      <c r="W21" s="451" t="n"/>
      <c r="X21" s="451" t="n"/>
      <c r="Y21" s="451" t="n"/>
      <c r="Z21" s="451" t="n"/>
      <c r="AA21" s="451" t="n"/>
    </row>
    <row r="22">
      <c r="A22" s="451" t="n"/>
      <c r="B22" s="451" t="n"/>
      <c r="C22" s="451" t="n"/>
      <c r="D22" s="451" t="n"/>
      <c r="E22" s="451" t="n"/>
      <c r="F22" s="451" t="n"/>
      <c r="G22" s="451" t="n"/>
      <c r="H22" s="451" t="n"/>
      <c r="I22" s="451" t="n"/>
      <c r="J22" s="451" t="n"/>
      <c r="K22" s="451" t="n"/>
      <c r="L22" s="451" t="n"/>
      <c r="M22" s="451" t="n"/>
      <c r="N22" s="451" t="n"/>
      <c r="O22" s="451" t="n"/>
      <c r="P22" s="451" t="n"/>
      <c r="Q22" s="451" t="n"/>
      <c r="R22" s="451" t="n"/>
      <c r="S22" s="451" t="n"/>
      <c r="T22" s="451" t="n"/>
      <c r="U22" s="451" t="n"/>
      <c r="V22" s="451" t="n"/>
      <c r="W22" s="451" t="n"/>
      <c r="X22" s="451" t="n"/>
      <c r="Y22" s="451" t="n"/>
      <c r="Z22" s="451" t="n"/>
      <c r="AA22" s="451" t="n"/>
    </row>
    <row r="23">
      <c r="A23" s="6" t="inlineStr">
        <is>
          <t>#csv</t>
        </is>
      </c>
      <c r="B23" s="6" t="inlineStr">
        <is>
          <t>15_summon_trial_questions.csv</t>
        </is>
      </c>
      <c r="C23" s="6" t="inlineStr">
        <is>
          <t>召唤试炼题库。</t>
        </is>
      </c>
      <c r="D23" s="6" t="n"/>
      <c r="E23" s="6" t="n"/>
      <c r="F23" s="6" t="n"/>
      <c r="G23" s="6" t="n"/>
      <c r="H23" s="6" t="n"/>
      <c r="I23" s="451" t="n"/>
      <c r="J23" s="451" t="n"/>
      <c r="K23" s="451" t="n"/>
      <c r="L23" s="451" t="n"/>
      <c r="M23" s="451" t="n"/>
      <c r="N23" s="451" t="n"/>
      <c r="O23" s="451" t="n"/>
      <c r="P23" s="451" t="n"/>
      <c r="Q23" s="451" t="n"/>
      <c r="R23" s="451" t="n"/>
      <c r="S23" s="451" t="n"/>
      <c r="T23" s="451" t="n"/>
      <c r="U23" s="451" t="n"/>
      <c r="V23" s="451" t="n"/>
      <c r="W23" s="451" t="n"/>
      <c r="X23" s="451" t="n"/>
      <c r="Y23" s="451" t="n"/>
      <c r="Z23" s="451" t="n"/>
      <c r="AA23" s="451" t="n"/>
    </row>
    <row r="24">
      <c r="A24" s="5" t="inlineStr">
        <is>
          <t>题库ID</t>
        </is>
      </c>
      <c r="B24" s="5" t="inlineStr">
        <is>
          <t>钻石原型宠物ID</t>
        </is>
      </c>
      <c r="C24" s="5" t="inlineStr">
        <is>
          <t>原型名称</t>
        </is>
      </c>
      <c r="D24" s="5" t="inlineStr">
        <is>
          <t>题型</t>
        </is>
      </c>
      <c r="E24" s="5" t="inlineStr">
        <is>
          <t>复制体品质</t>
        </is>
      </c>
      <c r="F24" s="5" t="inlineStr">
        <is>
          <t>复制体HP</t>
        </is>
      </c>
      <c r="G24" s="5" t="inlineStr">
        <is>
          <t>复制体攻</t>
        </is>
      </c>
      <c r="H24" s="5" t="inlineStr">
        <is>
          <t>复制体防</t>
        </is>
      </c>
      <c r="I24" s="5" t="inlineStr">
        <is>
          <t>复制体盾</t>
        </is>
      </c>
      <c r="J24" s="5" t="inlineStr">
        <is>
          <t>复制体行动</t>
        </is>
      </c>
      <c r="K24" s="5" t="inlineStr">
        <is>
          <t>机制ID</t>
        </is>
      </c>
      <c r="L24" s="5" t="inlineStr">
        <is>
          <t>是否有元素</t>
        </is>
      </c>
      <c r="M24" s="5" t="inlineStr">
        <is>
          <t>是否铺场</t>
        </is>
      </c>
      <c r="N24" s="5" t="inlineStr">
        <is>
          <t>解题方式</t>
        </is>
      </c>
      <c r="O24" s="5" t="inlineStr">
        <is>
          <t>备注</t>
        </is>
      </c>
      <c r="P24" s="451" t="n"/>
      <c r="Q24" s="451" t="n"/>
      <c r="R24" s="451" t="n"/>
      <c r="S24" s="451" t="n"/>
      <c r="T24" s="451" t="n"/>
      <c r="U24" s="451" t="n"/>
      <c r="V24" s="451" t="n"/>
      <c r="W24" s="451" t="n"/>
      <c r="X24" s="451" t="n"/>
      <c r="Y24" s="451" t="n"/>
      <c r="Z24" s="451" t="n"/>
      <c r="AA24" s="451" t="n"/>
    </row>
    <row r="25">
      <c r="A25" s="451" t="inlineStr">
        <is>
          <t>trial_q_quantity</t>
        </is>
      </c>
      <c r="B25" s="451" t="inlineStr">
        <is>
          <t>pal_001</t>
        </is>
      </c>
      <c r="C25" s="451" t="inlineStr">
        <is>
          <t>棉悠悠</t>
        </is>
      </c>
      <c r="D25" s="451" t="inlineStr">
        <is>
          <t>数量/站场</t>
        </is>
      </c>
      <c r="E25" s="451" t="inlineStr">
        <is>
          <t>黄金</t>
        </is>
      </c>
      <c r="F25" s="451" t="inlineStr">
        <is>
          <t>60</t>
        </is>
      </c>
      <c r="G25" s="451" t="inlineStr">
        <is>
          <t>16</t>
        </is>
      </c>
      <c r="H25" s="451" t="inlineStr">
        <is>
          <t>0</t>
        </is>
      </c>
      <c r="I25" s="451" t="inlineStr">
        <is>
          <t>0</t>
        </is>
      </c>
      <c r="J25" s="451" t="inlineStr">
        <is>
          <t>3</t>
        </is>
      </c>
      <c r="K25" s="451" t="inlineStr">
        <is>
          <t>mech_hp_regen_5</t>
        </is>
      </c>
      <c r="L25" s="451" t="inlineStr">
        <is>
          <t>否</t>
        </is>
      </c>
      <c r="M25" s="451" t="inlineStr">
        <is>
          <t>否</t>
        </is>
      </c>
      <c r="N25" s="451" t="inlineStr">
        <is>
          <t>用火爆/高层火/多段攻击清场</t>
        </is>
      </c>
      <c r="O25" s="451" t="inlineStr">
        <is>
          <t>钻石原型降级复制体</t>
        </is>
      </c>
      <c r="P25" s="451" t="n"/>
      <c r="Q25" s="451" t="n"/>
      <c r="R25" s="451" t="n"/>
      <c r="S25" s="451" t="n"/>
      <c r="T25" s="451" t="n"/>
      <c r="U25" s="451" t="n"/>
      <c r="V25" s="451" t="n"/>
      <c r="W25" s="451" t="n"/>
      <c r="X25" s="451" t="n"/>
      <c r="Y25" s="451" t="n"/>
      <c r="Z25" s="451" t="n"/>
      <c r="AA25" s="451" t="n"/>
    </row>
    <row r="26">
      <c r="A26" s="451" t="inlineStr">
        <is>
          <t>trial_q_shield</t>
        </is>
      </c>
      <c r="B26" s="451" t="inlineStr">
        <is>
          <t>pal_003</t>
        </is>
      </c>
      <c r="C26" s="451" t="inlineStr">
        <is>
          <t>皮皮鸡</t>
        </is>
      </c>
      <c r="D26" s="451" t="inlineStr">
        <is>
          <t>护盾/挡路</t>
        </is>
      </c>
      <c r="E26" s="451" t="inlineStr">
        <is>
          <t>黄金</t>
        </is>
      </c>
      <c r="F26" s="451" t="inlineStr">
        <is>
          <t>40</t>
        </is>
      </c>
      <c r="G26" s="451" t="inlineStr">
        <is>
          <t>18</t>
        </is>
      </c>
      <c r="H26" s="451" t="inlineStr">
        <is>
          <t>0</t>
        </is>
      </c>
      <c r="I26" s="451" t="inlineStr">
        <is>
          <t>20</t>
        </is>
      </c>
      <c r="J26" s="451" t="inlineStr">
        <is>
          <t>3</t>
        </is>
      </c>
      <c r="K26" s="451" t="inlineStr">
        <is>
          <t>mech_shield_max</t>
        </is>
      </c>
      <c r="L26" s="451" t="inlineStr">
        <is>
          <t>否</t>
        </is>
      </c>
      <c r="M26" s="451" t="inlineStr">
        <is>
          <t>否</t>
        </is>
      </c>
      <c r="N26" s="451" t="inlineStr">
        <is>
          <t>高火层爆穿或绕开，不要慢刮</t>
        </is>
      </c>
      <c r="O26" s="451" t="inlineStr">
        <is>
          <t>盾每回合重生</t>
        </is>
      </c>
      <c r="P26" s="451" t="n"/>
      <c r="Q26" s="451" t="n"/>
      <c r="R26" s="451" t="n"/>
      <c r="S26" s="451" t="n"/>
      <c r="T26" s="451" t="n"/>
      <c r="U26" s="451" t="n"/>
      <c r="V26" s="451" t="n"/>
      <c r="W26" s="451" t="n"/>
      <c r="X26" s="451" t="n"/>
      <c r="Y26" s="451" t="n"/>
      <c r="Z26" s="451" t="n"/>
      <c r="AA26" s="451" t="n"/>
    </row>
    <row r="27">
      <c r="A27" s="451" t="inlineStr">
        <is>
          <t>trial_q_charge</t>
        </is>
      </c>
      <c r="B27" s="451" t="inlineStr">
        <is>
          <t>pal_050</t>
        </is>
      </c>
      <c r="C27" s="451" t="inlineStr">
        <is>
          <t>骑士蜂</t>
        </is>
      </c>
      <c r="D27" s="451" t="inlineStr">
        <is>
          <t>突击/高攻</t>
        </is>
      </c>
      <c r="E27" s="451" t="inlineStr">
        <is>
          <t>黄金</t>
        </is>
      </c>
      <c r="F27" s="451" t="inlineStr">
        <is>
          <t>36</t>
        </is>
      </c>
      <c r="G27" s="451" t="inlineStr">
        <is>
          <t>18</t>
        </is>
      </c>
      <c r="H27" s="451" t="inlineStr">
        <is>
          <t>0</t>
        </is>
      </c>
      <c r="I27" s="451" t="inlineStr">
        <is>
          <t>0</t>
        </is>
      </c>
      <c r="J27" s="451" t="inlineStr">
        <is>
          <t>4</t>
        </is>
      </c>
      <c r="K27" s="451" t="inlineStr">
        <is>
          <t>mech_charge_attack</t>
        </is>
      </c>
      <c r="L27" s="451" t="inlineStr">
        <is>
          <t>否</t>
        </is>
      </c>
      <c r="M27" s="451" t="inlineStr">
        <is>
          <t>否</t>
        </is>
      </c>
      <c r="N27" s="451" t="inlineStr">
        <is>
          <t>首回合优先击杀/控住</t>
        </is>
      </c>
      <c r="O27" s="451" t="inlineStr">
        <is>
          <t>第7天第一回合必须解决</t>
        </is>
      </c>
      <c r="P27" s="451" t="n"/>
      <c r="Q27" s="451" t="n"/>
      <c r="R27" s="451" t="n"/>
      <c r="S27" s="451" t="n"/>
      <c r="T27" s="451" t="n"/>
      <c r="U27" s="451" t="n"/>
      <c r="V27" s="451" t="n"/>
      <c r="W27" s="451" t="n"/>
      <c r="X27" s="451" t="n"/>
      <c r="Y27" s="451" t="n"/>
      <c r="Z27" s="451" t="n"/>
      <c r="AA27" s="451" t="n"/>
    </row>
    <row r="28">
      <c r="A28" s="451" t="inlineStr">
        <is>
          <t>trial_q_support</t>
        </is>
      </c>
      <c r="B28" s="451" t="inlineStr">
        <is>
          <t>pal_083</t>
        </is>
      </c>
      <c r="C28" s="451" t="inlineStr">
        <is>
          <t>精灵龙</t>
        </is>
      </c>
      <c r="D28" s="451" t="inlineStr">
        <is>
          <t>支援/加盾</t>
        </is>
      </c>
      <c r="E28" s="451" t="inlineStr">
        <is>
          <t>黄金</t>
        </is>
      </c>
      <c r="F28" s="451" t="inlineStr">
        <is>
          <t>42</t>
        </is>
      </c>
      <c r="G28" s="451" t="inlineStr">
        <is>
          <t>8</t>
        </is>
      </c>
      <c r="H28" s="451" t="inlineStr">
        <is>
          <t>0</t>
        </is>
      </c>
      <c r="I28" s="451" t="inlineStr">
        <is>
          <t>6</t>
        </is>
      </c>
      <c r="J28" s="451" t="inlineStr">
        <is>
          <t>3</t>
        </is>
      </c>
      <c r="K28" s="451" t="inlineStr">
        <is>
          <t>mech_support_shield</t>
        </is>
      </c>
      <c r="L28" s="451" t="inlineStr">
        <is>
          <t>否</t>
        </is>
      </c>
      <c r="M28" s="451" t="inlineStr">
        <is>
          <t>否</t>
        </is>
      </c>
      <c r="N28" s="451" t="inlineStr">
        <is>
          <t>首回合优先击杀，防止支援滚盾</t>
        </is>
      </c>
      <c r="O28" s="451" t="inlineStr">
        <is>
          <t>第7天第一回合必须解决</t>
        </is>
      </c>
      <c r="P28" s="451" t="n"/>
      <c r="Q28" s="451" t="n"/>
      <c r="R28" s="451" t="n"/>
      <c r="S28" s="451" t="n"/>
      <c r="T28" s="451" t="n"/>
      <c r="U28" s="451" t="n"/>
      <c r="V28" s="451" t="n"/>
      <c r="W28" s="451" t="n"/>
      <c r="X28" s="451" t="n"/>
      <c r="Y28" s="451" t="n"/>
      <c r="Z28" s="451" t="n"/>
      <c r="AA28" s="451" t="n"/>
    </row>
    <row r="29">
      <c r="A29" s="451" t="n"/>
      <c r="B29" s="451" t="n"/>
      <c r="C29" s="451" t="n"/>
      <c r="D29" s="451" t="n"/>
      <c r="E29" s="451" t="n"/>
      <c r="F29" s="451" t="n"/>
      <c r="G29" s="451" t="n"/>
      <c r="H29" s="451" t="n"/>
      <c r="I29" s="451" t="n"/>
      <c r="J29" s="451" t="n"/>
      <c r="K29" s="451" t="n"/>
      <c r="L29" s="451" t="n"/>
      <c r="M29" s="451" t="n"/>
      <c r="N29" s="451" t="n"/>
      <c r="O29" s="451" t="n"/>
      <c r="P29" s="451" t="n"/>
      <c r="Q29" s="451" t="n"/>
      <c r="R29" s="451" t="n"/>
      <c r="S29" s="451" t="n"/>
      <c r="T29" s="451" t="n"/>
      <c r="U29" s="451" t="n"/>
      <c r="V29" s="451" t="n"/>
      <c r="W29" s="451" t="n"/>
      <c r="X29" s="451" t="n"/>
      <c r="Y29" s="451" t="n"/>
      <c r="Z29" s="451" t="n"/>
      <c r="AA29" s="451" t="n"/>
    </row>
    <row r="30">
      <c r="A30" s="6" t="inlineStr">
        <is>
          <t>#csv</t>
        </is>
      </c>
      <c r="B30" s="6" t="inlineStr">
        <is>
          <t>16_trial_action_plan.csv</t>
        </is>
      </c>
      <c r="C30" s="6" t="inlineStr">
        <is>
          <t>试炼行动脚本。</t>
        </is>
      </c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451" t="n"/>
      <c r="Q30" s="451" t="n"/>
      <c r="R30" s="451" t="n"/>
      <c r="S30" s="451" t="n"/>
      <c r="T30" s="451" t="n"/>
      <c r="U30" s="451" t="n"/>
      <c r="V30" s="451" t="n"/>
      <c r="W30" s="451" t="n"/>
      <c r="X30" s="451" t="n"/>
      <c r="Y30" s="451" t="n"/>
      <c r="Z30" s="451" t="n"/>
      <c r="AA30" s="451" t="n"/>
    </row>
    <row r="31">
      <c r="A31" s="5" t="inlineStr">
        <is>
          <t>行动ID</t>
        </is>
      </c>
      <c r="B31" s="5" t="inlineStr">
        <is>
          <t>配置ID</t>
        </is>
      </c>
      <c r="C31" s="5" t="inlineStr">
        <is>
          <t>回合</t>
        </is>
      </c>
      <c r="D31" s="5" t="inlineStr">
        <is>
          <t>顺序</t>
        </is>
      </c>
      <c r="E31" s="5" t="inlineStr">
        <is>
          <t>动作类型</t>
        </is>
      </c>
      <c r="F31" s="5" t="inlineStr">
        <is>
          <t>单位ID</t>
        </is>
      </c>
      <c r="G31" s="5" t="inlineStr">
        <is>
          <t>目标单位ID</t>
        </is>
      </c>
      <c r="H31" s="5" t="inlineStr">
        <is>
          <t>目标行</t>
        </is>
      </c>
      <c r="I31" s="5" t="inlineStr">
        <is>
          <t>目标列</t>
        </is>
      </c>
      <c r="J31" s="5" t="inlineStr">
        <is>
          <t>移动行</t>
        </is>
      </c>
      <c r="K31" s="5" t="inlineStr">
        <is>
          <t>移动列</t>
        </is>
      </c>
      <c r="L31" s="5" t="inlineStr">
        <is>
          <t>元素</t>
        </is>
      </c>
      <c r="M31" s="5" t="inlineStr">
        <is>
          <t>层数</t>
        </is>
      </c>
      <c r="N31" s="5" t="inlineStr">
        <is>
          <t>副目标行</t>
        </is>
      </c>
      <c r="O31" s="5" t="inlineStr">
        <is>
          <t>副目标列</t>
        </is>
      </c>
      <c r="P31" s="5" t="inlineStr">
        <is>
          <t>副元素</t>
        </is>
      </c>
      <c r="Q31" s="5" t="inlineStr">
        <is>
          <t>副层数</t>
        </is>
      </c>
      <c r="R31" s="5" t="inlineStr">
        <is>
          <t>使用攻击力</t>
        </is>
      </c>
      <c r="S31" s="5" t="inlineStr">
        <is>
          <t>应用水催化</t>
        </is>
      </c>
      <c r="T31" s="5" t="inlineStr">
        <is>
          <t>检查火爆行列</t>
        </is>
      </c>
      <c r="U31" s="5" t="inlineStr">
        <is>
          <t>来源行1</t>
        </is>
      </c>
      <c r="V31" s="5" t="inlineStr">
        <is>
          <t>来源列1</t>
        </is>
      </c>
      <c r="W31" s="5" t="inlineStr">
        <is>
          <t>搬运层数1</t>
        </is>
      </c>
      <c r="X31" s="5" t="inlineStr">
        <is>
          <t>来源行2</t>
        </is>
      </c>
      <c r="Y31" s="5" t="inlineStr">
        <is>
          <t>来源列2</t>
        </is>
      </c>
      <c r="Z31" s="5" t="inlineStr">
        <is>
          <t>搬运层数2</t>
        </is>
      </c>
      <c r="AA31" s="5" t="inlineStr">
        <is>
          <t>说明</t>
        </is>
      </c>
    </row>
    <row r="32">
      <c r="A32" s="451" t="inlineStr">
        <is>
          <t>act001_move_fox</t>
        </is>
      </c>
      <c r="B32" s="451" t="inlineStr">
        <is>
          <t>day7_fire_trial_v1</t>
        </is>
      </c>
      <c r="C32" s="451" t="inlineStr">
        <is>
          <t>1</t>
        </is>
      </c>
      <c r="D32" s="451" t="inlineStr">
        <is>
          <t>10</t>
        </is>
      </c>
      <c r="E32" s="451" t="inlineStr">
        <is>
          <t>move</t>
        </is>
      </c>
      <c r="F32" s="451" t="inlineStr">
        <is>
          <t>day7_huoronghu</t>
        </is>
      </c>
      <c r="G32" s="451" t="inlineStr"/>
      <c r="H32" s="451" t="inlineStr"/>
      <c r="I32" s="451" t="inlineStr"/>
      <c r="J32" s="451" t="inlineStr">
        <is>
          <t>3</t>
        </is>
      </c>
      <c r="K32" s="451" t="inlineStr">
        <is>
          <t>5</t>
        </is>
      </c>
      <c r="L32" s="451" t="inlineStr"/>
      <c r="M32" s="451" t="inlineStr"/>
      <c r="N32" s="451" t="inlineStr"/>
      <c r="O32" s="451" t="inlineStr"/>
      <c r="P32" s="451" t="inlineStr"/>
      <c r="Q32" s="451" t="inlineStr"/>
      <c r="R32" s="451" t="inlineStr"/>
      <c r="S32" s="451" t="inlineStr"/>
      <c r="T32" s="451" t="inlineStr"/>
      <c r="U32" s="451" t="inlineStr"/>
      <c r="V32" s="451" t="inlineStr"/>
      <c r="W32" s="451" t="inlineStr"/>
      <c r="X32" s="451" t="inlineStr"/>
      <c r="Y32" s="451" t="inlineStr"/>
      <c r="Z32" s="451" t="inlineStr"/>
      <c r="AA32" s="451" t="inlineStr">
        <is>
          <t>火绒狐进入第3行第5列点火位</t>
        </is>
      </c>
    </row>
    <row r="33">
      <c r="A33" s="451" t="inlineStr">
        <is>
          <t>act002_fox_hit_bee_1</t>
        </is>
      </c>
      <c r="B33" s="451" t="inlineStr">
        <is>
          <t>day7_fire_trial_v1</t>
        </is>
      </c>
      <c r="C33" s="451" t="inlineStr">
        <is>
          <t>1</t>
        </is>
      </c>
      <c r="D33" s="451" t="inlineStr">
        <is>
          <t>11</t>
        </is>
      </c>
      <c r="E33" s="451" t="inlineStr">
        <is>
          <t>attack</t>
        </is>
      </c>
      <c r="F33" s="451" t="inlineStr">
        <is>
          <t>day7_huoronghu</t>
        </is>
      </c>
      <c r="G33" s="451" t="inlineStr">
        <is>
          <t>day7_enemy_bee</t>
        </is>
      </c>
      <c r="H33" s="451" t="inlineStr">
        <is>
          <t>3</t>
        </is>
      </c>
      <c r="I33" s="451" t="inlineStr">
        <is>
          <t>6</t>
        </is>
      </c>
      <c r="J33" s="451" t="inlineStr"/>
      <c r="K33" s="451" t="inlineStr"/>
      <c r="L33" s="451" t="inlineStr">
        <is>
          <t>火</t>
        </is>
      </c>
      <c r="M33" s="451" t="inlineStr">
        <is>
          <t>1</t>
        </is>
      </c>
      <c r="N33" s="451" t="inlineStr">
        <is>
          <t>3</t>
        </is>
      </c>
      <c r="O33" s="451" t="inlineStr">
        <is>
          <t>7</t>
        </is>
      </c>
      <c r="P33" s="451" t="inlineStr">
        <is>
          <t>火</t>
        </is>
      </c>
      <c r="Q33" s="451" t="inlineStr">
        <is>
          <t>2</t>
        </is>
      </c>
      <c r="R33" s="451" t="inlineStr">
        <is>
          <t>是</t>
        </is>
      </c>
      <c r="S33" s="451" t="inlineStr">
        <is>
          <t>否</t>
        </is>
      </c>
      <c r="T33" s="451" t="inlineStr">
        <is>
          <t>主格,副格</t>
        </is>
      </c>
      <c r="U33" s="451" t="inlineStr"/>
      <c r="V33" s="451" t="inlineStr"/>
      <c r="W33" s="451" t="inlineStr"/>
      <c r="X33" s="451" t="inlineStr"/>
      <c r="Y33" s="451" t="inlineStr"/>
      <c r="Z33" s="451" t="inlineStr"/>
      <c r="AA33" s="451" t="inlineStr">
        <is>
          <t>火绒狐第1击骑士蜂，主格+1火，副格+2火</t>
        </is>
      </c>
    </row>
    <row r="34">
      <c r="A34" s="451" t="inlineStr">
        <is>
          <t>act003_fox_hit_bee_2</t>
        </is>
      </c>
      <c r="B34" s="451" t="inlineStr">
        <is>
          <t>day7_fire_trial_v1</t>
        </is>
      </c>
      <c r="C34" s="451" t="inlineStr">
        <is>
          <t>1</t>
        </is>
      </c>
      <c r="D34" s="451" t="inlineStr">
        <is>
          <t>12</t>
        </is>
      </c>
      <c r="E34" s="451" t="inlineStr">
        <is>
          <t>attack</t>
        </is>
      </c>
      <c r="F34" s="451" t="inlineStr">
        <is>
          <t>day7_huoronghu</t>
        </is>
      </c>
      <c r="G34" s="451" t="inlineStr">
        <is>
          <t>day7_enemy_bee</t>
        </is>
      </c>
      <c r="H34" s="451" t="inlineStr">
        <is>
          <t>3</t>
        </is>
      </c>
      <c r="I34" s="451" t="inlineStr">
        <is>
          <t>6</t>
        </is>
      </c>
      <c r="J34" s="451" t="inlineStr"/>
      <c r="K34" s="451" t="inlineStr"/>
      <c r="L34" s="451" t="inlineStr">
        <is>
          <t>火</t>
        </is>
      </c>
      <c r="M34" s="451" t="inlineStr">
        <is>
          <t>1</t>
        </is>
      </c>
      <c r="N34" s="451" t="inlineStr">
        <is>
          <t>3</t>
        </is>
      </c>
      <c r="O34" s="451" t="inlineStr">
        <is>
          <t>7</t>
        </is>
      </c>
      <c r="P34" s="451" t="inlineStr">
        <is>
          <t>火</t>
        </is>
      </c>
      <c r="Q34" s="451" t="inlineStr">
        <is>
          <t>1</t>
        </is>
      </c>
      <c r="R34" s="451" t="inlineStr">
        <is>
          <t>是</t>
        </is>
      </c>
      <c r="S34" s="451" t="inlineStr">
        <is>
          <t>否</t>
        </is>
      </c>
      <c r="T34" s="451" t="inlineStr">
        <is>
          <t>主格,副格</t>
        </is>
      </c>
      <c r="U34" s="451" t="inlineStr"/>
      <c r="V34" s="451" t="inlineStr"/>
      <c r="W34" s="451" t="inlineStr"/>
      <c r="X34" s="451" t="inlineStr"/>
      <c r="Y34" s="451" t="inlineStr"/>
      <c r="Z34" s="451" t="inlineStr"/>
      <c r="AA34" s="451" t="inlineStr">
        <is>
          <t>火绒狐第2击骑士蜂，主格+1火，副格+1火</t>
        </is>
      </c>
    </row>
    <row r="35">
      <c r="A35" s="451" t="inlineStr">
        <is>
          <t>act004_fox_hit_bee_3</t>
        </is>
      </c>
      <c r="B35" s="451" t="inlineStr">
        <is>
          <t>day7_fire_trial_v1</t>
        </is>
      </c>
      <c r="C35" s="451" t="inlineStr">
        <is>
          <t>1</t>
        </is>
      </c>
      <c r="D35" s="451" t="inlineStr">
        <is>
          <t>13</t>
        </is>
      </c>
      <c r="E35" s="451" t="inlineStr">
        <is>
          <t>attack</t>
        </is>
      </c>
      <c r="F35" s="451" t="inlineStr">
        <is>
          <t>day7_huoronghu</t>
        </is>
      </c>
      <c r="G35" s="451" t="inlineStr">
        <is>
          <t>day7_enemy_bee</t>
        </is>
      </c>
      <c r="H35" s="451" t="inlineStr">
        <is>
          <t>3</t>
        </is>
      </c>
      <c r="I35" s="451" t="inlineStr">
        <is>
          <t>6</t>
        </is>
      </c>
      <c r="J35" s="451" t="inlineStr"/>
      <c r="K35" s="451" t="inlineStr"/>
      <c r="L35" s="451" t="inlineStr">
        <is>
          <t>火</t>
        </is>
      </c>
      <c r="M35" s="451" t="inlineStr">
        <is>
          <t>1</t>
        </is>
      </c>
      <c r="N35" s="451" t="inlineStr">
        <is>
          <t>3</t>
        </is>
      </c>
      <c r="O35" s="451" t="inlineStr">
        <is>
          <t>7</t>
        </is>
      </c>
      <c r="P35" s="451" t="inlineStr">
        <is>
          <t>火</t>
        </is>
      </c>
      <c r="Q35" s="451" t="inlineStr">
        <is>
          <t>1</t>
        </is>
      </c>
      <c r="R35" s="451" t="inlineStr">
        <is>
          <t>是</t>
        </is>
      </c>
      <c r="S35" s="451" t="inlineStr">
        <is>
          <t>否</t>
        </is>
      </c>
      <c r="T35" s="451" t="inlineStr">
        <is>
          <t>主格,副格</t>
        </is>
      </c>
      <c r="U35" s="451" t="inlineStr"/>
      <c r="V35" s="451" t="inlineStr"/>
      <c r="W35" s="451" t="inlineStr"/>
      <c r="X35" s="451" t="inlineStr"/>
      <c r="Y35" s="451" t="inlineStr"/>
      <c r="Z35" s="451" t="inlineStr"/>
      <c r="AA35" s="451" t="inlineStr">
        <is>
          <t>火绒狐第3击骑士蜂，主格+1火，副格+1火</t>
        </is>
      </c>
    </row>
    <row r="36">
      <c r="A36" s="451" t="inlineStr">
        <is>
          <t>act010_move_duck</t>
        </is>
      </c>
      <c r="B36" s="451" t="inlineStr">
        <is>
          <t>day7_fire_trial_v1</t>
        </is>
      </c>
      <c r="C36" s="451" t="inlineStr">
        <is>
          <t>1</t>
        </is>
      </c>
      <c r="D36" s="451" t="inlineStr">
        <is>
          <t>20</t>
        </is>
      </c>
      <c r="E36" s="451" t="inlineStr">
        <is>
          <t>move</t>
        </is>
      </c>
      <c r="F36" s="451" t="inlineStr">
        <is>
          <t>day7_chonglangya</t>
        </is>
      </c>
      <c r="G36" s="451" t="inlineStr"/>
      <c r="H36" s="451" t="inlineStr"/>
      <c r="I36" s="451" t="inlineStr"/>
      <c r="J36" s="451" t="inlineStr">
        <is>
          <t>1</t>
        </is>
      </c>
      <c r="K36" s="451" t="inlineStr">
        <is>
          <t>5</t>
        </is>
      </c>
      <c r="L36" s="451" t="inlineStr"/>
      <c r="M36" s="451" t="inlineStr"/>
      <c r="N36" s="451" t="inlineStr"/>
      <c r="O36" s="451" t="inlineStr"/>
      <c r="P36" s="451" t="inlineStr"/>
      <c r="Q36" s="451" t="inlineStr"/>
      <c r="R36" s="451" t="inlineStr"/>
      <c r="S36" s="451" t="inlineStr"/>
      <c r="T36" s="451" t="inlineStr"/>
      <c r="U36" s="451" t="inlineStr"/>
      <c r="V36" s="451" t="inlineStr"/>
      <c r="W36" s="451" t="inlineStr"/>
      <c r="X36" s="451" t="inlineStr"/>
      <c r="Y36" s="451" t="inlineStr"/>
      <c r="Z36" s="451" t="inlineStr"/>
      <c r="AA36" s="451" t="inlineStr">
        <is>
          <t>冲浪鸭进入第1行第5列水汽位</t>
        </is>
      </c>
    </row>
    <row r="37">
      <c r="A37" s="451" t="inlineStr">
        <is>
          <t>act011_duck_hit_dragon_1</t>
        </is>
      </c>
      <c r="B37" s="451" t="inlineStr">
        <is>
          <t>day7_fire_trial_v1</t>
        </is>
      </c>
      <c r="C37" s="451" t="inlineStr">
        <is>
          <t>1</t>
        </is>
      </c>
      <c r="D37" s="451" t="inlineStr">
        <is>
          <t>21</t>
        </is>
      </c>
      <c r="E37" s="451" t="inlineStr">
        <is>
          <t>attack</t>
        </is>
      </c>
      <c r="F37" s="451" t="inlineStr">
        <is>
          <t>day7_chonglangya</t>
        </is>
      </c>
      <c r="G37" s="451" t="inlineStr">
        <is>
          <t>day7_enemy_dragon</t>
        </is>
      </c>
      <c r="H37" s="451" t="inlineStr">
        <is>
          <t>1</t>
        </is>
      </c>
      <c r="I37" s="451" t="inlineStr">
        <is>
          <t>6</t>
        </is>
      </c>
      <c r="J37" s="451" t="inlineStr"/>
      <c r="K37" s="451" t="inlineStr"/>
      <c r="L37" s="451" t="inlineStr">
        <is>
          <t>水</t>
        </is>
      </c>
      <c r="M37" s="451" t="inlineStr">
        <is>
          <t>1</t>
        </is>
      </c>
      <c r="N37" s="451" t="inlineStr"/>
      <c r="O37" s="451" t="inlineStr"/>
      <c r="P37" s="451" t="inlineStr"/>
      <c r="Q37" s="451" t="inlineStr"/>
      <c r="R37" s="451" t="inlineStr">
        <is>
          <t>是</t>
        </is>
      </c>
      <c r="S37" s="451" t="inlineStr">
        <is>
          <t>否</t>
        </is>
      </c>
      <c r="T37" s="451" t="inlineStr"/>
      <c r="U37" s="451" t="inlineStr"/>
      <c r="V37" s="451" t="inlineStr"/>
      <c r="W37" s="451" t="inlineStr"/>
      <c r="X37" s="451" t="inlineStr"/>
      <c r="Y37" s="451" t="inlineStr"/>
      <c r="Z37" s="451" t="inlineStr"/>
      <c r="AA37" s="451" t="inlineStr">
        <is>
          <t>冲浪鸭第1击精灵龙，铺水汽催化</t>
        </is>
      </c>
    </row>
    <row r="38">
      <c r="A38" s="451" t="inlineStr">
        <is>
          <t>act012_duck_hit_dragon_2</t>
        </is>
      </c>
      <c r="B38" s="451" t="inlineStr">
        <is>
          <t>day7_fire_trial_v1</t>
        </is>
      </c>
      <c r="C38" s="451" t="inlineStr">
        <is>
          <t>1</t>
        </is>
      </c>
      <c r="D38" s="451" t="inlineStr">
        <is>
          <t>22</t>
        </is>
      </c>
      <c r="E38" s="451" t="inlineStr">
        <is>
          <t>attack</t>
        </is>
      </c>
      <c r="F38" s="451" t="inlineStr">
        <is>
          <t>day7_chonglangya</t>
        </is>
      </c>
      <c r="G38" s="451" t="inlineStr">
        <is>
          <t>day7_enemy_dragon</t>
        </is>
      </c>
      <c r="H38" s="451" t="inlineStr">
        <is>
          <t>1</t>
        </is>
      </c>
      <c r="I38" s="451" t="inlineStr">
        <is>
          <t>6</t>
        </is>
      </c>
      <c r="J38" s="451" t="inlineStr"/>
      <c r="K38" s="451" t="inlineStr"/>
      <c r="L38" s="451" t="inlineStr">
        <is>
          <t>水</t>
        </is>
      </c>
      <c r="M38" s="451" t="inlineStr">
        <is>
          <t>1</t>
        </is>
      </c>
      <c r="N38" s="451" t="inlineStr"/>
      <c r="O38" s="451" t="inlineStr"/>
      <c r="P38" s="451" t="inlineStr"/>
      <c r="Q38" s="451" t="inlineStr"/>
      <c r="R38" s="451" t="inlineStr">
        <is>
          <t>是</t>
        </is>
      </c>
      <c r="S38" s="451" t="inlineStr">
        <is>
          <t>否</t>
        </is>
      </c>
      <c r="T38" s="451" t="inlineStr"/>
      <c r="U38" s="451" t="inlineStr"/>
      <c r="V38" s="451" t="inlineStr"/>
      <c r="W38" s="451" t="inlineStr"/>
      <c r="X38" s="451" t="inlineStr"/>
      <c r="Y38" s="451" t="inlineStr"/>
      <c r="Z38" s="451" t="inlineStr"/>
      <c r="AA38" s="451" t="inlineStr">
        <is>
          <t>冲浪鸭第2击精灵龙，铺水汽催化</t>
        </is>
      </c>
    </row>
    <row r="39">
      <c r="A39" s="451" t="inlineStr">
        <is>
          <t>act020_move_core</t>
        </is>
      </c>
      <c r="B39" s="451" t="inlineStr">
        <is>
          <t>day7_fire_trial_v1</t>
        </is>
      </c>
      <c r="C39" s="451" t="inlineStr">
        <is>
          <t>1</t>
        </is>
      </c>
      <c r="D39" s="451" t="inlineStr">
        <is>
          <t>30</t>
        </is>
      </c>
      <c r="E39" s="451" t="inlineStr">
        <is>
          <t>move</t>
        </is>
      </c>
      <c r="F39" s="451" t="inlineStr">
        <is>
          <t>day7_rongyan</t>
        </is>
      </c>
      <c r="G39" s="451" t="inlineStr"/>
      <c r="H39" s="451" t="inlineStr"/>
      <c r="I39" s="451" t="inlineStr"/>
      <c r="J39" s="451" t="inlineStr">
        <is>
          <t>2</t>
        </is>
      </c>
      <c r="K39" s="451" t="inlineStr">
        <is>
          <t>6</t>
        </is>
      </c>
      <c r="L39" s="451" t="inlineStr"/>
      <c r="M39" s="451" t="inlineStr"/>
      <c r="N39" s="451" t="inlineStr"/>
      <c r="O39" s="451" t="inlineStr"/>
      <c r="P39" s="451" t="inlineStr"/>
      <c r="Q39" s="451" t="inlineStr"/>
      <c r="R39" s="451" t="inlineStr"/>
      <c r="S39" s="451" t="inlineStr"/>
      <c r="T39" s="451" t="inlineStr"/>
      <c r="U39" s="451" t="inlineStr"/>
      <c r="V39" s="451" t="inlineStr"/>
      <c r="W39" s="451" t="inlineStr"/>
      <c r="X39" s="451" t="inlineStr"/>
      <c r="Y39" s="451" t="inlineStr"/>
      <c r="Z39" s="451" t="inlineStr"/>
      <c r="AA39" s="451" t="inlineStr">
        <is>
          <t>融焰娘进入第2行第6列爆心位</t>
        </is>
      </c>
    </row>
    <row r="40">
      <c r="A40" s="451" t="inlineStr">
        <is>
          <t>act021_core_hit_dragon_1</t>
        </is>
      </c>
      <c r="B40" s="451" t="inlineStr">
        <is>
          <t>day7_fire_trial_v1</t>
        </is>
      </c>
      <c r="C40" s="451" t="inlineStr">
        <is>
          <t>1</t>
        </is>
      </c>
      <c r="D40" s="451" t="inlineStr">
        <is>
          <t>31</t>
        </is>
      </c>
      <c r="E40" s="451" t="inlineStr">
        <is>
          <t>attack</t>
        </is>
      </c>
      <c r="F40" s="451" t="inlineStr">
        <is>
          <t>day7_rongyan</t>
        </is>
      </c>
      <c r="G40" s="451" t="inlineStr">
        <is>
          <t>day7_enemy_dragon</t>
        </is>
      </c>
      <c r="H40" s="451" t="inlineStr">
        <is>
          <t>1</t>
        </is>
      </c>
      <c r="I40" s="451" t="inlineStr">
        <is>
          <t>6</t>
        </is>
      </c>
      <c r="J40" s="451" t="inlineStr"/>
      <c r="K40" s="451" t="inlineStr"/>
      <c r="L40" s="451" t="inlineStr">
        <is>
          <t>火</t>
        </is>
      </c>
      <c r="M40" s="451" t="inlineStr">
        <is>
          <t>2</t>
        </is>
      </c>
      <c r="N40" s="451" t="inlineStr">
        <is>
          <t>1</t>
        </is>
      </c>
      <c r="O40" s="451" t="inlineStr">
        <is>
          <t>7</t>
        </is>
      </c>
      <c r="P40" s="451" t="inlineStr">
        <is>
          <t>火</t>
        </is>
      </c>
      <c r="Q40" s="451" t="inlineStr">
        <is>
          <t>1</t>
        </is>
      </c>
      <c r="R40" s="451" t="inlineStr">
        <is>
          <t>是</t>
        </is>
      </c>
      <c r="S40" s="451" t="inlineStr">
        <is>
          <t>是</t>
        </is>
      </c>
      <c r="T40" s="451" t="inlineStr">
        <is>
          <t>主格</t>
        </is>
      </c>
      <c r="U40" s="451" t="inlineStr"/>
      <c r="V40" s="451" t="inlineStr"/>
      <c r="W40" s="451" t="inlineStr"/>
      <c r="X40" s="451" t="inlineStr"/>
      <c r="Y40" s="451" t="inlineStr"/>
      <c r="Z40" s="451" t="inlineStr"/>
      <c r="AA40" s="451" t="inlineStr">
        <is>
          <t>融焰娘第1击精灵龙，水汽把火层翻倍</t>
        </is>
      </c>
    </row>
    <row r="41">
      <c r="A41" s="451" t="inlineStr">
        <is>
          <t>act022_core_hit_dragon_2</t>
        </is>
      </c>
      <c r="B41" s="451" t="inlineStr">
        <is>
          <t>day7_fire_trial_v1</t>
        </is>
      </c>
      <c r="C41" s="451" t="inlineStr">
        <is>
          <t>1</t>
        </is>
      </c>
      <c r="D41" s="451" t="inlineStr">
        <is>
          <t>32</t>
        </is>
      </c>
      <c r="E41" s="451" t="inlineStr">
        <is>
          <t>attack</t>
        </is>
      </c>
      <c r="F41" s="451" t="inlineStr">
        <is>
          <t>day7_rongyan</t>
        </is>
      </c>
      <c r="G41" s="451" t="inlineStr">
        <is>
          <t>day7_enemy_dragon</t>
        </is>
      </c>
      <c r="H41" s="451" t="inlineStr">
        <is>
          <t>1</t>
        </is>
      </c>
      <c r="I41" s="451" t="inlineStr">
        <is>
          <t>6</t>
        </is>
      </c>
      <c r="J41" s="451" t="inlineStr"/>
      <c r="K41" s="451" t="inlineStr"/>
      <c r="L41" s="451" t="inlineStr">
        <is>
          <t>火</t>
        </is>
      </c>
      <c r="M41" s="451" t="inlineStr">
        <is>
          <t>2</t>
        </is>
      </c>
      <c r="N41" s="451" t="inlineStr">
        <is>
          <t>1</t>
        </is>
      </c>
      <c r="O41" s="451" t="inlineStr">
        <is>
          <t>7</t>
        </is>
      </c>
      <c r="P41" s="451" t="inlineStr">
        <is>
          <t>火</t>
        </is>
      </c>
      <c r="Q41" s="451" t="inlineStr">
        <is>
          <t>1</t>
        </is>
      </c>
      <c r="R41" s="451" t="inlineStr">
        <is>
          <t>是</t>
        </is>
      </c>
      <c r="S41" s="451" t="inlineStr">
        <is>
          <t>是</t>
        </is>
      </c>
      <c r="T41" s="451" t="inlineStr">
        <is>
          <t>主格</t>
        </is>
      </c>
      <c r="U41" s="451" t="inlineStr"/>
      <c r="V41" s="451" t="inlineStr"/>
      <c r="W41" s="451" t="inlineStr"/>
      <c r="X41" s="451" t="inlineStr"/>
      <c r="Y41" s="451" t="inlineStr"/>
      <c r="Z41" s="451" t="inlineStr"/>
      <c r="AA41" s="451" t="inlineStr">
        <is>
          <t>融焰娘第2击精灵龙，水汽把火层翻倍</t>
        </is>
      </c>
    </row>
    <row r="42">
      <c r="A42" s="451" t="inlineStr">
        <is>
          <t>act030_move_wind</t>
        </is>
      </c>
      <c r="B42" s="451" t="inlineStr">
        <is>
          <t>day7_fire_trial_v1</t>
        </is>
      </c>
      <c r="C42" s="451" t="inlineStr">
        <is>
          <t>1</t>
        </is>
      </c>
      <c r="D42" s="451" t="inlineStr">
        <is>
          <t>40</t>
        </is>
      </c>
      <c r="E42" s="451" t="inlineStr">
        <is>
          <t>move</t>
        </is>
      </c>
      <c r="F42" s="451" t="inlineStr">
        <is>
          <t>day7_wind_gather</t>
        </is>
      </c>
      <c r="G42" s="451" t="inlineStr"/>
      <c r="H42" s="451" t="inlineStr"/>
      <c r="I42" s="451" t="inlineStr"/>
      <c r="J42" s="451" t="inlineStr">
        <is>
          <t>3</t>
        </is>
      </c>
      <c r="K42" s="451" t="inlineStr">
        <is>
          <t>7</t>
        </is>
      </c>
      <c r="L42" s="451" t="inlineStr"/>
      <c r="M42" s="451" t="inlineStr"/>
      <c r="N42" s="451" t="inlineStr"/>
      <c r="O42" s="451" t="inlineStr"/>
      <c r="P42" s="451" t="inlineStr"/>
      <c r="Q42" s="451" t="inlineStr"/>
      <c r="R42" s="451" t="inlineStr"/>
      <c r="S42" s="451" t="inlineStr"/>
      <c r="T42" s="451" t="inlineStr"/>
      <c r="U42" s="451" t="inlineStr"/>
      <c r="V42" s="451" t="inlineStr"/>
      <c r="W42" s="451" t="inlineStr"/>
      <c r="X42" s="451" t="inlineStr"/>
      <c r="Y42" s="451" t="inlineStr"/>
      <c r="Z42" s="451" t="inlineStr"/>
      <c r="AA42" s="451" t="inlineStr">
        <is>
          <t>疾风隼站上第3行第7列火陷阱，准备风聚火</t>
        </is>
      </c>
    </row>
    <row r="43">
      <c r="A43" s="451" t="inlineStr">
        <is>
          <t>act031_wind_kill_bee</t>
        </is>
      </c>
      <c r="B43" s="451" t="inlineStr">
        <is>
          <t>day7_fire_trial_v1</t>
        </is>
      </c>
      <c r="C43" s="451" t="inlineStr">
        <is>
          <t>1</t>
        </is>
      </c>
      <c r="D43" s="451" t="inlineStr">
        <is>
          <t>41</t>
        </is>
      </c>
      <c r="E43" s="451" t="inlineStr">
        <is>
          <t>attack</t>
        </is>
      </c>
      <c r="F43" s="451" t="inlineStr">
        <is>
          <t>day7_wind_gather</t>
        </is>
      </c>
      <c r="G43" s="451" t="inlineStr">
        <is>
          <t>day7_enemy_bee</t>
        </is>
      </c>
      <c r="H43" s="451" t="inlineStr">
        <is>
          <t>3</t>
        </is>
      </c>
      <c r="I43" s="451" t="inlineStr">
        <is>
          <t>6</t>
        </is>
      </c>
      <c r="J43" s="451" t="inlineStr"/>
      <c r="K43" s="451" t="inlineStr"/>
      <c r="L43" s="451" t="inlineStr">
        <is>
          <t>风</t>
        </is>
      </c>
      <c r="M43" s="451" t="inlineStr">
        <is>
          <t>1</t>
        </is>
      </c>
      <c r="N43" s="451" t="inlineStr"/>
      <c r="O43" s="451" t="inlineStr"/>
      <c r="P43" s="451" t="inlineStr"/>
      <c r="Q43" s="451" t="inlineStr"/>
      <c r="R43" s="451" t="inlineStr">
        <is>
          <t>是</t>
        </is>
      </c>
      <c r="S43" s="451" t="inlineStr"/>
      <c r="T43" s="451" t="inlineStr"/>
      <c r="U43" s="451" t="inlineStr"/>
      <c r="V43" s="451" t="inlineStr"/>
      <c r="W43" s="451" t="inlineStr"/>
      <c r="X43" s="451" t="inlineStr"/>
      <c r="Y43" s="451" t="inlineStr"/>
      <c r="Z43" s="451" t="inlineStr"/>
      <c r="AA43" s="451" t="inlineStr">
        <is>
          <t>疾风隼第1击补杀骑士蜂</t>
        </is>
      </c>
    </row>
    <row r="44">
      <c r="A44" s="451" t="inlineStr">
        <is>
          <t>act032_wind_gather_chicken_1</t>
        </is>
      </c>
      <c r="B44" s="451" t="inlineStr">
        <is>
          <t>day7_fire_trial_v1</t>
        </is>
      </c>
      <c r="C44" s="451" t="inlineStr">
        <is>
          <t>1</t>
        </is>
      </c>
      <c r="D44" s="451" t="inlineStr">
        <is>
          <t>42</t>
        </is>
      </c>
      <c r="E44" s="451" t="inlineStr">
        <is>
          <t>attack</t>
        </is>
      </c>
      <c r="F44" s="451" t="inlineStr">
        <is>
          <t>day7_wind_gather</t>
        </is>
      </c>
      <c r="G44" s="451" t="inlineStr">
        <is>
          <t>day7_enemy_chicken</t>
        </is>
      </c>
      <c r="H44" s="451" t="inlineStr">
        <is>
          <t>2</t>
        </is>
      </c>
      <c r="I44" s="451" t="inlineStr">
        <is>
          <t>7</t>
        </is>
      </c>
      <c r="J44" s="451" t="inlineStr"/>
      <c r="K44" s="451" t="inlineStr"/>
      <c r="L44" s="451" t="inlineStr">
        <is>
          <t>风</t>
        </is>
      </c>
      <c r="M44" s="451" t="inlineStr">
        <is>
          <t>1</t>
        </is>
      </c>
      <c r="N44" s="451" t="inlineStr"/>
      <c r="O44" s="451" t="inlineStr"/>
      <c r="P44" s="451" t="inlineStr"/>
      <c r="Q44" s="451" t="inlineStr"/>
      <c r="R44" s="451" t="inlineStr">
        <is>
          <t>是</t>
        </is>
      </c>
      <c r="S44" s="451" t="inlineStr"/>
      <c r="T44" s="451" t="inlineStr">
        <is>
          <t>主格</t>
        </is>
      </c>
      <c r="U44" s="451" t="inlineStr">
        <is>
          <t>1</t>
        </is>
      </c>
      <c r="V44" s="451" t="inlineStr">
        <is>
          <t>7</t>
        </is>
      </c>
      <c r="W44" s="451" t="inlineStr">
        <is>
          <t>2</t>
        </is>
      </c>
      <c r="X44" s="451" t="inlineStr">
        <is>
          <t>3</t>
        </is>
      </c>
      <c r="Y44" s="451" t="inlineStr">
        <is>
          <t>7</t>
        </is>
      </c>
      <c r="Z44" s="451" t="inlineStr">
        <is>
          <t>2</t>
        </is>
      </c>
      <c r="AA44" s="451" t="inlineStr">
        <is>
          <t>疾风隼第2击皮皮鸡，并收束第1行第7列、第3行第7列火层</t>
        </is>
      </c>
    </row>
    <row r="45">
      <c r="A45" s="451" t="inlineStr">
        <is>
          <t>act033_wind_gather_chicken_2</t>
        </is>
      </c>
      <c r="B45" s="451" t="inlineStr">
        <is>
          <t>day7_fire_trial_v1</t>
        </is>
      </c>
      <c r="C45" s="451" t="inlineStr">
        <is>
          <t>1</t>
        </is>
      </c>
      <c r="D45" s="451" t="inlineStr">
        <is>
          <t>43</t>
        </is>
      </c>
      <c r="E45" s="451" t="inlineStr">
        <is>
          <t>attack</t>
        </is>
      </c>
      <c r="F45" s="451" t="inlineStr">
        <is>
          <t>day7_wind_gather</t>
        </is>
      </c>
      <c r="G45" s="451" t="inlineStr">
        <is>
          <t>day7_enemy_chicken</t>
        </is>
      </c>
      <c r="H45" s="451" t="inlineStr">
        <is>
          <t>2</t>
        </is>
      </c>
      <c r="I45" s="451" t="inlineStr">
        <is>
          <t>7</t>
        </is>
      </c>
      <c r="J45" s="451" t="inlineStr"/>
      <c r="K45" s="451" t="inlineStr"/>
      <c r="L45" s="451" t="inlineStr">
        <is>
          <t>风</t>
        </is>
      </c>
      <c r="M45" s="451" t="inlineStr">
        <is>
          <t>1</t>
        </is>
      </c>
      <c r="N45" s="451" t="inlineStr"/>
      <c r="O45" s="451" t="inlineStr"/>
      <c r="P45" s="451" t="inlineStr"/>
      <c r="Q45" s="451" t="inlineStr"/>
      <c r="R45" s="451" t="inlineStr">
        <is>
          <t>是</t>
        </is>
      </c>
      <c r="S45" s="451" t="inlineStr"/>
      <c r="T45" s="451" t="inlineStr">
        <is>
          <t>主格</t>
        </is>
      </c>
      <c r="U45" s="451" t="inlineStr">
        <is>
          <t>3</t>
        </is>
      </c>
      <c r="V45" s="451" t="inlineStr">
        <is>
          <t>7</t>
        </is>
      </c>
      <c r="W45" s="451" t="inlineStr">
        <is>
          <t>1</t>
        </is>
      </c>
      <c r="X45" s="451" t="inlineStr"/>
      <c r="Y45" s="451" t="inlineStr"/>
      <c r="Z45" s="451" t="inlineStr"/>
      <c r="AA45" s="451" t="inlineStr">
        <is>
          <t>疾风隼第3击继续压皮皮鸡护盾</t>
        </is>
      </c>
    </row>
    <row r="46">
      <c r="A46" s="451" t="inlineStr">
        <is>
          <t>act040_duck_seed_next</t>
        </is>
      </c>
      <c r="B46" s="451" t="inlineStr">
        <is>
          <t>day7_fire_trial_v1</t>
        </is>
      </c>
      <c r="C46" s="451" t="inlineStr">
        <is>
          <t>1</t>
        </is>
      </c>
      <c r="D46" s="451" t="inlineStr">
        <is>
          <t>50</t>
        </is>
      </c>
      <c r="E46" s="451" t="inlineStr">
        <is>
          <t>add_element</t>
        </is>
      </c>
      <c r="F46" s="451" t="inlineStr">
        <is>
          <t>day7_chonglangya</t>
        </is>
      </c>
      <c r="G46" s="451" t="inlineStr"/>
      <c r="H46" s="451" t="inlineStr">
        <is>
          <t>4</t>
        </is>
      </c>
      <c r="I46" s="451" t="inlineStr">
        <is>
          <t>6</t>
        </is>
      </c>
      <c r="J46" s="451" t="inlineStr"/>
      <c r="K46" s="451" t="inlineStr"/>
      <c r="L46" s="451" t="inlineStr">
        <is>
          <t>水</t>
        </is>
      </c>
      <c r="M46" s="451" t="inlineStr">
        <is>
          <t>1</t>
        </is>
      </c>
      <c r="N46" s="451" t="inlineStr"/>
      <c r="O46" s="451" t="inlineStr"/>
      <c r="P46" s="451" t="inlineStr"/>
      <c r="Q46" s="451" t="inlineStr"/>
      <c r="R46" s="451" t="inlineStr"/>
      <c r="S46" s="451" t="inlineStr"/>
      <c r="T46" s="451" t="inlineStr"/>
      <c r="U46" s="451" t="inlineStr"/>
      <c r="V46" s="451" t="inlineStr"/>
      <c r="W46" s="451" t="inlineStr"/>
      <c r="X46" s="451" t="inlineStr"/>
      <c r="Y46" s="451" t="inlineStr"/>
      <c r="Z46" s="451" t="inlineStr"/>
      <c r="AA46" s="451" t="inlineStr">
        <is>
          <t>冲浪鸭第3击向第4行第6列铺水汽催化</t>
        </is>
      </c>
    </row>
    <row r="47">
      <c r="A47" s="451" t="inlineStr">
        <is>
          <t>act050_chicken_shield_regen</t>
        </is>
      </c>
      <c r="B47" s="451" t="inlineStr">
        <is>
          <t>day7_fire_trial_v1</t>
        </is>
      </c>
      <c r="C47" s="451" t="inlineStr">
        <is>
          <t>1</t>
        </is>
      </c>
      <c r="D47" s="451" t="inlineStr">
        <is>
          <t>60</t>
        </is>
      </c>
      <c r="E47" s="451" t="inlineStr">
        <is>
          <t>restore_shield</t>
        </is>
      </c>
      <c r="F47" s="451" t="inlineStr">
        <is>
          <t>day7_enemy_chicken</t>
        </is>
      </c>
      <c r="G47" s="451" t="inlineStr"/>
      <c r="H47" s="451" t="inlineStr"/>
      <c r="I47" s="451" t="inlineStr"/>
      <c r="J47" s="451" t="inlineStr"/>
      <c r="K47" s="451" t="inlineStr"/>
      <c r="L47" s="451" t="inlineStr"/>
      <c r="M47" s="451" t="inlineStr"/>
      <c r="N47" s="451" t="inlineStr"/>
      <c r="O47" s="451" t="inlineStr"/>
      <c r="P47" s="451" t="inlineStr"/>
      <c r="Q47" s="451" t="inlineStr"/>
      <c r="R47" s="451" t="inlineStr"/>
      <c r="S47" s="451" t="inlineStr"/>
      <c r="T47" s="451" t="inlineStr"/>
      <c r="U47" s="451" t="inlineStr"/>
      <c r="V47" s="451" t="inlineStr"/>
      <c r="W47" s="451" t="inlineStr"/>
      <c r="X47" s="451" t="inlineStr"/>
      <c r="Y47" s="451" t="inlineStr"/>
      <c r="Z47" s="451" t="inlineStr"/>
      <c r="AA47" s="451" t="inlineStr">
        <is>
          <t>皮皮鸡回合末护盾重生</t>
        </is>
      </c>
    </row>
    <row r="48">
      <c r="A48" s="451" t="inlineStr">
        <is>
          <t>act060_sheep_move</t>
        </is>
      </c>
      <c r="B48" s="451" t="inlineStr">
        <is>
          <t>day7_fire_trial_v1</t>
        </is>
      </c>
      <c r="C48" s="451" t="inlineStr">
        <is>
          <t>1</t>
        </is>
      </c>
      <c r="D48" s="451" t="inlineStr">
        <is>
          <t>70</t>
        </is>
      </c>
      <c r="E48" s="451" t="inlineStr">
        <is>
          <t>move</t>
        </is>
      </c>
      <c r="F48" s="451" t="inlineStr">
        <is>
          <t>day7_enemy_sheep</t>
        </is>
      </c>
      <c r="G48" s="451" t="inlineStr"/>
      <c r="H48" s="451" t="inlineStr"/>
      <c r="I48" s="451" t="inlineStr"/>
      <c r="J48" s="451" t="inlineStr">
        <is>
          <t>4</t>
        </is>
      </c>
      <c r="K48" s="451" t="inlineStr">
        <is>
          <t>4</t>
        </is>
      </c>
      <c r="L48" s="451" t="inlineStr"/>
      <c r="M48" s="451" t="inlineStr"/>
      <c r="N48" s="451" t="inlineStr"/>
      <c r="O48" s="451" t="inlineStr"/>
      <c r="P48" s="451" t="inlineStr"/>
      <c r="Q48" s="451" t="inlineStr"/>
      <c r="R48" s="451" t="inlineStr"/>
      <c r="S48" s="451" t="inlineStr"/>
      <c r="T48" s="451" t="inlineStr"/>
      <c r="U48" s="451" t="inlineStr"/>
      <c r="V48" s="451" t="inlineStr"/>
      <c r="W48" s="451" t="inlineStr"/>
      <c r="X48" s="451" t="inlineStr"/>
      <c r="Y48" s="451" t="inlineStr"/>
      <c r="Z48" s="451" t="inlineStr"/>
      <c r="AA48" s="451" t="inlineStr">
        <is>
          <t>棉悠悠黄金复制体移动到第4行第4列</t>
        </is>
      </c>
    </row>
    <row r="49">
      <c r="A49" s="451" t="inlineStr">
        <is>
          <t>act201_move_core_chicken</t>
        </is>
      </c>
      <c r="B49" s="451" t="inlineStr">
        <is>
          <t>day7_fire_trial_v1</t>
        </is>
      </c>
      <c r="C49" s="451" t="inlineStr">
        <is>
          <t>2</t>
        </is>
      </c>
      <c r="D49" s="451" t="inlineStr">
        <is>
          <t>10</t>
        </is>
      </c>
      <c r="E49" s="451" t="inlineStr">
        <is>
          <t>move</t>
        </is>
      </c>
      <c r="F49" s="451" t="inlineStr">
        <is>
          <t>day7_rongyan</t>
        </is>
      </c>
      <c r="G49" s="451" t="inlineStr"/>
      <c r="H49" s="451" t="inlineStr"/>
      <c r="I49" s="451" t="inlineStr"/>
      <c r="J49" s="451" t="inlineStr">
        <is>
          <t>2</t>
        </is>
      </c>
      <c r="K49" s="451" t="inlineStr">
        <is>
          <t>6</t>
        </is>
      </c>
      <c r="L49" s="451" t="inlineStr"/>
      <c r="M49" s="451" t="inlineStr"/>
      <c r="N49" s="451" t="inlineStr"/>
      <c r="O49" s="451" t="inlineStr"/>
      <c r="P49" s="451" t="inlineStr"/>
      <c r="Q49" s="451" t="inlineStr"/>
      <c r="R49" s="451" t="inlineStr"/>
      <c r="S49" s="451" t="inlineStr"/>
      <c r="T49" s="451" t="inlineStr"/>
      <c r="U49" s="451" t="inlineStr"/>
      <c r="V49" s="451" t="inlineStr"/>
      <c r="W49" s="451" t="inlineStr"/>
      <c r="X49" s="451" t="inlineStr"/>
      <c r="Y49" s="451" t="inlineStr"/>
      <c r="Z49" s="451" t="inlineStr"/>
      <c r="AA49" s="451" t="inlineStr">
        <is>
          <t>融焰娘移动到第2行第6列，处理皮皮鸡护盾题</t>
        </is>
      </c>
    </row>
    <row r="50">
      <c r="A50" s="451" t="inlineStr">
        <is>
          <t>act202_core_chicken_fire1</t>
        </is>
      </c>
      <c r="B50" s="451" t="inlineStr">
        <is>
          <t>day7_fire_trial_v1</t>
        </is>
      </c>
      <c r="C50" s="451" t="inlineStr">
        <is>
          <t>2</t>
        </is>
      </c>
      <c r="D50" s="451" t="inlineStr">
        <is>
          <t>11</t>
        </is>
      </c>
      <c r="E50" s="451" t="inlineStr">
        <is>
          <t>attack</t>
        </is>
      </c>
      <c r="F50" s="451" t="inlineStr">
        <is>
          <t>day7_rongyan</t>
        </is>
      </c>
      <c r="G50" s="451" t="inlineStr">
        <is>
          <t>day7_enemy_chicken</t>
        </is>
      </c>
      <c r="H50" s="451" t="inlineStr">
        <is>
          <t>2</t>
        </is>
      </c>
      <c r="I50" s="451" t="inlineStr">
        <is>
          <t>7</t>
        </is>
      </c>
      <c r="J50" s="451" t="inlineStr"/>
      <c r="K50" s="451" t="inlineStr"/>
      <c r="L50" s="451" t="inlineStr">
        <is>
          <t>火</t>
        </is>
      </c>
      <c r="M50" s="451" t="inlineStr">
        <is>
          <t>5</t>
        </is>
      </c>
      <c r="N50" s="451" t="inlineStr"/>
      <c r="O50" s="451" t="inlineStr"/>
      <c r="P50" s="451" t="inlineStr"/>
      <c r="Q50" s="451" t="inlineStr"/>
      <c r="R50" s="451" t="inlineStr">
        <is>
          <t>是</t>
        </is>
      </c>
      <c r="S50" s="451" t="inlineStr"/>
      <c r="T50" s="451" t="inlineStr">
        <is>
          <t>主格</t>
        </is>
      </c>
      <c r="U50" s="451" t="inlineStr"/>
      <c r="V50" s="451" t="inlineStr"/>
      <c r="W50" s="451" t="inlineStr"/>
      <c r="X50" s="451" t="inlineStr"/>
      <c r="Y50" s="451" t="inlineStr"/>
      <c r="Z50" s="451" t="inlineStr"/>
      <c r="AA50" s="451" t="inlineStr">
        <is>
          <t>融焰娘第1击皮皮鸡，火5爆破盾</t>
        </is>
      </c>
    </row>
    <row r="51">
      <c r="A51" s="451" t="inlineStr">
        <is>
          <t>act203_core_chicken_fire2</t>
        </is>
      </c>
      <c r="B51" s="451" t="inlineStr">
        <is>
          <t>day7_fire_trial_v1</t>
        </is>
      </c>
      <c r="C51" s="451" t="inlineStr">
        <is>
          <t>2</t>
        </is>
      </c>
      <c r="D51" s="451" t="inlineStr">
        <is>
          <t>12</t>
        </is>
      </c>
      <c r="E51" s="451" t="inlineStr">
        <is>
          <t>attack</t>
        </is>
      </c>
      <c r="F51" s="451" t="inlineStr">
        <is>
          <t>day7_rongyan</t>
        </is>
      </c>
      <c r="G51" s="451" t="inlineStr">
        <is>
          <t>day7_enemy_chicken</t>
        </is>
      </c>
      <c r="H51" s="451" t="inlineStr">
        <is>
          <t>2</t>
        </is>
      </c>
      <c r="I51" s="451" t="inlineStr">
        <is>
          <t>7</t>
        </is>
      </c>
      <c r="J51" s="451" t="inlineStr"/>
      <c r="K51" s="451" t="inlineStr"/>
      <c r="L51" s="451" t="inlineStr">
        <is>
          <t>火</t>
        </is>
      </c>
      <c r="M51" s="451" t="inlineStr">
        <is>
          <t>5</t>
        </is>
      </c>
      <c r="N51" s="451" t="inlineStr"/>
      <c r="O51" s="451" t="inlineStr"/>
      <c r="P51" s="451" t="inlineStr"/>
      <c r="Q51" s="451" t="inlineStr"/>
      <c r="R51" s="451" t="inlineStr">
        <is>
          <t>是</t>
        </is>
      </c>
      <c r="S51" s="451" t="inlineStr"/>
      <c r="T51" s="451" t="inlineStr">
        <is>
          <t>主格</t>
        </is>
      </c>
      <c r="U51" s="451" t="inlineStr"/>
      <c r="V51" s="451" t="inlineStr"/>
      <c r="W51" s="451" t="inlineStr"/>
      <c r="X51" s="451" t="inlineStr"/>
      <c r="Y51" s="451" t="inlineStr"/>
      <c r="Z51" s="451" t="inlineStr"/>
      <c r="AA51" s="451" t="inlineStr">
        <is>
          <t>融焰娘第2击皮皮鸡，继续火5爆</t>
        </is>
      </c>
    </row>
    <row r="52">
      <c r="A52" s="451" t="inlineStr">
        <is>
          <t>act204_fox_chicken_finish</t>
        </is>
      </c>
      <c r="B52" s="451" t="inlineStr">
        <is>
          <t>day7_fire_trial_v1</t>
        </is>
      </c>
      <c r="C52" s="451" t="inlineStr">
        <is>
          <t>2</t>
        </is>
      </c>
      <c r="D52" s="451" t="inlineStr">
        <is>
          <t>13</t>
        </is>
      </c>
      <c r="E52" s="451" t="inlineStr">
        <is>
          <t>attack</t>
        </is>
      </c>
      <c r="F52" s="451" t="inlineStr">
        <is>
          <t>day7_huoronghu</t>
        </is>
      </c>
      <c r="G52" s="451" t="inlineStr">
        <is>
          <t>day7_enemy_chicken</t>
        </is>
      </c>
      <c r="H52" s="451" t="inlineStr">
        <is>
          <t>2</t>
        </is>
      </c>
      <c r="I52" s="451" t="inlineStr">
        <is>
          <t>7</t>
        </is>
      </c>
      <c r="J52" s="451" t="inlineStr"/>
      <c r="K52" s="451" t="inlineStr"/>
      <c r="L52" s="451" t="inlineStr">
        <is>
          <t>火</t>
        </is>
      </c>
      <c r="M52" s="451" t="inlineStr">
        <is>
          <t>3</t>
        </is>
      </c>
      <c r="N52" s="451" t="inlineStr"/>
      <c r="O52" s="451" t="inlineStr"/>
      <c r="P52" s="451" t="inlineStr"/>
      <c r="Q52" s="451" t="inlineStr"/>
      <c r="R52" s="451" t="inlineStr">
        <is>
          <t>是</t>
        </is>
      </c>
      <c r="S52" s="451" t="inlineStr"/>
      <c r="T52" s="451" t="inlineStr">
        <is>
          <t>主格</t>
        </is>
      </c>
      <c r="U52" s="451" t="inlineStr"/>
      <c r="V52" s="451" t="inlineStr"/>
      <c r="W52" s="451" t="inlineStr"/>
      <c r="X52" s="451" t="inlineStr"/>
      <c r="Y52" s="451" t="inlineStr"/>
      <c r="Z52" s="451" t="inlineStr"/>
      <c r="AA52" s="451" t="inlineStr">
        <is>
          <t>火绒狐补火3，击杀皮皮鸡</t>
        </is>
      </c>
    </row>
    <row r="53">
      <c r="A53" s="451" t="inlineStr">
        <is>
          <t>act210_move_core_sheep</t>
        </is>
      </c>
      <c r="B53" s="451" t="inlineStr">
        <is>
          <t>day7_fire_trial_v1</t>
        </is>
      </c>
      <c r="C53" s="451" t="inlineStr">
        <is>
          <t>2</t>
        </is>
      </c>
      <c r="D53" s="451" t="inlineStr">
        <is>
          <t>20</t>
        </is>
      </c>
      <c r="E53" s="451" t="inlineStr">
        <is>
          <t>move</t>
        </is>
      </c>
      <c r="F53" s="451" t="inlineStr">
        <is>
          <t>day7_rongyan</t>
        </is>
      </c>
      <c r="G53" s="451" t="inlineStr"/>
      <c r="H53" s="451" t="inlineStr"/>
      <c r="I53" s="451" t="inlineStr"/>
      <c r="J53" s="451" t="inlineStr">
        <is>
          <t>4</t>
        </is>
      </c>
      <c r="K53" s="451" t="inlineStr">
        <is>
          <t>3</t>
        </is>
      </c>
      <c r="L53" s="451" t="inlineStr"/>
      <c r="M53" s="451" t="inlineStr"/>
      <c r="N53" s="451" t="inlineStr"/>
      <c r="O53" s="451" t="inlineStr"/>
      <c r="P53" s="451" t="inlineStr"/>
      <c r="Q53" s="451" t="inlineStr"/>
      <c r="R53" s="451" t="inlineStr"/>
      <c r="S53" s="451" t="inlineStr"/>
      <c r="T53" s="451" t="inlineStr"/>
      <c r="U53" s="451" t="inlineStr"/>
      <c r="V53" s="451" t="inlineStr"/>
      <c r="W53" s="451" t="inlineStr"/>
      <c r="X53" s="451" t="inlineStr"/>
      <c r="Y53" s="451" t="inlineStr"/>
      <c r="Z53" s="451" t="inlineStr"/>
      <c r="AA53" s="451" t="inlineStr">
        <is>
          <t>融焰娘移动到第4行第3列，处理棉悠悠站场题</t>
        </is>
      </c>
    </row>
    <row r="54">
      <c r="A54" s="451" t="inlineStr">
        <is>
          <t>act211_core_sheep_fire</t>
        </is>
      </c>
      <c r="B54" s="451" t="inlineStr">
        <is>
          <t>day7_fire_trial_v1</t>
        </is>
      </c>
      <c r="C54" s="451" t="inlineStr">
        <is>
          <t>2</t>
        </is>
      </c>
      <c r="D54" s="451" t="inlineStr">
        <is>
          <t>21</t>
        </is>
      </c>
      <c r="E54" s="451" t="inlineStr">
        <is>
          <t>attack</t>
        </is>
      </c>
      <c r="F54" s="451" t="inlineStr">
        <is>
          <t>day7_rongyan</t>
        </is>
      </c>
      <c r="G54" s="451" t="inlineStr">
        <is>
          <t>day7_enemy_sheep</t>
        </is>
      </c>
      <c r="H54" s="451" t="inlineStr">
        <is>
          <t>4</t>
        </is>
      </c>
      <c r="I54" s="451" t="inlineStr">
        <is>
          <t>4</t>
        </is>
      </c>
      <c r="J54" s="451" t="inlineStr"/>
      <c r="K54" s="451" t="inlineStr"/>
      <c r="L54" s="451" t="inlineStr">
        <is>
          <t>火</t>
        </is>
      </c>
      <c r="M54" s="451" t="inlineStr">
        <is>
          <t>8</t>
        </is>
      </c>
      <c r="N54" s="451" t="inlineStr"/>
      <c r="O54" s="451" t="inlineStr"/>
      <c r="P54" s="451" t="inlineStr"/>
      <c r="Q54" s="451" t="inlineStr"/>
      <c r="R54" s="451" t="inlineStr">
        <is>
          <t>是</t>
        </is>
      </c>
      <c r="S54" s="451" t="inlineStr"/>
      <c r="T54" s="451" t="inlineStr">
        <is>
          <t>主格</t>
        </is>
      </c>
      <c r="U54" s="451" t="inlineStr"/>
      <c r="V54" s="451" t="inlineStr"/>
      <c r="W54" s="451" t="inlineStr"/>
      <c r="X54" s="451" t="inlineStr"/>
      <c r="Y54" s="451" t="inlineStr"/>
      <c r="Z54" s="451" t="inlineStr"/>
      <c r="AA54" s="451" t="inlineStr">
        <is>
          <t>融焰娘给棉悠悠火8爆，造成高层火伤</t>
        </is>
      </c>
    </row>
    <row r="55">
      <c r="A55" s="451" t="inlineStr">
        <is>
          <t>act212_fox_sheep_finish</t>
        </is>
      </c>
      <c r="B55" s="451" t="inlineStr">
        <is>
          <t>day7_fire_trial_v1</t>
        </is>
      </c>
      <c r="C55" s="451" t="inlineStr">
        <is>
          <t>2</t>
        </is>
      </c>
      <c r="D55" s="451" t="inlineStr">
        <is>
          <t>22</t>
        </is>
      </c>
      <c r="E55" s="451" t="inlineStr">
        <is>
          <t>attack</t>
        </is>
      </c>
      <c r="F55" s="451" t="inlineStr">
        <is>
          <t>day7_huoronghu</t>
        </is>
      </c>
      <c r="G55" s="451" t="inlineStr">
        <is>
          <t>day7_enemy_sheep</t>
        </is>
      </c>
      <c r="H55" s="451" t="inlineStr">
        <is>
          <t>4</t>
        </is>
      </c>
      <c r="I55" s="451" t="inlineStr">
        <is>
          <t>4</t>
        </is>
      </c>
      <c r="J55" s="451" t="inlineStr"/>
      <c r="K55" s="451" t="inlineStr"/>
      <c r="L55" s="451" t="inlineStr">
        <is>
          <t>火</t>
        </is>
      </c>
      <c r="M55" s="451" t="inlineStr">
        <is>
          <t>4</t>
        </is>
      </c>
      <c r="N55" s="451" t="inlineStr"/>
      <c r="O55" s="451" t="inlineStr"/>
      <c r="P55" s="451" t="inlineStr"/>
      <c r="Q55" s="451" t="inlineStr"/>
      <c r="R55" s="451" t="inlineStr">
        <is>
          <t>是</t>
        </is>
      </c>
      <c r="S55" s="451" t="inlineStr"/>
      <c r="T55" s="451" t="inlineStr">
        <is>
          <t>主格</t>
        </is>
      </c>
      <c r="U55" s="451" t="inlineStr"/>
      <c r="V55" s="451" t="inlineStr"/>
      <c r="W55" s="451" t="inlineStr"/>
      <c r="X55" s="451" t="inlineStr"/>
      <c r="Y55" s="451" t="inlineStr"/>
      <c r="Z55" s="451" t="inlineStr"/>
      <c r="AA55" s="451" t="inlineStr">
        <is>
          <t>火绒狐补火4，击杀棉悠悠</t>
        </is>
      </c>
    </row>
    <row r="56">
      <c r="A56" s="451" t="n"/>
      <c r="B56" s="451" t="n"/>
      <c r="C56" s="451" t="n"/>
      <c r="D56" s="451" t="n"/>
      <c r="E56" s="451" t="n"/>
      <c r="F56" s="451" t="n"/>
      <c r="G56" s="451" t="n"/>
      <c r="H56" s="451" t="n"/>
      <c r="I56" s="451" t="n"/>
      <c r="J56" s="451" t="n"/>
      <c r="K56" s="451" t="n"/>
      <c r="L56" s="451" t="n"/>
      <c r="M56" s="451" t="n"/>
      <c r="N56" s="451" t="n"/>
      <c r="O56" s="451" t="n"/>
      <c r="P56" s="451" t="n"/>
      <c r="Q56" s="451" t="n"/>
      <c r="R56" s="451" t="n"/>
      <c r="S56" s="451" t="n"/>
      <c r="T56" s="451" t="n"/>
      <c r="U56" s="451" t="n"/>
      <c r="V56" s="451" t="n"/>
      <c r="W56" s="451" t="n"/>
      <c r="X56" s="451" t="n"/>
      <c r="Y56" s="451" t="n"/>
      <c r="Z56" s="451" t="n"/>
      <c r="AA56" s="451" t="n"/>
    </row>
    <row r="57">
      <c r="A57" s="6" t="inlineStr">
        <is>
          <t>#csv</t>
        </is>
      </c>
      <c r="B57" s="6" t="inlineStr">
        <is>
          <t>17_trial_victory_rules.csv</t>
        </is>
      </c>
      <c r="C57" s="6" t="inlineStr">
        <is>
          <t>试炼胜负规则。</t>
        </is>
      </c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  <c r="Q57" s="6" t="n"/>
      <c r="R57" s="6" t="n"/>
      <c r="S57" s="6" t="n"/>
      <c r="T57" s="6" t="n"/>
      <c r="U57" s="6" t="n"/>
      <c r="V57" s="6" t="n"/>
      <c r="W57" s="6" t="n"/>
      <c r="X57" s="6" t="n"/>
      <c r="Y57" s="6" t="n"/>
      <c r="Z57" s="6" t="n"/>
      <c r="AA57" s="6" t="n"/>
    </row>
    <row r="58">
      <c r="A58" s="5" t="inlineStr">
        <is>
          <t>规则ID</t>
        </is>
      </c>
      <c r="B58" s="5" t="inlineStr">
        <is>
          <t>配置ID</t>
        </is>
      </c>
      <c r="C58" s="5" t="inlineStr">
        <is>
          <t>触发</t>
        </is>
      </c>
      <c r="D58" s="5" t="inlineStr">
        <is>
          <t>条件</t>
        </is>
      </c>
      <c r="E58" s="5" t="inlineStr">
        <is>
          <t>结果</t>
        </is>
      </c>
      <c r="F58" s="5" t="inlineStr">
        <is>
          <t>优先级</t>
        </is>
      </c>
      <c r="G58" s="5" t="inlineStr">
        <is>
          <t>说明</t>
        </is>
      </c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  <c r="AA58" s="5" t="n"/>
    </row>
    <row r="59">
      <c r="A59" s="451" t="inlineStr">
        <is>
          <t>turn1_pass</t>
        </is>
      </c>
      <c r="B59" s="451" t="inlineStr">
        <is>
          <t>day7_fire_trial_v1</t>
        </is>
      </c>
      <c r="C59" s="451" t="inlineStr">
        <is>
          <t>round_end</t>
        </is>
      </c>
      <c r="D59" s="451" t="inlineStr">
        <is>
          <t>round=1 and killed_count&gt;=2 and killed includes day7_enemy_bee,day7_enemy_dragon</t>
        </is>
      </c>
      <c r="E59" s="451" t="inlineStr">
        <is>
          <t>turn1_pass</t>
        </is>
      </c>
      <c r="F59" s="451" t="inlineStr">
        <is>
          <t>100</t>
        </is>
      </c>
      <c r="G59" s="451" t="inlineStr">
        <is>
          <t>第1回合击杀骑士蜂+精灵龙达标</t>
        </is>
      </c>
      <c r="H59" s="451" t="n"/>
      <c r="I59" s="451" t="n"/>
      <c r="J59" s="451" t="n"/>
      <c r="K59" s="451" t="n"/>
      <c r="L59" s="451" t="n"/>
      <c r="M59" s="451" t="n"/>
      <c r="N59" s="451" t="n"/>
      <c r="O59" s="451" t="n"/>
      <c r="P59" s="451" t="n"/>
      <c r="Q59" s="451" t="n"/>
      <c r="R59" s="451" t="n"/>
      <c r="S59" s="451" t="n"/>
      <c r="T59" s="451" t="n"/>
      <c r="U59" s="451" t="n"/>
      <c r="V59" s="451" t="n"/>
      <c r="W59" s="451" t="n"/>
      <c r="X59" s="451" t="n"/>
      <c r="Y59" s="451" t="n"/>
      <c r="Z59" s="451" t="n"/>
      <c r="AA59" s="451" t="n"/>
    </row>
    <row r="60">
      <c r="A60" s="451" t="inlineStr">
        <is>
          <t>direct_win</t>
        </is>
      </c>
      <c r="B60" s="451" t="inlineStr">
        <is>
          <t>day7_fire_trial_v1</t>
        </is>
      </c>
      <c r="C60" s="451" t="inlineStr">
        <is>
          <t>unit_dead</t>
        </is>
      </c>
      <c r="D60" s="451" t="inlineStr">
        <is>
          <t>unit_id=day7_beast_examiner</t>
        </is>
      </c>
      <c r="E60" s="451" t="inlineStr">
        <is>
          <t>direct_win</t>
        </is>
      </c>
      <c r="F60" s="451" t="inlineStr">
        <is>
          <t>200</t>
        </is>
      </c>
      <c r="G60" s="451" t="inlineStr">
        <is>
          <t>10回合内击杀兽群统领直接胜利</t>
        </is>
      </c>
      <c r="H60" s="451" t="n"/>
      <c r="I60" s="451" t="n"/>
      <c r="J60" s="451" t="n"/>
      <c r="K60" s="451" t="n"/>
      <c r="L60" s="451" t="n"/>
      <c r="M60" s="451" t="n"/>
      <c r="N60" s="451" t="n"/>
      <c r="O60" s="451" t="n"/>
      <c r="P60" s="451" t="n"/>
      <c r="Q60" s="451" t="n"/>
      <c r="R60" s="451" t="n"/>
      <c r="S60" s="451" t="n"/>
      <c r="T60" s="451" t="n"/>
      <c r="U60" s="451" t="n"/>
      <c r="V60" s="451" t="n"/>
      <c r="W60" s="451" t="n"/>
      <c r="X60" s="451" t="n"/>
      <c r="Y60" s="451" t="n"/>
      <c r="Z60" s="451" t="n"/>
      <c r="AA60" s="451" t="n"/>
    </row>
    <row r="61">
      <c r="A61" s="451" t="inlineStr">
        <is>
          <t>trial_pass</t>
        </is>
      </c>
      <c r="B61" s="451" t="inlineStr">
        <is>
          <t>day7_fire_trial_v1</t>
        </is>
      </c>
      <c r="C61" s="451" t="inlineStr">
        <is>
          <t>round_end</t>
        </is>
      </c>
      <c r="D61" s="451" t="inlineStr">
        <is>
          <t>all_clones_dead and round&lt;=10</t>
        </is>
      </c>
      <c r="E61" s="451" t="inlineStr">
        <is>
          <t>trial_pass</t>
        </is>
      </c>
      <c r="F61" s="451" t="inlineStr">
        <is>
          <t>150</t>
        </is>
      </c>
      <c r="G61" s="451" t="inlineStr">
        <is>
          <t>10回合内清掉复制体，统领撤退</t>
        </is>
      </c>
      <c r="H61" s="451" t="n"/>
      <c r="I61" s="451" t="n"/>
      <c r="J61" s="451" t="n"/>
      <c r="K61" s="451" t="n"/>
      <c r="L61" s="451" t="n"/>
      <c r="M61" s="451" t="n"/>
      <c r="N61" s="451" t="n"/>
      <c r="O61" s="451" t="n"/>
      <c r="P61" s="451" t="n"/>
      <c r="Q61" s="451" t="n"/>
      <c r="R61" s="451" t="n"/>
      <c r="S61" s="451" t="n"/>
      <c r="T61" s="451" t="n"/>
      <c r="U61" s="451" t="n"/>
      <c r="V61" s="451" t="n"/>
      <c r="W61" s="451" t="n"/>
      <c r="X61" s="451" t="n"/>
      <c r="Y61" s="451" t="n"/>
      <c r="Z61" s="451" t="n"/>
      <c r="AA61" s="451" t="n"/>
    </row>
    <row r="62">
      <c r="A62" s="451" t="inlineStr">
        <is>
          <t>trial_fail</t>
        </is>
      </c>
      <c r="B62" s="451" t="inlineStr">
        <is>
          <t>day7_fire_trial_v1</t>
        </is>
      </c>
      <c r="C62" s="451" t="inlineStr">
        <is>
          <t>round_end</t>
        </is>
      </c>
      <c r="D62" s="451" t="inlineStr">
        <is>
          <t>round&gt;10 and clones_alive</t>
        </is>
      </c>
      <c r="E62" s="451" t="inlineStr">
        <is>
          <t>trial_fail</t>
        </is>
      </c>
      <c r="F62" s="451" t="inlineStr">
        <is>
          <t>10</t>
        </is>
      </c>
      <c r="G62" s="451" t="inlineStr">
        <is>
          <t>10回合后仍有复制体则失败</t>
        </is>
      </c>
      <c r="H62" s="451" t="n"/>
      <c r="I62" s="451" t="n"/>
      <c r="J62" s="451" t="n"/>
      <c r="K62" s="451" t="n"/>
      <c r="L62" s="451" t="n"/>
      <c r="M62" s="451" t="n"/>
      <c r="N62" s="451" t="n"/>
      <c r="O62" s="451" t="n"/>
      <c r="P62" s="451" t="n"/>
      <c r="Q62" s="451" t="n"/>
      <c r="R62" s="451" t="n"/>
      <c r="S62" s="451" t="n"/>
      <c r="T62" s="451" t="n"/>
      <c r="U62" s="451" t="n"/>
      <c r="V62" s="451" t="n"/>
      <c r="W62" s="451" t="n"/>
      <c r="X62" s="451" t="n"/>
      <c r="Y62" s="451" t="n"/>
      <c r="Z62" s="451" t="n"/>
      <c r="AA62" s="451" t="n"/>
    </row>
    <row r="64">
      <c r="A64" s="277" t="inlineStr">
        <is>
          <t>#csv</t>
        </is>
      </c>
      <c r="B64" s="277" t="inlineStr">
        <is>
          <t>36_skill_catalog.csv</t>
        </is>
      </c>
      <c r="C64" s="277" t="inlineStr">
        <is>
          <t>8 技能 Type Object；每个技能按 effects_json 顺序执行物理伤害与 1 层元素。</t>
        </is>
      </c>
      <c r="D64" s="277" t="n"/>
      <c r="E64" s="277" t="n"/>
      <c r="F64" s="277" t="n"/>
      <c r="G64" s="277" t="n"/>
      <c r="H64" s="277" t="n"/>
    </row>
    <row r="65">
      <c r="A65" s="280" t="inlineStr">
        <is>
          <t>skill_id</t>
        </is>
      </c>
      <c r="B65" s="280" t="inlineStr">
        <is>
          <t>name</t>
        </is>
      </c>
      <c r="C65" s="280" t="inlineStr">
        <is>
          <t>effects_json</t>
        </is>
      </c>
      <c r="D65" s="280" t="inlineStr">
        <is>
          <t>shape_slot</t>
        </is>
      </c>
      <c r="E65" s="280" t="inlineStr">
        <is>
          <t>element_source</t>
        </is>
      </c>
      <c r="F65" s="280" t="inlineStr">
        <is>
          <t>enabled</t>
        </is>
      </c>
      <c r="G65" s="280" t="inlineStr">
        <is>
          <t>note</t>
        </is>
      </c>
      <c r="H65" s="280" t="inlineStr">
        <is>
          <t>tags</t>
        </is>
      </c>
    </row>
    <row r="66">
      <c r="A66" s="451" t="inlineStr">
        <is>
          <t>skill_vanguard</t>
        </is>
      </c>
      <c r="B66" s="451" t="inlineStr">
        <is>
          <t>先锋击</t>
        </is>
      </c>
      <c r="C66" s="451" t="inlineStr">
        <is>
          <t>[{"type":"physical_damage","power_permille":1000},{"type":"apply_element_layer","layers":1,"element_source":"primary"}]</t>
        </is>
      </c>
      <c r="D66" s="451" t="n">
        <v>0</v>
      </c>
      <c r="E66" s="451" t="inlineStr">
        <is>
          <t>primary</t>
        </is>
      </c>
      <c r="F66" s="451" t="inlineStr">
        <is>
          <t>true</t>
        </is>
      </c>
      <c r="G66" s="451" t="inlineStr">
        <is>
          <t>优先使用第一行动形状</t>
        </is>
      </c>
      <c r="H66" t="inlineStr">
        <is>
          <t>opening|primary|shape_0</t>
        </is>
      </c>
    </row>
    <row r="67">
      <c r="A67" s="451" t="inlineStr">
        <is>
          <t>skill_flank</t>
        </is>
      </c>
      <c r="B67" s="451" t="inlineStr">
        <is>
          <t>侧翼击</t>
        </is>
      </c>
      <c r="C67" s="451" t="inlineStr">
        <is>
          <t>[{"type":"physical_damage","power_permille":1000},{"type":"apply_element_layer","layers":1,"element_source":"secondary"}]</t>
        </is>
      </c>
      <c r="D67" s="451" t="n">
        <v>1</v>
      </c>
      <c r="E67" s="451" t="inlineStr">
        <is>
          <t>secondary</t>
        </is>
      </c>
      <c r="F67" s="451" t="inlineStr">
        <is>
          <t>true</t>
        </is>
      </c>
      <c r="G67" s="451" t="inlineStr">
        <is>
          <t>使用第二行动形状</t>
        </is>
      </c>
      <c r="H67" t="inlineStr">
        <is>
          <t>flank|secondary|shape_1</t>
        </is>
      </c>
    </row>
    <row r="68">
      <c r="A68" s="451" t="inlineStr">
        <is>
          <t>skill_pierce</t>
        </is>
      </c>
      <c r="B68" s="451" t="inlineStr">
        <is>
          <t>穿阵击</t>
        </is>
      </c>
      <c r="C68" s="451" t="inlineStr">
        <is>
          <t>[{"type":"physical_damage","power_permille":1000},{"type":"apply_element_layer","layers":1,"element_source":"primary"}]</t>
        </is>
      </c>
      <c r="D68" s="451" t="n">
        <v>2</v>
      </c>
      <c r="E68" s="451" t="inlineStr">
        <is>
          <t>primary</t>
        </is>
      </c>
      <c r="F68" s="451" t="inlineStr">
        <is>
          <t>true</t>
        </is>
      </c>
      <c r="G68" s="451" t="inlineStr">
        <is>
          <t>使用第三行动形状</t>
        </is>
      </c>
      <c r="H68" t="inlineStr">
        <is>
          <t>pierce|primary|shape_2</t>
        </is>
      </c>
    </row>
    <row r="69">
      <c r="A69" s="451" t="inlineStr">
        <is>
          <t>skill_revolve</t>
        </is>
      </c>
      <c r="B69" s="451" t="inlineStr">
        <is>
          <t>回旋击</t>
        </is>
      </c>
      <c r="C69" s="451" t="inlineStr">
        <is>
          <t>[{"type":"physical_damage","power_permille":1000},{"type":"apply_element_layer","layers":1,"element_source":"secondary"}]</t>
        </is>
      </c>
      <c r="D69" s="451" t="n">
        <v>0</v>
      </c>
      <c r="E69" s="451" t="inlineStr">
        <is>
          <t>secondary</t>
        </is>
      </c>
      <c r="F69" s="451" t="inlineStr">
        <is>
          <t>true</t>
        </is>
      </c>
      <c r="G69" s="451" t="inlineStr">
        <is>
          <t>回到第一行动形状</t>
        </is>
      </c>
      <c r="H69" t="inlineStr">
        <is>
          <t>revolve|secondary|shape_0</t>
        </is>
      </c>
    </row>
    <row r="70">
      <c r="A70" s="451" t="inlineStr">
        <is>
          <t>skill_chase</t>
        </is>
      </c>
      <c r="B70" s="451" t="inlineStr">
        <is>
          <t>追风击</t>
        </is>
      </c>
      <c r="C70" s="451" t="inlineStr">
        <is>
          <t>[{"type":"physical_damage","power_permille":1000},{"type":"apply_element_layer","layers":1,"element_source":"primary"}]</t>
        </is>
      </c>
      <c r="D70" s="451" t="n">
        <v>1</v>
      </c>
      <c r="E70" s="451" t="inlineStr">
        <is>
          <t>primary</t>
        </is>
      </c>
      <c r="F70" s="451" t="inlineStr">
        <is>
          <t>true</t>
        </is>
      </c>
      <c r="G70" s="451" t="inlineStr">
        <is>
          <t>使用第二行动形状</t>
        </is>
      </c>
      <c r="H70" t="inlineStr">
        <is>
          <t>chase|primary|shape_1</t>
        </is>
      </c>
    </row>
    <row r="71">
      <c r="A71" s="451" t="inlineStr">
        <is>
          <t>skill_break</t>
        </is>
      </c>
      <c r="B71" s="451" t="inlineStr">
        <is>
          <t>裂阵击</t>
        </is>
      </c>
      <c r="C71" s="451" t="inlineStr">
        <is>
          <t>[{"type":"physical_damage","power_permille":1000},{"type":"apply_element_layer","layers":1,"element_source":"secondary"}]</t>
        </is>
      </c>
      <c r="D71" s="451" t="n">
        <v>2</v>
      </c>
      <c r="E71" s="451" t="inlineStr">
        <is>
          <t>secondary</t>
        </is>
      </c>
      <c r="F71" s="451" t="inlineStr">
        <is>
          <t>true</t>
        </is>
      </c>
      <c r="G71" s="451" t="inlineStr">
        <is>
          <t>使用第三行动形状</t>
        </is>
      </c>
      <c r="H71" t="inlineStr">
        <is>
          <t>break|secondary|shape_2</t>
        </is>
      </c>
    </row>
    <row r="72">
      <c r="A72" s="451" t="inlineStr">
        <is>
          <t>skill_suppress</t>
        </is>
      </c>
      <c r="B72" s="451" t="inlineStr">
        <is>
          <t>压制击</t>
        </is>
      </c>
      <c r="C72" s="451" t="inlineStr">
        <is>
          <t>[{"type":"physical_damage","power_permille":1000},{"type":"apply_element_layer","layers":1,"element_source":"primary"}]</t>
        </is>
      </c>
      <c r="D72" s="451" t="n">
        <v>0</v>
      </c>
      <c r="E72" s="451" t="inlineStr">
        <is>
          <t>primary</t>
        </is>
      </c>
      <c r="F72" s="451" t="inlineStr">
        <is>
          <t>true</t>
        </is>
      </c>
      <c r="G72" s="451" t="inlineStr">
        <is>
          <t>使用第一行动形状</t>
        </is>
      </c>
      <c r="H72" t="inlineStr">
        <is>
          <t>suppress|primary|shape_0</t>
        </is>
      </c>
    </row>
    <row r="73">
      <c r="A73" s="451" t="inlineStr">
        <is>
          <t>skill_finale</t>
        </is>
      </c>
      <c r="B73" s="451" t="inlineStr">
        <is>
          <t>终幕击</t>
        </is>
      </c>
      <c r="C73" s="451" t="inlineStr">
        <is>
          <t>[{"type":"physical_damage","power_permille":1000},{"type":"apply_element_layer","layers":1,"element_source":"secondary"}]</t>
        </is>
      </c>
      <c r="D73" s="451" t="n">
        <v>1</v>
      </c>
      <c r="E73" s="451" t="inlineStr">
        <is>
          <t>secondary</t>
        </is>
      </c>
      <c r="F73" s="451" t="inlineStr">
        <is>
          <t>true</t>
        </is>
      </c>
      <c r="G73" s="451" t="inlineStr">
        <is>
          <t>使用第二行动形状</t>
        </is>
      </c>
      <c r="H73" t="inlineStr">
        <is>
          <t>finale|secondary|shape_1</t>
        </is>
      </c>
    </row>
    <row r="75">
      <c r="A75" s="287" t="inlineStr">
        <is>
          <t>#csv</t>
        </is>
      </c>
      <c r="B75" s="287" t="inlineStr">
        <is>
          <t>37_trait_catalog.csv</t>
        </is>
      </c>
      <c r="C75" s="287" t="inlineStr">
        <is>
          <t>宠物特性 Type Object；effects_json 按 hook 修饰技能或组合效果。</t>
        </is>
      </c>
      <c r="D75" s="287" t="n"/>
      <c r="E75" s="287" t="n"/>
      <c r="F75" s="287" t="n"/>
    </row>
    <row r="76">
      <c r="A76" s="291" t="inlineStr">
        <is>
          <t>trait_id</t>
        </is>
      </c>
      <c r="B76" s="291" t="inlineStr">
        <is>
          <t>name</t>
        </is>
      </c>
      <c r="C76" s="291" t="inlineStr">
        <is>
          <t>effects_json</t>
        </is>
      </c>
      <c r="D76" s="291" t="inlineStr">
        <is>
          <t>enabled</t>
        </is>
      </c>
      <c r="E76" s="291" t="inlineStr">
        <is>
          <t>description</t>
        </is>
      </c>
      <c r="F76" s="291" t="inlineStr">
        <is>
          <t>note</t>
        </is>
      </c>
    </row>
    <row r="77">
      <c r="A77" s="451" t="inlineStr">
        <is>
          <t>trait_relentless</t>
        </is>
      </c>
      <c r="B77" s="451" t="inlineStr">
        <is>
          <t>猛攻本能</t>
        </is>
      </c>
      <c r="C77" s="451" t="inlineStr">
        <is>
          <t>[{"hook":"skill","type":"modify_stat","stat":"physical_power_permille","operation":"flat_add","value":100,"phase":"trait","priority":100}]</t>
        </is>
      </c>
      <c r="D77" s="451" t="inlineStr">
        <is>
          <t>true</t>
        </is>
      </c>
      <c r="E77" s="451" t="inlineStr">
        <is>
          <t>每个技能的物理伤害倍率增加 10%。</t>
        </is>
      </c>
      <c r="F77" s="451" t="inlineStr">
        <is>
          <t>输出/机动定位默认特性</t>
        </is>
      </c>
    </row>
    <row r="78">
      <c r="A78" s="451" t="inlineStr">
        <is>
          <t>trait_element_affinity</t>
        </is>
      </c>
      <c r="B78" s="451" t="inlineStr">
        <is>
          <t>元素亲和</t>
        </is>
      </c>
      <c r="C78" s="451" t="inlineStr">
        <is>
          <t>[{"hook":"skill","type":"modify_stat","stat":"element_layer_bonus","operation":"flat_add","value":1,"phase":"trait","priority":100}]</t>
        </is>
      </c>
      <c r="D78" s="451" t="inlineStr">
        <is>
          <t>true</t>
        </is>
      </c>
      <c r="E78" s="451" t="inlineStr">
        <is>
          <t>每个技能额外铺 1 层对应元素。</t>
        </is>
      </c>
      <c r="F78" s="451" t="inlineStr">
        <is>
          <t>治疗/控制定位默认特性</t>
        </is>
      </c>
    </row>
    <row r="79">
      <c r="A79" s="451" t="inlineStr">
        <is>
          <t>trait_combo_mastery</t>
        </is>
      </c>
      <c r="B79" s="451" t="inlineStr">
        <is>
          <t>连携精通</t>
        </is>
      </c>
      <c r="C79" s="451" t="inlineStr">
        <is>
          <t>[{"hook":"combo","type":"modify_stat","stat":"physical_power_permille","operation":"flat_add","value":250,"phase":"trait","priority":100}]</t>
        </is>
      </c>
      <c r="D79" s="451" t="inlineStr">
        <is>
          <t>true</t>
        </is>
      </c>
      <c r="E79" s="451" t="inlineStr">
        <is>
          <t>技能组合的物理伤害倍率增加 25%。</t>
        </is>
      </c>
      <c r="F79" s="451" t="inlineStr">
        <is>
          <t>坦克/防御/抗压定位默认特性</t>
        </is>
      </c>
    </row>
    <row r="80">
      <c r="A80" s="451" t="inlineStr">
        <is>
          <t>trait_combo_resonance</t>
        </is>
      </c>
      <c r="B80" s="451" t="inlineStr">
        <is>
          <t>连携共鸣</t>
        </is>
      </c>
      <c r="C80" s="451" t="inlineStr">
        <is>
          <t>[{"hook":"combo","type":"modify_stat","stat":"element_layer_bonus","operation":"flat_add","value":1,"phase":"trait","priority":100}]</t>
        </is>
      </c>
      <c r="D80" s="451" t="inlineStr">
        <is>
          <t>true</t>
        </is>
      </c>
      <c r="E80" s="451" t="inlineStr">
        <is>
          <t>技能组合额外铺 1 层对应元素。</t>
        </is>
      </c>
      <c r="F80" s="451" t="inlineStr">
        <is>
          <t>其他定位默认特性</t>
        </is>
      </c>
    </row>
    <row r="82">
      <c r="A82" s="294" t="inlineStr">
        <is>
          <t>#csv</t>
        </is>
      </c>
      <c r="B82" s="294" t="inlineStr">
        <is>
          <t>38_skill_combo_catalog.csv</t>
        </is>
      </c>
      <c r="C82" s="294" t="inlineStr">
        <is>
          <t>有序技能组合 Type Object；默认匹配已执行队列末尾的相邻技能标签。</t>
        </is>
      </c>
      <c r="D82" s="294" t="n"/>
      <c r="E82" s="294" t="n"/>
      <c r="F82" s="294" t="n"/>
      <c r="G82" s="294" t="n"/>
      <c r="H82" s="294" t="n"/>
      <c r="I82" s="294" t="n"/>
    </row>
    <row r="83">
      <c r="A83" s="298" t="inlineStr">
        <is>
          <t>combo_id</t>
        </is>
      </c>
      <c r="B83" s="298" t="inlineStr">
        <is>
          <t>name</t>
        </is>
      </c>
      <c r="C83" s="298" t="inlineStr">
        <is>
          <t>match_type</t>
        </is>
      </c>
      <c r="D83" s="298" t="inlineStr">
        <is>
          <t>pattern_json</t>
        </is>
      </c>
      <c r="E83" s="298" t="inlineStr">
        <is>
          <t>effects_json</t>
        </is>
      </c>
      <c r="F83" s="298" t="inlineStr">
        <is>
          <t>shape_slot</t>
        </is>
      </c>
      <c r="G83" s="298" t="inlineStr">
        <is>
          <t>element_source</t>
        </is>
      </c>
      <c r="H83" s="298" t="inlineStr">
        <is>
          <t>enabled</t>
        </is>
      </c>
      <c r="I83" s="298" t="inlineStr">
        <is>
          <t>note</t>
        </is>
      </c>
    </row>
    <row r="84">
      <c r="A84" s="451" t="inlineStr">
        <is>
          <t>combo_pincer</t>
        </is>
      </c>
      <c r="B84" s="451" t="inlineStr">
        <is>
          <t>前后夹击</t>
        </is>
      </c>
      <c r="C84" s="451" t="inlineStr">
        <is>
          <t>tag_sequence</t>
        </is>
      </c>
      <c r="D84" s="451" t="inlineStr">
        <is>
          <t>["opening","flank"]</t>
        </is>
      </c>
      <c r="E84" s="451" t="inlineStr">
        <is>
          <t>[{"type":"physical_damage","power_permille":250}]</t>
        </is>
      </c>
      <c r="F84" s="451" t="n">
        <v>1</v>
      </c>
      <c r="G84" s="451" t="inlineStr">
        <is>
          <t>secondary</t>
        </is>
      </c>
      <c r="H84" s="451" t="inlineStr">
        <is>
          <t>true</t>
        </is>
      </c>
      <c r="I84" s="451" t="inlineStr">
        <is>
          <t>先锋击后紧接侧翼击</t>
        </is>
      </c>
    </row>
    <row r="85">
      <c r="A85" s="451" t="inlineStr">
        <is>
          <t>combo_piercing_arc</t>
        </is>
      </c>
      <c r="B85" s="451" t="inlineStr">
        <is>
          <t>穿回连携</t>
        </is>
      </c>
      <c r="C85" s="451" t="inlineStr">
        <is>
          <t>tag_sequence</t>
        </is>
      </c>
      <c r="D85" s="451" t="inlineStr">
        <is>
          <t>["pierce","revolve"]</t>
        </is>
      </c>
      <c r="E85" s="451" t="inlineStr">
        <is>
          <t>[{"type":"apply_element_layer","layers":1,"element_source":"secondary"}]</t>
        </is>
      </c>
      <c r="F85" s="451" t="n">
        <v>0</v>
      </c>
      <c r="G85" s="451" t="inlineStr">
        <is>
          <t>secondary</t>
        </is>
      </c>
      <c r="H85" s="451" t="inlineStr">
        <is>
          <t>true</t>
        </is>
      </c>
      <c r="I85" s="451" t="inlineStr">
        <is>
          <t>穿阵击后紧接回旋击</t>
        </is>
      </c>
    </row>
    <row r="86">
      <c r="A86" s="451" t="inlineStr">
        <is>
          <t>combo_breakthrough</t>
        </is>
      </c>
      <c r="B86" s="451" t="inlineStr">
        <is>
          <t>追裂连携</t>
        </is>
      </c>
      <c r="C86" s="451" t="inlineStr">
        <is>
          <t>tag_sequence</t>
        </is>
      </c>
      <c r="D86" s="451" t="inlineStr">
        <is>
          <t>["chase","break"]</t>
        </is>
      </c>
      <c r="E86" s="451" t="inlineStr">
        <is>
          <t>[{"type":"physical_damage","power_permille":250},{"type":"apply_element_layer","layers":1,"element_source":"secondary"}]</t>
        </is>
      </c>
      <c r="F86" s="451" t="n">
        <v>2</v>
      </c>
      <c r="G86" s="451" t="inlineStr">
        <is>
          <t>secondary</t>
        </is>
      </c>
      <c r="H86" s="451" t="inlineStr">
        <is>
          <t>true</t>
        </is>
      </c>
      <c r="I86" s="451" t="inlineStr">
        <is>
          <t>追风击后紧接裂阵击</t>
        </is>
      </c>
    </row>
    <row r="87">
      <c r="A87" s="451" t="inlineStr">
        <is>
          <t>combo_finale</t>
        </is>
      </c>
      <c r="B87" s="451" t="inlineStr">
        <is>
          <t>压制终幕</t>
        </is>
      </c>
      <c r="C87" s="451" t="inlineStr">
        <is>
          <t>tag_sequence</t>
        </is>
      </c>
      <c r="D87" s="451" t="inlineStr">
        <is>
          <t>["suppress","finale"]</t>
        </is>
      </c>
      <c r="E87" s="451" t="inlineStr">
        <is>
          <t>[{"type":"physical_damage","power_permille":500},{"type":"apply_element_layer","layers":1,"element_source":"secondary"}]</t>
        </is>
      </c>
      <c r="F87" s="451" t="n">
        <v>1</v>
      </c>
      <c r="G87" s="451" t="inlineStr">
        <is>
          <t>secondary</t>
        </is>
      </c>
      <c r="H87" s="451" t="inlineStr">
        <is>
          <t>true</t>
        </is>
      </c>
      <c r="I87" s="451" t="inlineStr">
        <is>
          <t>压制击后紧接终幕击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A37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439" min="1" max="1"/>
    <col width="10" customWidth="1" style="439" min="2" max="2"/>
    <col width="14" customWidth="1" style="439" min="3" max="3"/>
    <col width="30" customWidth="1" style="439" min="4" max="4"/>
    <col width="30" customWidth="1" style="439" min="5" max="5"/>
    <col width="30" customWidth="1" style="439" min="6" max="6"/>
    <col width="30" customWidth="1" style="439" min="7" max="7"/>
    <col width="80" customWidth="1" style="439" min="8" max="8"/>
    <col width="42" customWidth="1" style="439" min="9" max="9"/>
    <col width="18" customWidth="1" style="439" min="10" max="10"/>
    <col width="54" customWidth="1" style="439" min="11" max="11"/>
    <col width="16" customWidth="1" style="439" min="12" max="12"/>
    <col width="54" customWidth="1" style="439" min="13" max="13"/>
    <col width="16" customWidth="1" style="439" min="14" max="14"/>
    <col width="12" customWidth="1" style="439" min="15" max="15"/>
    <col width="14" customWidth="1" style="439" min="16" max="16"/>
    <col width="48" customWidth="1" style="439" min="17" max="17"/>
    <col width="72" customWidth="1" style="439" min="18" max="18"/>
    <col width="72" customWidth="1" style="439" min="19" max="19"/>
    <col width="14" customWidth="1" style="439" min="20" max="20"/>
    <col width="14" customWidth="1" style="439" min="21" max="21"/>
    <col width="28" customWidth="1" style="439" min="22" max="22"/>
    <col width="28" customWidth="1" style="439" min="23" max="23"/>
  </cols>
  <sheetData>
    <row r="1" ht="32" customHeight="1" s="439">
      <c r="A1" s="240" t="inlineStr">
        <is>
          <t>object_id</t>
        </is>
      </c>
      <c r="B1" s="240" t="inlineStr">
        <is>
          <t>object_no</t>
        </is>
      </c>
      <c r="C1" s="240" t="inlineStr">
        <is>
          <t>source_type</t>
        </is>
      </c>
      <c r="D1" s="466" t="inlineStr">
        <is>
          <t>source_snapshot_id</t>
        </is>
      </c>
      <c r="E1" s="466" t="inlineStr">
        <is>
          <t>current_version_boundary_snapshot_id</t>
        </is>
      </c>
      <c r="F1" s="466" t="inlineStr">
        <is>
          <t>identity_confirmed</t>
        </is>
      </c>
      <c r="G1" s="466" t="inlineStr">
        <is>
          <t>rule_verified</t>
        </is>
      </c>
      <c r="H1" s="466" t="inlineStr">
        <is>
          <t>rule_unresolved_fields</t>
        </is>
      </c>
      <c r="I1" s="240" t="inlineStr">
        <is>
          <t>source_slug</t>
        </is>
      </c>
      <c r="J1" s="240" t="inlineStr">
        <is>
          <t>source_name</t>
        </is>
      </c>
      <c r="K1" s="240" t="inlineStr">
        <is>
          <t>source_tier</t>
        </is>
      </c>
      <c r="L1" s="240" t="inlineStr">
        <is>
          <t>source_size</t>
        </is>
      </c>
      <c r="M1" s="240" t="inlineStr">
        <is>
          <t>source_tags</t>
        </is>
      </c>
      <c r="N1" s="240" t="inlineStr">
        <is>
          <t>source_relation_count</t>
        </is>
      </c>
      <c r="O1" s="240" t="inlineStr">
        <is>
          <t>source_stall_ids</t>
        </is>
      </c>
      <c r="P1" s="240" t="inlineStr">
        <is>
          <t>local_shop_count</t>
        </is>
      </c>
      <c r="Q1" s="240" t="inlineStr">
        <is>
          <t>local_shop_ids</t>
        </is>
      </c>
      <c r="R1" s="240" t="inlineStr">
        <is>
          <t>primary_enchant</t>
        </is>
      </c>
      <c r="S1" s="240" t="inlineStr">
        <is>
          <t>pet_id</t>
        </is>
      </c>
      <c r="T1" s="240" t="inlineStr">
        <is>
          <t>pet_name</t>
        </is>
      </c>
      <c r="U1" s="240" t="inlineStr">
        <is>
          <t>source_url</t>
        </is>
      </c>
      <c r="V1" s="240" t="inlineStr">
        <is>
          <t>source_effect</t>
        </is>
      </c>
      <c r="W1" s="240" t="inlineStr">
        <is>
          <t>design_note</t>
        </is>
      </c>
      <c r="X1" s="416" t="inlineStr">
        <is>
          <t>owner_hero_id</t>
        </is>
      </c>
      <c r="Y1" s="417" t="inlineStr">
        <is>
          <t>catalog_status</t>
        </is>
      </c>
      <c r="Z1" s="417" t="inlineStr">
        <is>
          <t>build_tags</t>
        </is>
      </c>
      <c r="AA1" s="418" t="inlineStr">
        <is>
          <t>tag_references</t>
        </is>
      </c>
    </row>
    <row r="2">
      <c r="A2" s="38" t="inlineStr">
        <is>
          <t>bz_van_001</t>
        </is>
      </c>
      <c r="B2" s="38" t="n">
        <v>1</v>
      </c>
      <c r="C2" s="38" t="inlineStr">
        <is>
          <t>item</t>
        </is>
      </c>
      <c r="D2" s="38" t="inlineStr">
        <is>
          <t>snapshot_vanessa_legacy_catalog_v1</t>
        </is>
      </c>
      <c r="E2" s="38" t="inlineStr">
        <is>
          <t>snapshot_the_bazaar_patch_18_0_boundary</t>
        </is>
      </c>
      <c r="F2" s="38" t="inlineStr">
        <is>
          <t>true</t>
        </is>
      </c>
      <c r="G2" s="38" t="inlineStr">
        <is>
          <t>false</t>
        </is>
      </c>
      <c r="H2" s="38" t="inlineStr">
        <is>
          <t>current_rule_match,structured_effects,quality_values,cooldown,buy_price,sell_price,ammo</t>
        </is>
      </c>
      <c r="I2" s="38" t="inlineStr">
        <is>
          <t>ambergris</t>
        </is>
      </c>
      <c r="J2" s="38" t="inlineStr">
        <is>
          <t>Ambergris</t>
        </is>
      </c>
      <c r="K2" s="38" t="inlineStr">
        <is>
          <t>bronze</t>
        </is>
      </c>
      <c r="L2" s="38" t="inlineStr">
        <is>
          <t>small</t>
        </is>
      </c>
      <c r="M2" s="38" t="inlineStr">
        <is>
          <t>aquatic, relic, economyreference, value, heal</t>
        </is>
      </c>
      <c r="N2" s="38" t="n">
        <v>10</v>
      </c>
      <c r="O2" s="38" t="inlineStr">
        <is>
          <t>merchant_nautica, merchant_ande, merchant_goldie, merchant_herma, merchant_jay-jay, merchant_kina, merchant_luxe, merchant_midsworth, merchant_prospero, merchant_quixel</t>
        </is>
      </c>
      <c r="P2" s="38" t="n">
        <v>10</v>
      </c>
      <c r="Q2" s="38" t="inlineStr">
        <is>
          <t>night_base, elem_火, elem_雷, elem_冰, elem_地, role_召唤, role_坦克, role_控制, role_输出, role_机动</t>
        </is>
      </c>
      <c r="R2" s="38" t="inlineStr">
        <is>
          <t>Restorative</t>
        </is>
      </c>
      <c r="S2" s="38" t="inlineStr">
        <is>
          <t>pal_001</t>
        </is>
      </c>
      <c r="T2" s="38" t="inlineStr">
        <is>
          <t>棉角羊</t>
        </is>
      </c>
      <c r="U2" s="38" t="inlineStr">
        <is>
          <t>https://bazaar-builds.net/db/items/ambergris.html</t>
        </is>
      </c>
      <c r="V2" s="38" t="inlineStr">
        <is>
          <t>heal equal to 1 / 2 / 3 / 4 times this item's value when you buy another aquatic item, this gains 1 / 2 / 3 / 4 value.</t>
        </is>
      </c>
      <c r="W2" s="38" t="inlineStr">
        <is>
          <t>一对一确认来源对象。</t>
        </is>
      </c>
      <c r="X2" s="382" t="inlineStr">
        <is>
          <t>hero_001</t>
        </is>
      </c>
      <c r="Y2" s="383" t="inlineStr">
        <is>
          <t>reference_reserved</t>
        </is>
      </c>
      <c r="Z2" s="383" t="inlineStr">
        <is>
          <t>aquatic, relic, value, heal</t>
        </is>
      </c>
      <c r="AA2" s="383" t="inlineStr">
        <is>
          <t>economy</t>
        </is>
      </c>
    </row>
    <row r="3">
      <c r="A3" s="38" t="inlineStr">
        <is>
          <t>bz_van_002</t>
        </is>
      </c>
      <c r="B3" s="38" t="n">
        <v>2</v>
      </c>
      <c r="C3" s="38" t="inlineStr">
        <is>
          <t>item</t>
        </is>
      </c>
      <c r="D3" s="38" t="inlineStr">
        <is>
          <t>snapshot_vanessa_legacy_catalog_v1</t>
        </is>
      </c>
      <c r="E3" s="38" t="inlineStr">
        <is>
          <t>snapshot_the_bazaar_patch_18_0_boundary</t>
        </is>
      </c>
      <c r="F3" s="38" t="inlineStr">
        <is>
          <t>true</t>
        </is>
      </c>
      <c r="G3" s="38" t="inlineStr">
        <is>
          <t>false</t>
        </is>
      </c>
      <c r="H3" s="38" t="inlineStr">
        <is>
          <t>current_rule_match,structured_effects,quality_values,cooldown,buy_price,sell_price,ammo</t>
        </is>
      </c>
      <c r="I3" s="38" t="inlineStr">
        <is>
          <t>anchor</t>
        </is>
      </c>
      <c r="J3" s="38" t="inlineStr">
        <is>
          <t>Anchor</t>
        </is>
      </c>
      <c r="K3" s="38" t="inlineStr">
        <is>
          <t>gold</t>
        </is>
      </c>
      <c r="L3" s="38" t="inlineStr">
        <is>
          <t>medium</t>
        </is>
      </c>
      <c r="M3" s="38" t="inlineStr">
        <is>
          <t>aquatic, weapon, tool, damage, haste</t>
        </is>
      </c>
      <c r="N3" s="38" t="n">
        <v>10</v>
      </c>
      <c r="O3" s="38" t="inlineStr">
        <is>
          <t>merchant_nautica, merchant_tok-s-clocks, merchant_aila, merchant_barkun, merchant_chronos, merchant_goldie, merchant_jay-jay, merchant_luxe, merchant_mittel, merchant_orion</t>
        </is>
      </c>
      <c r="P3" s="38" t="n">
        <v>10</v>
      </c>
      <c r="Q3" s="38" t="inlineStr">
        <is>
          <t>night_base, elem_水, elem_雷, elem_无, role_坦克, role_控制, role_输出, special_merchant, elite_high, role_远点压制</t>
        </is>
      </c>
      <c r="R3" s="38" t="inlineStr">
        <is>
          <t>Turbo</t>
        </is>
      </c>
      <c r="S3" s="38" t="inlineStr">
        <is>
          <t>pal_002</t>
        </is>
      </c>
      <c r="T3" s="38" t="inlineStr">
        <is>
          <t>灰尾狸</t>
        </is>
      </c>
      <c r="U3" s="38" t="inlineStr">
        <is>
          <t>https://bazaar-builds.net/db/items/anchor.html</t>
        </is>
      </c>
      <c r="V3" s="38" t="inlineStr">
        <is>
          <t>deal damage equal to 20 → 30% of an enemy's max health when you use an adjacent item, this is hasted for 2 seconds.</t>
        </is>
      </c>
      <c r="W3" s="38" t="inlineStr">
        <is>
          <t>一对一确认来源对象。</t>
        </is>
      </c>
      <c r="X3" s="385" t="inlineStr">
        <is>
          <t>hero_001</t>
        </is>
      </c>
      <c r="Y3" s="386" t="inlineStr">
        <is>
          <t>reference_reserved</t>
        </is>
      </c>
      <c r="Z3" s="386" t="inlineStr">
        <is>
          <t>aquatic, weapon, tool, damage, haste</t>
        </is>
      </c>
      <c r="AA3" s="386" t="str"/>
    </row>
    <row r="4">
      <c r="A4" s="38" t="inlineStr">
        <is>
          <t>bz_van_003</t>
        </is>
      </c>
      <c r="B4" s="38" t="n">
        <v>3</v>
      </c>
      <c r="C4" s="38" t="inlineStr">
        <is>
          <t>item</t>
        </is>
      </c>
      <c r="D4" s="38" t="inlineStr">
        <is>
          <t>snapshot_vanessa_legacy_catalog_v1</t>
        </is>
      </c>
      <c r="E4" s="38" t="inlineStr">
        <is>
          <t>snapshot_the_bazaar_patch_18_0_boundary</t>
        </is>
      </c>
      <c r="F4" s="38" t="inlineStr">
        <is>
          <t>true</t>
        </is>
      </c>
      <c r="G4" s="38" t="inlineStr">
        <is>
          <t>false</t>
        </is>
      </c>
      <c r="H4" s="38" t="inlineStr">
        <is>
          <t>current_rule_match,structured_effects,quality_values,cooldown,buy_price,sell_price,ammo</t>
        </is>
      </c>
      <c r="I4" s="38" t="inlineStr">
        <is>
          <t>arbalest</t>
        </is>
      </c>
      <c r="J4" s="38" t="inlineStr">
        <is>
          <t>Arbalest</t>
        </is>
      </c>
      <c r="K4" s="38" t="inlineStr">
        <is>
          <t>silver</t>
        </is>
      </c>
      <c r="L4" s="38" t="inlineStr">
        <is>
          <t>medium</t>
        </is>
      </c>
      <c r="M4" s="38" t="inlineStr">
        <is>
          <t>weapon, damage, ammo, hastereference</t>
        </is>
      </c>
      <c r="N4" s="38" t="n">
        <v>10</v>
      </c>
      <c r="O4" s="38" t="inlineStr">
        <is>
          <t>merchant_colt, merchant_tok-s-clocks, merchant_aila, merchant_barkun, merchant_chronos, merchant_goldie, merchant_jay-jay, merchant_luxe, merchant_mittel, merchant_quixel</t>
        </is>
      </c>
      <c r="P4" s="38" t="n">
        <v>10</v>
      </c>
      <c r="Q4" s="38" t="inlineStr">
        <is>
          <t>night_base, elem_水, elem_雷, elem_无, role_召唤, role_坦克, role_控制, role_机动, special_merchant, elite_high</t>
        </is>
      </c>
      <c r="R4" s="38" t="inlineStr">
        <is>
          <t>Turbo</t>
        </is>
      </c>
      <c r="S4" s="38" t="inlineStr">
        <is>
          <t>pal_003</t>
        </is>
      </c>
      <c r="T4" s="38" t="inlineStr">
        <is>
          <t>芦花鸡</t>
        </is>
      </c>
      <c r="U4" s="38" t="inlineStr">
        <is>
          <t>https://bazaar-builds.net/db/items/arbalest.html</t>
        </is>
      </c>
      <c r="V4" s="38" t="inlineStr">
        <is>
          <t>deal 100 damage when you haste, this gains 50 / 75 / 100 damage for the fight.</t>
        </is>
      </c>
      <c r="W4" s="38" t="inlineStr">
        <is>
          <t>一对一确认来源对象。</t>
        </is>
      </c>
      <c r="X4" s="385" t="inlineStr">
        <is>
          <t>hero_001</t>
        </is>
      </c>
      <c r="Y4" s="386" t="inlineStr">
        <is>
          <t>reference_reserved</t>
        </is>
      </c>
      <c r="Z4" s="386" t="inlineStr">
        <is>
          <t>weapon, damage, ammo</t>
        </is>
      </c>
      <c r="AA4" s="386" t="inlineStr">
        <is>
          <t>haste</t>
        </is>
      </c>
    </row>
    <row r="5">
      <c r="A5" s="38" t="inlineStr">
        <is>
          <t>bz_van_004</t>
        </is>
      </c>
      <c r="B5" s="38" t="n">
        <v>4</v>
      </c>
      <c r="C5" s="38" t="inlineStr">
        <is>
          <t>item</t>
        </is>
      </c>
      <c r="D5" s="38" t="inlineStr">
        <is>
          <t>snapshot_vanessa_legacy_catalog_v1</t>
        </is>
      </c>
      <c r="E5" s="38" t="inlineStr">
        <is>
          <t>snapshot_the_bazaar_patch_18_0_boundary</t>
        </is>
      </c>
      <c r="F5" s="38" t="inlineStr">
        <is>
          <t>true</t>
        </is>
      </c>
      <c r="G5" s="38" t="inlineStr">
        <is>
          <t>false</t>
        </is>
      </c>
      <c r="H5" s="38" t="inlineStr">
        <is>
          <t>current_rule_match,structured_effects,quality_values,cooldown,buy_price,sell_price,ammo</t>
        </is>
      </c>
      <c r="I5" s="38" t="inlineStr">
        <is>
          <t>astrolabe</t>
        </is>
      </c>
      <c r="J5" s="38" t="inlineStr">
        <is>
          <t>Astrolabe</t>
        </is>
      </c>
      <c r="K5" s="38" t="inlineStr">
        <is>
          <t>silver</t>
        </is>
      </c>
      <c r="L5" s="38" t="inlineStr">
        <is>
          <t>medium</t>
        </is>
      </c>
      <c r="M5" s="38" t="inlineStr">
        <is>
          <t>tool, haste</t>
        </is>
      </c>
      <c r="N5" s="38" t="n">
        <v>10</v>
      </c>
      <c r="O5" s="38" t="inlineStr">
        <is>
          <t>merchant_tok-s-clocks, merchant_barkun, merchant_chronos, merchant_goldie, merchant_jay-jay, merchant_kina, merchant_luxe, merchant_mittel, merchant_orion, merchant_quixel</t>
        </is>
      </c>
      <c r="P5" s="38" t="n">
        <v>10</v>
      </c>
      <c r="Q5" s="38" t="inlineStr">
        <is>
          <t>elem_水, elem_雷, elem_冰, elem_无, role_召唤, role_坦克, role_控制, special_merchant, elite_high, role_远点压制</t>
        </is>
      </c>
      <c r="R5" s="38" t="inlineStr">
        <is>
          <t>Turbo</t>
        </is>
      </c>
      <c r="S5" s="38" t="inlineStr">
        <is>
          <t>pal_004</t>
        </is>
      </c>
      <c r="T5" s="38" t="inlineStr">
        <is>
          <t>青藤鼠</t>
        </is>
      </c>
      <c r="U5" s="38" t="inlineStr">
        <is>
          <t>https://bazaar-builds.net/db/items/astrolabe.html</t>
        </is>
      </c>
      <c r="V5" s="38" t="inlineStr">
        <is>
          <t>haste 2 / 3 / 4 items for 1 second when you use another non-weapon item, charge this 1 second.</t>
        </is>
      </c>
      <c r="W5" s="38" t="inlineStr">
        <is>
          <t>一对一确认来源对象。</t>
        </is>
      </c>
      <c r="X5" s="385" t="inlineStr">
        <is>
          <t>hero_001</t>
        </is>
      </c>
      <c r="Y5" s="386" t="inlineStr">
        <is>
          <t>reference_reserved</t>
        </is>
      </c>
      <c r="Z5" s="386" t="inlineStr">
        <is>
          <t>tool, haste</t>
        </is>
      </c>
      <c r="AA5" s="386" t="str"/>
    </row>
    <row r="6">
      <c r="A6" s="38" t="inlineStr">
        <is>
          <t>bz_van_005</t>
        </is>
      </c>
      <c r="B6" s="38" t="n">
        <v>5</v>
      </c>
      <c r="C6" s="38" t="inlineStr">
        <is>
          <t>item</t>
        </is>
      </c>
      <c r="D6" s="38" t="inlineStr">
        <is>
          <t>snapshot_vanessa_legacy_catalog_v1</t>
        </is>
      </c>
      <c r="E6" s="38" t="inlineStr">
        <is>
          <t>snapshot_the_bazaar_patch_18_0_boundary</t>
        </is>
      </c>
      <c r="F6" s="38" t="inlineStr">
        <is>
          <t>true</t>
        </is>
      </c>
      <c r="G6" s="38" t="inlineStr">
        <is>
          <t>false</t>
        </is>
      </c>
      <c r="H6" s="38" t="inlineStr">
        <is>
          <t>current_rule_match,structured_effects,quality_values,cooldown,buy_price,sell_price,ammo</t>
        </is>
      </c>
      <c r="I6" s="38" t="inlineStr">
        <is>
          <t>ballista</t>
        </is>
      </c>
      <c r="J6" s="38" t="inlineStr">
        <is>
          <t>Ballista</t>
        </is>
      </c>
      <c r="K6" s="38" t="inlineStr">
        <is>
          <t>gold</t>
        </is>
      </c>
      <c r="L6" s="38" t="inlineStr">
        <is>
          <t>large</t>
        </is>
      </c>
      <c r="M6" s="38" t="inlineStr">
        <is>
          <t>weapon, damage, ammo</t>
        </is>
      </c>
      <c r="N6" s="38" t="n">
        <v>10</v>
      </c>
      <c r="O6" s="38" t="inlineStr">
        <is>
          <t>merchant_colt, merchant_aila, merchant_barkun, merchant_goldie, merchant_jay-jay, merchant_luxe, merchant_midsworth, merchant_pol, merchant_serafina, merchant_valpak</t>
        </is>
      </c>
      <c r="P6" s="38" t="n">
        <v>10</v>
      </c>
      <c r="Q6" s="38" t="inlineStr">
        <is>
          <t>night_base, elem_水, elem_雷, elem_地, elem_暗, role_坦克, role_控制, role_治疗, role_机动, role_风系铺场</t>
        </is>
      </c>
      <c r="R6" s="38" t="inlineStr">
        <is>
          <t>Deadly</t>
        </is>
      </c>
      <c r="S6" s="38" t="inlineStr">
        <is>
          <t>pal_005</t>
        </is>
      </c>
      <c r="T6" s="38" t="inlineStr">
        <is>
          <t>赤尾狐</t>
        </is>
      </c>
      <c r="U6" s="38" t="inlineStr">
        <is>
          <t>https://bazaar-builds.net/db/items/ballista.html</t>
        </is>
      </c>
      <c r="V6" s="38" t="inlineStr">
        <is>
          <t>deal 150 → 300 damage when you use another ammo item, this gains 1 multicast for the fight.</t>
        </is>
      </c>
      <c r="W6" s="38" t="inlineStr">
        <is>
          <t>一对一确认来源对象。</t>
        </is>
      </c>
      <c r="X6" s="385" t="inlineStr">
        <is>
          <t>hero_001</t>
        </is>
      </c>
      <c r="Y6" s="386" t="inlineStr">
        <is>
          <t>reference_reserved</t>
        </is>
      </c>
      <c r="Z6" s="386" t="inlineStr">
        <is>
          <t>weapon, damage, ammo</t>
        </is>
      </c>
      <c r="AA6" s="386" t="str"/>
    </row>
    <row r="7">
      <c r="A7" s="38" t="inlineStr">
        <is>
          <t>bz_van_006</t>
        </is>
      </c>
      <c r="B7" s="38" t="n">
        <v>6</v>
      </c>
      <c r="C7" s="38" t="inlineStr">
        <is>
          <t>item</t>
        </is>
      </c>
      <c r="D7" s="38" t="inlineStr">
        <is>
          <t>snapshot_vanessa_legacy_catalog_v1</t>
        </is>
      </c>
      <c r="E7" s="38" t="inlineStr">
        <is>
          <t>snapshot_the_bazaar_patch_18_0_boundary</t>
        </is>
      </c>
      <c r="F7" s="38" t="inlineStr">
        <is>
          <t>true</t>
        </is>
      </c>
      <c r="G7" s="38" t="inlineStr">
        <is>
          <t>false</t>
        </is>
      </c>
      <c r="H7" s="38" t="inlineStr">
        <is>
          <t>current_rule_match,structured_effects,quality_values,cooldown,buy_price,sell_price,ammo</t>
        </is>
      </c>
      <c r="I7" s="38" t="inlineStr">
        <is>
          <t>barrel</t>
        </is>
      </c>
      <c r="J7" s="38" t="inlineStr">
        <is>
          <t>Barrel</t>
        </is>
      </c>
      <c r="K7" s="38" t="inlineStr">
        <is>
          <t>bronze</t>
        </is>
      </c>
      <c r="L7" s="38" t="inlineStr">
        <is>
          <t>medium</t>
        </is>
      </c>
      <c r="M7" s="38" t="inlineStr">
        <is>
          <t>shield</t>
        </is>
      </c>
      <c r="N7" s="38" t="n">
        <v>10</v>
      </c>
      <c r="O7" s="38" t="inlineStr">
        <is>
          <t>merchant_kev-s-armory, merchant_barkun, merchant_goldie, merchant_jay-jay, merchant_kina, merchant_luxe, merchant_mittel, merchant_proteus, merchant_quixel, merchant_serafina</t>
        </is>
      </c>
      <c r="P7" s="38" t="n">
        <v>10</v>
      </c>
      <c r="Q7" s="38" t="inlineStr">
        <is>
          <t>elem_水, elem_雷, elem_冰, elem_龙, elem_无, role_召唤, role_坦克, role_控制, role_治疗, tier_pT3</t>
        </is>
      </c>
      <c r="R7" s="38" t="inlineStr">
        <is>
          <t>Shielded</t>
        </is>
      </c>
      <c r="S7" s="38" t="inlineStr">
        <is>
          <t>pal_006</t>
        </is>
      </c>
      <c r="T7" s="38" t="inlineStr">
        <is>
          <t>碧水鸭</t>
        </is>
      </c>
      <c r="U7" s="38" t="inlineStr">
        <is>
          <t>https://bazaar-builds.net/db/items/barrel.html</t>
        </is>
      </c>
      <c r="V7" s="38" t="inlineStr">
        <is>
          <t>shield 20 when you use an adjacent item, this gains 10 / 20 / 30 / 40 shield for the fight.</t>
        </is>
      </c>
      <c r="W7" s="38" t="inlineStr">
        <is>
          <t>一对一确认来源对象。</t>
        </is>
      </c>
      <c r="X7" s="385" t="inlineStr">
        <is>
          <t>hero_001</t>
        </is>
      </c>
      <c r="Y7" s="386" t="inlineStr">
        <is>
          <t>reference_reserved</t>
        </is>
      </c>
      <c r="Z7" s="386" t="inlineStr">
        <is>
          <t>shield</t>
        </is>
      </c>
      <c r="AA7" s="386" t="str"/>
    </row>
    <row r="8">
      <c r="A8" s="38" t="inlineStr">
        <is>
          <t>bz_van_007</t>
        </is>
      </c>
      <c r="B8" s="38" t="n">
        <v>7</v>
      </c>
      <c r="C8" s="38" t="inlineStr">
        <is>
          <t>item</t>
        </is>
      </c>
      <c r="D8" s="38" t="inlineStr">
        <is>
          <t>snapshot_vanessa_legacy_catalog_v1</t>
        </is>
      </c>
      <c r="E8" s="38" t="inlineStr">
        <is>
          <t>snapshot_the_bazaar_patch_18_0_boundary</t>
        </is>
      </c>
      <c r="F8" s="38" t="inlineStr">
        <is>
          <t>true</t>
        </is>
      </c>
      <c r="G8" s="38" t="inlineStr">
        <is>
          <t>false</t>
        </is>
      </c>
      <c r="H8" s="38" t="inlineStr">
        <is>
          <t>current_rule_match,structured_effects,quality_values,cooldown,buy_price,sell_price,ammo</t>
        </is>
      </c>
      <c r="I8" s="38" t="inlineStr">
        <is>
          <t>bayonet</t>
        </is>
      </c>
      <c r="J8" s="38" t="inlineStr">
        <is>
          <t>Bayonet</t>
        </is>
      </c>
      <c r="K8" s="38" t="inlineStr">
        <is>
          <t>bronze</t>
        </is>
      </c>
      <c r="L8" s="38" t="inlineStr">
        <is>
          <t>small</t>
        </is>
      </c>
      <c r="M8" s="38" t="inlineStr">
        <is>
          <t>weapon, damage</t>
        </is>
      </c>
      <c r="N8" s="38" t="n">
        <v>10</v>
      </c>
      <c r="O8" s="38" t="inlineStr">
        <is>
          <t>merchant_aila, merchant_ande, merchant_goldie, merchant_jay-jay, merchant_luxe, merchant_midsworth, merchant_quixel, merchant_serafina, merchant_silvia, merchant_valpak</t>
        </is>
      </c>
      <c r="P8" s="38" t="n">
        <v>10</v>
      </c>
      <c r="Q8" s="38" t="inlineStr">
        <is>
          <t>night_base, elem_火, elem_雷, elem_地, elem_暗, role_召唤, role_坦克, role_控制, role_治疗, role_经济</t>
        </is>
      </c>
      <c r="R8" s="38" t="inlineStr">
        <is>
          <t>Deadly</t>
        </is>
      </c>
      <c r="S8" s="38" t="inlineStr">
        <is>
          <t>pal_007</t>
        </is>
      </c>
      <c r="T8" s="38" t="inlineStr">
        <is>
          <t>雷须猫</t>
        </is>
      </c>
      <c r="U8" s="38" t="inlineStr">
        <is>
          <t>https://bazaar-builds.net/db/items/bayonet.html</t>
        </is>
      </c>
      <c r="V8" s="38" t="inlineStr">
        <is>
          <t>when you use the weapon to the left of this, deal 10 / 20 / 40 / 80 damage.</t>
        </is>
      </c>
      <c r="W8" s="38" t="inlineStr">
        <is>
          <t>一对一确认来源对象。</t>
        </is>
      </c>
      <c r="X8" s="385" t="inlineStr">
        <is>
          <t>hero_001</t>
        </is>
      </c>
      <c r="Y8" s="386" t="inlineStr">
        <is>
          <t>reference_reserved</t>
        </is>
      </c>
      <c r="Z8" s="386" t="inlineStr">
        <is>
          <t>weapon, damage</t>
        </is>
      </c>
      <c r="AA8" s="386" t="str"/>
    </row>
    <row r="9">
      <c r="A9" s="38" t="inlineStr">
        <is>
          <t>bz_van_008</t>
        </is>
      </c>
      <c r="B9" s="38" t="n">
        <v>8</v>
      </c>
      <c r="C9" s="38" t="inlineStr">
        <is>
          <t>item</t>
        </is>
      </c>
      <c r="D9" s="38" t="inlineStr">
        <is>
          <t>snapshot_vanessa_legacy_catalog_v1</t>
        </is>
      </c>
      <c r="E9" s="38" t="inlineStr">
        <is>
          <t>snapshot_the_bazaar_patch_18_0_boundary</t>
        </is>
      </c>
      <c r="F9" s="38" t="inlineStr">
        <is>
          <t>true</t>
        </is>
      </c>
      <c r="G9" s="38" t="inlineStr">
        <is>
          <t>false</t>
        </is>
      </c>
      <c r="H9" s="38" t="inlineStr">
        <is>
          <t>current_rule_match,structured_effects,quality_values,cooldown,buy_price,sell_price,ammo</t>
        </is>
      </c>
      <c r="I9" s="38" t="inlineStr">
        <is>
          <t>beach-ball</t>
        </is>
      </c>
      <c r="J9" s="38" t="inlineStr">
        <is>
          <t>Beach Ball</t>
        </is>
      </c>
      <c r="K9" s="38" t="inlineStr">
        <is>
          <t>bronze</t>
        </is>
      </c>
      <c r="L9" s="38" t="inlineStr">
        <is>
          <t>medium</t>
        </is>
      </c>
      <c r="M9" s="38" t="inlineStr">
        <is>
          <t>aquatic, toy, haste</t>
        </is>
      </c>
      <c r="N9" s="38" t="n">
        <v>10</v>
      </c>
      <c r="O9" s="38" t="inlineStr">
        <is>
          <t>merchant_nautica, merchant_tok-s-clocks, merchant_barkun, merchant_chronos, merchant_goldie, merchant_jay-jay, merchant_kina, merchant_luxe, merchant_mittel, merchant_quixel</t>
        </is>
      </c>
      <c r="P9" s="38" t="n">
        <v>10</v>
      </c>
      <c r="Q9" s="38" t="inlineStr">
        <is>
          <t>elem_水, elem_雷, elem_冰, elem_无, role_召唤, role_坦克, role_控制, role_输出, special_merchant, elite_high</t>
        </is>
      </c>
      <c r="R9" s="38" t="inlineStr">
        <is>
          <t>Turbo</t>
        </is>
      </c>
      <c r="S9" s="38" t="inlineStr">
        <is>
          <t>pal_008</t>
        </is>
      </c>
      <c r="T9" s="38" t="inlineStr">
        <is>
          <t>藤甲猿</t>
        </is>
      </c>
      <c r="U9" s="38" t="inlineStr">
        <is>
          <t>https://bazaar-builds.net/db/items/beach-ball.html</t>
        </is>
      </c>
      <c r="V9" s="38" t="inlineStr">
        <is>
          <t>haste 2 / 3 / 4 / 5 aquatic or toy item(s) for 2 seconds</t>
        </is>
      </c>
      <c r="W9" s="38" t="inlineStr">
        <is>
          <t>一对一确认来源对象。</t>
        </is>
      </c>
      <c r="X9" s="385" t="inlineStr">
        <is>
          <t>hero_001</t>
        </is>
      </c>
      <c r="Y9" s="386" t="inlineStr">
        <is>
          <t>reference_reserved</t>
        </is>
      </c>
      <c r="Z9" s="386" t="inlineStr">
        <is>
          <t>aquatic, toy, haste</t>
        </is>
      </c>
      <c r="AA9" s="386" t="str"/>
    </row>
    <row r="10">
      <c r="A10" s="38" t="inlineStr">
        <is>
          <t>bz_van_009</t>
        </is>
      </c>
      <c r="B10" s="38" t="n">
        <v>9</v>
      </c>
      <c r="C10" s="38" t="inlineStr">
        <is>
          <t>item</t>
        </is>
      </c>
      <c r="D10" s="38" t="inlineStr">
        <is>
          <t>snapshot_vanessa_legacy_catalog_v1</t>
        </is>
      </c>
      <c r="E10" s="38" t="inlineStr">
        <is>
          <t>snapshot_the_bazaar_patch_18_0_boundary</t>
        </is>
      </c>
      <c r="F10" s="38" t="inlineStr">
        <is>
          <t>true</t>
        </is>
      </c>
      <c r="G10" s="38" t="inlineStr">
        <is>
          <t>false</t>
        </is>
      </c>
      <c r="H10" s="38" t="inlineStr">
        <is>
          <t>current_rule_match,structured_effects,quality_values,cooldown,buy_price,sell_price,ammo</t>
        </is>
      </c>
      <c r="I10" s="38" t="inlineStr">
        <is>
          <t>bilge-worm</t>
        </is>
      </c>
      <c r="J10" s="38" t="inlineStr">
        <is>
          <t>Bilge Worm</t>
        </is>
      </c>
      <c r="K10" s="38" t="inlineStr">
        <is>
          <t>bronze</t>
        </is>
      </c>
      <c r="L10" s="38" t="inlineStr">
        <is>
          <t>small</t>
        </is>
      </c>
      <c r="M10" s="38" t="inlineStr">
        <is>
          <t>weapon, aquatic, damage</t>
        </is>
      </c>
      <c r="N10" s="38" t="n">
        <v>10</v>
      </c>
      <c r="O10" s="38" t="inlineStr">
        <is>
          <t>merchant_nautica, merchant_aila, merchant_ande, merchant_goldie, merchant_jay-jay, merchant_luxe, merchant_midsworth, merchant_quixel, merchant_serafina, merchant_silvia</t>
        </is>
      </c>
      <c r="P10" s="38" t="n">
        <v>10</v>
      </c>
      <c r="Q10" s="38" t="inlineStr">
        <is>
          <t>night_base, elem_火, elem_雷, elem_地, role_召唤, role_坦克, role_控制, role_治疗, role_输出, role_经济</t>
        </is>
      </c>
      <c r="R10" s="38" t="inlineStr">
        <is>
          <t>Deadly</t>
        </is>
      </c>
      <c r="S10" s="38" t="inlineStr">
        <is>
          <t>pal_009</t>
        </is>
      </c>
      <c r="T10" s="38" t="inlineStr">
        <is>
          <t>火角鹿</t>
        </is>
      </c>
      <c r="U10" s="38" t="inlineStr">
        <is>
          <t>https://bazaar-builds.net/db/items/bilge-worm.html</t>
        </is>
      </c>
      <c r="V10" s="38" t="inlineStr">
        <is>
          <t>when your enemy uses their leftmost item, deal 10 / 20 / 40 / 80 damage.</t>
        </is>
      </c>
      <c r="W10" s="38" t="inlineStr">
        <is>
          <t>一对一确认来源对象。</t>
        </is>
      </c>
      <c r="X10" s="385" t="inlineStr">
        <is>
          <t>hero_001</t>
        </is>
      </c>
      <c r="Y10" s="386" t="inlineStr">
        <is>
          <t>reference_reserved</t>
        </is>
      </c>
      <c r="Z10" s="386" t="inlineStr">
        <is>
          <t>weapon, aquatic, damage</t>
        </is>
      </c>
      <c r="AA10" s="386" t="str"/>
    </row>
    <row r="11">
      <c r="A11" s="38" t="inlineStr">
        <is>
          <t>bz_van_010</t>
        </is>
      </c>
      <c r="B11" s="38" t="n">
        <v>10</v>
      </c>
      <c r="C11" s="38" t="inlineStr">
        <is>
          <t>item</t>
        </is>
      </c>
      <c r="D11" s="38" t="inlineStr">
        <is>
          <t>snapshot_vanessa_legacy_catalog_v1</t>
        </is>
      </c>
      <c r="E11" s="38" t="inlineStr">
        <is>
          <t>snapshot_the_bazaar_patch_18_0_boundary</t>
        </is>
      </c>
      <c r="F11" s="38" t="inlineStr">
        <is>
          <t>true</t>
        </is>
      </c>
      <c r="G11" s="38" t="inlineStr">
        <is>
          <t>false</t>
        </is>
      </c>
      <c r="H11" s="38" t="inlineStr">
        <is>
          <t>current_rule_match,structured_effects,quality_values,cooldown,buy_price,sell_price,ammo</t>
        </is>
      </c>
      <c r="I11" s="38" t="inlineStr">
        <is>
          <t>bladed-hoverboard</t>
        </is>
      </c>
      <c r="J11" s="38" t="inlineStr">
        <is>
          <t>Bladed Hoverboard</t>
        </is>
      </c>
      <c r="K11" s="38" t="inlineStr">
        <is>
          <t>silver</t>
        </is>
      </c>
      <c r="L11" s="38" t="inlineStr">
        <is>
          <t>medium</t>
        </is>
      </c>
      <c r="M11" s="38" t="inlineStr">
        <is>
          <t>weapon, tech, aquatic, vehicle, damage, flying</t>
        </is>
      </c>
      <c r="N11" s="38" t="n">
        <v>10</v>
      </c>
      <c r="O11" s="38" t="inlineStr">
        <is>
          <t>merchant_nautica, merchant_pinfeather, merchant_the-tester, merchant_aero, merchant_aila, merchant_barkun, merchant_goldie, merchant_jay-jay, merchant_luxe, merchant_mittel</t>
        </is>
      </c>
      <c r="P11" s="38" t="n">
        <v>10</v>
      </c>
      <c r="Q11" s="38" t="inlineStr">
        <is>
          <t>night_base, elem_火, elem_水, elem_草, elem_雷, elem_无, role_坦克, role_控制, role_输出, role_抗压承伤</t>
        </is>
      </c>
      <c r="R11" s="38" t="inlineStr">
        <is>
          <t>Deadly</t>
        </is>
      </c>
      <c r="S11" s="38" t="inlineStr">
        <is>
          <t>pal_010</t>
        </is>
      </c>
      <c r="T11" s="38" t="inlineStr">
        <is>
          <t>霜羽鹭</t>
        </is>
      </c>
      <c r="U11" s="38" t="inlineStr">
        <is>
          <t>https://bazaar-builds.net/db/items/bladed-hoverboard.html</t>
        </is>
      </c>
      <c r="V11" s="38" t="inlineStr">
        <is>
          <t>when you use an adjacent item, deal 20 / 40 / 60 damage and it starts flying.</t>
        </is>
      </c>
      <c r="W11" s="38" t="inlineStr">
        <is>
          <t>一对一确认来源对象。</t>
        </is>
      </c>
      <c r="X11" s="385" t="inlineStr">
        <is>
          <t>hero_001</t>
        </is>
      </c>
      <c r="Y11" s="386" t="inlineStr">
        <is>
          <t>reference_reserved</t>
        </is>
      </c>
      <c r="Z11" s="386" t="inlineStr">
        <is>
          <t>weapon, tech, aquatic, vehicle, damage, flying</t>
        </is>
      </c>
      <c r="AA11" s="386" t="str"/>
    </row>
    <row r="12">
      <c r="A12" s="38" t="inlineStr">
        <is>
          <t>bz_van_011</t>
        </is>
      </c>
      <c r="B12" s="38" t="n">
        <v>11</v>
      </c>
      <c r="C12" s="38" t="inlineStr">
        <is>
          <t>item</t>
        </is>
      </c>
      <c r="D12" s="38" t="inlineStr">
        <is>
          <t>snapshot_vanessa_legacy_catalog_v1</t>
        </is>
      </c>
      <c r="E12" s="38" t="inlineStr">
        <is>
          <t>snapshot_the_bazaar_patch_18_0_boundary</t>
        </is>
      </c>
      <c r="F12" s="38" t="inlineStr">
        <is>
          <t>true</t>
        </is>
      </c>
      <c r="G12" s="38" t="inlineStr">
        <is>
          <t>false</t>
        </is>
      </c>
      <c r="H12" s="38" t="inlineStr">
        <is>
          <t>current_rule_match,structured_effects,quality_values,cooldown,buy_price,sell_price,ammo</t>
        </is>
      </c>
      <c r="I12" s="38" t="inlineStr">
        <is>
          <t>blowgun</t>
        </is>
      </c>
      <c r="J12" s="38" t="inlineStr">
        <is>
          <t>Blowgun</t>
        </is>
      </c>
      <c r="K12" s="38" t="inlineStr">
        <is>
          <t>gold</t>
        </is>
      </c>
      <c r="L12" s="38" t="inlineStr">
        <is>
          <t>small</t>
        </is>
      </c>
      <c r="M12" s="38" t="inlineStr">
        <is>
          <t>weapon, relic, damage, poison</t>
        </is>
      </c>
      <c r="N12" s="38" t="n">
        <v>10</v>
      </c>
      <c r="O12" s="38" t="inlineStr">
        <is>
          <t>merchant_aila, merchant_ande, merchant_goldie, merchant_jay-jay, merchant_knightshade, merchant_luxe, merchant_midsworth, merchant_quixel, merchant_serafina, merchant_the-antiquarian</t>
        </is>
      </c>
      <c r="P12" s="38" t="n">
        <v>10</v>
      </c>
      <c r="Q12" s="38" t="inlineStr">
        <is>
          <t>night_base, elem_火, elem_雷, elem_冰, elem_地, role_召唤, role_坦克, role_控制, role_治疗, role_火系压制</t>
        </is>
      </c>
      <c r="R12" s="38" t="inlineStr">
        <is>
          <t>Toxic</t>
        </is>
      </c>
      <c r="S12" s="38" t="inlineStr">
        <is>
          <t>pal_011</t>
        </is>
      </c>
      <c r="T12" s="38" t="inlineStr">
        <is>
          <t>冰背獭</t>
        </is>
      </c>
      <c r="U12" s="38" t="inlineStr">
        <is>
          <t>https://bazaar-builds.net/db/items/blowgun.html</t>
        </is>
      </c>
      <c r="V12" s="38" t="inlineStr">
        <is>
          <t>deal 2 damage poison equal to this item's damage</t>
        </is>
      </c>
      <c r="W12" s="38" t="inlineStr">
        <is>
          <t>一对一确认来源对象。</t>
        </is>
      </c>
      <c r="X12" s="385" t="inlineStr">
        <is>
          <t>hero_001</t>
        </is>
      </c>
      <c r="Y12" s="386" t="inlineStr">
        <is>
          <t>reference_reserved</t>
        </is>
      </c>
      <c r="Z12" s="386" t="inlineStr">
        <is>
          <t>weapon, relic, damage, poison</t>
        </is>
      </c>
      <c r="AA12" s="386" t="str"/>
    </row>
    <row r="13">
      <c r="A13" s="38" t="inlineStr">
        <is>
          <t>bz_van_012</t>
        </is>
      </c>
      <c r="B13" s="38" t="n">
        <v>12</v>
      </c>
      <c r="C13" s="38" t="inlineStr">
        <is>
          <t>item</t>
        </is>
      </c>
      <c r="D13" s="38" t="inlineStr">
        <is>
          <t>snapshot_vanessa_legacy_catalog_v1</t>
        </is>
      </c>
      <c r="E13" s="38" t="inlineStr">
        <is>
          <t>snapshot_the_bazaar_patch_18_0_boundary</t>
        </is>
      </c>
      <c r="F13" s="38" t="inlineStr">
        <is>
          <t>true</t>
        </is>
      </c>
      <c r="G13" s="38" t="inlineStr">
        <is>
          <t>false</t>
        </is>
      </c>
      <c r="H13" s="38" t="inlineStr">
        <is>
          <t>current_rule_match,structured_effects,quality_values,cooldown,buy_price,sell_price,ammo</t>
        </is>
      </c>
      <c r="I13" s="38" t="inlineStr">
        <is>
          <t>blunderbuss</t>
        </is>
      </c>
      <c r="J13" s="38" t="inlineStr">
        <is>
          <t>Blunderbuss</t>
        </is>
      </c>
      <c r="K13" s="38" t="inlineStr">
        <is>
          <t>gold</t>
        </is>
      </c>
      <c r="L13" s="38" t="inlineStr">
        <is>
          <t>medium</t>
        </is>
      </c>
      <c r="M13" s="38" t="inlineStr">
        <is>
          <t>weapon, damage, ammo, burnreference</t>
        </is>
      </c>
      <c r="N13" s="38" t="n">
        <v>10</v>
      </c>
      <c r="O13" s="38" t="inlineStr">
        <is>
          <t>merchant_colt, merchant_aila, merchant_barkun, merchant_goldie, merchant_hef, merchant_jay-jay, merchant_luxe, merchant_mittel, merchant_quixel, merchant_serafina</t>
        </is>
      </c>
      <c r="P13" s="38" t="n">
        <v>10</v>
      </c>
      <c r="Q13" s="38" t="inlineStr">
        <is>
          <t>night_base, elem_水, elem_雷, elem_无, role_召唤, role_坦克, role_控制, role_治疗, role_机动, tier_pT2</t>
        </is>
      </c>
      <c r="R13" s="38" t="inlineStr">
        <is>
          <t>Fiery</t>
        </is>
      </c>
      <c r="S13" s="38" t="inlineStr">
        <is>
          <t>pal_012</t>
        </is>
      </c>
      <c r="T13" s="38" t="inlineStr">
        <is>
          <t>电棘鼠</t>
        </is>
      </c>
      <c r="U13" s="38" t="inlineStr">
        <is>
          <t>https://bazaar-builds.net/db/items/blunderbuss.html</t>
        </is>
      </c>
      <c r="V13" s="38" t="inlineStr">
        <is>
          <t>deal 15 damage when you burn, use this.</t>
        </is>
      </c>
      <c r="W13" s="38" t="inlineStr">
        <is>
          <t>一对一确认来源对象。</t>
        </is>
      </c>
      <c r="X13" s="385" t="inlineStr">
        <is>
          <t>hero_001</t>
        </is>
      </c>
      <c r="Y13" s="386" t="inlineStr">
        <is>
          <t>reference_reserved</t>
        </is>
      </c>
      <c r="Z13" s="386" t="inlineStr">
        <is>
          <t>weapon, damage, ammo</t>
        </is>
      </c>
      <c r="AA13" s="386" t="inlineStr">
        <is>
          <t>burn</t>
        </is>
      </c>
    </row>
    <row r="14">
      <c r="A14" s="38" t="inlineStr">
        <is>
          <t>bz_van_013</t>
        </is>
      </c>
      <c r="B14" s="38" t="n">
        <v>13</v>
      </c>
      <c r="C14" s="38" t="inlineStr">
        <is>
          <t>item</t>
        </is>
      </c>
      <c r="D14" s="38" t="inlineStr">
        <is>
          <t>snapshot_vanessa_legacy_catalog_v1</t>
        </is>
      </c>
      <c r="E14" s="38" t="inlineStr">
        <is>
          <t>snapshot_the_bazaar_patch_18_0_boundary</t>
        </is>
      </c>
      <c r="F14" s="38" t="inlineStr">
        <is>
          <t>true</t>
        </is>
      </c>
      <c r="G14" s="38" t="inlineStr">
        <is>
          <t>false</t>
        </is>
      </c>
      <c r="H14" s="38" t="inlineStr">
        <is>
          <t>current_rule_match,structured_effects,quality_values,cooldown,buy_price,sell_price,ammo</t>
        </is>
      </c>
      <c r="I14" s="38" t="inlineStr">
        <is>
          <t>bolas</t>
        </is>
      </c>
      <c r="J14" s="38" t="inlineStr">
        <is>
          <t>Bolas</t>
        </is>
      </c>
      <c r="K14" s="38" t="inlineStr">
        <is>
          <t>bronze</t>
        </is>
      </c>
      <c r="L14" s="38" t="inlineStr">
        <is>
          <t>small</t>
        </is>
      </c>
      <c r="M14" s="38" t="inlineStr">
        <is>
          <t>weapon, damage, ammo, slow</t>
        </is>
      </c>
      <c r="N14" s="38" t="n">
        <v>10</v>
      </c>
      <c r="O14" s="38" t="inlineStr">
        <is>
          <t>merchant_colt, merchant_tok-s-clocks, merchant_aila, merchant_ande, merchant_cobweb, merchant_goldie, merchant_jay-jay, merchant_luxe, merchant_midsworth, merchant_quixel</t>
        </is>
      </c>
      <c r="P14" s="38" t="n">
        <v>10</v>
      </c>
      <c r="Q14" s="38" t="inlineStr">
        <is>
          <t>night_base, elem_火, elem_雷, elem_地, role_召唤, role_坦克, role_控制, role_机动, special_merchant, role_召唤铺场</t>
        </is>
      </c>
      <c r="R14" s="38" t="inlineStr">
        <is>
          <t>Icy</t>
        </is>
      </c>
      <c r="S14" s="38" t="inlineStr">
        <is>
          <t>pal_013</t>
        </is>
      </c>
      <c r="T14" s="38" t="inlineStr">
        <is>
          <t>苔甲龟</t>
        </is>
      </c>
      <c r="U14" s="38" t="inlineStr">
        <is>
          <t>https://bazaar-builds.net/db/items/bolas.html</t>
        </is>
      </c>
      <c r="V14" s="38" t="inlineStr">
        <is>
          <t>deal 20 / 40 / 80 / 160 damage slow an item for 2 / 3 / 4 / 5 seconds</t>
        </is>
      </c>
      <c r="W14" s="38" t="inlineStr">
        <is>
          <t>一对一确认来源对象。</t>
        </is>
      </c>
      <c r="X14" s="385" t="inlineStr">
        <is>
          <t>hero_001</t>
        </is>
      </c>
      <c r="Y14" s="386" t="inlineStr">
        <is>
          <t>reference_reserved</t>
        </is>
      </c>
      <c r="Z14" s="386" t="inlineStr">
        <is>
          <t>weapon, damage, ammo, slow</t>
        </is>
      </c>
      <c r="AA14" s="386" t="str"/>
    </row>
    <row r="15">
      <c r="A15" s="38" t="inlineStr">
        <is>
          <t>bz_van_014</t>
        </is>
      </c>
      <c r="B15" s="38" t="n">
        <v>14</v>
      </c>
      <c r="C15" s="38" t="inlineStr">
        <is>
          <t>item</t>
        </is>
      </c>
      <c r="D15" s="38" t="inlineStr">
        <is>
          <t>snapshot_vanessa_legacy_catalog_v1</t>
        </is>
      </c>
      <c r="E15" s="38" t="inlineStr">
        <is>
          <t>snapshot_the_bazaar_patch_18_0_boundary</t>
        </is>
      </c>
      <c r="F15" s="38" t="inlineStr">
        <is>
          <t>true</t>
        </is>
      </c>
      <c r="G15" s="38" t="inlineStr">
        <is>
          <t>false</t>
        </is>
      </c>
      <c r="H15" s="38" t="inlineStr">
        <is>
          <t>current_rule_match,structured_effects,quality_values,cooldown,buy_price,sell_price,ammo</t>
        </is>
      </c>
      <c r="I15" s="38" t="inlineStr">
        <is>
          <t>bonfire</t>
        </is>
      </c>
      <c r="J15" s="38" t="inlineStr">
        <is>
          <t>Bonfire</t>
        </is>
      </c>
      <c r="K15" s="38" t="inlineStr">
        <is>
          <t>silver</t>
        </is>
      </c>
      <c r="L15" s="38" t="inlineStr">
        <is>
          <t>medium</t>
        </is>
      </c>
      <c r="M15" s="38" t="inlineStr">
        <is>
          <t>burn, haste</t>
        </is>
      </c>
      <c r="N15" s="38" t="n">
        <v>10</v>
      </c>
      <c r="O15" s="38" t="inlineStr">
        <is>
          <t>merchant_tok-s-clocks, merchant_barkun, merchant_chronos, merchant_goldie, merchant_hef, merchant_jay-jay, merchant_kina, merchant_luxe, merchant_mittel, merchant_quixel</t>
        </is>
      </c>
      <c r="P15" s="38" t="n">
        <v>10</v>
      </c>
      <c r="Q15" s="38" t="inlineStr">
        <is>
          <t>elem_水, elem_雷, elem_冰, elem_无, role_召唤, role_坦克, role_控制, special_merchant, elite_high, tier_pT2</t>
        </is>
      </c>
      <c r="R15" s="38" t="inlineStr">
        <is>
          <t>Fiery</t>
        </is>
      </c>
      <c r="S15" s="38" t="inlineStr">
        <is>
          <t>pal_014</t>
        </is>
      </c>
      <c r="T15" s="38" t="inlineStr">
        <is>
          <t>金钱狸</t>
        </is>
      </c>
      <c r="U15" s="38" t="inlineStr">
        <is>
          <t>https://bazaar-builds.net/db/items/bonfire.html</t>
        </is>
      </c>
      <c r="V15" s="38" t="inlineStr">
        <is>
          <t>burn 5 / 10 / 15 when you burn, haste an adjacent item for 1 / 2 / 3 seconds.</t>
        </is>
      </c>
      <c r="W15" s="38" t="inlineStr">
        <is>
          <t>一对一确认来源对象。</t>
        </is>
      </c>
      <c r="X15" s="385" t="inlineStr">
        <is>
          <t>hero_001</t>
        </is>
      </c>
      <c r="Y15" s="386" t="inlineStr">
        <is>
          <t>reference_reserved</t>
        </is>
      </c>
      <c r="Z15" s="386" t="inlineStr">
        <is>
          <t>burn, haste</t>
        </is>
      </c>
      <c r="AA15" s="386" t="str"/>
    </row>
    <row r="16">
      <c r="A16" s="38" t="inlineStr">
        <is>
          <t>bz_van_015</t>
        </is>
      </c>
      <c r="B16" s="38" t="n">
        <v>15</v>
      </c>
      <c r="C16" s="38" t="inlineStr">
        <is>
          <t>item</t>
        </is>
      </c>
      <c r="D16" s="38" t="inlineStr">
        <is>
          <t>snapshot_vanessa_legacy_catalog_v1</t>
        </is>
      </c>
      <c r="E16" s="38" t="inlineStr">
        <is>
          <t>snapshot_the_bazaar_patch_18_0_boundary</t>
        </is>
      </c>
      <c r="F16" s="38" t="inlineStr">
        <is>
          <t>true</t>
        </is>
      </c>
      <c r="G16" s="38" t="inlineStr">
        <is>
          <t>false</t>
        </is>
      </c>
      <c r="H16" s="38" t="inlineStr">
        <is>
          <t>current_rule_match,structured_effects,quality_values,cooldown,buy_price,sell_price,ammo</t>
        </is>
      </c>
      <c r="I16" s="38" t="inlineStr">
        <is>
          <t>butterfly-swords</t>
        </is>
      </c>
      <c r="J16" s="38" t="inlineStr">
        <is>
          <t>Butterfly Swords</t>
        </is>
      </c>
      <c r="K16" s="38" t="inlineStr">
        <is>
          <t>silver</t>
        </is>
      </c>
      <c r="L16" s="38" t="inlineStr">
        <is>
          <t>small</t>
        </is>
      </c>
      <c r="M16" s="38" t="inlineStr">
        <is>
          <t>weapon, damage</t>
        </is>
      </c>
      <c r="N16" s="38" t="n">
        <v>10</v>
      </c>
      <c r="O16" s="38" t="inlineStr">
        <is>
          <t>merchant_aila, merchant_ande, merchant_goldie, merchant_jay-jay, merchant_luxe, merchant_midsworth, merchant_quixel, merchant_serafina, merchant_silvia, merchant_valpak</t>
        </is>
      </c>
      <c r="P16" s="38" t="n">
        <v>10</v>
      </c>
      <c r="Q16" s="38" t="inlineStr">
        <is>
          <t>night_base, elem_火, elem_雷, elem_地, elem_暗, role_召唤, role_坦克, role_控制, role_治疗, role_经济</t>
        </is>
      </c>
      <c r="R16" s="38" t="inlineStr">
        <is>
          <t>Deadly</t>
        </is>
      </c>
      <c r="S16" s="38" t="inlineStr">
        <is>
          <t>pal_015</t>
        </is>
      </c>
      <c r="T16" s="38" t="inlineStr">
        <is>
          <t>黑甲猪</t>
        </is>
      </c>
      <c r="U16" s="38" t="inlineStr">
        <is>
          <t>https://bazaar-builds.net/db/items/butterfly-swords.html</t>
        </is>
      </c>
      <c r="V16" s="38" t="inlineStr">
        <is>
          <t>deal 10 damage</t>
        </is>
      </c>
      <c r="W16" s="38" t="inlineStr">
        <is>
          <t>一对一确认来源对象。</t>
        </is>
      </c>
      <c r="X16" s="385" t="inlineStr">
        <is>
          <t>hero_001</t>
        </is>
      </c>
      <c r="Y16" s="386" t="inlineStr">
        <is>
          <t>reference_reserved</t>
        </is>
      </c>
      <c r="Z16" s="386" t="inlineStr">
        <is>
          <t>weapon, damage</t>
        </is>
      </c>
      <c r="AA16" s="386" t="str"/>
    </row>
    <row r="17">
      <c r="A17" s="38" t="inlineStr">
        <is>
          <t>bz_van_016</t>
        </is>
      </c>
      <c r="B17" s="38" t="n">
        <v>16</v>
      </c>
      <c r="C17" s="38" t="inlineStr">
        <is>
          <t>item</t>
        </is>
      </c>
      <c r="D17" s="38" t="inlineStr">
        <is>
          <t>snapshot_vanessa_legacy_catalog_v1</t>
        </is>
      </c>
      <c r="E17" s="38" t="inlineStr">
        <is>
          <t>snapshot_the_bazaar_patch_18_0_boundary</t>
        </is>
      </c>
      <c r="F17" s="38" t="inlineStr">
        <is>
          <t>true</t>
        </is>
      </c>
      <c r="G17" s="38" t="inlineStr">
        <is>
          <t>false</t>
        </is>
      </c>
      <c r="H17" s="38" t="inlineStr">
        <is>
          <t>current_rule_match,structured_effects,quality_values,cooldown,buy_price,sell_price,ammo</t>
        </is>
      </c>
      <c r="I17" s="38" t="inlineStr">
        <is>
          <t>calico</t>
        </is>
      </c>
      <c r="J17" s="38" t="inlineStr">
        <is>
          <t>Calico</t>
        </is>
      </c>
      <c r="K17" s="38" t="inlineStr">
        <is>
          <t>bronze</t>
        </is>
      </c>
      <c r="L17" s="38" t="inlineStr">
        <is>
          <t>small</t>
        </is>
      </c>
      <c r="M17" s="38" t="inlineStr">
        <is>
          <t>friend, weapon, damage, critreference</t>
        </is>
      </c>
      <c r="N17" s="38" t="n">
        <v>10</v>
      </c>
      <c r="O17" s="38" t="inlineStr">
        <is>
          <t>merchant_aimbot, merchant_dryad, merchant_aila, merchant_ande, merchant_goldie, merchant_jay-jay, merchant_luxe, merchant_midsworth, merchant_quixel, merchant_serafina</t>
        </is>
      </c>
      <c r="P17" s="38" t="n">
        <v>10</v>
      </c>
      <c r="Q17" s="38" t="inlineStr">
        <is>
          <t>night_base, elem_火, elem_雷, elem_地, role_召唤, role_坦克, role_控制, role_治疗, tier_pT1, role_机动压制</t>
        </is>
      </c>
      <c r="R17" s="38" t="inlineStr">
        <is>
          <t>Deadly</t>
        </is>
      </c>
      <c r="S17" s="38" t="inlineStr">
        <is>
          <t>pal_016</t>
        </is>
      </c>
      <c r="T17" s="38" t="inlineStr">
        <is>
          <t>涧水象</t>
        </is>
      </c>
      <c r="U17" s="38" t="inlineStr">
        <is>
          <t>https://bazaar-builds.net/db/items/calico.html</t>
        </is>
      </c>
      <c r="V17" s="38" t="inlineStr">
        <is>
          <t>deal 15 / 30 / 60 / 120 damage when you use another weapon, this gains +5 / 10 / 15 / 20% crit chance for the fight.</t>
        </is>
      </c>
      <c r="W17" s="38" t="inlineStr">
        <is>
          <t>一对一确认来源对象。</t>
        </is>
      </c>
      <c r="X17" s="385" t="inlineStr">
        <is>
          <t>hero_001</t>
        </is>
      </c>
      <c r="Y17" s="386" t="inlineStr">
        <is>
          <t>reference_reserved</t>
        </is>
      </c>
      <c r="Z17" s="386" t="inlineStr">
        <is>
          <t>friend, weapon, damage</t>
        </is>
      </c>
      <c r="AA17" s="386" t="inlineStr">
        <is>
          <t>crit</t>
        </is>
      </c>
    </row>
    <row r="18">
      <c r="A18" s="38" t="inlineStr">
        <is>
          <t>bz_van_017</t>
        </is>
      </c>
      <c r="B18" s="38" t="n">
        <v>17</v>
      </c>
      <c r="C18" s="38" t="inlineStr">
        <is>
          <t>item</t>
        </is>
      </c>
      <c r="D18" s="38" t="inlineStr">
        <is>
          <t>snapshot_vanessa_legacy_catalog_v1</t>
        </is>
      </c>
      <c r="E18" s="38" t="inlineStr">
        <is>
          <t>snapshot_the_bazaar_patch_18_0_boundary</t>
        </is>
      </c>
      <c r="F18" s="38" t="inlineStr">
        <is>
          <t>true</t>
        </is>
      </c>
      <c r="G18" s="38" t="inlineStr">
        <is>
          <t>false</t>
        </is>
      </c>
      <c r="H18" s="38" t="inlineStr">
        <is>
          <t>current_rule_match,structured_effects,quality_values,cooldown,buy_price,sell_price,ammo</t>
        </is>
      </c>
      <c r="I18" s="38" t="inlineStr">
        <is>
          <t>cannon</t>
        </is>
      </c>
      <c r="J18" s="38" t="inlineStr">
        <is>
          <t>Cannon</t>
        </is>
      </c>
      <c r="K18" s="38" t="inlineStr">
        <is>
          <t>bronze</t>
        </is>
      </c>
      <c r="L18" s="38" t="inlineStr">
        <is>
          <t>medium</t>
        </is>
      </c>
      <c r="M18" s="38" t="inlineStr">
        <is>
          <t>weapon, damage, ammo, burn</t>
        </is>
      </c>
      <c r="N18" s="38" t="n">
        <v>10</v>
      </c>
      <c r="O18" s="38" t="inlineStr">
        <is>
          <t>merchant_colt, merchant_aila, merchant_barkun, merchant_goldie, merchant_hef, merchant_jay-jay, merchant_luxe, merchant_mittel, merchant_quixel, merchant_serafina</t>
        </is>
      </c>
      <c r="P18" s="38" t="n">
        <v>10</v>
      </c>
      <c r="Q18" s="38" t="inlineStr">
        <is>
          <t>night_base, elem_水, elem_雷, elem_无, role_召唤, role_坦克, role_控制, role_治疗, role_机动, tier_pT2</t>
        </is>
      </c>
      <c r="R18" s="38" t="inlineStr">
        <is>
          <t>Fiery</t>
        </is>
      </c>
      <c r="S18" s="38" t="inlineStr">
        <is>
          <t>pal_017</t>
        </is>
      </c>
      <c r="T18" s="38" t="inlineStr">
        <is>
          <t>黑角犀</t>
        </is>
      </c>
      <c r="U18" s="38" t="inlineStr">
        <is>
          <t>https://bazaar-builds.net/db/items/cannon.html</t>
        </is>
      </c>
      <c r="V18" s="38" t="inlineStr">
        <is>
          <t>deal 40 / 80 / 120 / 160 damage burn equal to 10% of this item's damage</t>
        </is>
      </c>
      <c r="W18" s="38" t="inlineStr">
        <is>
          <t>一对一确认来源对象。</t>
        </is>
      </c>
      <c r="X18" s="385" t="inlineStr">
        <is>
          <t>hero_001</t>
        </is>
      </c>
      <c r="Y18" s="386" t="inlineStr">
        <is>
          <t>reference_reserved</t>
        </is>
      </c>
      <c r="Z18" s="386" t="inlineStr">
        <is>
          <t>weapon, damage, ammo, burn</t>
        </is>
      </c>
      <c r="AA18" s="386" t="str"/>
    </row>
    <row r="19">
      <c r="A19" s="38" t="inlineStr">
        <is>
          <t>bz_van_018</t>
        </is>
      </c>
      <c r="B19" s="38" t="n">
        <v>18</v>
      </c>
      <c r="C19" s="38" t="inlineStr">
        <is>
          <t>item</t>
        </is>
      </c>
      <c r="D19" s="38" t="inlineStr">
        <is>
          <t>snapshot_vanessa_legacy_catalog_v1</t>
        </is>
      </c>
      <c r="E19" s="38" t="inlineStr">
        <is>
          <t>snapshot_the_bazaar_patch_18_0_boundary</t>
        </is>
      </c>
      <c r="F19" s="38" t="inlineStr">
        <is>
          <t>true</t>
        </is>
      </c>
      <c r="G19" s="38" t="inlineStr">
        <is>
          <t>false</t>
        </is>
      </c>
      <c r="H19" s="38" t="inlineStr">
        <is>
          <t>current_rule_match,structured_effects,quality_values,cooldown,buy_price,sell_price,ammo</t>
        </is>
      </c>
      <c r="I19" s="38" t="inlineStr">
        <is>
          <t>cannonade</t>
        </is>
      </c>
      <c r="J19" s="38" t="inlineStr">
        <is>
          <t>Cannonade</t>
        </is>
      </c>
      <c r="K19" s="38" t="inlineStr">
        <is>
          <t>gold</t>
        </is>
      </c>
      <c r="L19" s="38" t="inlineStr">
        <is>
          <t>large</t>
        </is>
      </c>
      <c r="M19" s="38" t="inlineStr">
        <is>
          <t>weapon, damage</t>
        </is>
      </c>
      <c r="N19" s="38" t="n">
        <v>10</v>
      </c>
      <c r="O19" s="38" t="inlineStr">
        <is>
          <t>merchant_aila, merchant_barkun, merchant_goldie, merchant_jay-jay, merchant_luxe, merchant_midsworth, merchant_pol, merchant_serafina, merchant_valpak, merchant_vanessa</t>
        </is>
      </c>
      <c r="P19" s="38" t="n">
        <v>10</v>
      </c>
      <c r="Q19" s="38" t="inlineStr">
        <is>
          <t>night_base, elem_水, elem_雷, elem_地, elem_暗, role_坦克, role_控制, role_治疗, elite_high, role_风系铺场</t>
        </is>
      </c>
      <c r="R19" s="38" t="inlineStr">
        <is>
          <t>Turbo</t>
        </is>
      </c>
      <c r="S19" s="38" t="inlineStr">
        <is>
          <t>pal_018</t>
        </is>
      </c>
      <c r="T19" s="38" t="inlineStr">
        <is>
          <t>竹囊鼠</t>
        </is>
      </c>
      <c r="U19" s="38" t="inlineStr">
        <is>
          <t>https://bazaar-builds.net/db/items/cannonade.html</t>
        </is>
      </c>
      <c r="V19" s="38" t="inlineStr">
        <is>
          <t>deal 200 → 400 damage when you use another weapon, charge this 2 seconds.</t>
        </is>
      </c>
      <c r="W19" s="38" t="inlineStr">
        <is>
          <t>一对一确认来源对象。</t>
        </is>
      </c>
      <c r="X19" s="385" t="inlineStr">
        <is>
          <t>hero_001</t>
        </is>
      </c>
      <c r="Y19" s="386" t="inlineStr">
        <is>
          <t>reference_reserved</t>
        </is>
      </c>
      <c r="Z19" s="386" t="inlineStr">
        <is>
          <t>weapon, damage</t>
        </is>
      </c>
      <c r="AA19" s="386" t="str"/>
    </row>
    <row r="20">
      <c r="A20" s="38" t="inlineStr">
        <is>
          <t>bz_van_019</t>
        </is>
      </c>
      <c r="B20" s="38" t="n">
        <v>19</v>
      </c>
      <c r="C20" s="38" t="inlineStr">
        <is>
          <t>item</t>
        </is>
      </c>
      <c r="D20" s="38" t="inlineStr">
        <is>
          <t>snapshot_vanessa_legacy_catalog_v1</t>
        </is>
      </c>
      <c r="E20" s="38" t="inlineStr">
        <is>
          <t>snapshot_the_bazaar_patch_18_0_boundary</t>
        </is>
      </c>
      <c r="F20" s="38" t="inlineStr">
        <is>
          <t>true</t>
        </is>
      </c>
      <c r="G20" s="38" t="inlineStr">
        <is>
          <t>false</t>
        </is>
      </c>
      <c r="H20" s="38" t="inlineStr">
        <is>
          <t>current_rule_match,structured_effects,quality_values,cooldown,buy_price,sell_price,ammo</t>
        </is>
      </c>
      <c r="I20" s="38" t="inlineStr">
        <is>
          <t>cannonball</t>
        </is>
      </c>
      <c r="J20" s="38" t="inlineStr">
        <is>
          <t>Cannonball</t>
        </is>
      </c>
      <c r="K20" s="38" t="inlineStr">
        <is>
          <t>silver</t>
        </is>
      </c>
      <c r="L20" s="38" t="inlineStr">
        <is>
          <t>small</t>
        </is>
      </c>
      <c r="M20" s="38" t="inlineStr">
        <is>
          <t>ammoreference</t>
        </is>
      </c>
      <c r="N20" s="38" t="n">
        <v>10</v>
      </c>
      <c r="O20" s="38" t="inlineStr">
        <is>
          <t>merchant_colt, merchant_ande, merchant_goldie, merchant_jay-jay, merchant_kina, merchant_luxe, merchant_midsworth, merchant_quixel, merchant_serafina, merchant_silvia</t>
        </is>
      </c>
      <c r="P20" s="38" t="n">
        <v>10</v>
      </c>
      <c r="Q20" s="38" t="inlineStr">
        <is>
          <t>elem_火, elem_雷, elem_冰, elem_地, role_召唤, role_坦克, role_控制, role_治疗, role_经济, role_机动</t>
        </is>
      </c>
      <c r="R20" s="38" t="inlineStr">
        <is>
          <t>Deadly</t>
        </is>
      </c>
      <c r="S20" s="38" t="inlineStr">
        <is>
          <t>pal_019</t>
        </is>
      </c>
      <c r="T20" s="38" t="inlineStr">
        <is>
          <t>夜穴鼹</t>
        </is>
      </c>
      <c r="U20" s="38" t="inlineStr">
        <is>
          <t>https://bazaar-builds.net/db/items/cannonball.html</t>
        </is>
      </c>
      <c r="V20" s="38" t="inlineStr">
        <is>
          <t>adjacent items have +2 / 3 / 4 max ammo.</t>
        </is>
      </c>
      <c r="W20" s="38" t="inlineStr">
        <is>
          <t>一对一确认来源对象。</t>
        </is>
      </c>
      <c r="X20" s="385" t="inlineStr">
        <is>
          <t>hero_001</t>
        </is>
      </c>
      <c r="Y20" s="386" t="inlineStr">
        <is>
          <t>reference_reserved</t>
        </is>
      </c>
      <c r="Z20" s="386" t="str"/>
      <c r="AA20" s="386" t="inlineStr">
        <is>
          <t>ammo</t>
        </is>
      </c>
    </row>
    <row r="21">
      <c r="A21" s="38" t="inlineStr">
        <is>
          <t>bz_van_020</t>
        </is>
      </c>
      <c r="B21" s="38" t="n">
        <v>20</v>
      </c>
      <c r="C21" s="38" t="inlineStr">
        <is>
          <t>item</t>
        </is>
      </c>
      <c r="D21" s="38" t="inlineStr">
        <is>
          <t>snapshot_vanessa_legacy_catalog_v1</t>
        </is>
      </c>
      <c r="E21" s="38" t="inlineStr">
        <is>
          <t>snapshot_the_bazaar_patch_18_0_boundary</t>
        </is>
      </c>
      <c r="F21" s="38" t="inlineStr">
        <is>
          <t>true</t>
        </is>
      </c>
      <c r="G21" s="38" t="inlineStr">
        <is>
          <t>false</t>
        </is>
      </c>
      <c r="H21" s="38" t="inlineStr">
        <is>
          <t>current_rule_match,structured_effects,quality_values,cooldown,buy_price,sell_price,ammo</t>
        </is>
      </c>
      <c r="I21" s="38" t="inlineStr">
        <is>
          <t>captain-s-quarters</t>
        </is>
      </c>
      <c r="J21" s="38" t="inlineStr">
        <is>
          <t>Captain's Quarters</t>
        </is>
      </c>
      <c r="K21" s="38" t="inlineStr">
        <is>
          <t>silver</t>
        </is>
      </c>
      <c r="L21" s="38" t="inlineStr">
        <is>
          <t>large</t>
        </is>
      </c>
      <c r="M21" s="38" t="inlineStr">
        <is>
          <t>aquatic, property, haste, damagereference, ammoreference</t>
        </is>
      </c>
      <c r="N21" s="38" t="n">
        <v>10</v>
      </c>
      <c r="O21" s="38" t="inlineStr">
        <is>
          <t>merchant_colt, merchant_nautica, merchant_tok-s-clocks, merchant_barkun, merchant_chronos, merchant_goldie, merchant_jay-jay, merchant_kina, merchant_luxe, merchant_midsworth</t>
        </is>
      </c>
      <c r="P21" s="38" t="n">
        <v>10</v>
      </c>
      <c r="Q21" s="38" t="inlineStr">
        <is>
          <t>elem_水, elem_雷, elem_冰, elem_地, role_坦克, role_控制, role_输出, role_机动, special_merchant, elite_high</t>
        </is>
      </c>
      <c r="R21" s="38" t="inlineStr">
        <is>
          <t>Turbo</t>
        </is>
      </c>
      <c r="S21" s="38" t="inlineStr">
        <is>
          <t>pal_020</t>
        </is>
      </c>
      <c r="T21" s="38" t="inlineStr">
        <is>
          <t>沙鬃猪</t>
        </is>
      </c>
      <c r="U21" s="38" t="inlineStr">
        <is>
          <t>https://bazaar-builds.net/db/items/captain-s-quarters.html</t>
        </is>
      </c>
      <c r="V21" s="38" t="inlineStr">
        <is>
          <t>haste your tools and vehicles for 1 / 2 / 3 seconds reload your ammo items 1 / 2 / 3 ammo your weapons gain +20 / 30 / 40 damage for the fight</t>
        </is>
      </c>
      <c r="W21" s="38" t="inlineStr">
        <is>
          <t>一对一确认来源对象。</t>
        </is>
      </c>
      <c r="X21" s="385" t="inlineStr">
        <is>
          <t>hero_001</t>
        </is>
      </c>
      <c r="Y21" s="386" t="inlineStr">
        <is>
          <t>reference_reserved</t>
        </is>
      </c>
      <c r="Z21" s="386" t="inlineStr">
        <is>
          <t>aquatic, property, haste</t>
        </is>
      </c>
      <c r="AA21" s="386" t="inlineStr">
        <is>
          <t>damage, ammo</t>
        </is>
      </c>
    </row>
    <row r="22">
      <c r="A22" s="38" t="inlineStr">
        <is>
          <t>bz_van_021</t>
        </is>
      </c>
      <c r="B22" s="38" t="n">
        <v>21</v>
      </c>
      <c r="C22" s="38" t="inlineStr">
        <is>
          <t>item</t>
        </is>
      </c>
      <c r="D22" s="38" t="inlineStr">
        <is>
          <t>snapshot_vanessa_legacy_catalog_v1</t>
        </is>
      </c>
      <c r="E22" s="38" t="inlineStr">
        <is>
          <t>snapshot_the_bazaar_patch_18_0_boundary</t>
        </is>
      </c>
      <c r="F22" s="38" t="inlineStr">
        <is>
          <t>true</t>
        </is>
      </c>
      <c r="G22" s="38" t="inlineStr">
        <is>
          <t>false</t>
        </is>
      </c>
      <c r="H22" s="38" t="inlineStr">
        <is>
          <t>current_rule_match,structured_effects,quality_values,cooldown,buy_price,sell_price,ammo</t>
        </is>
      </c>
      <c r="I22" s="38" t="inlineStr">
        <is>
          <t>captain-s-wheel</t>
        </is>
      </c>
      <c r="J22" s="38" t="inlineStr">
        <is>
          <t>Captain's Wheel</t>
        </is>
      </c>
      <c r="K22" s="38" t="inlineStr">
        <is>
          <t>silver</t>
        </is>
      </c>
      <c r="L22" s="38" t="inlineStr">
        <is>
          <t>medium</t>
        </is>
      </c>
      <c r="M22" s="38" t="inlineStr">
        <is>
          <t>aquatic, tool, haste</t>
        </is>
      </c>
      <c r="N22" s="38" t="n">
        <v>10</v>
      </c>
      <c r="O22" s="38" t="inlineStr">
        <is>
          <t>merchant_nautica, merchant_tok-s-clocks, merchant_barkun, merchant_chronos, merchant_goldie, merchant_jay-jay, merchant_kina, merchant_luxe, merchant_mittel, merchant_orion</t>
        </is>
      </c>
      <c r="P22" s="38" t="n">
        <v>10</v>
      </c>
      <c r="Q22" s="38" t="inlineStr">
        <is>
          <t>elem_水, elem_雷, elem_冰, elem_无, role_坦克, role_控制, role_输出, special_merchant, elite_high, role_远点压制</t>
        </is>
      </c>
      <c r="R22" s="38" t="inlineStr">
        <is>
          <t>Turbo</t>
        </is>
      </c>
      <c r="S22" s="38" t="inlineStr">
        <is>
          <t>pal_021</t>
        </is>
      </c>
      <c r="T22" s="38" t="inlineStr">
        <is>
          <t>暮羽鸦</t>
        </is>
      </c>
      <c r="U22" s="38" t="inlineStr">
        <is>
          <t>https://bazaar-builds.net/db/items/captain-s-wheel.html</t>
        </is>
      </c>
      <c r="V22" s="38" t="inlineStr">
        <is>
          <t>haste adjacent items for 1 / 2 / 3 seconds if you have a vehicle or large item, this item's cooldown is halved.</t>
        </is>
      </c>
      <c r="W22" s="38" t="inlineStr">
        <is>
          <t>一对一确认来源对象。</t>
        </is>
      </c>
      <c r="X22" s="385" t="inlineStr">
        <is>
          <t>hero_001</t>
        </is>
      </c>
      <c r="Y22" s="386" t="inlineStr">
        <is>
          <t>reference_reserved</t>
        </is>
      </c>
      <c r="Z22" s="386" t="inlineStr">
        <is>
          <t>aquatic, tool, haste</t>
        </is>
      </c>
      <c r="AA22" s="386" t="str"/>
    </row>
    <row r="23">
      <c r="A23" s="38" t="inlineStr">
        <is>
          <t>bz_van_022</t>
        </is>
      </c>
      <c r="B23" s="38" t="n">
        <v>22</v>
      </c>
      <c r="C23" s="38" t="inlineStr">
        <is>
          <t>item</t>
        </is>
      </c>
      <c r="D23" s="38" t="inlineStr">
        <is>
          <t>snapshot_vanessa_legacy_catalog_v1</t>
        </is>
      </c>
      <c r="E23" s="38" t="inlineStr">
        <is>
          <t>snapshot_the_bazaar_patch_18_0_boundary</t>
        </is>
      </c>
      <c r="F23" s="38" t="inlineStr">
        <is>
          <t>true</t>
        </is>
      </c>
      <c r="G23" s="38" t="inlineStr">
        <is>
          <t>false</t>
        </is>
      </c>
      <c r="H23" s="38" t="inlineStr">
        <is>
          <t>current_rule_match,structured_effects,quality_values,cooldown,buy_price,sell_price,ammo</t>
        </is>
      </c>
      <c r="I23" s="38" t="inlineStr">
        <is>
          <t>card-table</t>
        </is>
      </c>
      <c r="J23" s="38" t="inlineStr">
        <is>
          <t>Card Table</t>
        </is>
      </c>
      <c r="K23" s="38" t="inlineStr">
        <is>
          <t>silver</t>
        </is>
      </c>
      <c r="L23" s="38" t="inlineStr">
        <is>
          <t>medium</t>
        </is>
      </c>
      <c r="M23" s="38" t="str"/>
      <c r="N23" s="38" t="n">
        <v>10</v>
      </c>
      <c r="O23" s="38" t="inlineStr">
        <is>
          <t>merchant_barkun, merchant_goldie, merchant_jay-jay, merchant_kina, merchant_luxe, merchant_mittel, merchant_quixel, merchant_serafina, merchant_silvia, merchant_valpak</t>
        </is>
      </c>
      <c r="P23" s="38" t="n">
        <v>10</v>
      </c>
      <c r="Q23" s="38" t="inlineStr">
        <is>
          <t>elem_水, elem_雷, elem_冰, elem_暗, elem_无, role_召唤, role_坦克, role_控制, role_治疗, role_经济</t>
        </is>
      </c>
      <c r="R23" s="38" t="inlineStr">
        <is>
          <t>Turbo</t>
        </is>
      </c>
      <c r="S23" s="38" t="inlineStr">
        <is>
          <t>pal_022</t>
        </is>
      </c>
      <c r="T23" s="38" t="inlineStr">
        <is>
          <t>岩爪鼹</t>
        </is>
      </c>
      <c r="U23" s="38" t="inlineStr">
        <is>
          <t>https://bazaar-builds.net/db/items/card-table.html</t>
        </is>
      </c>
      <c r="V23" s="38" t="inlineStr">
        <is>
          <t>a friend gains +1 multicast for the fight increase this item's cooldown by 1 second for each non-friend you have for the fight.</t>
        </is>
      </c>
      <c r="W23" s="38" t="inlineStr">
        <is>
          <t>一对一确认来源对象。</t>
        </is>
      </c>
      <c r="X23" s="385" t="inlineStr">
        <is>
          <t>hero_001</t>
        </is>
      </c>
      <c r="Y23" s="386" t="inlineStr">
        <is>
          <t>reference_reserved</t>
        </is>
      </c>
      <c r="Z23" s="386" t="str"/>
      <c r="AA23" s="386" t="str"/>
    </row>
    <row r="24">
      <c r="A24" s="38" t="inlineStr">
        <is>
          <t>bz_van_023</t>
        </is>
      </c>
      <c r="B24" s="38" t="n">
        <v>23</v>
      </c>
      <c r="C24" s="38" t="inlineStr">
        <is>
          <t>item</t>
        </is>
      </c>
      <c r="D24" s="38" t="inlineStr">
        <is>
          <t>snapshot_vanessa_legacy_catalog_v1</t>
        </is>
      </c>
      <c r="E24" s="38" t="inlineStr">
        <is>
          <t>snapshot_the_bazaar_patch_18_0_boundary</t>
        </is>
      </c>
      <c r="F24" s="38" t="inlineStr">
        <is>
          <t>true</t>
        </is>
      </c>
      <c r="G24" s="38" t="inlineStr">
        <is>
          <t>false</t>
        </is>
      </c>
      <c r="H24" s="38" t="inlineStr">
        <is>
          <t>current_rule_match,structured_effects,quality_values,cooldown,buy_price,sell_price,ammo</t>
        </is>
      </c>
      <c r="I24" s="38" t="inlineStr">
        <is>
          <t>catfish</t>
        </is>
      </c>
      <c r="J24" s="38" t="inlineStr">
        <is>
          <t>Catfish</t>
        </is>
      </c>
      <c r="K24" s="38" t="inlineStr">
        <is>
          <t>bronze</t>
        </is>
      </c>
      <c r="L24" s="38" t="inlineStr">
        <is>
          <t>small</t>
        </is>
      </c>
      <c r="M24" s="38" t="inlineStr">
        <is>
          <t>aquatic, friend, poison, hastereference</t>
        </is>
      </c>
      <c r="N24" s="38" t="n">
        <v>10</v>
      </c>
      <c r="O24" s="38" t="inlineStr">
        <is>
          <t>merchant_dryad, merchant_nautica, merchant_tok-s-clocks, merchant_ande, merchant_chronos, merchant_goldie, merchant_jay-jay, merchant_kina, merchant_knightshade, merchant_luxe</t>
        </is>
      </c>
      <c r="P24" s="38" t="n">
        <v>10</v>
      </c>
      <c r="Q24" s="38" t="inlineStr">
        <is>
          <t>elem_火, elem_雷, elem_冰, role_坦克, role_控制, role_输出, special_merchant, elite_high, role_机动压制, role_火系压制</t>
        </is>
      </c>
      <c r="R24" s="38" t="inlineStr">
        <is>
          <t>Toxic</t>
        </is>
      </c>
      <c r="S24" s="38" t="inlineStr">
        <is>
          <t>pal_023</t>
        </is>
      </c>
      <c r="T24" s="38" t="inlineStr">
        <is>
          <t>墨潭鲵</t>
        </is>
      </c>
      <c r="U24" s="38" t="inlineStr">
        <is>
          <t>https://bazaar-builds.net/db/items/catfish.html</t>
        </is>
      </c>
      <c r="V24" s="38" t="inlineStr">
        <is>
          <t>poison 3 when this is hasted, this gains +2 / 4 / 6 / 8 poison for the fight.</t>
        </is>
      </c>
      <c r="W24" s="38" t="inlineStr">
        <is>
          <t>一对一确认来源对象。</t>
        </is>
      </c>
      <c r="X24" s="385" t="inlineStr">
        <is>
          <t>hero_001</t>
        </is>
      </c>
      <c r="Y24" s="386" t="inlineStr">
        <is>
          <t>reference_reserved</t>
        </is>
      </c>
      <c r="Z24" s="386" t="inlineStr">
        <is>
          <t>aquatic, friend, poison</t>
        </is>
      </c>
      <c r="AA24" s="386" t="inlineStr">
        <is>
          <t>haste</t>
        </is>
      </c>
    </row>
    <row r="25">
      <c r="A25" s="38" t="inlineStr">
        <is>
          <t>bz_van_024</t>
        </is>
      </c>
      <c r="B25" s="38" t="n">
        <v>24</v>
      </c>
      <c r="C25" s="38" t="inlineStr">
        <is>
          <t>item</t>
        </is>
      </c>
      <c r="D25" s="38" t="inlineStr">
        <is>
          <t>snapshot_vanessa_legacy_catalog_v1</t>
        </is>
      </c>
      <c r="E25" s="38" t="inlineStr">
        <is>
          <t>snapshot_the_bazaar_patch_18_0_boundary</t>
        </is>
      </c>
      <c r="F25" s="38" t="inlineStr">
        <is>
          <t>true</t>
        </is>
      </c>
      <c r="G25" s="38" t="inlineStr">
        <is>
          <t>false</t>
        </is>
      </c>
      <c r="H25" s="38" t="inlineStr">
        <is>
          <t>current_rule_match,structured_effects,quality_values,cooldown,buy_price,sell_price,ammo</t>
        </is>
      </c>
      <c r="I25" s="38" t="inlineStr">
        <is>
          <t>cauterizing-blade</t>
        </is>
      </c>
      <c r="J25" s="38" t="inlineStr">
        <is>
          <t>Cauterizing Blade</t>
        </is>
      </c>
      <c r="K25" s="38" t="inlineStr">
        <is>
          <t>silver</t>
        </is>
      </c>
      <c r="L25" s="38" t="inlineStr">
        <is>
          <t>medium</t>
        </is>
      </c>
      <c r="M25" s="38" t="inlineStr">
        <is>
          <t>weapon, tech, damage, burn</t>
        </is>
      </c>
      <c r="N25" s="38" t="n">
        <v>10</v>
      </c>
      <c r="O25" s="38" t="inlineStr">
        <is>
          <t>merchant_the-tester, merchant_tok-s-clocks, merchant_aila, merchant_barkun, merchant_chronos, merchant_cobweb, merchant_goldie, merchant_hef, merchant_jay-jay, merchant_luxe</t>
        </is>
      </c>
      <c r="P25" s="38" t="n">
        <v>10</v>
      </c>
      <c r="Q25" s="38" t="inlineStr">
        <is>
          <t>night_base, elem_水, elem_雷, role_坦克, role_控制, special_merchant, elite_high, tier_pT2, role_召唤铺场, role_抗压承伤</t>
        </is>
      </c>
      <c r="R25" s="38" t="inlineStr">
        <is>
          <t>Fiery</t>
        </is>
      </c>
      <c r="S25" s="38" t="inlineStr">
        <is>
          <t>pal_024</t>
        </is>
      </c>
      <c r="T25" s="38" t="inlineStr">
        <is>
          <t>幽纹猫</t>
        </is>
      </c>
      <c r="U25" s="38" t="inlineStr">
        <is>
          <t>https://bazaar-builds.net/db/items/cauterizing-blade.html</t>
        </is>
      </c>
      <c r="V25" s="38" t="inlineStr">
        <is>
          <t>deal 20 damage burn 2 quest: slow 10 times when you slow, this gains +0 damage and +0 burn for the fight. quest: haste 10 times when you haste, this gains +0 damage and +0 burn for the fight.</t>
        </is>
      </c>
      <c r="W25" s="38" t="inlineStr">
        <is>
          <t>一对一确认来源对象。</t>
        </is>
      </c>
      <c r="X25" s="385" t="inlineStr">
        <is>
          <t>hero_001</t>
        </is>
      </c>
      <c r="Y25" s="386" t="inlineStr">
        <is>
          <t>reference_reserved</t>
        </is>
      </c>
      <c r="Z25" s="386" t="inlineStr">
        <is>
          <t>weapon, tech, damage, burn</t>
        </is>
      </c>
      <c r="AA25" s="386" t="str"/>
    </row>
    <row r="26">
      <c r="A26" s="38" t="inlineStr">
        <is>
          <t>bz_van_025</t>
        </is>
      </c>
      <c r="B26" s="38" t="n">
        <v>25</v>
      </c>
      <c r="C26" s="38" t="inlineStr">
        <is>
          <t>item</t>
        </is>
      </c>
      <c r="D26" s="38" t="inlineStr">
        <is>
          <t>snapshot_vanessa_legacy_catalog_v1</t>
        </is>
      </c>
      <c r="E26" s="38" t="inlineStr">
        <is>
          <t>snapshot_the_bazaar_patch_18_0_boundary</t>
        </is>
      </c>
      <c r="F26" s="38" t="inlineStr">
        <is>
          <t>true</t>
        </is>
      </c>
      <c r="G26" s="38" t="inlineStr">
        <is>
          <t>false</t>
        </is>
      </c>
      <c r="H26" s="38" t="inlineStr">
        <is>
          <t>current_rule_match,structured_effects,quality_values,cooldown,buy_price,sell_price,ammo</t>
        </is>
      </c>
      <c r="I26" s="38" t="inlineStr">
        <is>
          <t>chum</t>
        </is>
      </c>
      <c r="J26" s="38" t="inlineStr">
        <is>
          <t>Chum</t>
        </is>
      </c>
      <c r="K26" s="38" t="inlineStr">
        <is>
          <t>bronze</t>
        </is>
      </c>
      <c r="L26" s="38" t="inlineStr">
        <is>
          <t>small</t>
        </is>
      </c>
      <c r="M26" s="38" t="inlineStr">
        <is>
          <t>aquatic, food, crit</t>
        </is>
      </c>
      <c r="N26" s="38" t="n">
        <v>10</v>
      </c>
      <c r="O26" s="38" t="inlineStr">
        <is>
          <t>merchant_aimbot, merchant_nautica, merchant_ande, merchant_gastro, merchant_goldie, merchant_jay-jay, merchant_kina, merchant_luxe, merchant_midsworth, merchant_quixel</t>
        </is>
      </c>
      <c r="P26" s="38" t="n">
        <v>10</v>
      </c>
      <c r="Q26" s="38" t="inlineStr">
        <is>
          <t>elem_火, elem_雷, elem_冰, elem_地, role_召唤, role_坦克, role_控制, role_输出, tier_pT1, tier_pT3</t>
        </is>
      </c>
      <c r="R26" s="38" t="inlineStr">
        <is>
          <t>Golden</t>
        </is>
      </c>
      <c r="S26" s="38" t="inlineStr">
        <is>
          <t>pal_025</t>
        </is>
      </c>
      <c r="T26" s="38" t="inlineStr">
        <is>
          <t>泉须鲶</t>
        </is>
      </c>
      <c r="U26" s="38" t="inlineStr">
        <is>
          <t>https://bazaar-builds.net/db/items/chum.html</t>
        </is>
      </c>
      <c r="V26" s="38" t="inlineStr">
        <is>
          <t>your aquatic items gain +3 / 6 / 9 / 12% crit chance for the fight when you buy this, get a piranha.</t>
        </is>
      </c>
      <c r="W26" s="38" t="inlineStr">
        <is>
          <t>一对一确认来源对象。</t>
        </is>
      </c>
      <c r="X26" s="385" t="inlineStr">
        <is>
          <t>hero_001</t>
        </is>
      </c>
      <c r="Y26" s="386" t="inlineStr">
        <is>
          <t>reference_reserved</t>
        </is>
      </c>
      <c r="Z26" s="386" t="inlineStr">
        <is>
          <t>aquatic, food, crit</t>
        </is>
      </c>
      <c r="AA26" s="386" t="str"/>
    </row>
    <row r="27">
      <c r="A27" s="38" t="inlineStr">
        <is>
          <t>bz_van_026</t>
        </is>
      </c>
      <c r="B27" s="38" t="n">
        <v>26</v>
      </c>
      <c r="C27" s="38" t="inlineStr">
        <is>
          <t>item</t>
        </is>
      </c>
      <c r="D27" s="38" t="inlineStr">
        <is>
          <t>snapshot_vanessa_legacy_catalog_v1</t>
        </is>
      </c>
      <c r="E27" s="38" t="inlineStr">
        <is>
          <t>snapshot_the_bazaar_patch_18_0_boundary</t>
        </is>
      </c>
      <c r="F27" s="38" t="inlineStr">
        <is>
          <t>true</t>
        </is>
      </c>
      <c r="G27" s="38" t="inlineStr">
        <is>
          <t>false</t>
        </is>
      </c>
      <c r="H27" s="38" t="inlineStr">
        <is>
          <t>current_rule_match,structured_effects,quality_values,cooldown,buy_price,sell_price,ammo</t>
        </is>
      </c>
      <c r="I27" s="38" t="inlineStr">
        <is>
          <t>clamera</t>
        </is>
      </c>
      <c r="J27" s="38" t="inlineStr">
        <is>
          <t>Clamera</t>
        </is>
      </c>
      <c r="K27" s="38" t="inlineStr">
        <is>
          <t>silver</t>
        </is>
      </c>
      <c r="L27" s="38" t="inlineStr">
        <is>
          <t>small</t>
        </is>
      </c>
      <c r="M27" s="38" t="inlineStr">
        <is>
          <t>aquatic, slow</t>
        </is>
      </c>
      <c r="N27" s="38" t="n">
        <v>10</v>
      </c>
      <c r="O27" s="38" t="inlineStr">
        <is>
          <t>merchant_nautica, merchant_tok-s-clocks, merchant_ande, merchant_cobweb, merchant_goldie, merchant_jay-jay, merchant_kina, merchant_luxe, merchant_midsworth, merchant_quixel</t>
        </is>
      </c>
      <c r="P27" s="38" t="n">
        <v>10</v>
      </c>
      <c r="Q27" s="38" t="inlineStr">
        <is>
          <t>elem_火, elem_雷, elem_冰, elem_地, role_召唤, role_坦克, role_控制, role_输出, special_merchant, role_召唤铺场</t>
        </is>
      </c>
      <c r="R27" s="38" t="inlineStr">
        <is>
          <t>Icy</t>
        </is>
      </c>
      <c r="S27" s="38" t="inlineStr">
        <is>
          <t>pal_026</t>
        </is>
      </c>
      <c r="T27" s="38" t="inlineStr">
        <is>
          <t>疾风狼</t>
        </is>
      </c>
      <c r="U27" s="38" t="inlineStr">
        <is>
          <t>https://bazaar-builds.net/db/items/clamera.html</t>
        </is>
      </c>
      <c r="V27" s="38" t="inlineStr">
        <is>
          <t>slow an item for 2 seconds the first 2 / 3 / 4 times your enemy uses an item each fight, use this.</t>
        </is>
      </c>
      <c r="W27" s="38" t="inlineStr">
        <is>
          <t>一对一确认来源对象。</t>
        </is>
      </c>
      <c r="X27" s="385" t="inlineStr">
        <is>
          <t>hero_001</t>
        </is>
      </c>
      <c r="Y27" s="386" t="inlineStr">
        <is>
          <t>reference_reserved</t>
        </is>
      </c>
      <c r="Z27" s="386" t="inlineStr">
        <is>
          <t>aquatic, slow</t>
        </is>
      </c>
      <c r="AA27" s="386" t="str"/>
    </row>
    <row r="28">
      <c r="A28" s="38" t="inlineStr">
        <is>
          <t>bz_van_027</t>
        </is>
      </c>
      <c r="B28" s="38" t="n">
        <v>27</v>
      </c>
      <c r="C28" s="38" t="inlineStr">
        <is>
          <t>item</t>
        </is>
      </c>
      <c r="D28" s="38" t="inlineStr">
        <is>
          <t>snapshot_vanessa_legacy_catalog_v1</t>
        </is>
      </c>
      <c r="E28" s="38" t="inlineStr">
        <is>
          <t>snapshot_the_bazaar_patch_18_0_boundary</t>
        </is>
      </c>
      <c r="F28" s="38" t="inlineStr">
        <is>
          <t>true</t>
        </is>
      </c>
      <c r="G28" s="38" t="inlineStr">
        <is>
          <t>false</t>
        </is>
      </c>
      <c r="H28" s="38" t="inlineStr">
        <is>
          <t>current_rule_match,structured_effects,quality_values,cooldown,buy_price,sell_price,ammo</t>
        </is>
      </c>
      <c r="I28" s="38" t="inlineStr">
        <is>
          <t>concealed-dagger</t>
        </is>
      </c>
      <c r="J28" s="38" t="inlineStr">
        <is>
          <t>Concealed Dagger</t>
        </is>
      </c>
      <c r="K28" s="38" t="inlineStr">
        <is>
          <t>bronze</t>
        </is>
      </c>
      <c r="L28" s="38" t="inlineStr">
        <is>
          <t>small</t>
        </is>
      </c>
      <c r="M28" s="38" t="inlineStr">
        <is>
          <t>weapon, damage, gold, haste</t>
        </is>
      </c>
      <c r="N28" s="38" t="n">
        <v>10</v>
      </c>
      <c r="O28" s="38" t="inlineStr">
        <is>
          <t>merchant_tok-s-clocks, merchant_aila, merchant_ande, merchant_chronos, merchant_goldie, merchant_jay-jay, merchant_luxe, merchant_midsworth, merchant_quixel, merchant_serafina</t>
        </is>
      </c>
      <c r="P28" s="38" t="n">
        <v>10</v>
      </c>
      <c r="Q28" s="38" t="inlineStr">
        <is>
          <t>night_base, elem_火, elem_雷, elem_地, role_召唤, role_坦克, role_控制, role_治疗, special_merchant, elite_high</t>
        </is>
      </c>
      <c r="R28" s="38" t="inlineStr">
        <is>
          <t>Turbo</t>
        </is>
      </c>
      <c r="S28" s="38" t="inlineStr">
        <is>
          <t>pal_027</t>
        </is>
      </c>
      <c r="T28" s="38" t="inlineStr">
        <is>
          <t>惊羽雀</t>
        </is>
      </c>
      <c r="U28" s="38" t="inlineStr">
        <is>
          <t>https://bazaar-builds.net/db/items/concealed-dagger.html</t>
        </is>
      </c>
      <c r="V28" s="38" t="inlineStr">
        <is>
          <t>deal 10 / 20 / 40 / 80 damage haste an item 1 / 2 / 3 / 4 seconds. at the start of each fight with this, gain 1 gold.</t>
        </is>
      </c>
      <c r="W28" s="38" t="inlineStr">
        <is>
          <t>一对一确认来源对象。</t>
        </is>
      </c>
      <c r="X28" s="385" t="inlineStr">
        <is>
          <t>hero_001</t>
        </is>
      </c>
      <c r="Y28" s="386" t="inlineStr">
        <is>
          <t>reference_reserved</t>
        </is>
      </c>
      <c r="Z28" s="386" t="inlineStr">
        <is>
          <t>weapon, damage, gold, haste</t>
        </is>
      </c>
      <c r="AA28" s="386" t="str"/>
    </row>
    <row r="29">
      <c r="A29" s="38" t="inlineStr">
        <is>
          <t>bz_van_028</t>
        </is>
      </c>
      <c r="B29" s="38" t="n">
        <v>28</v>
      </c>
      <c r="C29" s="38" t="inlineStr">
        <is>
          <t>item</t>
        </is>
      </c>
      <c r="D29" s="38" t="inlineStr">
        <is>
          <t>snapshot_vanessa_legacy_catalog_v1</t>
        </is>
      </c>
      <c r="E29" s="38" t="inlineStr">
        <is>
          <t>snapshot_the_bazaar_patch_18_0_boundary</t>
        </is>
      </c>
      <c r="F29" s="38" t="inlineStr">
        <is>
          <t>true</t>
        </is>
      </c>
      <c r="G29" s="38" t="inlineStr">
        <is>
          <t>false</t>
        </is>
      </c>
      <c r="H29" s="38" t="inlineStr">
        <is>
          <t>current_rule_match,structured_effects,quality_values,cooldown,buy_price,sell_price,ammo</t>
        </is>
      </c>
      <c r="I29" s="38" t="inlineStr">
        <is>
          <t>coral</t>
        </is>
      </c>
      <c r="J29" s="38" t="inlineStr">
        <is>
          <t>Coral</t>
        </is>
      </c>
      <c r="K29" s="38" t="inlineStr">
        <is>
          <t>bronze</t>
        </is>
      </c>
      <c r="L29" s="38" t="inlineStr">
        <is>
          <t>small</t>
        </is>
      </c>
      <c r="M29" s="38" t="inlineStr">
        <is>
          <t>aquatic, relic, heal</t>
        </is>
      </c>
      <c r="N29" s="38" t="n">
        <v>10</v>
      </c>
      <c r="O29" s="38" t="inlineStr">
        <is>
          <t>merchant_nautica, merchant_ande, merchant_goldie, merchant_herma, merchant_jay-jay, merchant_kina, merchant_luxe, merchant_midsworth, merchant_quixel, merchant_serafina</t>
        </is>
      </c>
      <c r="P29" s="38" t="n">
        <v>10</v>
      </c>
      <c r="Q29" s="38" t="inlineStr">
        <is>
          <t>night_base, elem_火, elem_雷, elem_冰, elem_地, role_召唤, role_坦克, role_控制, role_治疗, role_输出</t>
        </is>
      </c>
      <c r="R29" s="38" t="inlineStr">
        <is>
          <t>Restorative</t>
        </is>
      </c>
      <c r="S29" s="38" t="inlineStr">
        <is>
          <t>pal_028</t>
        </is>
      </c>
      <c r="T29" s="38" t="inlineStr">
        <is>
          <t>药草兔</t>
        </is>
      </c>
      <c r="U29" s="38" t="inlineStr">
        <is>
          <t>https://bazaar-builds.net/db/items/coral.html</t>
        </is>
      </c>
      <c r="V29" s="38" t="inlineStr">
        <is>
          <t>heal 20 when you buy an aquatic item, this gains heal 5 / 10 / 15 / 20.</t>
        </is>
      </c>
      <c r="W29" s="38" t="inlineStr">
        <is>
          <t>一对一确认来源对象。</t>
        </is>
      </c>
      <c r="X29" s="385" t="inlineStr">
        <is>
          <t>hero_001</t>
        </is>
      </c>
      <c r="Y29" s="386" t="inlineStr">
        <is>
          <t>reference_reserved</t>
        </is>
      </c>
      <c r="Z29" s="386" t="inlineStr">
        <is>
          <t>aquatic, relic, heal</t>
        </is>
      </c>
      <c r="AA29" s="386" t="str"/>
    </row>
    <row r="30">
      <c r="A30" s="38" t="inlineStr">
        <is>
          <t>bz_van_029</t>
        </is>
      </c>
      <c r="B30" s="38" t="n">
        <v>29</v>
      </c>
      <c r="C30" s="38" t="inlineStr">
        <is>
          <t>item</t>
        </is>
      </c>
      <c r="D30" s="38" t="inlineStr">
        <is>
          <t>snapshot_vanessa_legacy_catalog_v1</t>
        </is>
      </c>
      <c r="E30" s="38" t="inlineStr">
        <is>
          <t>snapshot_the_bazaar_patch_18_0_boundary</t>
        </is>
      </c>
      <c r="F30" s="38" t="inlineStr">
        <is>
          <t>true</t>
        </is>
      </c>
      <c r="G30" s="38" t="inlineStr">
        <is>
          <t>false</t>
        </is>
      </c>
      <c r="H30" s="38" t="inlineStr">
        <is>
          <t>current_rule_match,structured_effects,quality_values,cooldown,buy_price,sell_price,ammo</t>
        </is>
      </c>
      <c r="I30" s="38" t="inlineStr">
        <is>
          <t>coral-armor</t>
        </is>
      </c>
      <c r="J30" s="38" t="inlineStr">
        <is>
          <t>Coral Armor</t>
        </is>
      </c>
      <c r="K30" s="38" t="inlineStr">
        <is>
          <t>bronze</t>
        </is>
      </c>
      <c r="L30" s="38" t="inlineStr">
        <is>
          <t>medium</t>
        </is>
      </c>
      <c r="M30" s="38" t="inlineStr">
        <is>
          <t>aquatic, apparel, relic, shield</t>
        </is>
      </c>
      <c r="N30" s="38" t="n">
        <v>10</v>
      </c>
      <c r="O30" s="38" t="inlineStr">
        <is>
          <t>merchant_kev-s-armory, merchant_nautica, merchant_barkun, merchant_gaseo, merchant_goldie, merchant_jay-jay, merchant_kina, merchant_luxe, merchant_mittel, merchant_proteus</t>
        </is>
      </c>
      <c r="P30" s="38" t="n">
        <v>10</v>
      </c>
      <c r="Q30" s="38" t="inlineStr">
        <is>
          <t>elem_水, elem_雷, elem_冰, elem_龙, elem_无, role_坦克, role_控制, role_输出, tier_pT3, role_重甲抗压</t>
        </is>
      </c>
      <c r="R30" s="38" t="inlineStr">
        <is>
          <t>Shielded</t>
        </is>
      </c>
      <c r="S30" s="38" t="inlineStr">
        <is>
          <t>pal_029</t>
        </is>
      </c>
      <c r="T30" s="38" t="inlineStr">
        <is>
          <t>黄背牛</t>
        </is>
      </c>
      <c r="U30" s="38" t="inlineStr">
        <is>
          <t>https://bazaar-builds.net/db/items/coral-armor.html</t>
        </is>
      </c>
      <c r="V30" s="38" t="inlineStr">
        <is>
          <t>shield 50 when you buy another aquatic item, this gains 10 / 20 / 30 / 40 shield.</t>
        </is>
      </c>
      <c r="W30" s="38" t="inlineStr">
        <is>
          <t>一对一确认来源对象。</t>
        </is>
      </c>
      <c r="X30" s="385" t="inlineStr">
        <is>
          <t>hero_001</t>
        </is>
      </c>
      <c r="Y30" s="386" t="inlineStr">
        <is>
          <t>reference_reserved</t>
        </is>
      </c>
      <c r="Z30" s="386" t="inlineStr">
        <is>
          <t>aquatic, apparel, relic, shield</t>
        </is>
      </c>
      <c r="AA30" s="386" t="str"/>
    </row>
    <row r="31">
      <c r="A31" s="38" t="inlineStr">
        <is>
          <t>bz_van_030</t>
        </is>
      </c>
      <c r="B31" s="38" t="n">
        <v>30</v>
      </c>
      <c r="C31" s="38" t="inlineStr">
        <is>
          <t>item</t>
        </is>
      </c>
      <c r="D31" s="38" t="inlineStr">
        <is>
          <t>snapshot_vanessa_legacy_catalog_v1</t>
        </is>
      </c>
      <c r="E31" s="38" t="inlineStr">
        <is>
          <t>snapshot_the_bazaar_patch_18_0_boundary</t>
        </is>
      </c>
      <c r="F31" s="38" t="inlineStr">
        <is>
          <t>true</t>
        </is>
      </c>
      <c r="G31" s="38" t="inlineStr">
        <is>
          <t>false</t>
        </is>
      </c>
      <c r="H31" s="38" t="inlineStr">
        <is>
          <t>current_rule_match,structured_effects,quality_values,cooldown,buy_price,sell_price,ammo</t>
        </is>
      </c>
      <c r="I31" s="38" t="inlineStr">
        <is>
          <t>cove</t>
        </is>
      </c>
      <c r="J31" s="38" t="inlineStr">
        <is>
          <t>Cove</t>
        </is>
      </c>
      <c r="K31" s="38" t="inlineStr">
        <is>
          <t>bronze</t>
        </is>
      </c>
      <c r="L31" s="38" t="inlineStr">
        <is>
          <t>large</t>
        </is>
      </c>
      <c r="M31" s="38" t="inlineStr">
        <is>
          <t>aquatic, property, shield, value, economyreference</t>
        </is>
      </c>
      <c r="N31" s="38" t="n">
        <v>10</v>
      </c>
      <c r="O31" s="38" t="inlineStr">
        <is>
          <t>merchant_kev-s-armory, merchant_nautica, merchant_barkun, merchant_goldie, merchant_jay-jay, merchant_kina, merchant_luxe, merchant_midsworth, merchant_mr-morland, merchant_pol</t>
        </is>
      </c>
      <c r="P31" s="38" t="n">
        <v>10</v>
      </c>
      <c r="Q31" s="38" t="inlineStr">
        <is>
          <t>elem_水, elem_雷, elem_冰, elem_地, elem_暗, role_坦克, role_控制, role_输出, tier_pT3, role_风系铺场</t>
        </is>
      </c>
      <c r="R31" s="38" t="inlineStr">
        <is>
          <t>Shielded</t>
        </is>
      </c>
      <c r="S31" s="38" t="inlineStr">
        <is>
          <t>pal_030</t>
        </is>
      </c>
      <c r="T31" s="38" t="inlineStr">
        <is>
          <t>花刺蛛</t>
        </is>
      </c>
      <c r="U31" s="38" t="inlineStr">
        <is>
          <t>https://bazaar-builds.net/db/items/cove.html</t>
        </is>
      </c>
      <c r="V31" s="38" t="inlineStr">
        <is>
          <t>shield equal to this 1 / 2 / 3 / 4 times this item's value when you sell an item, this gains 1 → 2 value.</t>
        </is>
      </c>
      <c r="W31" s="38" t="inlineStr">
        <is>
          <t>一对一确认来源对象。</t>
        </is>
      </c>
      <c r="X31" s="385" t="inlineStr">
        <is>
          <t>hero_001</t>
        </is>
      </c>
      <c r="Y31" s="386" t="inlineStr">
        <is>
          <t>reference_reserved</t>
        </is>
      </c>
      <c r="Z31" s="386" t="inlineStr">
        <is>
          <t>aquatic, property, shield, value</t>
        </is>
      </c>
      <c r="AA31" s="386" t="inlineStr">
        <is>
          <t>economy</t>
        </is>
      </c>
    </row>
    <row r="32">
      <c r="A32" s="38" t="inlineStr">
        <is>
          <t>bz_van_031</t>
        </is>
      </c>
      <c r="B32" s="38" t="n">
        <v>31</v>
      </c>
      <c r="C32" s="38" t="inlineStr">
        <is>
          <t>item</t>
        </is>
      </c>
      <c r="D32" s="38" t="inlineStr">
        <is>
          <t>snapshot_vanessa_legacy_catalog_v1</t>
        </is>
      </c>
      <c r="E32" s="38" t="inlineStr">
        <is>
          <t>snapshot_the_bazaar_patch_18_0_boundary</t>
        </is>
      </c>
      <c r="F32" s="38" t="inlineStr">
        <is>
          <t>true</t>
        </is>
      </c>
      <c r="G32" s="38" t="inlineStr">
        <is>
          <t>false</t>
        </is>
      </c>
      <c r="H32" s="38" t="inlineStr">
        <is>
          <t>current_rule_match,structured_effects,quality_values,cooldown,buy_price,sell_price,ammo</t>
        </is>
      </c>
      <c r="I32" s="38" t="inlineStr">
        <is>
          <t>crow-s-nest</t>
        </is>
      </c>
      <c r="J32" s="38" t="inlineStr">
        <is>
          <t>Crow's Nest</t>
        </is>
      </c>
      <c r="K32" s="38" t="inlineStr">
        <is>
          <t>silver</t>
        </is>
      </c>
      <c r="L32" s="38" t="inlineStr">
        <is>
          <t>large</t>
        </is>
      </c>
      <c r="M32" s="38" t="inlineStr">
        <is>
          <t>property, aquatic, crit</t>
        </is>
      </c>
      <c r="N32" s="38" t="n">
        <v>1</v>
      </c>
      <c r="O32" s="38" t="inlineStr">
        <is>
          <t>merchant_vanessa</t>
        </is>
      </c>
      <c r="P32" s="38" t="n">
        <v>1</v>
      </c>
      <c r="Q32" s="38" t="inlineStr">
        <is>
          <t>elite_high</t>
        </is>
      </c>
      <c r="R32" s="38" t="inlineStr">
        <is>
          <t>Icy</t>
        </is>
      </c>
      <c r="S32" s="38" t="inlineStr">
        <is>
          <t>pal_031</t>
        </is>
      </c>
      <c r="T32" s="38" t="inlineStr">
        <is>
          <t>青背鲵</t>
        </is>
      </c>
      <c r="U32" s="38" t="inlineStr">
        <is>
          <t>https://bazaar-builds.net/db/items/crow-s-nest.html</t>
        </is>
      </c>
      <c r="V32" s="38" t="inlineStr">
        <is>
          <t>your weapons have +40 / 60 / 80% crit chance. if you have only one weapon, it has lifesteal and is affected by slow for half as long.</t>
        </is>
      </c>
      <c r="W32" s="38" t="inlineStr">
        <is>
          <t>一对一确认来源对象。</t>
        </is>
      </c>
      <c r="X32" s="385" t="inlineStr">
        <is>
          <t>hero_001</t>
        </is>
      </c>
      <c r="Y32" s="386" t="inlineStr">
        <is>
          <t>reference_reserved</t>
        </is>
      </c>
      <c r="Z32" s="386" t="inlineStr">
        <is>
          <t>property, aquatic, crit</t>
        </is>
      </c>
      <c r="AA32" s="386" t="str"/>
    </row>
    <row r="33">
      <c r="A33" s="38" t="inlineStr">
        <is>
          <t>bz_van_032</t>
        </is>
      </c>
      <c r="B33" s="38" t="n">
        <v>32</v>
      </c>
      <c r="C33" s="38" t="inlineStr">
        <is>
          <t>item</t>
        </is>
      </c>
      <c r="D33" s="38" t="inlineStr">
        <is>
          <t>snapshot_vanessa_legacy_catalog_v1</t>
        </is>
      </c>
      <c r="E33" s="38" t="inlineStr">
        <is>
          <t>snapshot_the_bazaar_patch_18_0_boundary</t>
        </is>
      </c>
      <c r="F33" s="38" t="inlineStr">
        <is>
          <t>true</t>
        </is>
      </c>
      <c r="G33" s="38" t="inlineStr">
        <is>
          <t>false</t>
        </is>
      </c>
      <c r="H33" s="38" t="inlineStr">
        <is>
          <t>current_rule_match,structured_effects,quality_values,cooldown,buy_price,sell_price,ammo</t>
        </is>
      </c>
      <c r="I33" s="38" t="inlineStr">
        <is>
          <t>custom-scope</t>
        </is>
      </c>
      <c r="J33" s="38" t="inlineStr">
        <is>
          <t>Custom Scope</t>
        </is>
      </c>
      <c r="K33" s="38" t="inlineStr">
        <is>
          <t>silver</t>
        </is>
      </c>
      <c r="L33" s="38" t="inlineStr">
        <is>
          <t>small</t>
        </is>
      </c>
      <c r="M33" s="38" t="inlineStr">
        <is>
          <t>tech, crit, charge</t>
        </is>
      </c>
      <c r="N33" s="38" t="n">
        <v>10</v>
      </c>
      <c r="O33" s="38" t="inlineStr">
        <is>
          <t>merchant_aimbot, merchant_the-tester, merchant_ande, merchant_goldie, merchant_jay-jay, merchant_kina, merchant_luxe, merchant_midsworth, merchant_quixel, merchant_serafina</t>
        </is>
      </c>
      <c r="P33" s="38" t="n">
        <v>10</v>
      </c>
      <c r="Q33" s="38" t="inlineStr">
        <is>
          <t>elem_火, elem_雷, elem_冰, elem_地, role_召唤, role_坦克, role_控制, role_治疗, tier_pT1, role_抗压承伤</t>
        </is>
      </c>
      <c r="R33" s="38" t="inlineStr">
        <is>
          <t>Turbo</t>
        </is>
      </c>
      <c r="S33" s="38" t="inlineStr">
        <is>
          <t>pal_032</t>
        </is>
      </c>
      <c r="T33" s="38" t="inlineStr">
        <is>
          <t>石甲鲮</t>
        </is>
      </c>
      <c r="U33" s="38" t="inlineStr">
        <is>
          <t>https://bazaar-builds.net/db/items/custom-scope.html</t>
        </is>
      </c>
      <c r="V33" s="38" t="inlineStr">
        <is>
          <t>the weapon to the right of this has +20 / 30 / 40% crit chance. if you have exactly one weapon, when you crit with it charge a non-weapon item 1 second.</t>
        </is>
      </c>
      <c r="W33" s="38" t="inlineStr">
        <is>
          <t>一对一确认来源对象。</t>
        </is>
      </c>
      <c r="X33" s="385" t="inlineStr">
        <is>
          <t>hero_001</t>
        </is>
      </c>
      <c r="Y33" s="386" t="inlineStr">
        <is>
          <t>reference_reserved</t>
        </is>
      </c>
      <c r="Z33" s="386" t="inlineStr">
        <is>
          <t>tech, crit, charge</t>
        </is>
      </c>
      <c r="AA33" s="386" t="str"/>
    </row>
    <row r="34">
      <c r="A34" s="38" t="inlineStr">
        <is>
          <t>bz_van_033</t>
        </is>
      </c>
      <c r="B34" s="38" t="n">
        <v>33</v>
      </c>
      <c r="C34" s="38" t="inlineStr">
        <is>
          <t>item</t>
        </is>
      </c>
      <c r="D34" s="38" t="inlineStr">
        <is>
          <t>snapshot_vanessa_legacy_catalog_v1</t>
        </is>
      </c>
      <c r="E34" s="38" t="inlineStr">
        <is>
          <t>snapshot_the_bazaar_patch_18_0_boundary</t>
        </is>
      </c>
      <c r="F34" s="38" t="inlineStr">
        <is>
          <t>true</t>
        </is>
      </c>
      <c r="G34" s="38" t="inlineStr">
        <is>
          <t>false</t>
        </is>
      </c>
      <c r="H34" s="38" t="inlineStr">
        <is>
          <t>current_rule_match,structured_effects,quality_values,cooldown,buy_price,sell_price,ammo</t>
        </is>
      </c>
      <c r="I34" s="38" t="inlineStr">
        <is>
          <t>cutlass</t>
        </is>
      </c>
      <c r="J34" s="38" t="inlineStr">
        <is>
          <t>Cutlass</t>
        </is>
      </c>
      <c r="K34" s="38" t="inlineStr">
        <is>
          <t>bronze</t>
        </is>
      </c>
      <c r="L34" s="38" t="inlineStr">
        <is>
          <t>medium</t>
        </is>
      </c>
      <c r="M34" s="38" t="inlineStr">
        <is>
          <t>weapon, damage, critreference</t>
        </is>
      </c>
      <c r="N34" s="38" t="n">
        <v>10</v>
      </c>
      <c r="O34" s="38" t="inlineStr">
        <is>
          <t>merchant_aimbot, merchant_aila, merchant_barkun, merchant_cobweb, merchant_goldie, merchant_jay-jay, merchant_luxe, merchant_mittel, merchant_quixel, merchant_serafina</t>
        </is>
      </c>
      <c r="P34" s="38" t="n">
        <v>10</v>
      </c>
      <c r="Q34" s="38" t="inlineStr">
        <is>
          <t>night_base, elem_水, elem_雷, elem_无, role_召唤, role_坦克, role_控制, role_治疗, tier_pT1, role_召唤铺场</t>
        </is>
      </c>
      <c r="R34" s="38" t="inlineStr">
        <is>
          <t>Icy</t>
        </is>
      </c>
      <c r="S34" s="38" t="inlineStr">
        <is>
          <t>pal_033</t>
        </is>
      </c>
      <c r="T34" s="38" t="inlineStr">
        <is>
          <t>芭蕉熊</t>
        </is>
      </c>
      <c r="U34" s="38" t="inlineStr">
        <is>
          <t>https://bazaar-builds.net/db/items/cutlass.html</t>
        </is>
      </c>
      <c r="V34" s="38" t="inlineStr">
        <is>
          <t>deal 12 / 24 / 48 / 96 damage while an enemy item is slowed, this has +100% crit chance.</t>
        </is>
      </c>
      <c r="W34" s="38" t="inlineStr">
        <is>
          <t>一对一确认来源对象。</t>
        </is>
      </c>
      <c r="X34" s="385" t="inlineStr">
        <is>
          <t>hero_001</t>
        </is>
      </c>
      <c r="Y34" s="386" t="inlineStr">
        <is>
          <t>reference_reserved</t>
        </is>
      </c>
      <c r="Z34" s="386" t="inlineStr">
        <is>
          <t>weapon, damage</t>
        </is>
      </c>
      <c r="AA34" s="386" t="inlineStr">
        <is>
          <t>crit</t>
        </is>
      </c>
    </row>
    <row r="35">
      <c r="A35" s="38" t="inlineStr">
        <is>
          <t>bz_van_034</t>
        </is>
      </c>
      <c r="B35" s="38" t="n">
        <v>34</v>
      </c>
      <c r="C35" s="38" t="inlineStr">
        <is>
          <t>item</t>
        </is>
      </c>
      <c r="D35" s="38" t="inlineStr">
        <is>
          <t>snapshot_vanessa_legacy_catalog_v1</t>
        </is>
      </c>
      <c r="E35" s="38" t="inlineStr">
        <is>
          <t>snapshot_the_bazaar_patch_18_0_boundary</t>
        </is>
      </c>
      <c r="F35" s="38" t="inlineStr">
        <is>
          <t>true</t>
        </is>
      </c>
      <c r="G35" s="38" t="inlineStr">
        <is>
          <t>false</t>
        </is>
      </c>
      <c r="H35" s="38" t="inlineStr">
        <is>
          <t>current_rule_match,structured_effects,quality_values,cooldown,buy_price,sell_price,ammo</t>
        </is>
      </c>
      <c r="I35" s="38" t="inlineStr">
        <is>
          <t>cyber-sai</t>
        </is>
      </c>
      <c r="J35" s="38" t="inlineStr">
        <is>
          <t>Cyber-Sai</t>
        </is>
      </c>
      <c r="K35" s="38" t="inlineStr">
        <is>
          <t>silver</t>
        </is>
      </c>
      <c r="L35" s="38" t="inlineStr">
        <is>
          <t>medium</t>
        </is>
      </c>
      <c r="M35" s="38" t="inlineStr">
        <is>
          <t>weapon, tech, damage, critreference</t>
        </is>
      </c>
      <c r="N35" s="38" t="n">
        <v>10</v>
      </c>
      <c r="O35" s="38" t="inlineStr">
        <is>
          <t>merchant_aimbot, merchant_the-tester, merchant_aila, merchant_barkun, merchant_goldie, merchant_jay-jay, merchant_luxe, merchant_mittel, merchant_quixel, merchant_serafina</t>
        </is>
      </c>
      <c r="P35" s="38" t="n">
        <v>10</v>
      </c>
      <c r="Q35" s="38" t="inlineStr">
        <is>
          <t>night_base, elem_水, elem_雷, elem_无, role_召唤, role_坦克, role_控制, role_治疗, tier_pT1, role_抗压承伤</t>
        </is>
      </c>
      <c r="R35" s="38" t="inlineStr">
        <is>
          <t>Deadly</t>
        </is>
      </c>
      <c r="S35" s="38" t="inlineStr">
        <is>
          <t>pal_034</t>
        </is>
      </c>
      <c r="T35" s="38" t="inlineStr">
        <is>
          <t>蜜纹獾</t>
        </is>
      </c>
      <c r="U35" s="38" t="inlineStr">
        <is>
          <t>https://bazaar-builds.net/db/items/cyber-sai.html</t>
        </is>
      </c>
      <c r="V35" s="38" t="inlineStr">
        <is>
          <t>deal 10 / 20 / 40 damage when you crit, your weapons gains +5 / 10 / 15 damage for the fight.</t>
        </is>
      </c>
      <c r="W35" s="38" t="inlineStr">
        <is>
          <t>一对一确认来源对象。</t>
        </is>
      </c>
      <c r="X35" s="385" t="inlineStr">
        <is>
          <t>hero_001</t>
        </is>
      </c>
      <c r="Y35" s="386" t="inlineStr">
        <is>
          <t>reference_reserved</t>
        </is>
      </c>
      <c r="Z35" s="386" t="inlineStr">
        <is>
          <t>weapon, tech, damage</t>
        </is>
      </c>
      <c r="AA35" s="386" t="inlineStr">
        <is>
          <t>crit</t>
        </is>
      </c>
    </row>
    <row r="36">
      <c r="A36" s="38" t="inlineStr">
        <is>
          <t>bz_van_035</t>
        </is>
      </c>
      <c r="B36" s="38" t="n">
        <v>35</v>
      </c>
      <c r="C36" s="38" t="inlineStr">
        <is>
          <t>item</t>
        </is>
      </c>
      <c r="D36" s="38" t="inlineStr">
        <is>
          <t>snapshot_vanessa_legacy_catalog_v1</t>
        </is>
      </c>
      <c r="E36" s="38" t="inlineStr">
        <is>
          <t>snapshot_the_bazaar_patch_18_0_boundary</t>
        </is>
      </c>
      <c r="F36" s="38" t="inlineStr">
        <is>
          <t>true</t>
        </is>
      </c>
      <c r="G36" s="38" t="inlineStr">
        <is>
          <t>false</t>
        </is>
      </c>
      <c r="H36" s="38" t="inlineStr">
        <is>
          <t>current_rule_match,structured_effects,quality_values,cooldown,buy_price,sell_price,ammo</t>
        </is>
      </c>
      <c r="I36" s="38" t="inlineStr">
        <is>
          <t>dam</t>
        </is>
      </c>
      <c r="J36" s="38" t="inlineStr">
        <is>
          <t>Dam</t>
        </is>
      </c>
      <c r="K36" s="38" t="inlineStr">
        <is>
          <t>gold</t>
        </is>
      </c>
      <c r="L36" s="38" t="inlineStr">
        <is>
          <t>large</t>
        </is>
      </c>
      <c r="M36" s="38" t="inlineStr">
        <is>
          <t>aquatic, property</t>
        </is>
      </c>
      <c r="N36" s="38" t="n">
        <v>10</v>
      </c>
      <c r="O36" s="38" t="inlineStr">
        <is>
          <t>merchant_nautica, merchant_barkun, merchant_goldie, merchant_jay-jay, merchant_kina, merchant_luxe, merchant_midsworth, merchant_mr-morland, merchant_pol, merchant_serafina</t>
        </is>
      </c>
      <c r="P36" s="38" t="n">
        <v>10</v>
      </c>
      <c r="Q36" s="38" t="inlineStr">
        <is>
          <t>elem_水, elem_雷, elem_冰, elem_地, elem_暗, role_坦克, role_控制, role_治疗, role_输出, role_风系铺场</t>
        </is>
      </c>
      <c r="R36" s="38" t="inlineStr">
        <is>
          <t>Turbo</t>
        </is>
      </c>
      <c r="S36" s="38" t="inlineStr">
        <is>
          <t>pal_035</t>
        </is>
      </c>
      <c r="T36" s="38" t="inlineStr">
        <is>
          <t>藤巢蜂</t>
        </is>
      </c>
      <c r="U36" s="38" t="inlineStr">
        <is>
          <t>https://bazaar-builds.net/db/items/dam.html</t>
        </is>
      </c>
      <c r="V36" s="38" t="inlineStr">
        <is>
          <t>destroy this and all smaller items for the fight when you use another aquatic item, charge this 1 → 2 seconds.</t>
        </is>
      </c>
      <c r="W36" s="38" t="inlineStr">
        <is>
          <t>一对一确认来源对象。</t>
        </is>
      </c>
      <c r="X36" s="385" t="inlineStr">
        <is>
          <t>hero_001</t>
        </is>
      </c>
      <c r="Y36" s="386" t="inlineStr">
        <is>
          <t>reference_reserved</t>
        </is>
      </c>
      <c r="Z36" s="386" t="inlineStr">
        <is>
          <t>aquatic, property</t>
        </is>
      </c>
      <c r="AA36" s="386" t="str"/>
    </row>
    <row r="37">
      <c r="A37" s="38" t="inlineStr">
        <is>
          <t>bz_van_036</t>
        </is>
      </c>
      <c r="B37" s="38" t="n">
        <v>36</v>
      </c>
      <c r="C37" s="38" t="inlineStr">
        <is>
          <t>item</t>
        </is>
      </c>
      <c r="D37" s="38" t="inlineStr">
        <is>
          <t>snapshot_vanessa_legacy_catalog_v1</t>
        </is>
      </c>
      <c r="E37" s="38" t="inlineStr">
        <is>
          <t>snapshot_the_bazaar_patch_18_0_boundary</t>
        </is>
      </c>
      <c r="F37" s="38" t="inlineStr">
        <is>
          <t>true</t>
        </is>
      </c>
      <c r="G37" s="38" t="inlineStr">
        <is>
          <t>false</t>
        </is>
      </c>
      <c r="H37" s="38" t="inlineStr">
        <is>
          <t>current_rule_match,structured_effects,quality_values,cooldown,buy_price,sell_price,ammo</t>
        </is>
      </c>
      <c r="I37" s="38" t="inlineStr">
        <is>
          <t>darkwater-anglerfish</t>
        </is>
      </c>
      <c r="J37" s="38" t="inlineStr">
        <is>
          <t>Darkwater Anglerfish</t>
        </is>
      </c>
      <c r="K37" s="38" t="inlineStr">
        <is>
          <t>silver</t>
        </is>
      </c>
      <c r="L37" s="38" t="inlineStr">
        <is>
          <t>medium</t>
        </is>
      </c>
      <c r="M37" s="38" t="inlineStr">
        <is>
          <t>friend, aquatic, burn, slowreference</t>
        </is>
      </c>
      <c r="N37" s="38" t="n">
        <v>10</v>
      </c>
      <c r="O37" s="38" t="inlineStr">
        <is>
          <t>merchant_dryad, merchant_nautica, merchant_tok-s-clocks, merchant_barkun, merchant_cobweb, merchant_goldie, merchant_hef, merchant_jay-jay, merchant_kina, merchant_luxe</t>
        </is>
      </c>
      <c r="P37" s="38" t="n">
        <v>10</v>
      </c>
      <c r="Q37" s="38" t="inlineStr">
        <is>
          <t>elem_水, elem_雷, elem_冰, role_坦克, role_控制, role_输出, special_merchant, tier_pT2, role_召唤铺场, role_机动压制</t>
        </is>
      </c>
      <c r="R37" s="38" t="inlineStr">
        <is>
          <t>Fiery</t>
        </is>
      </c>
      <c r="S37" s="38" t="inlineStr">
        <is>
          <t>pal_036</t>
        </is>
      </c>
      <c r="T37" s="38" t="inlineStr">
        <is>
          <t>云纹巨驼</t>
        </is>
      </c>
      <c r="U37" s="38" t="inlineStr">
        <is>
          <t>https://bazaar-builds.net/db/items/darkwater-anglerfish.html</t>
        </is>
      </c>
      <c r="V37" s="38" t="inlineStr">
        <is>
          <t>burn 10 / 20 / 30 when you slow, charge this 2 seconds.</t>
        </is>
      </c>
      <c r="W37" s="38" t="inlineStr">
        <is>
          <t>一对一确认来源对象。</t>
        </is>
      </c>
      <c r="X37" s="385" t="inlineStr">
        <is>
          <t>hero_001</t>
        </is>
      </c>
      <c r="Y37" s="386" t="inlineStr">
        <is>
          <t>reference_reserved</t>
        </is>
      </c>
      <c r="Z37" s="386" t="inlineStr">
        <is>
          <t>friend, aquatic, burn</t>
        </is>
      </c>
      <c r="AA37" s="386" t="inlineStr">
        <is>
          <t>slow</t>
        </is>
      </c>
    </row>
    <row r="38">
      <c r="A38" s="38" t="inlineStr">
        <is>
          <t>bz_van_037</t>
        </is>
      </c>
      <c r="B38" s="38" t="n">
        <v>37</v>
      </c>
      <c r="C38" s="38" t="inlineStr">
        <is>
          <t>item</t>
        </is>
      </c>
      <c r="D38" s="38" t="inlineStr">
        <is>
          <t>snapshot_vanessa_legacy_catalog_v1</t>
        </is>
      </c>
      <c r="E38" s="38" t="inlineStr">
        <is>
          <t>snapshot_the_bazaar_patch_18_0_boundary</t>
        </is>
      </c>
      <c r="F38" s="38" t="inlineStr">
        <is>
          <t>true</t>
        </is>
      </c>
      <c r="G38" s="38" t="inlineStr">
        <is>
          <t>false</t>
        </is>
      </c>
      <c r="H38" s="38" t="inlineStr">
        <is>
          <t>current_rule_match,structured_effects,quality_values,cooldown,buy_price,sell_price,ammo</t>
        </is>
      </c>
      <c r="I38" s="38" t="inlineStr">
        <is>
          <t>dart-launcher</t>
        </is>
      </c>
      <c r="J38" s="38" t="inlineStr">
        <is>
          <t>Dart Launcher</t>
        </is>
      </c>
      <c r="K38" s="38" t="inlineStr">
        <is>
          <t>silver</t>
        </is>
      </c>
      <c r="L38" s="38" t="inlineStr">
        <is>
          <t>small</t>
        </is>
      </c>
      <c r="M38" s="38" t="inlineStr">
        <is>
          <t>weapon, tech, damage, slow, poison</t>
        </is>
      </c>
      <c r="N38" s="38" t="n">
        <v>10</v>
      </c>
      <c r="O38" s="38" t="inlineStr">
        <is>
          <t>merchant_the-tester, merchant_tok-s-clocks, merchant_aila, merchant_ande, merchant_cobweb, merchant_goldie, merchant_jay-jay, merchant_knightshade, merchant_luxe, merchant_midsworth</t>
        </is>
      </c>
      <c r="P38" s="38" t="n">
        <v>10</v>
      </c>
      <c r="Q38" s="38" t="inlineStr">
        <is>
          <t>night_base, elem_火, elem_雷, elem_地, role_坦克, role_控制, special_merchant, role_召唤铺场, role_抗压承伤, role_火系压制</t>
        </is>
      </c>
      <c r="R38" s="38" t="inlineStr">
        <is>
          <t>Icy</t>
        </is>
      </c>
      <c r="S38" s="38" t="inlineStr">
        <is>
          <t>pal_037</t>
        </is>
      </c>
      <c r="T38" s="38" t="inlineStr">
        <is>
          <t>月角白鹿</t>
        </is>
      </c>
      <c r="U38" s="38" t="inlineStr">
        <is>
          <t>https://bazaar-builds.net/db/items/dart-launcher.html</t>
        </is>
      </c>
      <c r="V38" s="38" t="inlineStr">
        <is>
          <t>deal 5 / 10 / 15 damage if this is adjacent to a slow item, slow 1 / 2 / 3 item(s) for 1 second if this is adjacent to a poison item, poison 3 / 6 / 9</t>
        </is>
      </c>
      <c r="W38" s="38" t="inlineStr">
        <is>
          <t>一对一确认来源对象。</t>
        </is>
      </c>
      <c r="X38" s="385" t="inlineStr">
        <is>
          <t>hero_001</t>
        </is>
      </c>
      <c r="Y38" s="386" t="inlineStr">
        <is>
          <t>reference_reserved</t>
        </is>
      </c>
      <c r="Z38" s="386" t="inlineStr">
        <is>
          <t>weapon, tech, damage, slow, poison</t>
        </is>
      </c>
      <c r="AA38" s="386" t="str"/>
    </row>
    <row r="39">
      <c r="A39" s="38" t="inlineStr">
        <is>
          <t>bz_van_038</t>
        </is>
      </c>
      <c r="B39" s="38" t="n">
        <v>38</v>
      </c>
      <c r="C39" s="38" t="inlineStr">
        <is>
          <t>item</t>
        </is>
      </c>
      <c r="D39" s="38" t="inlineStr">
        <is>
          <t>snapshot_vanessa_legacy_catalog_v1</t>
        </is>
      </c>
      <c r="E39" s="38" t="inlineStr">
        <is>
          <t>snapshot_the_bazaar_patch_18_0_boundary</t>
        </is>
      </c>
      <c r="F39" s="38" t="inlineStr">
        <is>
          <t>true</t>
        </is>
      </c>
      <c r="G39" s="38" t="inlineStr">
        <is>
          <t>false</t>
        </is>
      </c>
      <c r="H39" s="38" t="inlineStr">
        <is>
          <t>current_rule_match,structured_effects,quality_values,cooldown,buy_price,sell_price,ammo</t>
        </is>
      </c>
      <c r="I39" s="38" t="inlineStr">
        <is>
          <t>disguise</t>
        </is>
      </c>
      <c r="J39" s="38" t="inlineStr">
        <is>
          <t>Disguise</t>
        </is>
      </c>
      <c r="K39" s="38" t="inlineStr">
        <is>
          <t>silver</t>
        </is>
      </c>
      <c r="L39" s="38" t="inlineStr">
        <is>
          <t>medium</t>
        </is>
      </c>
      <c r="M39" s="38" t="inlineStr">
        <is>
          <t>apparel, charge</t>
        </is>
      </c>
      <c r="N39" s="38" t="n">
        <v>10</v>
      </c>
      <c r="O39" s="38" t="inlineStr">
        <is>
          <t>merchant_barkun, merchant_gaseo, merchant_goldie, merchant_jay-jay, merchant_kina, merchant_luxe, merchant_mittel, merchant_quixel, merchant_serafina, merchant_silvia</t>
        </is>
      </c>
      <c r="P39" s="38" t="n">
        <v>10</v>
      </c>
      <c r="Q39" s="38" t="inlineStr">
        <is>
          <t>elem_水, elem_雷, elem_冰, elem_无, role_召唤, role_坦克, role_控制, role_治疗, role_经济, role_重甲抗压</t>
        </is>
      </c>
      <c r="R39" s="38" t="inlineStr">
        <is>
          <t>Turbo</t>
        </is>
      </c>
      <c r="S39" s="38" t="inlineStr">
        <is>
          <t>pal_038</t>
        </is>
      </c>
      <c r="T39" s="38" t="inlineStr">
        <is>
          <t>疾风苍鹰</t>
        </is>
      </c>
      <c r="U39" s="38" t="inlineStr">
        <is>
          <t>https://bazaar-builds.net/db/items/disguise.html</t>
        </is>
      </c>
      <c r="V39" s="38" t="inlineStr">
        <is>
          <t>when you use an item from another hero, charge item(s) from your hero 1 second. when you buy this, get a small or medium item from another hero.</t>
        </is>
      </c>
      <c r="W39" s="38" t="inlineStr">
        <is>
          <t>一对一确认来源对象。</t>
        </is>
      </c>
      <c r="X39" s="385" t="inlineStr">
        <is>
          <t>hero_001</t>
        </is>
      </c>
      <c r="Y39" s="386" t="inlineStr">
        <is>
          <t>reference_reserved</t>
        </is>
      </c>
      <c r="Z39" s="386" t="inlineStr">
        <is>
          <t>apparel, charge</t>
        </is>
      </c>
      <c r="AA39" s="386" t="str"/>
    </row>
    <row r="40">
      <c r="A40" s="38" t="inlineStr">
        <is>
          <t>bz_van_039</t>
        </is>
      </c>
      <c r="B40" s="38" t="n">
        <v>39</v>
      </c>
      <c r="C40" s="38" t="inlineStr">
        <is>
          <t>item</t>
        </is>
      </c>
      <c r="D40" s="38" t="inlineStr">
        <is>
          <t>snapshot_vanessa_legacy_catalog_v1</t>
        </is>
      </c>
      <c r="E40" s="38" t="inlineStr">
        <is>
          <t>snapshot_the_bazaar_patch_18_0_boundary</t>
        </is>
      </c>
      <c r="F40" s="38" t="inlineStr">
        <is>
          <t>true</t>
        </is>
      </c>
      <c r="G40" s="38" t="inlineStr">
        <is>
          <t>false</t>
        </is>
      </c>
      <c r="H40" s="38" t="inlineStr">
        <is>
          <t>current_rule_match,structured_effects,quality_values,cooldown,buy_price,sell_price,ammo</t>
        </is>
      </c>
      <c r="I40" s="38" t="inlineStr">
        <is>
          <t>dive-weights</t>
        </is>
      </c>
      <c r="J40" s="38" t="inlineStr">
        <is>
          <t>Dive Weights</t>
        </is>
      </c>
      <c r="K40" s="38" t="inlineStr">
        <is>
          <t>silver</t>
        </is>
      </c>
      <c r="L40" s="38" t="inlineStr">
        <is>
          <t>small</t>
        </is>
      </c>
      <c r="M40" s="38" t="inlineStr">
        <is>
          <t>aquatic, tool, apparel, haste, ammo</t>
        </is>
      </c>
      <c r="N40" s="38" t="n">
        <v>10</v>
      </c>
      <c r="O40" s="38" t="inlineStr">
        <is>
          <t>merchant_colt, merchant_nautica, merchant_tok-s-clocks, merchant_ande, merchant_chronos, merchant_gaseo, merchant_goldie, merchant_jay-jay, merchant_kina, merchant_luxe</t>
        </is>
      </c>
      <c r="P40" s="38" t="n">
        <v>10</v>
      </c>
      <c r="Q40" s="38" t="inlineStr">
        <is>
          <t>elem_火, elem_雷, elem_冰, role_坦克, role_控制, role_输出, role_机动, special_merchant, elite_high, role_重甲抗压</t>
        </is>
      </c>
      <c r="R40" s="38" t="inlineStr">
        <is>
          <t>Turbo</t>
        </is>
      </c>
      <c r="S40" s="38" t="inlineStr">
        <is>
          <t>pal_039</t>
        </is>
      </c>
      <c r="T40" s="38" t="inlineStr">
        <is>
          <t>银背巨兔</t>
        </is>
      </c>
      <c r="U40" s="38" t="inlineStr">
        <is>
          <t>https://bazaar-builds.net/db/items/dive-weights.html</t>
        </is>
      </c>
      <c r="V40" s="38" t="inlineStr">
        <is>
          <t>haste an item for 1 / 2 / 3 seconds for each adjacent aquatic item, this item's cooldown is reduced by 1 second. this has +multicast equal to its ammo.</t>
        </is>
      </c>
      <c r="W40" s="38" t="inlineStr">
        <is>
          <t>一对一确认来源对象。</t>
        </is>
      </c>
      <c r="X40" s="385" t="inlineStr">
        <is>
          <t>hero_001</t>
        </is>
      </c>
      <c r="Y40" s="386" t="inlineStr">
        <is>
          <t>reference_reserved</t>
        </is>
      </c>
      <c r="Z40" s="386" t="inlineStr">
        <is>
          <t>aquatic, tool, apparel, haste, ammo</t>
        </is>
      </c>
      <c r="AA40" s="386" t="str"/>
    </row>
    <row r="41">
      <c r="A41" s="38" t="inlineStr">
        <is>
          <t>bz_van_040</t>
        </is>
      </c>
      <c r="B41" s="38" t="n">
        <v>40</v>
      </c>
      <c r="C41" s="38" t="inlineStr">
        <is>
          <t>item</t>
        </is>
      </c>
      <c r="D41" s="38" t="inlineStr">
        <is>
          <t>snapshot_vanessa_legacy_catalog_v1</t>
        </is>
      </c>
      <c r="E41" s="38" t="inlineStr">
        <is>
          <t>snapshot_the_bazaar_patch_18_0_boundary</t>
        </is>
      </c>
      <c r="F41" s="38" t="inlineStr">
        <is>
          <t>true</t>
        </is>
      </c>
      <c r="G41" s="38" t="inlineStr">
        <is>
          <t>false</t>
        </is>
      </c>
      <c r="H41" s="38" t="inlineStr">
        <is>
          <t>current_rule_match,structured_effects,quality_values,cooldown,buy_price,sell_price,ammo</t>
        </is>
      </c>
      <c r="I41" s="38" t="inlineStr">
        <is>
          <t>diving-helmet</t>
        </is>
      </c>
      <c r="J41" s="38" t="inlineStr">
        <is>
          <t>Diving Helmet</t>
        </is>
      </c>
      <c r="K41" s="38" t="inlineStr">
        <is>
          <t>gold</t>
        </is>
      </c>
      <c r="L41" s="38" t="inlineStr">
        <is>
          <t>medium</t>
        </is>
      </c>
      <c r="M41" s="38" t="inlineStr">
        <is>
          <t>aquatic, tool, apparel, shield, charge</t>
        </is>
      </c>
      <c r="N41" s="38" t="n">
        <v>10</v>
      </c>
      <c r="O41" s="38" t="inlineStr">
        <is>
          <t>merchant_kev-s-armory, merchant_nautica, merchant_barkun, merchant_gaseo, merchant_goldie, merchant_jay-jay, merchant_kina, merchant_luxe, merchant_mittel, merchant_orion</t>
        </is>
      </c>
      <c r="P41" s="38" t="n">
        <v>10</v>
      </c>
      <c r="Q41" s="38" t="inlineStr">
        <is>
          <t>elem_水, elem_雷, elem_冰, elem_无, role_坦克, role_控制, role_输出, tier_pT3, role_重甲抗压, role_远点压制</t>
        </is>
      </c>
      <c r="R41" s="38" t="inlineStr">
        <is>
          <t>Turbo</t>
        </is>
      </c>
      <c r="S41" s="38" t="inlineStr">
        <is>
          <t>pal_040</t>
        </is>
      </c>
      <c r="T41" s="38" t="inlineStr">
        <is>
          <t>炎角黑羊</t>
        </is>
      </c>
      <c r="U41" s="38" t="inlineStr">
        <is>
          <t>https://bazaar-builds.net/db/items/diving-helmet.html</t>
        </is>
      </c>
      <c r="V41" s="38" t="inlineStr">
        <is>
          <t>when you use an aquatic item, shield 50 → 100 adjacent items are aquatic in combat.</t>
        </is>
      </c>
      <c r="W41" s="38" t="inlineStr">
        <is>
          <t>一对一确认来源对象。</t>
        </is>
      </c>
      <c r="X41" s="385" t="inlineStr">
        <is>
          <t>hero_001</t>
        </is>
      </c>
      <c r="Y41" s="386" t="inlineStr">
        <is>
          <t>reference_reserved</t>
        </is>
      </c>
      <c r="Z41" s="386" t="inlineStr">
        <is>
          <t>aquatic, tool, apparel, shield, charge</t>
        </is>
      </c>
      <c r="AA41" s="386" t="str"/>
    </row>
    <row r="42">
      <c r="A42" s="38" t="inlineStr">
        <is>
          <t>bz_van_041</t>
        </is>
      </c>
      <c r="B42" s="38" t="n">
        <v>41</v>
      </c>
      <c r="C42" s="38" t="inlineStr">
        <is>
          <t>item</t>
        </is>
      </c>
      <c r="D42" s="38" t="inlineStr">
        <is>
          <t>snapshot_vanessa_legacy_catalog_v1</t>
        </is>
      </c>
      <c r="E42" s="38" t="inlineStr">
        <is>
          <t>snapshot_the_bazaar_patch_18_0_boundary</t>
        </is>
      </c>
      <c r="F42" s="38" t="inlineStr">
        <is>
          <t>true</t>
        </is>
      </c>
      <c r="G42" s="38" t="inlineStr">
        <is>
          <t>false</t>
        </is>
      </c>
      <c r="H42" s="38" t="inlineStr">
        <is>
          <t>current_rule_match,structured_effects,quality_values,cooldown,buy_price,sell_price,ammo</t>
        </is>
      </c>
      <c r="I42" s="38" t="inlineStr">
        <is>
          <t>dock-lines</t>
        </is>
      </c>
      <c r="J42" s="38" t="inlineStr">
        <is>
          <t>Dock Lines</t>
        </is>
      </c>
      <c r="K42" s="38" t="inlineStr">
        <is>
          <t>silver</t>
        </is>
      </c>
      <c r="L42" s="38" t="inlineStr">
        <is>
          <t>medium</t>
        </is>
      </c>
      <c r="M42" s="38" t="inlineStr">
        <is>
          <t>tool, aquatic, slow</t>
        </is>
      </c>
      <c r="N42" s="38" t="n">
        <v>10</v>
      </c>
      <c r="O42" s="38" t="inlineStr">
        <is>
          <t>merchant_nautica, merchant_tok-s-clocks, merchant_barkun, merchant_cobweb, merchant_goldie, merchant_jay-jay, merchant_kina, merchant_luxe, merchant_mittel, merchant_orion</t>
        </is>
      </c>
      <c r="P42" s="38" t="n">
        <v>10</v>
      </c>
      <c r="Q42" s="38" t="inlineStr">
        <is>
          <t>elem_水, elem_雷, elem_冰, elem_无, role_坦克, role_控制, role_输出, special_merchant, role_召唤铺场, role_远点压制</t>
        </is>
      </c>
      <c r="R42" s="38" t="inlineStr">
        <is>
          <t>Icy</t>
        </is>
      </c>
      <c r="S42" s="38" t="inlineStr">
        <is>
          <t>pal_041</t>
        </is>
      </c>
      <c r="T42" s="38" t="inlineStr">
        <is>
          <t>回春彩蝶</t>
        </is>
      </c>
      <c r="U42" s="38" t="inlineStr">
        <is>
          <t>https://bazaar-builds.net/db/items/dock-lines.html</t>
        </is>
      </c>
      <c r="V42" s="38" t="inlineStr">
        <is>
          <t>slow 2 / 3 / 4 item(s) for 3 seconds</t>
        </is>
      </c>
      <c r="W42" s="38" t="inlineStr">
        <is>
          <t>一对一确认来源对象。</t>
        </is>
      </c>
      <c r="X42" s="385" t="inlineStr">
        <is>
          <t>hero_001</t>
        </is>
      </c>
      <c r="Y42" s="386" t="inlineStr">
        <is>
          <t>reference_reserved</t>
        </is>
      </c>
      <c r="Z42" s="386" t="inlineStr">
        <is>
          <t>tool, aquatic, slow</t>
        </is>
      </c>
      <c r="AA42" s="386" t="str"/>
    </row>
    <row r="43">
      <c r="A43" s="38" t="inlineStr">
        <is>
          <t>bz_van_042</t>
        </is>
      </c>
      <c r="B43" s="38" t="n">
        <v>42</v>
      </c>
      <c r="C43" s="38" t="inlineStr">
        <is>
          <t>item</t>
        </is>
      </c>
      <c r="D43" s="38" t="inlineStr">
        <is>
          <t>snapshot_vanessa_legacy_catalog_v1</t>
        </is>
      </c>
      <c r="E43" s="38" t="inlineStr">
        <is>
          <t>snapshot_the_bazaar_patch_18_0_boundary</t>
        </is>
      </c>
      <c r="F43" s="38" t="inlineStr">
        <is>
          <t>true</t>
        </is>
      </c>
      <c r="G43" s="38" t="inlineStr">
        <is>
          <t>false</t>
        </is>
      </c>
      <c r="H43" s="38" t="inlineStr">
        <is>
          <t>current_rule_match,structured_effects,quality_values,cooldown,buy_price,sell_price,ammo</t>
        </is>
      </c>
      <c r="I43" s="38" t="inlineStr">
        <is>
          <t>double-barrel</t>
        </is>
      </c>
      <c r="J43" s="38" t="inlineStr">
        <is>
          <t>Double Barrel</t>
        </is>
      </c>
      <c r="K43" s="38" t="inlineStr">
        <is>
          <t>bronze</t>
        </is>
      </c>
      <c r="L43" s="38" t="inlineStr">
        <is>
          <t>medium</t>
        </is>
      </c>
      <c r="M43" s="38" t="inlineStr">
        <is>
          <t>weapon, damage, ammo</t>
        </is>
      </c>
      <c r="N43" s="38" t="n">
        <v>10</v>
      </c>
      <c r="O43" s="38" t="inlineStr">
        <is>
          <t>merchant_colt, merchant_aila, merchant_barkun, merchant_goldie, merchant_jay-jay, merchant_luxe, merchant_mittel, merchant_quixel, merchant_serafina, merchant_silvia</t>
        </is>
      </c>
      <c r="P43" s="38" t="n">
        <v>10</v>
      </c>
      <c r="Q43" s="38" t="inlineStr">
        <is>
          <t>night_base, elem_水, elem_雷, elem_无, role_召唤, role_坦克, role_控制, role_治疗, role_经济, role_机动</t>
        </is>
      </c>
      <c r="R43" s="38" t="inlineStr">
        <is>
          <t>Deadly</t>
        </is>
      </c>
      <c r="S43" s="38" t="inlineStr">
        <is>
          <t>pal_042</t>
        </is>
      </c>
      <c r="T43" s="38" t="inlineStr">
        <is>
          <t>赤焰蛮牛</t>
        </is>
      </c>
      <c r="U43" s="38" t="inlineStr">
        <is>
          <t>https://bazaar-builds.net/db/items/double-barrel.html</t>
        </is>
      </c>
      <c r="V43" s="38" t="inlineStr">
        <is>
          <t>deal 20 / 40 / 80 / 160 damage</t>
        </is>
      </c>
      <c r="W43" s="38" t="inlineStr">
        <is>
          <t>一对一确认来源对象。</t>
        </is>
      </c>
      <c r="X43" s="385" t="inlineStr">
        <is>
          <t>hero_001</t>
        </is>
      </c>
      <c r="Y43" s="386" t="inlineStr">
        <is>
          <t>reference_reserved</t>
        </is>
      </c>
      <c r="Z43" s="386" t="inlineStr">
        <is>
          <t>weapon, damage, ammo</t>
        </is>
      </c>
      <c r="AA43" s="386" t="str"/>
    </row>
    <row r="44">
      <c r="A44" s="38" t="inlineStr">
        <is>
          <t>bz_van_043</t>
        </is>
      </c>
      <c r="B44" s="38" t="n">
        <v>43</v>
      </c>
      <c r="C44" s="38" t="inlineStr">
        <is>
          <t>item</t>
        </is>
      </c>
      <c r="D44" s="38" t="inlineStr">
        <is>
          <t>snapshot_vanessa_legacy_catalog_v1</t>
        </is>
      </c>
      <c r="E44" s="38" t="inlineStr">
        <is>
          <t>snapshot_the_bazaar_patch_18_0_boundary</t>
        </is>
      </c>
      <c r="F44" s="38" t="inlineStr">
        <is>
          <t>true</t>
        </is>
      </c>
      <c r="G44" s="38" t="inlineStr">
        <is>
          <t>false</t>
        </is>
      </c>
      <c r="H44" s="38" t="inlineStr">
        <is>
          <t>current_rule_match,structured_effects,quality_values,cooldown,buy_price,sell_price,ammo</t>
        </is>
      </c>
      <c r="I44" s="38" t="inlineStr">
        <is>
          <t>electric-eels</t>
        </is>
      </c>
      <c r="J44" s="38" t="inlineStr">
        <is>
          <t>Electric Eels</t>
        </is>
      </c>
      <c r="K44" s="38" t="inlineStr">
        <is>
          <t>gold</t>
        </is>
      </c>
      <c r="L44" s="38" t="inlineStr">
        <is>
          <t>large</t>
        </is>
      </c>
      <c r="M44" s="38" t="inlineStr">
        <is>
          <t>aquatic, weapon, friend, damage, slow</t>
        </is>
      </c>
      <c r="N44" s="38" t="n">
        <v>10</v>
      </c>
      <c r="O44" s="38" t="inlineStr">
        <is>
          <t>merchant_dryad, merchant_nautica, merchant_tok-s-clocks, merchant_aila, merchant_barkun, merchant_cobweb, merchant_goldie, merchant_jay-jay, merchant_luxe, merchant_midsworth</t>
        </is>
      </c>
      <c r="P44" s="38" t="n">
        <v>10</v>
      </c>
      <c r="Q44" s="38" t="inlineStr">
        <is>
          <t>night_base, elem_水, elem_雷, elem_地, role_坦克, role_控制, role_输出, special_merchant, role_召唤铺场, role_机动压制</t>
        </is>
      </c>
      <c r="R44" s="38" t="inlineStr">
        <is>
          <t>Icy</t>
        </is>
      </c>
      <c r="S44" s="38" t="inlineStr">
        <is>
          <t>pal_043</t>
        </is>
      </c>
      <c r="T44" s="38" t="inlineStr">
        <is>
          <t>泥甲巨鲶</t>
        </is>
      </c>
      <c r="U44" s="38" t="inlineStr">
        <is>
          <t>https://bazaar-builds.net/db/items/electric-eels.html</t>
        </is>
      </c>
      <c r="V44" s="38" t="inlineStr">
        <is>
          <t>deal 100 damage slow an item for 1 second when an enemy uses an item, charge this 2 seconds.</t>
        </is>
      </c>
      <c r="W44" s="38" t="inlineStr">
        <is>
          <t>一对一确认来源对象。</t>
        </is>
      </c>
      <c r="X44" s="385" t="inlineStr">
        <is>
          <t>hero_001</t>
        </is>
      </c>
      <c r="Y44" s="386" t="inlineStr">
        <is>
          <t>reference_reserved</t>
        </is>
      </c>
      <c r="Z44" s="386" t="inlineStr">
        <is>
          <t>aquatic, weapon, friend, damage, slow</t>
        </is>
      </c>
      <c r="AA44" s="386" t="str"/>
    </row>
    <row r="45">
      <c r="A45" s="38" t="inlineStr">
        <is>
          <t>bz_van_044</t>
        </is>
      </c>
      <c r="B45" s="38" t="n">
        <v>44</v>
      </c>
      <c r="C45" s="38" t="inlineStr">
        <is>
          <t>item</t>
        </is>
      </c>
      <c r="D45" s="38" t="inlineStr">
        <is>
          <t>snapshot_vanessa_legacy_catalog_v1</t>
        </is>
      </c>
      <c r="E45" s="38" t="inlineStr">
        <is>
          <t>snapshot_the_bazaar_patch_18_0_boundary</t>
        </is>
      </c>
      <c r="F45" s="38" t="inlineStr">
        <is>
          <t>true</t>
        </is>
      </c>
      <c r="G45" s="38" t="inlineStr">
        <is>
          <t>false</t>
        </is>
      </c>
      <c r="H45" s="38" t="inlineStr">
        <is>
          <t>current_rule_match,structured_effects,quality_values,cooldown,buy_price,sell_price,ammo</t>
        </is>
      </c>
      <c r="I45" s="38" t="inlineStr">
        <is>
          <t>elemental-depth-charge</t>
        </is>
      </c>
      <c r="J45" s="38" t="inlineStr">
        <is>
          <t>Elemental Depth Charge</t>
        </is>
      </c>
      <c r="K45" s="38" t="inlineStr">
        <is>
          <t>silver</t>
        </is>
      </c>
      <c r="L45" s="38" t="inlineStr">
        <is>
          <t>medium</t>
        </is>
      </c>
      <c r="M45" s="38" t="inlineStr">
        <is>
          <t>aquatic, tech, trap, burn, poison, freeze, ammo</t>
        </is>
      </c>
      <c r="N45" s="38" t="n">
        <v>10</v>
      </c>
      <c r="O45" s="38" t="inlineStr">
        <is>
          <t>merchant_colt, merchant_nautica, merchant_the-tester, merchant_barkun, merchant_freiya, merchant_goldie, merchant_hef, merchant_jay-jay, merchant_kina, merchant_knightshade</t>
        </is>
      </c>
      <c r="P45" s="38" t="n">
        <v>10</v>
      </c>
      <c r="Q45" s="38" t="inlineStr">
        <is>
          <t>elem_水, elem_雷, elem_冰, role_坦克, role_输出, role_机动, tier_pT2, role_抗压承伤, role_风系牵制, role_火系压制</t>
        </is>
      </c>
      <c r="R45" s="38" t="inlineStr">
        <is>
          <t>Fiery</t>
        </is>
      </c>
      <c r="S45" s="38" t="inlineStr">
        <is>
          <t>pal_044</t>
        </is>
      </c>
      <c r="T45" s="38" t="inlineStr">
        <is>
          <t>夜羽巨鸦</t>
        </is>
      </c>
      <c r="U45" s="38" t="inlineStr">
        <is>
          <t>https://bazaar-builds.net/db/items/elemental-depth-charge.html</t>
        </is>
      </c>
      <c r="V45" s="38" t="inlineStr">
        <is>
          <t>poison 4, burn 4, and freeze an item for 1 second this has +1 multicast for each other aquatic item you have.</t>
        </is>
      </c>
      <c r="W45" s="38" t="inlineStr">
        <is>
          <t>一对一确认来源对象。</t>
        </is>
      </c>
      <c r="X45" s="385" t="inlineStr">
        <is>
          <t>hero_001</t>
        </is>
      </c>
      <c r="Y45" s="386" t="inlineStr">
        <is>
          <t>reference_reserved</t>
        </is>
      </c>
      <c r="Z45" s="386" t="inlineStr">
        <is>
          <t>aquatic, tech, trap, burn, poison, freeze, ammo</t>
        </is>
      </c>
      <c r="AA45" s="386" t="str"/>
    </row>
    <row r="46">
      <c r="A46" s="38" t="inlineStr">
        <is>
          <t>bz_van_045</t>
        </is>
      </c>
      <c r="B46" s="38" t="n">
        <v>45</v>
      </c>
      <c r="C46" s="38" t="inlineStr">
        <is>
          <t>item</t>
        </is>
      </c>
      <c r="D46" s="38" t="inlineStr">
        <is>
          <t>snapshot_vanessa_legacy_catalog_v1</t>
        </is>
      </c>
      <c r="E46" s="38" t="inlineStr">
        <is>
          <t>snapshot_the_bazaar_patch_18_0_boundary</t>
        </is>
      </c>
      <c r="F46" s="38" t="inlineStr">
        <is>
          <t>true</t>
        </is>
      </c>
      <c r="G46" s="38" t="inlineStr">
        <is>
          <t>false</t>
        </is>
      </c>
      <c r="H46" s="38" t="inlineStr">
        <is>
          <t>current_rule_match,structured_effects,quality_values,cooldown,buy_price,sell_price,ammo</t>
        </is>
      </c>
      <c r="I46" s="38" t="inlineStr">
        <is>
          <t>figurehead</t>
        </is>
      </c>
      <c r="J46" s="38" t="inlineStr">
        <is>
          <t>Figurehead</t>
        </is>
      </c>
      <c r="K46" s="38" t="inlineStr">
        <is>
          <t>silver</t>
        </is>
      </c>
      <c r="L46" s="38" t="inlineStr">
        <is>
          <t>medium</t>
        </is>
      </c>
      <c r="M46" s="38" t="inlineStr">
        <is>
          <t>aquatic, relic, damagereference, cooldown</t>
        </is>
      </c>
      <c r="N46" s="38" t="n">
        <v>10</v>
      </c>
      <c r="O46" s="38" t="inlineStr">
        <is>
          <t>merchant_nautica, merchant_tok-s-clocks, merchant_barkun, merchant_goldie, merchant_jay-jay, merchant_kina, merchant_luxe, merchant_mittel, merchant_quixel, merchant_serafina</t>
        </is>
      </c>
      <c r="P46" s="38" t="n">
        <v>10</v>
      </c>
      <c r="Q46" s="38" t="inlineStr">
        <is>
          <t>elem_水, elem_雷, elem_冰, elem_无, role_召唤, role_坦克, role_控制, role_治疗, role_输出, special_merchant</t>
        </is>
      </c>
      <c r="R46" s="38" t="inlineStr">
        <is>
          <t>Turbo</t>
        </is>
      </c>
      <c r="S46" s="38" t="inlineStr">
        <is>
          <t>pal_045</t>
        </is>
      </c>
      <c r="T46" s="38" t="inlineStr">
        <is>
          <t>墨鳞巨蜥</t>
        </is>
      </c>
      <c r="U46" s="38" t="inlineStr">
        <is>
          <t>https://bazaar-builds.net/db/items/figurehead.html</t>
        </is>
      </c>
      <c r="V46" s="38" t="inlineStr">
        <is>
          <t>the cooldowns of aquatic items to the left of this are reduced by 10 / 15 / 20%. weapons to the right of this have +25 / 50 / 100 damage.</t>
        </is>
      </c>
      <c r="W46" s="38" t="inlineStr">
        <is>
          <t>一对一确认来源对象。</t>
        </is>
      </c>
      <c r="X46" s="385" t="inlineStr">
        <is>
          <t>hero_001</t>
        </is>
      </c>
      <c r="Y46" s="386" t="inlineStr">
        <is>
          <t>reference_reserved</t>
        </is>
      </c>
      <c r="Z46" s="386" t="inlineStr">
        <is>
          <t>aquatic, relic, cooldown</t>
        </is>
      </c>
      <c r="AA46" s="386" t="inlineStr">
        <is>
          <t>damage</t>
        </is>
      </c>
    </row>
    <row r="47">
      <c r="A47" s="38" t="inlineStr">
        <is>
          <t>bz_van_046</t>
        </is>
      </c>
      <c r="B47" s="38" t="n">
        <v>46</v>
      </c>
      <c r="C47" s="38" t="inlineStr">
        <is>
          <t>item</t>
        </is>
      </c>
      <c r="D47" s="38" t="inlineStr">
        <is>
          <t>snapshot_vanessa_legacy_catalog_v1</t>
        </is>
      </c>
      <c r="E47" s="38" t="inlineStr">
        <is>
          <t>snapshot_the_bazaar_patch_18_0_boundary</t>
        </is>
      </c>
      <c r="F47" s="38" t="inlineStr">
        <is>
          <t>true</t>
        </is>
      </c>
      <c r="G47" s="38" t="inlineStr">
        <is>
          <t>false</t>
        </is>
      </c>
      <c r="H47" s="38" t="inlineStr">
        <is>
          <t>current_rule_match,structured_effects,quality_values,cooldown,buy_price,sell_price,ammo</t>
        </is>
      </c>
      <c r="I47" s="38" t="inlineStr">
        <is>
          <t>fishing-net</t>
        </is>
      </c>
      <c r="J47" s="38" t="inlineStr">
        <is>
          <t>Fishing Net</t>
        </is>
      </c>
      <c r="K47" s="38" t="inlineStr">
        <is>
          <t>bronze</t>
        </is>
      </c>
      <c r="L47" s="38" t="inlineStr">
        <is>
          <t>medium</t>
        </is>
      </c>
      <c r="M47" s="38" t="inlineStr">
        <is>
          <t>aquatic, tool, slow, economyreference</t>
        </is>
      </c>
      <c r="N47" s="38" t="n">
        <v>10</v>
      </c>
      <c r="O47" s="38" t="inlineStr">
        <is>
          <t>merchant_nautica, merchant_tok-s-clocks, merchant_barkun, merchant_cobweb, merchant_goldie, merchant_jay-jay, merchant_kina, merchant_luxe, merchant_mittel, merchant_orion</t>
        </is>
      </c>
      <c r="P47" s="38" t="n">
        <v>10</v>
      </c>
      <c r="Q47" s="38" t="inlineStr">
        <is>
          <t>elem_水, elem_雷, elem_冰, elem_无, role_坦克, role_控制, role_输出, special_merchant, role_召唤铺场, role_远点压制</t>
        </is>
      </c>
      <c r="R47" s="38" t="inlineStr">
        <is>
          <t>Icy</t>
        </is>
      </c>
      <c r="S47" s="38" t="inlineStr">
        <is>
          <t>pal_046</t>
        </is>
      </c>
      <c r="T47" s="38" t="inlineStr">
        <is>
          <t>月镰螳螂</t>
        </is>
      </c>
      <c r="U47" s="38" t="inlineStr">
        <is>
          <t>https://bazaar-builds.net/db/items/fishing-net.html</t>
        </is>
      </c>
      <c r="V47" s="38" t="inlineStr">
        <is>
          <t>slow 1 / 2 / 3 / 4 item(s) for 2 seconds at the start of each day, get a small aquatic or loot item from any hero.</t>
        </is>
      </c>
      <c r="W47" s="38" t="inlineStr">
        <is>
          <t>一对一确认来源对象。</t>
        </is>
      </c>
      <c r="X47" s="385" t="inlineStr">
        <is>
          <t>hero_001</t>
        </is>
      </c>
      <c r="Y47" s="386" t="inlineStr">
        <is>
          <t>reference_reserved</t>
        </is>
      </c>
      <c r="Z47" s="386" t="inlineStr">
        <is>
          <t>aquatic, tool, slow</t>
        </is>
      </c>
      <c r="AA47" s="386" t="inlineStr">
        <is>
          <t>economy</t>
        </is>
      </c>
    </row>
    <row r="48">
      <c r="A48" s="38" t="inlineStr">
        <is>
          <t>bz_van_047</t>
        </is>
      </c>
      <c r="B48" s="38" t="n">
        <v>47</v>
      </c>
      <c r="C48" s="38" t="inlineStr">
        <is>
          <t>item</t>
        </is>
      </c>
      <c r="D48" s="38" t="inlineStr">
        <is>
          <t>snapshot_vanessa_legacy_catalog_v1</t>
        </is>
      </c>
      <c r="E48" s="38" t="inlineStr">
        <is>
          <t>snapshot_the_bazaar_patch_18_0_boundary</t>
        </is>
      </c>
      <c r="F48" s="38" t="inlineStr">
        <is>
          <t>true</t>
        </is>
      </c>
      <c r="G48" s="38" t="inlineStr">
        <is>
          <t>false</t>
        </is>
      </c>
      <c r="H48" s="38" t="inlineStr">
        <is>
          <t>current_rule_match,structured_effects,quality_values,cooldown,buy_price,sell_price,ammo</t>
        </is>
      </c>
      <c r="I48" s="38" t="inlineStr">
        <is>
          <t>fishing-rod</t>
        </is>
      </c>
      <c r="J48" s="38" t="inlineStr">
        <is>
          <t>Fishing Rod</t>
        </is>
      </c>
      <c r="K48" s="38" t="inlineStr">
        <is>
          <t>bronze</t>
        </is>
      </c>
      <c r="L48" s="38" t="inlineStr">
        <is>
          <t>medium</t>
        </is>
      </c>
      <c r="M48" s="38" t="inlineStr">
        <is>
          <t>aquatic, tool, haste</t>
        </is>
      </c>
      <c r="N48" s="38" t="n">
        <v>10</v>
      </c>
      <c r="O48" s="38" t="inlineStr">
        <is>
          <t>merchant_nautica, merchant_tok-s-clocks, merchant_barkun, merchant_chronos, merchant_goldie, merchant_jay-jay, merchant_kina, merchant_luxe, merchant_mittel, merchant_orion</t>
        </is>
      </c>
      <c r="P48" s="38" t="n">
        <v>10</v>
      </c>
      <c r="Q48" s="38" t="inlineStr">
        <is>
          <t>elem_水, elem_雷, elem_冰, elem_无, role_坦克, role_控制, role_输出, special_merchant, elite_high, role_远点压制</t>
        </is>
      </c>
      <c r="R48" s="38" t="inlineStr">
        <is>
          <t>Turbo</t>
        </is>
      </c>
      <c r="S48" s="38" t="inlineStr">
        <is>
          <t>pal_047</t>
        </is>
      </c>
      <c r="T48" s="38" t="inlineStr">
        <is>
          <t>裂空苍鹰</t>
        </is>
      </c>
      <c r="U48" s="38" t="inlineStr">
        <is>
          <t>https://bazaar-builds.net/db/items/fishing-rod.html</t>
        </is>
      </c>
      <c r="V48" s="38" t="inlineStr">
        <is>
          <t>haste the aquatic item to the right of this for 2 seconds at the start of each day, get a small aquatic item.</t>
        </is>
      </c>
      <c r="W48" s="38" t="inlineStr">
        <is>
          <t>一对一确认来源对象。</t>
        </is>
      </c>
      <c r="X48" s="385" t="inlineStr">
        <is>
          <t>hero_001</t>
        </is>
      </c>
      <c r="Y48" s="386" t="inlineStr">
        <is>
          <t>reference_reserved</t>
        </is>
      </c>
      <c r="Z48" s="386" t="inlineStr">
        <is>
          <t>aquatic, tool, haste</t>
        </is>
      </c>
      <c r="AA48" s="386" t="str"/>
    </row>
    <row r="49">
      <c r="A49" s="38" t="inlineStr">
        <is>
          <t>bz_van_048</t>
        </is>
      </c>
      <c r="B49" s="38" t="n">
        <v>48</v>
      </c>
      <c r="C49" s="38" t="inlineStr">
        <is>
          <t>item</t>
        </is>
      </c>
      <c r="D49" s="38" t="inlineStr">
        <is>
          <t>snapshot_vanessa_legacy_catalog_v1</t>
        </is>
      </c>
      <c r="E49" s="38" t="inlineStr">
        <is>
          <t>snapshot_the_bazaar_patch_18_0_boundary</t>
        </is>
      </c>
      <c r="F49" s="38" t="inlineStr">
        <is>
          <t>true</t>
        </is>
      </c>
      <c r="G49" s="38" t="inlineStr">
        <is>
          <t>false</t>
        </is>
      </c>
      <c r="H49" s="38" t="inlineStr">
        <is>
          <t>current_rule_match,structured_effects,quality_values,cooldown,buy_price,sell_price,ammo</t>
        </is>
      </c>
      <c r="I49" s="38" t="inlineStr">
        <is>
          <t>flagship</t>
        </is>
      </c>
      <c r="J49" s="38" t="inlineStr">
        <is>
          <t>Flagship</t>
        </is>
      </c>
      <c r="K49" s="38" t="inlineStr">
        <is>
          <t>silver</t>
        </is>
      </c>
      <c r="L49" s="38" t="inlineStr">
        <is>
          <t>large</t>
        </is>
      </c>
      <c r="M49" s="38" t="inlineStr">
        <is>
          <t>aquatic, vehicle, weapon, damage, ammoreference</t>
        </is>
      </c>
      <c r="N49" s="38" t="n">
        <v>1</v>
      </c>
      <c r="O49" s="38" t="inlineStr">
        <is>
          <t>merchant_vanessa</t>
        </is>
      </c>
      <c r="P49" s="38" t="n">
        <v>1</v>
      </c>
      <c r="Q49" s="38" t="inlineStr">
        <is>
          <t>elite_high</t>
        </is>
      </c>
      <c r="R49" s="38" t="inlineStr">
        <is>
          <t>Deadly</t>
        </is>
      </c>
      <c r="S49" s="38" t="inlineStr">
        <is>
          <t>pal_048</t>
        </is>
      </c>
      <c r="T49" s="38" t="inlineStr">
        <is>
          <t>木刺豪猪</t>
        </is>
      </c>
      <c r="U49" s="38" t="inlineStr">
        <is>
          <t>https://bazaar-builds.net/db/items/flagship.html</t>
        </is>
      </c>
      <c r="V49" s="38" t="inlineStr">
        <is>
          <t>deal 50 damage if you have another tool, property, friend, ammo or relic item this has +1 multicast for each.</t>
        </is>
      </c>
      <c r="W49" s="38" t="inlineStr">
        <is>
          <t>一对一确认来源对象。</t>
        </is>
      </c>
      <c r="X49" s="385" t="inlineStr">
        <is>
          <t>hero_001</t>
        </is>
      </c>
      <c r="Y49" s="386" t="inlineStr">
        <is>
          <t>reference_reserved</t>
        </is>
      </c>
      <c r="Z49" s="386" t="inlineStr">
        <is>
          <t>aquatic, vehicle, weapon, damage</t>
        </is>
      </c>
      <c r="AA49" s="386" t="inlineStr">
        <is>
          <t>ammo</t>
        </is>
      </c>
    </row>
    <row r="50">
      <c r="A50" s="38" t="inlineStr">
        <is>
          <t>bz_van_049</t>
        </is>
      </c>
      <c r="B50" s="38" t="n">
        <v>49</v>
      </c>
      <c r="C50" s="38" t="inlineStr">
        <is>
          <t>item</t>
        </is>
      </c>
      <c r="D50" s="38" t="inlineStr">
        <is>
          <t>snapshot_vanessa_legacy_catalog_v1</t>
        </is>
      </c>
      <c r="E50" s="38" t="inlineStr">
        <is>
          <t>snapshot_the_bazaar_patch_18_0_boundary</t>
        </is>
      </c>
      <c r="F50" s="38" t="inlineStr">
        <is>
          <t>true</t>
        </is>
      </c>
      <c r="G50" s="38" t="inlineStr">
        <is>
          <t>false</t>
        </is>
      </c>
      <c r="H50" s="38" t="inlineStr">
        <is>
          <t>current_rule_match,structured_effects,quality_values,cooldown,buy_price,sell_price,ammo</t>
        </is>
      </c>
      <c r="I50" s="38" t="inlineStr">
        <is>
          <t>flying-fish</t>
        </is>
      </c>
      <c r="J50" s="38" t="inlineStr">
        <is>
          <t>Flying Fish</t>
        </is>
      </c>
      <c r="K50" s="38" t="inlineStr">
        <is>
          <t>bronze</t>
        </is>
      </c>
      <c r="L50" s="38" t="inlineStr">
        <is>
          <t>small</t>
        </is>
      </c>
      <c r="M50" s="38" t="inlineStr">
        <is>
          <t>aquatic, friend, weapon, haste, flying</t>
        </is>
      </c>
      <c r="N50" s="38" t="n">
        <v>10</v>
      </c>
      <c r="O50" s="38" t="inlineStr">
        <is>
          <t>merchant_dryad, merchant_nautica, merchant_pinfeather, merchant_tok-s-clocks, merchant_aila, merchant_ande, merchant_chronos, merchant_goldie, merchant_jay-jay, merchant_luxe</t>
        </is>
      </c>
      <c r="P50" s="38" t="n">
        <v>10</v>
      </c>
      <c r="Q50" s="38" t="inlineStr">
        <is>
          <t>night_base, elem_火, elem_草, elem_雷, role_坦克, role_控制, role_输出, special_merchant, elite_high, role_机动压制</t>
        </is>
      </c>
      <c r="R50" s="38" t="inlineStr">
        <is>
          <t>Turbo</t>
        </is>
      </c>
      <c r="S50" s="38" t="inlineStr">
        <is>
          <t>pal_049</t>
        </is>
      </c>
      <c r="T50" s="38" t="inlineStr">
        <is>
          <t>铁臂黑猿</t>
        </is>
      </c>
      <c r="U50" s="38" t="inlineStr">
        <is>
          <t>https://bazaar-builds.net/db/items/flying-fish.html</t>
        </is>
      </c>
      <c r="V50" s="38" t="inlineStr">
        <is>
          <t>deal 10 / 20 / 40 / 80 damage this and an adjacent item start flying. when you use a flying item, haste this for 1 second.</t>
        </is>
      </c>
      <c r="W50" s="38" t="inlineStr">
        <is>
          <t>一对一确认来源对象。</t>
        </is>
      </c>
      <c r="X50" s="385" t="inlineStr">
        <is>
          <t>hero_001</t>
        </is>
      </c>
      <c r="Y50" s="386" t="inlineStr">
        <is>
          <t>reference_reserved</t>
        </is>
      </c>
      <c r="Z50" s="386" t="inlineStr">
        <is>
          <t>aquatic, friend, weapon, haste, flying</t>
        </is>
      </c>
      <c r="AA50" s="386" t="str"/>
    </row>
    <row r="51">
      <c r="A51" s="38" t="inlineStr">
        <is>
          <t>bz_van_050</t>
        </is>
      </c>
      <c r="B51" s="38" t="n">
        <v>50</v>
      </c>
      <c r="C51" s="38" t="inlineStr">
        <is>
          <t>item</t>
        </is>
      </c>
      <c r="D51" s="38" t="inlineStr">
        <is>
          <t>snapshot_vanessa_legacy_catalog_v1</t>
        </is>
      </c>
      <c r="E51" s="38" t="inlineStr">
        <is>
          <t>snapshot_the_bazaar_patch_18_0_boundary</t>
        </is>
      </c>
      <c r="F51" s="38" t="inlineStr">
        <is>
          <t>true</t>
        </is>
      </c>
      <c r="G51" s="38" t="inlineStr">
        <is>
          <t>false</t>
        </is>
      </c>
      <c r="H51" s="38" t="inlineStr">
        <is>
          <t>current_rule_match,structured_effects,quality_values,cooldown,buy_price,sell_price,ammo</t>
        </is>
      </c>
      <c r="I51" s="38" t="inlineStr">
        <is>
          <t>grapeshot</t>
        </is>
      </c>
      <c r="J51" s="38" t="inlineStr">
        <is>
          <t>Grapeshot</t>
        </is>
      </c>
      <c r="K51" s="38" t="inlineStr">
        <is>
          <t>bronze</t>
        </is>
      </c>
      <c r="L51" s="38" t="inlineStr">
        <is>
          <t>small</t>
        </is>
      </c>
      <c r="M51" s="38" t="inlineStr">
        <is>
          <t>weapon, damage, ammo</t>
        </is>
      </c>
      <c r="N51" s="38" t="n">
        <v>10</v>
      </c>
      <c r="O51" s="38" t="inlineStr">
        <is>
          <t>merchant_colt, merchant_aila, merchant_ande, merchant_goldie, merchant_jay-jay, merchant_luxe, merchant_midsworth, merchant_quixel, merchant_serafina, merchant_silvia</t>
        </is>
      </c>
      <c r="P51" s="38" t="n">
        <v>10</v>
      </c>
      <c r="Q51" s="38" t="inlineStr">
        <is>
          <t>night_base, elem_火, elem_雷, elem_地, role_召唤, role_坦克, role_控制, role_治疗, role_经济, role_机动</t>
        </is>
      </c>
      <c r="R51" s="38" t="inlineStr">
        <is>
          <t>Deadly</t>
        </is>
      </c>
      <c r="S51" s="38" t="inlineStr">
        <is>
          <t>pal_050</t>
        </is>
      </c>
      <c r="T51" s="38" t="inlineStr">
        <is>
          <t>金甲蜂群</t>
        </is>
      </c>
      <c r="U51" s="38" t="inlineStr">
        <is>
          <t>https://bazaar-builds.net/db/items/grapeshot.html</t>
        </is>
      </c>
      <c r="V51" s="38" t="inlineStr">
        <is>
          <t>deal 30 / 60 / 120 / 240 damage when you use another ammo item, reload 1 ammo.</t>
        </is>
      </c>
      <c r="W51" s="38" t="inlineStr">
        <is>
          <t>一对一确认来源对象。</t>
        </is>
      </c>
      <c r="X51" s="385" t="inlineStr">
        <is>
          <t>hero_001</t>
        </is>
      </c>
      <c r="Y51" s="386" t="inlineStr">
        <is>
          <t>reference_reserved</t>
        </is>
      </c>
      <c r="Z51" s="386" t="inlineStr">
        <is>
          <t>weapon, damage, ammo</t>
        </is>
      </c>
      <c r="AA51" s="386" t="str"/>
    </row>
    <row r="52">
      <c r="A52" s="38" t="inlineStr">
        <is>
          <t>bz_van_051</t>
        </is>
      </c>
      <c r="B52" s="38" t="n">
        <v>51</v>
      </c>
      <c r="C52" s="38" t="inlineStr">
        <is>
          <t>item</t>
        </is>
      </c>
      <c r="D52" s="38" t="inlineStr">
        <is>
          <t>snapshot_vanessa_legacy_catalog_v1</t>
        </is>
      </c>
      <c r="E52" s="38" t="inlineStr">
        <is>
          <t>snapshot_the_bazaar_patch_18_0_boundary</t>
        </is>
      </c>
      <c r="F52" s="38" t="inlineStr">
        <is>
          <t>true</t>
        </is>
      </c>
      <c r="G52" s="38" t="inlineStr">
        <is>
          <t>false</t>
        </is>
      </c>
      <c r="H52" s="38" t="inlineStr">
        <is>
          <t>current_rule_match,structured_effects,quality_values,cooldown,buy_price,sell_price,ammo</t>
        </is>
      </c>
      <c r="I52" s="38" t="inlineStr">
        <is>
          <t>grappling-hook</t>
        </is>
      </c>
      <c r="J52" s="38" t="inlineStr">
        <is>
          <t>Grappling Hook</t>
        </is>
      </c>
      <c r="K52" s="38" t="inlineStr">
        <is>
          <t>bronze</t>
        </is>
      </c>
      <c r="L52" s="38" t="inlineStr">
        <is>
          <t>small</t>
        </is>
      </c>
      <c r="M52" s="38" t="inlineStr">
        <is>
          <t>weapon, tool, damage, slow</t>
        </is>
      </c>
      <c r="N52" s="38" t="n">
        <v>10</v>
      </c>
      <c r="O52" s="38" t="inlineStr">
        <is>
          <t>merchant_tok-s-clocks, merchant_aila, merchant_ande, merchant_cobweb, merchant_goldie, merchant_jay-jay, merchant_luxe, merchant_midsworth, merchant_orion, merchant_quixel</t>
        </is>
      </c>
      <c r="P52" s="38" t="n">
        <v>10</v>
      </c>
      <c r="Q52" s="38" t="inlineStr">
        <is>
          <t>night_base, elem_火, elem_雷, elem_地, role_召唤, role_坦克, role_控制, special_merchant, role_召唤铺场, role_远点压制</t>
        </is>
      </c>
      <c r="R52" s="38" t="inlineStr">
        <is>
          <t>Icy</t>
        </is>
      </c>
      <c r="S52" s="38" t="inlineStr">
        <is>
          <t>pal_051</t>
        </is>
      </c>
      <c r="T52" s="38" t="inlineStr">
        <is>
          <t>百花巨蜂</t>
        </is>
      </c>
      <c r="U52" s="38" t="inlineStr">
        <is>
          <t>https://bazaar-builds.net/db/items/grappling-hook.html</t>
        </is>
      </c>
      <c r="V52" s="38" t="inlineStr">
        <is>
          <t>deal 20 / 40 / 80 / 160 damage slow 1 / 2 / 3 / 4 item(s) for 1 second</t>
        </is>
      </c>
      <c r="W52" s="38" t="inlineStr">
        <is>
          <t>一对一确认来源对象。</t>
        </is>
      </c>
      <c r="X52" s="385" t="inlineStr">
        <is>
          <t>hero_001</t>
        </is>
      </c>
      <c r="Y52" s="386" t="inlineStr">
        <is>
          <t>reference_reserved</t>
        </is>
      </c>
      <c r="Z52" s="386" t="inlineStr">
        <is>
          <t>weapon, tool, damage, slow</t>
        </is>
      </c>
      <c r="AA52" s="386" t="str"/>
    </row>
    <row r="53">
      <c r="A53" s="38" t="inlineStr">
        <is>
          <t>bz_van_052</t>
        </is>
      </c>
      <c r="B53" s="38" t="n">
        <v>52</v>
      </c>
      <c r="C53" s="38" t="inlineStr">
        <is>
          <t>item</t>
        </is>
      </c>
      <c r="D53" s="38" t="inlineStr">
        <is>
          <t>snapshot_vanessa_legacy_catalog_v1</t>
        </is>
      </c>
      <c r="E53" s="38" t="inlineStr">
        <is>
          <t>snapshot_the_bazaar_patch_18_0_boundary</t>
        </is>
      </c>
      <c r="F53" s="38" t="inlineStr">
        <is>
          <t>true</t>
        </is>
      </c>
      <c r="G53" s="38" t="inlineStr">
        <is>
          <t>false</t>
        </is>
      </c>
      <c r="H53" s="38" t="inlineStr">
        <is>
          <t>current_rule_match,structured_effects,quality_values,cooldown,buy_price,sell_price,ammo</t>
        </is>
      </c>
      <c r="I53" s="38" t="inlineStr">
        <is>
          <t>grenade</t>
        </is>
      </c>
      <c r="J53" s="38" t="inlineStr">
        <is>
          <t>Grenade</t>
        </is>
      </c>
      <c r="K53" s="38" t="inlineStr">
        <is>
          <t>bronze</t>
        </is>
      </c>
      <c r="L53" s="38" t="inlineStr">
        <is>
          <t>small</t>
        </is>
      </c>
      <c r="M53" s="38" t="inlineStr">
        <is>
          <t>weapon, damage, ammo</t>
        </is>
      </c>
      <c r="N53" s="38" t="n">
        <v>10</v>
      </c>
      <c r="O53" s="38" t="inlineStr">
        <is>
          <t>merchant_colt, merchant_aila, merchant_ande, merchant_goldie, merchant_jay-jay, merchant_luxe, merchant_midsworth, merchant_quixel, merchant_serafina, merchant_silvia</t>
        </is>
      </c>
      <c r="P53" s="38" t="n">
        <v>10</v>
      </c>
      <c r="Q53" s="38" t="inlineStr">
        <is>
          <t>night_base, elem_火, elem_雷, elem_地, role_召唤, role_坦克, role_控制, role_治疗, role_经济, role_机动</t>
        </is>
      </c>
      <c r="R53" s="38" t="inlineStr">
        <is>
          <t>Deadly</t>
        </is>
      </c>
      <c r="S53" s="38" t="inlineStr">
        <is>
          <t>pal_052</t>
        </is>
      </c>
      <c r="T53" s="38" t="inlineStr">
        <is>
          <t>笑面山猫</t>
        </is>
      </c>
      <c r="U53" s="38" t="inlineStr">
        <is>
          <t>https://bazaar-builds.net/db/items/grenade.html</t>
        </is>
      </c>
      <c r="V53" s="38" t="inlineStr">
        <is>
          <t>deal 50 / 100 / 150 / 200 damage</t>
        </is>
      </c>
      <c r="W53" s="38" t="inlineStr">
        <is>
          <t>一对一确认来源对象。</t>
        </is>
      </c>
      <c r="X53" s="385" t="inlineStr">
        <is>
          <t>hero_001</t>
        </is>
      </c>
      <c r="Y53" s="386" t="inlineStr">
        <is>
          <t>reference_reserved</t>
        </is>
      </c>
      <c r="Z53" s="386" t="inlineStr">
        <is>
          <t>weapon, damage, ammo</t>
        </is>
      </c>
      <c r="AA53" s="386" t="str"/>
    </row>
    <row r="54">
      <c r="A54" s="38" t="inlineStr">
        <is>
          <t>bz_van_053</t>
        </is>
      </c>
      <c r="B54" s="38" t="n">
        <v>53</v>
      </c>
      <c r="C54" s="38" t="inlineStr">
        <is>
          <t>item</t>
        </is>
      </c>
      <c r="D54" s="38" t="inlineStr">
        <is>
          <t>snapshot_vanessa_legacy_catalog_v1</t>
        </is>
      </c>
      <c r="E54" s="38" t="inlineStr">
        <is>
          <t>snapshot_the_bazaar_patch_18_0_boundary</t>
        </is>
      </c>
      <c r="F54" s="38" t="inlineStr">
        <is>
          <t>true</t>
        </is>
      </c>
      <c r="G54" s="38" t="inlineStr">
        <is>
          <t>false</t>
        </is>
      </c>
      <c r="H54" s="38" t="inlineStr">
        <is>
          <t>current_rule_match,structured_effects,quality_values,cooldown,buy_price,sell_price,ammo</t>
        </is>
      </c>
      <c r="I54" s="38" t="inlineStr">
        <is>
          <t>handaxe</t>
        </is>
      </c>
      <c r="J54" s="38" t="inlineStr">
        <is>
          <t>Handaxe</t>
        </is>
      </c>
      <c r="K54" s="38" t="inlineStr">
        <is>
          <t>bronze</t>
        </is>
      </c>
      <c r="L54" s="38" t="inlineStr">
        <is>
          <t>small</t>
        </is>
      </c>
      <c r="M54" s="38" t="inlineStr">
        <is>
          <t>weapon, damage</t>
        </is>
      </c>
      <c r="N54" s="38" t="n">
        <v>10</v>
      </c>
      <c r="O54" s="38" t="inlineStr">
        <is>
          <t>merchant_aila, merchant_ande, merchant_goldie, merchant_jay-jay, merchant_luxe, merchant_midsworth, merchant_quixel, merchant_serafina, merchant_silvia, merchant_valpak</t>
        </is>
      </c>
      <c r="P54" s="38" t="n">
        <v>10</v>
      </c>
      <c r="Q54" s="38" t="inlineStr">
        <is>
          <t>night_base, elem_火, elem_雷, elem_地, elem_暗, role_召唤, role_坦克, role_控制, role_治疗, role_经济</t>
        </is>
      </c>
      <c r="R54" s="38" t="inlineStr">
        <is>
          <t>Deadly</t>
        </is>
      </c>
      <c r="S54" s="38" t="inlineStr">
        <is>
          <t>pal_053</t>
        </is>
      </c>
      <c r="T54" s="38" t="inlineStr">
        <is>
          <t>霜尾雪貂</t>
        </is>
      </c>
      <c r="U54" s="38" t="inlineStr">
        <is>
          <t>https://bazaar-builds.net/db/items/handaxe.html</t>
        </is>
      </c>
      <c r="V54" s="38" t="inlineStr">
        <is>
          <t>deal 20 / 40 / 80 / 160 damage your weapons have +5 / 10 / 15 / 20 damage.</t>
        </is>
      </c>
      <c r="W54" s="38" t="inlineStr">
        <is>
          <t>一对一确认来源对象。</t>
        </is>
      </c>
      <c r="X54" s="385" t="inlineStr">
        <is>
          <t>hero_001</t>
        </is>
      </c>
      <c r="Y54" s="386" t="inlineStr">
        <is>
          <t>reference_reserved</t>
        </is>
      </c>
      <c r="Z54" s="386" t="inlineStr">
        <is>
          <t>weapon, damage</t>
        </is>
      </c>
      <c r="AA54" s="386" t="str"/>
    </row>
    <row r="55">
      <c r="A55" s="38" t="inlineStr">
        <is>
          <t>bz_van_054</t>
        </is>
      </c>
      <c r="B55" s="38" t="n">
        <v>54</v>
      </c>
      <c r="C55" s="38" t="inlineStr">
        <is>
          <t>item</t>
        </is>
      </c>
      <c r="D55" s="38" t="inlineStr">
        <is>
          <t>snapshot_vanessa_legacy_catalog_v1</t>
        </is>
      </c>
      <c r="E55" s="38" t="inlineStr">
        <is>
          <t>snapshot_the_bazaar_patch_18_0_boundary</t>
        </is>
      </c>
      <c r="F55" s="38" t="inlineStr">
        <is>
          <t>true</t>
        </is>
      </c>
      <c r="G55" s="38" t="inlineStr">
        <is>
          <t>false</t>
        </is>
      </c>
      <c r="H55" s="38" t="inlineStr">
        <is>
          <t>current_rule_match,structured_effects,quality_values,cooldown,buy_price,sell_price,ammo</t>
        </is>
      </c>
      <c r="I55" s="38" t="inlineStr">
        <is>
          <t>harpoon</t>
        </is>
      </c>
      <c r="J55" s="38" t="inlineStr">
        <is>
          <t>Harpoon</t>
        </is>
      </c>
      <c r="K55" s="38" t="inlineStr">
        <is>
          <t>silver</t>
        </is>
      </c>
      <c r="L55" s="38" t="inlineStr">
        <is>
          <t>medium</t>
        </is>
      </c>
      <c r="M55" s="38" t="inlineStr">
        <is>
          <t>aquatic, ammo</t>
        </is>
      </c>
      <c r="N55" s="38" t="n">
        <v>10</v>
      </c>
      <c r="O55" s="38" t="inlineStr">
        <is>
          <t>merchant_colt, merchant_nautica, merchant_barkun, merchant_goldie, merchant_jay-jay, merchant_kina, merchant_luxe, merchant_mittel, merchant_quixel, merchant_serafina</t>
        </is>
      </c>
      <c r="P55" s="38" t="n">
        <v>10</v>
      </c>
      <c r="Q55" s="38" t="inlineStr">
        <is>
          <t>elem_水, elem_雷, elem_冰, elem_无, role_召唤, role_坦克, role_控制, role_治疗, role_输出, role_机动</t>
        </is>
      </c>
      <c r="R55" s="38" t="inlineStr">
        <is>
          <t>Obsidian</t>
        </is>
      </c>
      <c r="S55" s="38" t="inlineStr">
        <is>
          <t>pal_054</t>
        </is>
      </c>
      <c r="T55" s="38" t="inlineStr">
        <is>
          <t>白眉雪猿</t>
        </is>
      </c>
      <c r="U55" s="38" t="inlineStr">
        <is>
          <t>https://bazaar-builds.net/db/items/harpoon.html</t>
        </is>
      </c>
      <c r="V55" s="38" t="inlineStr">
        <is>
          <t>destroy a small item</t>
        </is>
      </c>
      <c r="W55" s="38" t="inlineStr">
        <is>
          <t>一对一确认来源对象。</t>
        </is>
      </c>
      <c r="X55" s="385" t="inlineStr">
        <is>
          <t>hero_001</t>
        </is>
      </c>
      <c r="Y55" s="386" t="inlineStr">
        <is>
          <t>reference_reserved</t>
        </is>
      </c>
      <c r="Z55" s="386" t="inlineStr">
        <is>
          <t>aquatic, ammo</t>
        </is>
      </c>
      <c r="AA55" s="386" t="str"/>
    </row>
    <row r="56">
      <c r="A56" s="38" t="inlineStr">
        <is>
          <t>bz_van_055</t>
        </is>
      </c>
      <c r="B56" s="38" t="n">
        <v>55</v>
      </c>
      <c r="C56" s="38" t="inlineStr">
        <is>
          <t>item</t>
        </is>
      </c>
      <c r="D56" s="38" t="inlineStr">
        <is>
          <t>snapshot_vanessa_legacy_catalog_v1</t>
        </is>
      </c>
      <c r="E56" s="38" t="inlineStr">
        <is>
          <t>snapshot_the_bazaar_patch_18_0_boundary</t>
        </is>
      </c>
      <c r="F56" s="38" t="inlineStr">
        <is>
          <t>true</t>
        </is>
      </c>
      <c r="G56" s="38" t="inlineStr">
        <is>
          <t>false</t>
        </is>
      </c>
      <c r="H56" s="38" t="inlineStr">
        <is>
          <t>current_rule_match,structured_effects,quality_values,cooldown,buy_price,sell_price,ammo</t>
        </is>
      </c>
      <c r="I56" s="38" t="inlineStr">
        <is>
          <t>holsters</t>
        </is>
      </c>
      <c r="J56" s="38" t="inlineStr">
        <is>
          <t>Holsters</t>
        </is>
      </c>
      <c r="K56" s="38" t="inlineStr">
        <is>
          <t>silver</t>
        </is>
      </c>
      <c r="L56" s="38" t="inlineStr">
        <is>
          <t>small</t>
        </is>
      </c>
      <c r="M56" s="38" t="inlineStr">
        <is>
          <t>apparel, haste</t>
        </is>
      </c>
      <c r="N56" s="38" t="n">
        <v>10</v>
      </c>
      <c r="O56" s="38" t="inlineStr">
        <is>
          <t>merchant_tok-s-clocks, merchant_ande, merchant_chronos, merchant_gaseo, merchant_goldie, merchant_jay-jay, merchant_kina, merchant_luxe, merchant_midsworth, merchant_quixel</t>
        </is>
      </c>
      <c r="P56" s="38" t="n">
        <v>10</v>
      </c>
      <c r="Q56" s="38" t="inlineStr">
        <is>
          <t>elem_火, elem_雷, elem_冰, elem_地, role_召唤, role_坦克, role_控制, special_merchant, elite_high, role_重甲抗压</t>
        </is>
      </c>
      <c r="R56" s="38" t="inlineStr">
        <is>
          <t>Turbo</t>
        </is>
      </c>
      <c r="S56" s="38" t="inlineStr">
        <is>
          <t>pal_055</t>
        </is>
      </c>
      <c r="T56" s="38" t="inlineStr">
        <is>
          <t>寒风幼螭</t>
        </is>
      </c>
      <c r="U56" s="38" t="inlineStr">
        <is>
          <t>https://bazaar-builds.net/db/items/holsters.html</t>
        </is>
      </c>
      <c r="V56" s="38" t="inlineStr">
        <is>
          <t>the first time you use an item each fight, haste your small items for 1 / 2 / 3 seconds.</t>
        </is>
      </c>
      <c r="W56" s="38" t="inlineStr">
        <is>
          <t>一对一确认来源对象。</t>
        </is>
      </c>
      <c r="X56" s="385" t="inlineStr">
        <is>
          <t>hero_001</t>
        </is>
      </c>
      <c r="Y56" s="386" t="inlineStr">
        <is>
          <t>reference_reserved</t>
        </is>
      </c>
      <c r="Z56" s="386" t="inlineStr">
        <is>
          <t>apparel, haste</t>
        </is>
      </c>
      <c r="AA56" s="386" t="str"/>
    </row>
    <row r="57">
      <c r="A57" s="38" t="inlineStr">
        <is>
          <t>bz_van_056</t>
        </is>
      </c>
      <c r="B57" s="38" t="n">
        <v>56</v>
      </c>
      <c r="C57" s="38" t="inlineStr">
        <is>
          <t>item</t>
        </is>
      </c>
      <c r="D57" s="38" t="inlineStr">
        <is>
          <t>snapshot_vanessa_legacy_catalog_v1</t>
        </is>
      </c>
      <c r="E57" s="38" t="inlineStr">
        <is>
          <t>snapshot_the_bazaar_patch_18_0_boundary</t>
        </is>
      </c>
      <c r="F57" s="38" t="inlineStr">
        <is>
          <t>true</t>
        </is>
      </c>
      <c r="G57" s="38" t="inlineStr">
        <is>
          <t>false</t>
        </is>
      </c>
      <c r="H57" s="38" t="inlineStr">
        <is>
          <t>current_rule_match,structured_effects,quality_values,cooldown,buy_price,sell_price,ammo</t>
        </is>
      </c>
      <c r="I57" s="38" t="inlineStr">
        <is>
          <t>honing-steel</t>
        </is>
      </c>
      <c r="J57" s="38" t="inlineStr">
        <is>
          <t>Honing Steel</t>
        </is>
      </c>
      <c r="K57" s="38" t="inlineStr">
        <is>
          <t>bronze</t>
        </is>
      </c>
      <c r="L57" s="38" t="inlineStr">
        <is>
          <t>small</t>
        </is>
      </c>
      <c r="M57" s="38" t="inlineStr">
        <is>
          <t>tool, damagereference</t>
        </is>
      </c>
      <c r="N57" s="38" t="n">
        <v>10</v>
      </c>
      <c r="O57" s="38" t="inlineStr">
        <is>
          <t>merchant_ande, merchant_goldie, merchant_jay-jay, merchant_kina, merchant_luxe, merchant_midsworth, merchant_orion, merchant_quixel, merchant_serafina, merchant_silvia</t>
        </is>
      </c>
      <c r="P57" s="38" t="n">
        <v>10</v>
      </c>
      <c r="Q57" s="38" t="inlineStr">
        <is>
          <t>elem_火, elem_雷, elem_冰, elem_地, role_召唤, role_坦克, role_控制, role_治疗, role_经济, role_远点压制</t>
        </is>
      </c>
      <c r="R57" s="38" t="inlineStr">
        <is>
          <t>Deadly</t>
        </is>
      </c>
      <c r="S57" s="38" t="inlineStr">
        <is>
          <t>pal_056</t>
        </is>
      </c>
      <c r="T57" s="38" t="inlineStr">
        <is>
          <t>震角雷牛</t>
        </is>
      </c>
      <c r="U57" s="38" t="inlineStr">
        <is>
          <t>https://bazaar-builds.net/db/items/honing-steel.html</t>
        </is>
      </c>
      <c r="V57" s="38" t="inlineStr">
        <is>
          <t>your leftmost and rightmost weapons gain +5 / 10 / 15 / 20 damage for the fight</t>
        </is>
      </c>
      <c r="W57" s="38" t="inlineStr">
        <is>
          <t>一对一确认来源对象。</t>
        </is>
      </c>
      <c r="X57" s="385" t="inlineStr">
        <is>
          <t>hero_001</t>
        </is>
      </c>
      <c r="Y57" s="386" t="inlineStr">
        <is>
          <t>reference_reserved</t>
        </is>
      </c>
      <c r="Z57" s="386" t="inlineStr">
        <is>
          <t>tool</t>
        </is>
      </c>
      <c r="AA57" s="386" t="inlineStr">
        <is>
          <t>damage</t>
        </is>
      </c>
    </row>
    <row r="58">
      <c r="A58" s="38" t="inlineStr">
        <is>
          <t>bz_van_057</t>
        </is>
      </c>
      <c r="B58" s="38" t="n">
        <v>57</v>
      </c>
      <c r="C58" s="38" t="inlineStr">
        <is>
          <t>item</t>
        </is>
      </c>
      <c r="D58" s="38" t="inlineStr">
        <is>
          <t>snapshot_vanessa_legacy_catalog_v1</t>
        </is>
      </c>
      <c r="E58" s="38" t="inlineStr">
        <is>
          <t>snapshot_the_bazaar_patch_18_0_boundary</t>
        </is>
      </c>
      <c r="F58" s="38" t="inlineStr">
        <is>
          <t>true</t>
        </is>
      </c>
      <c r="G58" s="38" t="inlineStr">
        <is>
          <t>false</t>
        </is>
      </c>
      <c r="H58" s="38" t="inlineStr">
        <is>
          <t>current_rule_match,structured_effects,quality_values,cooldown,buy_price,sell_price,ammo</t>
        </is>
      </c>
      <c r="I58" s="38" t="inlineStr">
        <is>
          <t>ice-pick</t>
        </is>
      </c>
      <c r="J58" s="38" t="inlineStr">
        <is>
          <t>Ice Pick</t>
        </is>
      </c>
      <c r="K58" s="38" t="inlineStr">
        <is>
          <t>silver</t>
        </is>
      </c>
      <c r="L58" s="38" t="inlineStr">
        <is>
          <t>small</t>
        </is>
      </c>
      <c r="M58" s="38" t="inlineStr">
        <is>
          <t>weapon, tool, damage, freeze</t>
        </is>
      </c>
      <c r="N58" s="38" t="n">
        <v>10</v>
      </c>
      <c r="O58" s="38" t="inlineStr">
        <is>
          <t>merchant_aila, merchant_ande, merchant_freiya, merchant_goldie, merchant_jay-jay, merchant_luxe, merchant_midsworth, merchant_orion, merchant_quixel, merchant_serafina</t>
        </is>
      </c>
      <c r="P58" s="38" t="n">
        <v>10</v>
      </c>
      <c r="Q58" s="38" t="inlineStr">
        <is>
          <t>night_base, elem_火, elem_雷, elem_地, role_召唤, role_坦克, role_控制, role_治疗, role_远点压制, role_风系牵制</t>
        </is>
      </c>
      <c r="R58" s="38" t="inlineStr">
        <is>
          <t>Icy</t>
        </is>
      </c>
      <c r="S58" s="38" t="inlineStr">
        <is>
          <t>pal_057</t>
        </is>
      </c>
      <c r="T58" s="38" t="inlineStr">
        <is>
          <t>吹雪银狐</t>
        </is>
      </c>
      <c r="U58" s="38" t="inlineStr">
        <is>
          <t>https://bazaar-builds.net/db/items/ice-pick.html</t>
        </is>
      </c>
      <c r="V58" s="38" t="inlineStr">
        <is>
          <t>deal 25 damage freeze an item for 1 second when you freeze, this gains 15 / 30 / 45 damage for the fight.</t>
        </is>
      </c>
      <c r="W58" s="38" t="inlineStr">
        <is>
          <t>一对一确认来源对象。</t>
        </is>
      </c>
      <c r="X58" s="385" t="inlineStr">
        <is>
          <t>hero_001</t>
        </is>
      </c>
      <c r="Y58" s="386" t="inlineStr">
        <is>
          <t>reference_reserved</t>
        </is>
      </c>
      <c r="Z58" s="386" t="inlineStr">
        <is>
          <t>weapon, tool, damage, freeze</t>
        </is>
      </c>
      <c r="AA58" s="386" t="str"/>
    </row>
    <row r="59">
      <c r="A59" s="38" t="inlineStr">
        <is>
          <t>bz_van_058</t>
        </is>
      </c>
      <c r="B59" s="38" t="n">
        <v>58</v>
      </c>
      <c r="C59" s="38" t="inlineStr">
        <is>
          <t>item</t>
        </is>
      </c>
      <c r="D59" s="38" t="inlineStr">
        <is>
          <t>snapshot_vanessa_legacy_catalog_v1</t>
        </is>
      </c>
      <c r="E59" s="38" t="inlineStr">
        <is>
          <t>snapshot_the_bazaar_patch_18_0_boundary</t>
        </is>
      </c>
      <c r="F59" s="38" t="inlineStr">
        <is>
          <t>true</t>
        </is>
      </c>
      <c r="G59" s="38" t="inlineStr">
        <is>
          <t>false</t>
        </is>
      </c>
      <c r="H59" s="38" t="inlineStr">
        <is>
          <t>current_rule_match,structured_effects,quality_values,cooldown,buy_price,sell_price,ammo</t>
        </is>
      </c>
      <c r="I59" s="38" t="inlineStr">
        <is>
          <t>iceberg</t>
        </is>
      </c>
      <c r="J59" s="38" t="inlineStr">
        <is>
          <t>Iceberg</t>
        </is>
      </c>
      <c r="K59" s="38" t="inlineStr">
        <is>
          <t>diamond</t>
        </is>
      </c>
      <c r="L59" s="38" t="inlineStr">
        <is>
          <t>large</t>
        </is>
      </c>
      <c r="M59" s="38" t="inlineStr">
        <is>
          <t>aquatic, property, freeze</t>
        </is>
      </c>
      <c r="N59" s="38" t="n">
        <v>10</v>
      </c>
      <c r="O59" s="38" t="inlineStr">
        <is>
          <t>merchant_nautica, merchant_barkun, merchant_freiya, merchant_jay-jay, merchant_kina, merchant_luxe, merchant_midsworth, merchant_mr-morland, merchant_pol, merchant_serafina</t>
        </is>
      </c>
      <c r="P59" s="38" t="n">
        <v>10</v>
      </c>
      <c r="Q59" s="38" t="inlineStr">
        <is>
          <t>elem_水, elem_雷, elem_冰, elem_地, elem_暗, role_控制, role_治疗, role_输出, role_风系铺场, role_风系牵制</t>
        </is>
      </c>
      <c r="R59" s="38" t="inlineStr">
        <is>
          <t>Icy</t>
        </is>
      </c>
      <c r="S59" s="38" t="inlineStr">
        <is>
          <t>pal_058</t>
        </is>
      </c>
      <c r="T59" s="38" t="inlineStr">
        <is>
          <t>丹角火麟</t>
        </is>
      </c>
      <c r="U59" s="38" t="inlineStr">
        <is>
          <t>https://bazaar-builds.net/db/items/iceberg.html</t>
        </is>
      </c>
      <c r="V59" s="38" t="inlineStr">
        <is>
          <t>when an enemy uses an item, freeze it for 1 second.</t>
        </is>
      </c>
      <c r="W59" s="38" t="inlineStr">
        <is>
          <t>一对一确认来源对象。</t>
        </is>
      </c>
      <c r="X59" s="385" t="inlineStr">
        <is>
          <t>hero_001</t>
        </is>
      </c>
      <c r="Y59" s="386" t="inlineStr">
        <is>
          <t>reference_reserved</t>
        </is>
      </c>
      <c r="Z59" s="386" t="inlineStr">
        <is>
          <t>aquatic, property, freeze</t>
        </is>
      </c>
      <c r="AA59" s="386" t="str"/>
    </row>
    <row r="60">
      <c r="A60" s="38" t="inlineStr">
        <is>
          <t>bz_van_059</t>
        </is>
      </c>
      <c r="B60" s="38" t="n">
        <v>59</v>
      </c>
      <c r="C60" s="38" t="inlineStr">
        <is>
          <t>item</t>
        </is>
      </c>
      <c r="D60" s="38" t="inlineStr">
        <is>
          <t>snapshot_vanessa_legacy_catalog_v1</t>
        </is>
      </c>
      <c r="E60" s="38" t="inlineStr">
        <is>
          <t>snapshot_the_bazaar_patch_18_0_boundary</t>
        </is>
      </c>
      <c r="F60" s="38" t="inlineStr">
        <is>
          <t>true</t>
        </is>
      </c>
      <c r="G60" s="38" t="inlineStr">
        <is>
          <t>false</t>
        </is>
      </c>
      <c r="H60" s="38" t="inlineStr">
        <is>
          <t>current_rule_match,structured_effects,quality_values,cooldown,buy_price,sell_price,ammo</t>
        </is>
      </c>
      <c r="I60" s="38" t="inlineStr">
        <is>
          <t>illusoray</t>
        </is>
      </c>
      <c r="J60" s="38" t="inlineStr">
        <is>
          <t>IllusoRay</t>
        </is>
      </c>
      <c r="K60" s="38" t="inlineStr">
        <is>
          <t>bronze</t>
        </is>
      </c>
      <c r="L60" s="38" t="inlineStr">
        <is>
          <t>small</t>
        </is>
      </c>
      <c r="M60" s="38" t="inlineStr">
        <is>
          <t>aquatic, friend, ray, slow</t>
        </is>
      </c>
      <c r="N60" s="38" t="n">
        <v>10</v>
      </c>
      <c r="O60" s="38" t="inlineStr">
        <is>
          <t>merchant_dryad, merchant_nautica, merchant_tok-s-clocks, merchant_ande, merchant_cobweb, merchant_goldie, merchant_jay-jay, merchant_kina, merchant_luxe, merchant_midsworth</t>
        </is>
      </c>
      <c r="P60" s="38" t="n">
        <v>10</v>
      </c>
      <c r="Q60" s="38" t="inlineStr">
        <is>
          <t>elem_火, elem_雷, elem_冰, elem_地, role_坦克, role_控制, role_输出, special_merchant, role_召唤铺场, role_机动压制</t>
        </is>
      </c>
      <c r="R60" s="38" t="inlineStr">
        <is>
          <t>Icy</t>
        </is>
      </c>
      <c r="S60" s="38" t="inlineStr">
        <is>
          <t>pal_059</t>
        </is>
      </c>
      <c r="T60" s="38" t="inlineStr">
        <is>
          <t>冰角白鹿</t>
        </is>
      </c>
      <c r="U60" s="38" t="inlineStr">
        <is>
          <t>https://bazaar-builds.net/db/items/illusoray.html</t>
        </is>
      </c>
      <c r="V60" s="38" t="inlineStr">
        <is>
          <t>slow an item for 1 / 2 / 3 / 4 seconds for each adjacent friend or ray, this has +1 multicast.</t>
        </is>
      </c>
      <c r="W60" s="38" t="inlineStr">
        <is>
          <t>一对一确认来源对象。</t>
        </is>
      </c>
      <c r="X60" s="385" t="inlineStr">
        <is>
          <t>hero_001</t>
        </is>
      </c>
      <c r="Y60" s="386" t="inlineStr">
        <is>
          <t>reference_reserved</t>
        </is>
      </c>
      <c r="Z60" s="386" t="inlineStr">
        <is>
          <t>aquatic, friend, ray, slow</t>
        </is>
      </c>
      <c r="AA60" s="386" t="str"/>
    </row>
    <row r="61">
      <c r="A61" s="38" t="inlineStr">
        <is>
          <t>bz_van_060</t>
        </is>
      </c>
      <c r="B61" s="38" t="n">
        <v>60</v>
      </c>
      <c r="C61" s="38" t="inlineStr">
        <is>
          <t>item</t>
        </is>
      </c>
      <c r="D61" s="38" t="inlineStr">
        <is>
          <t>snapshot_vanessa_legacy_catalog_v1</t>
        </is>
      </c>
      <c r="E61" s="38" t="inlineStr">
        <is>
          <t>snapshot_the_bazaar_patch_18_0_boundary</t>
        </is>
      </c>
      <c r="F61" s="38" t="inlineStr">
        <is>
          <t>true</t>
        </is>
      </c>
      <c r="G61" s="38" t="inlineStr">
        <is>
          <t>false</t>
        </is>
      </c>
      <c r="H61" s="38" t="inlineStr">
        <is>
          <t>current_rule_match,structured_effects,quality_values,cooldown,buy_price,sell_price,ammo</t>
        </is>
      </c>
      <c r="I61" s="38" t="inlineStr">
        <is>
          <t>incendiary-rounds</t>
        </is>
      </c>
      <c r="J61" s="38" t="inlineStr">
        <is>
          <t>Incendiary Rounds</t>
        </is>
      </c>
      <c r="K61" s="38" t="inlineStr">
        <is>
          <t>silver</t>
        </is>
      </c>
      <c r="L61" s="38" t="inlineStr">
        <is>
          <t>small</t>
        </is>
      </c>
      <c r="M61" s="38" t="inlineStr">
        <is>
          <t>burn</t>
        </is>
      </c>
      <c r="N61" s="38" t="n">
        <v>10</v>
      </c>
      <c r="O61" s="38" t="inlineStr">
        <is>
          <t>merchant_ande, merchant_goldie, merchant_hef, merchant_jay-jay, merchant_kina, merchant_luxe, merchant_midsworth, merchant_quixel, merchant_serafina, merchant_silvia</t>
        </is>
      </c>
      <c r="P61" s="38" t="n">
        <v>10</v>
      </c>
      <c r="Q61" s="38" t="inlineStr">
        <is>
          <t>elem_火, elem_雷, elem_冰, elem_地, role_召唤, role_坦克, role_控制, role_治疗, role_经济, tier_pT2</t>
        </is>
      </c>
      <c r="R61" s="38" t="inlineStr">
        <is>
          <t>Fiery</t>
        </is>
      </c>
      <c r="S61" s="38" t="inlineStr">
        <is>
          <t>pal_060</t>
        </is>
      </c>
      <c r="T61" s="38" t="inlineStr">
        <is>
          <t>霹雳战獒</t>
        </is>
      </c>
      <c r="U61" s="38" t="inlineStr">
        <is>
          <t>https://bazaar-builds.net/db/items/incendiary-rounds.html</t>
        </is>
      </c>
      <c r="V61" s="38" t="inlineStr">
        <is>
          <t>when you use an adjacent item, burn 1 / 2 / 3.</t>
        </is>
      </c>
      <c r="W61" s="38" t="inlineStr">
        <is>
          <t>一对一确认来源对象。</t>
        </is>
      </c>
      <c r="X61" s="385" t="inlineStr">
        <is>
          <t>hero_001</t>
        </is>
      </c>
      <c r="Y61" s="386" t="inlineStr">
        <is>
          <t>reference_reserved</t>
        </is>
      </c>
      <c r="Z61" s="386" t="inlineStr">
        <is>
          <t>burn</t>
        </is>
      </c>
      <c r="AA61" s="386" t="str"/>
    </row>
    <row r="62">
      <c r="A62" s="38" t="inlineStr">
        <is>
          <t>bz_van_061</t>
        </is>
      </c>
      <c r="B62" s="38" t="n">
        <v>61</v>
      </c>
      <c r="C62" s="38" t="inlineStr">
        <is>
          <t>item</t>
        </is>
      </c>
      <c r="D62" s="38" t="inlineStr">
        <is>
          <t>snapshot_vanessa_legacy_catalog_v1</t>
        </is>
      </c>
      <c r="E62" s="38" t="inlineStr">
        <is>
          <t>snapshot_the_bazaar_patch_18_0_boundary</t>
        </is>
      </c>
      <c r="F62" s="38" t="inlineStr">
        <is>
          <t>true</t>
        </is>
      </c>
      <c r="G62" s="38" t="inlineStr">
        <is>
          <t>false</t>
        </is>
      </c>
      <c r="H62" s="38" t="inlineStr">
        <is>
          <t>current_rule_match,structured_effects,quality_values,cooldown,buy_price,sell_price,ammo</t>
        </is>
      </c>
      <c r="I62" s="38" t="inlineStr">
        <is>
          <t>integrated-hud</t>
        </is>
      </c>
      <c r="J62" s="38" t="inlineStr">
        <is>
          <t>Integrated HUD</t>
        </is>
      </c>
      <c r="K62" s="38" t="inlineStr">
        <is>
          <t>silver</t>
        </is>
      </c>
      <c r="L62" s="38" t="inlineStr">
        <is>
          <t>small</t>
        </is>
      </c>
      <c r="M62" s="38" t="inlineStr">
        <is>
          <t>apparel, tech, crit, slow</t>
        </is>
      </c>
      <c r="N62" s="38" t="n">
        <v>10</v>
      </c>
      <c r="O62" s="38" t="inlineStr">
        <is>
          <t>merchant_aimbot, merchant_the-tester, merchant_tok-s-clocks, merchant_ande, merchant_cobweb, merchant_gaseo, merchant_goldie, merchant_jay-jay, merchant_kina, merchant_luxe</t>
        </is>
      </c>
      <c r="P62" s="38" t="n">
        <v>10</v>
      </c>
      <c r="Q62" s="38" t="inlineStr">
        <is>
          <t>elem_火, elem_雷, elem_冰, role_坦克, role_控制, special_merchant, tier_pT1, role_召唤铺场, role_抗压承伤, role_重甲抗压</t>
        </is>
      </c>
      <c r="R62" s="38" t="inlineStr">
        <is>
          <t>Icy</t>
        </is>
      </c>
      <c r="S62" s="38" t="inlineStr">
        <is>
          <t>pal_061</t>
        </is>
      </c>
      <c r="T62" s="38" t="inlineStr">
        <is>
          <t>苍焰赤豺</t>
        </is>
      </c>
      <c r="U62" s="38" t="inlineStr">
        <is>
          <t>https://bazaar-builds.net/db/items/integrated-hud.html</t>
        </is>
      </c>
      <c r="V62" s="38" t="inlineStr">
        <is>
          <t>the item to the right of this has +20 / 30 / 40% crit chance. when you crit with the item to the right of this, slow an item for 1 second.</t>
        </is>
      </c>
      <c r="W62" s="38" t="inlineStr">
        <is>
          <t>一对一确认来源对象。</t>
        </is>
      </c>
      <c r="X62" s="385" t="inlineStr">
        <is>
          <t>hero_001</t>
        </is>
      </c>
      <c r="Y62" s="386" t="inlineStr">
        <is>
          <t>reference_reserved</t>
        </is>
      </c>
      <c r="Z62" s="386" t="inlineStr">
        <is>
          <t>apparel, tech, crit, slow</t>
        </is>
      </c>
      <c r="AA62" s="386" t="str"/>
    </row>
    <row r="63">
      <c r="A63" s="38" t="inlineStr">
        <is>
          <t>bz_van_062</t>
        </is>
      </c>
      <c r="B63" s="38" t="n">
        <v>62</v>
      </c>
      <c r="C63" s="38" t="inlineStr">
        <is>
          <t>item</t>
        </is>
      </c>
      <c r="D63" s="38" t="inlineStr">
        <is>
          <t>snapshot_vanessa_legacy_catalog_v1</t>
        </is>
      </c>
      <c r="E63" s="38" t="inlineStr">
        <is>
          <t>snapshot_the_bazaar_patch_18_0_boundary</t>
        </is>
      </c>
      <c r="F63" s="38" t="inlineStr">
        <is>
          <t>true</t>
        </is>
      </c>
      <c r="G63" s="38" t="inlineStr">
        <is>
          <t>false</t>
        </is>
      </c>
      <c r="H63" s="38" t="inlineStr">
        <is>
          <t>current_rule_match,structured_effects,quality_values,cooldown,buy_price,sell_price,ammo</t>
        </is>
      </c>
      <c r="I63" s="38" t="inlineStr">
        <is>
          <t>javelin</t>
        </is>
      </c>
      <c r="J63" s="38" t="inlineStr">
        <is>
          <t>Javelin</t>
        </is>
      </c>
      <c r="K63" s="38" t="inlineStr">
        <is>
          <t>silver</t>
        </is>
      </c>
      <c r="L63" s="38" t="inlineStr">
        <is>
          <t>medium</t>
        </is>
      </c>
      <c r="M63" s="38" t="inlineStr">
        <is>
          <t>weapon, damage, ammo, haste</t>
        </is>
      </c>
      <c r="N63" s="38" t="n">
        <v>10</v>
      </c>
      <c r="O63" s="38" t="inlineStr">
        <is>
          <t>merchant_colt, merchant_tok-s-clocks, merchant_aila, merchant_barkun, merchant_chronos, merchant_goldie, merchant_jay-jay, merchant_luxe, merchant_mittel, merchant_quixel</t>
        </is>
      </c>
      <c r="P63" s="38" t="n">
        <v>10</v>
      </c>
      <c r="Q63" s="38" t="inlineStr">
        <is>
          <t>night_base, elem_水, elem_雷, elem_无, role_召唤, role_坦克, role_控制, role_机动, special_merchant, elite_high</t>
        </is>
      </c>
      <c r="R63" s="38" t="inlineStr">
        <is>
          <t>Turbo</t>
        </is>
      </c>
      <c r="S63" s="38" t="inlineStr">
        <is>
          <t>pal_062</t>
        </is>
      </c>
      <c r="T63" s="38" t="inlineStr">
        <is>
          <t>雷纹巨猿</t>
        </is>
      </c>
      <c r="U63" s="38" t="inlineStr">
        <is>
          <t>https://bazaar-builds.net/db/items/javelin.html</t>
        </is>
      </c>
      <c r="V63" s="38" t="inlineStr">
        <is>
          <t>deal 50 / 100 / 200 damage haste your other items for 1 / 2 / 3 seconds.</t>
        </is>
      </c>
      <c r="W63" s="38" t="inlineStr">
        <is>
          <t>一对一确认来源对象。</t>
        </is>
      </c>
      <c r="X63" s="385" t="inlineStr">
        <is>
          <t>hero_001</t>
        </is>
      </c>
      <c r="Y63" s="386" t="inlineStr">
        <is>
          <t>reference_reserved</t>
        </is>
      </c>
      <c r="Z63" s="386" t="inlineStr">
        <is>
          <t>weapon, damage, ammo, haste</t>
        </is>
      </c>
      <c r="AA63" s="386" t="str"/>
    </row>
    <row r="64">
      <c r="A64" s="38" t="inlineStr">
        <is>
          <t>bz_van_063</t>
        </is>
      </c>
      <c r="B64" s="38" t="n">
        <v>63</v>
      </c>
      <c r="C64" s="38" t="inlineStr">
        <is>
          <t>item</t>
        </is>
      </c>
      <c r="D64" s="38" t="inlineStr">
        <is>
          <t>snapshot_vanessa_legacy_catalog_v1</t>
        </is>
      </c>
      <c r="E64" s="38" t="inlineStr">
        <is>
          <t>snapshot_the_bazaar_patch_18_0_boundary</t>
        </is>
      </c>
      <c r="F64" s="38" t="inlineStr">
        <is>
          <t>true</t>
        </is>
      </c>
      <c r="G64" s="38" t="inlineStr">
        <is>
          <t>false</t>
        </is>
      </c>
      <c r="H64" s="38" t="inlineStr">
        <is>
          <t>current_rule_match,structured_effects,quality_values,cooldown,buy_price,sell_price,ammo</t>
        </is>
      </c>
      <c r="I64" s="38" t="inlineStr">
        <is>
          <t>jellyfish</t>
        </is>
      </c>
      <c r="J64" s="38" t="inlineStr">
        <is>
          <t>Jellyfish</t>
        </is>
      </c>
      <c r="K64" s="38" t="inlineStr">
        <is>
          <t>bronze</t>
        </is>
      </c>
      <c r="L64" s="38" t="inlineStr">
        <is>
          <t>small</t>
        </is>
      </c>
      <c r="M64" s="38" t="inlineStr">
        <is>
          <t>aquatic, friend, poison, haste</t>
        </is>
      </c>
      <c r="N64" s="38" t="n">
        <v>10</v>
      </c>
      <c r="O64" s="38" t="inlineStr">
        <is>
          <t>merchant_dryad, merchant_nautica, merchant_tok-s-clocks, merchant_ande, merchant_chronos, merchant_goldie, merchant_jay-jay, merchant_kina, merchant_knightshade, merchant_luxe</t>
        </is>
      </c>
      <c r="P64" s="38" t="n">
        <v>10</v>
      </c>
      <c r="Q64" s="38" t="inlineStr">
        <is>
          <t>elem_火, elem_雷, elem_冰, role_坦克, role_控制, role_输出, special_merchant, elite_high, role_机动压制, role_火系压制</t>
        </is>
      </c>
      <c r="R64" s="38" t="inlineStr">
        <is>
          <t>Toxic</t>
        </is>
      </c>
      <c r="S64" s="38" t="inlineStr">
        <is>
          <t>pal_063</t>
        </is>
      </c>
      <c r="T64" s="38" t="inlineStr">
        <is>
          <t>蜃雾白鹿</t>
        </is>
      </c>
      <c r="U64" s="38" t="inlineStr">
        <is>
          <t>https://bazaar-builds.net/db/items/jellyfish.html</t>
        </is>
      </c>
      <c r="V64" s="38" t="inlineStr">
        <is>
          <t>poison 3 / 6 / 9 / 12 when you use an adjacent aquatic item, haste this for 1 / 2 / 3 / 4 seconds.</t>
        </is>
      </c>
      <c r="W64" s="38" t="inlineStr">
        <is>
          <t>一对一确认来源对象。</t>
        </is>
      </c>
      <c r="X64" s="385" t="inlineStr">
        <is>
          <t>hero_001</t>
        </is>
      </c>
      <c r="Y64" s="386" t="inlineStr">
        <is>
          <t>reference_reserved</t>
        </is>
      </c>
      <c r="Z64" s="386" t="inlineStr">
        <is>
          <t>aquatic, friend, poison, haste</t>
        </is>
      </c>
      <c r="AA64" s="386" t="str"/>
    </row>
    <row r="65">
      <c r="A65" s="38" t="inlineStr">
        <is>
          <t>bz_van_064</t>
        </is>
      </c>
      <c r="B65" s="38" t="n">
        <v>64</v>
      </c>
      <c r="C65" s="38" t="inlineStr">
        <is>
          <t>item</t>
        </is>
      </c>
      <c r="D65" s="38" t="inlineStr">
        <is>
          <t>snapshot_vanessa_legacy_catalog_v1</t>
        </is>
      </c>
      <c r="E65" s="38" t="inlineStr">
        <is>
          <t>snapshot_the_bazaar_patch_18_0_boundary</t>
        </is>
      </c>
      <c r="F65" s="38" t="inlineStr">
        <is>
          <t>true</t>
        </is>
      </c>
      <c r="G65" s="38" t="inlineStr">
        <is>
          <t>false</t>
        </is>
      </c>
      <c r="H65" s="38" t="inlineStr">
        <is>
          <t>current_rule_match,structured_effects,quality_values,cooldown,buy_price,sell_price,ammo</t>
        </is>
      </c>
      <c r="I65" s="38" t="inlineStr">
        <is>
          <t>jetbike</t>
        </is>
      </c>
      <c r="J65" s="38" t="inlineStr">
        <is>
          <t>Jetbike</t>
        </is>
      </c>
      <c r="K65" s="38" t="inlineStr">
        <is>
          <t>silver</t>
        </is>
      </c>
      <c r="L65" s="38" t="inlineStr">
        <is>
          <t>large</t>
        </is>
      </c>
      <c r="M65" s="38" t="inlineStr">
        <is>
          <t>weapon, vehicle, damage, flying</t>
        </is>
      </c>
      <c r="N65" s="38" t="n">
        <v>10</v>
      </c>
      <c r="O65" s="38" t="inlineStr">
        <is>
          <t>merchant_pinfeather, merchant_aero, merchant_aila, merchant_barkun, merchant_goldie, merchant_jay-jay, merchant_luxe, merchant_midsworth, merchant_pol, merchant_serafina</t>
        </is>
      </c>
      <c r="P65" s="38" t="n">
        <v>10</v>
      </c>
      <c r="Q65" s="38" t="inlineStr">
        <is>
          <t>night_base, elem_火, elem_水, elem_草, elem_雷, elem_地, role_坦克, role_控制, role_治疗, role_风系铺场</t>
        </is>
      </c>
      <c r="R65" s="38" t="inlineStr">
        <is>
          <t>Turbo</t>
        </is>
      </c>
      <c r="S65" s="38" t="inlineStr">
        <is>
          <t>pal_064</t>
        </is>
      </c>
      <c r="T65" s="38" t="inlineStr">
        <is>
          <t>翠冠花螭</t>
        </is>
      </c>
      <c r="U65" s="38" t="inlineStr">
        <is>
          <t>https://bazaar-builds.net/db/items/jetbike.html</t>
        </is>
      </c>
      <c r="V65" s="38" t="inlineStr">
        <is>
          <t>deal 200 / 400 / 800 damage when you use an adjacent item, it and this start flying when you use another flying item, charge this 1 second.</t>
        </is>
      </c>
      <c r="W65" s="38" t="inlineStr">
        <is>
          <t>一对一确认来源对象。</t>
        </is>
      </c>
      <c r="X65" s="385" t="inlineStr">
        <is>
          <t>hero_001</t>
        </is>
      </c>
      <c r="Y65" s="386" t="inlineStr">
        <is>
          <t>reference_reserved</t>
        </is>
      </c>
      <c r="Z65" s="386" t="inlineStr">
        <is>
          <t>weapon, vehicle, damage, flying</t>
        </is>
      </c>
      <c r="AA65" s="386" t="str"/>
    </row>
    <row r="66">
      <c r="A66" s="38" t="inlineStr">
        <is>
          <t>bz_van_065</t>
        </is>
      </c>
      <c r="B66" s="38" t="n">
        <v>65</v>
      </c>
      <c r="C66" s="38" t="inlineStr">
        <is>
          <t>item</t>
        </is>
      </c>
      <c r="D66" s="38" t="inlineStr">
        <is>
          <t>snapshot_vanessa_legacy_catalog_v1</t>
        </is>
      </c>
      <c r="E66" s="38" t="inlineStr">
        <is>
          <t>snapshot_the_bazaar_patch_18_0_boundary</t>
        </is>
      </c>
      <c r="F66" s="38" t="inlineStr">
        <is>
          <t>true</t>
        </is>
      </c>
      <c r="G66" s="38" t="inlineStr">
        <is>
          <t>false</t>
        </is>
      </c>
      <c r="H66" s="38" t="inlineStr">
        <is>
          <t>current_rule_match,structured_effects,quality_values,cooldown,buy_price,sell_price,ammo</t>
        </is>
      </c>
      <c r="I66" s="38" t="inlineStr">
        <is>
          <t>jitte</t>
        </is>
      </c>
      <c r="J66" s="38" t="inlineStr">
        <is>
          <t>Jitte</t>
        </is>
      </c>
      <c r="K66" s="38" t="inlineStr">
        <is>
          <t>silver</t>
        </is>
      </c>
      <c r="L66" s="38" t="inlineStr">
        <is>
          <t>small</t>
        </is>
      </c>
      <c r="M66" s="38" t="inlineStr">
        <is>
          <t>weapon, damage, slow</t>
        </is>
      </c>
      <c r="N66" s="38" t="n">
        <v>10</v>
      </c>
      <c r="O66" s="38" t="inlineStr">
        <is>
          <t>merchant_tok-s-clocks, merchant_aila, merchant_ande, merchant_cobweb, merchant_goldie, merchant_jay-jay, merchant_luxe, merchant_midsworth, merchant_quixel, merchant_serafina</t>
        </is>
      </c>
      <c r="P66" s="38" t="n">
        <v>10</v>
      </c>
      <c r="Q66" s="38" t="inlineStr">
        <is>
          <t>night_base, elem_火, elem_雷, elem_地, role_召唤, role_坦克, role_控制, role_治疗, special_merchant, role_召唤铺场</t>
        </is>
      </c>
      <c r="R66" s="38" t="inlineStr">
        <is>
          <t>Icy</t>
        </is>
      </c>
      <c r="S66" s="38" t="inlineStr">
        <is>
          <t>pal_065</t>
        </is>
      </c>
      <c r="T66" s="38" t="inlineStr">
        <is>
          <t>霆角龙犀</t>
        </is>
      </c>
      <c r="U66" s="38" t="inlineStr">
        <is>
          <t>https://bazaar-builds.net/db/items/jitte.html</t>
        </is>
      </c>
      <c r="V66" s="38" t="inlineStr">
        <is>
          <t>deal 20 damage slow an item for 1 / 2 / 3 seconds when you slow, this gains 10 / 20 / 30 damage for the fight.</t>
        </is>
      </c>
      <c r="W66" s="38" t="inlineStr">
        <is>
          <t>一对一确认来源对象。</t>
        </is>
      </c>
      <c r="X66" s="385" t="inlineStr">
        <is>
          <t>hero_001</t>
        </is>
      </c>
      <c r="Y66" s="386" t="inlineStr">
        <is>
          <t>reference_reserved</t>
        </is>
      </c>
      <c r="Z66" s="386" t="inlineStr">
        <is>
          <t>weapon, damage, slow</t>
        </is>
      </c>
      <c r="AA66" s="386" t="str"/>
    </row>
    <row r="67">
      <c r="A67" s="38" t="inlineStr">
        <is>
          <t>bz_van_066</t>
        </is>
      </c>
      <c r="B67" s="38" t="n">
        <v>66</v>
      </c>
      <c r="C67" s="38" t="inlineStr">
        <is>
          <t>item</t>
        </is>
      </c>
      <c r="D67" s="38" t="inlineStr">
        <is>
          <t>snapshot_vanessa_legacy_catalog_v1</t>
        </is>
      </c>
      <c r="E67" s="38" t="inlineStr">
        <is>
          <t>snapshot_the_bazaar_patch_18_0_boundary</t>
        </is>
      </c>
      <c r="F67" s="38" t="inlineStr">
        <is>
          <t>true</t>
        </is>
      </c>
      <c r="G67" s="38" t="inlineStr">
        <is>
          <t>false</t>
        </is>
      </c>
      <c r="H67" s="38" t="inlineStr">
        <is>
          <t>current_rule_match,structured_effects,quality_values,cooldown,buy_price,sell_price,ammo</t>
        </is>
      </c>
      <c r="I67" s="38" t="inlineStr">
        <is>
          <t>katana</t>
        </is>
      </c>
      <c r="J67" s="38" t="inlineStr">
        <is>
          <t>Katana</t>
        </is>
      </c>
      <c r="K67" s="38" t="inlineStr">
        <is>
          <t>bronze</t>
        </is>
      </c>
      <c r="L67" s="38" t="inlineStr">
        <is>
          <t>medium</t>
        </is>
      </c>
      <c r="M67" s="38" t="inlineStr">
        <is>
          <t>weapon, damage</t>
        </is>
      </c>
      <c r="N67" s="38" t="n">
        <v>10</v>
      </c>
      <c r="O67" s="38" t="inlineStr">
        <is>
          <t>merchant_aila, merchant_barkun, merchant_goldie, merchant_jay-jay, merchant_luxe, merchant_mittel, merchant_quixel, merchant_serafina, merchant_silvia, merchant_valpak</t>
        </is>
      </c>
      <c r="P67" s="38" t="n">
        <v>10</v>
      </c>
      <c r="Q67" s="38" t="inlineStr">
        <is>
          <t>night_base, elem_水, elem_雷, elem_暗, elem_无, role_召唤, role_坦克, role_控制, role_治疗, role_经济</t>
        </is>
      </c>
      <c r="R67" s="38" t="inlineStr">
        <is>
          <t>Deadly</t>
        </is>
      </c>
      <c r="S67" s="38" t="inlineStr">
        <is>
          <t>pal_066</t>
        </is>
      </c>
      <c r="T67" s="38" t="inlineStr">
        <is>
          <t>浪鳞水蛇</t>
        </is>
      </c>
      <c r="U67" s="38" t="inlineStr">
        <is>
          <t>https://bazaar-builds.net/db/items/katana.html</t>
        </is>
      </c>
      <c r="V67" s="38" t="inlineStr">
        <is>
          <t>deal 8 / 16 / 32 / 64 damage</t>
        </is>
      </c>
      <c r="W67" s="38" t="inlineStr">
        <is>
          <t>一对一确认来源对象。</t>
        </is>
      </c>
      <c r="X67" s="385" t="inlineStr">
        <is>
          <t>hero_001</t>
        </is>
      </c>
      <c r="Y67" s="386" t="inlineStr">
        <is>
          <t>reference_reserved</t>
        </is>
      </c>
      <c r="Z67" s="386" t="inlineStr">
        <is>
          <t>weapon, damage</t>
        </is>
      </c>
      <c r="AA67" s="386" t="str"/>
    </row>
    <row r="68">
      <c r="A68" s="38" t="inlineStr">
        <is>
          <t>bz_van_067</t>
        </is>
      </c>
      <c r="B68" s="38" t="n">
        <v>67</v>
      </c>
      <c r="C68" s="38" t="inlineStr">
        <is>
          <t>item</t>
        </is>
      </c>
      <c r="D68" s="38" t="inlineStr">
        <is>
          <t>snapshot_vanessa_legacy_catalog_v1</t>
        </is>
      </c>
      <c r="E68" s="38" t="inlineStr">
        <is>
          <t>snapshot_the_bazaar_patch_18_0_boundary</t>
        </is>
      </c>
      <c r="F68" s="38" t="inlineStr">
        <is>
          <t>true</t>
        </is>
      </c>
      <c r="G68" s="38" t="inlineStr">
        <is>
          <t>false</t>
        </is>
      </c>
      <c r="H68" s="38" t="inlineStr">
        <is>
          <t>current_rule_match,structured_effects,quality_values,cooldown,buy_price,sell_price,ammo</t>
        </is>
      </c>
      <c r="I68" s="38" t="inlineStr">
        <is>
          <t>korxena-crest</t>
        </is>
      </c>
      <c r="J68" s="38" t="inlineStr">
        <is>
          <t>Korxena Crest</t>
        </is>
      </c>
      <c r="K68" s="38" t="inlineStr">
        <is>
          <t>silver</t>
        </is>
      </c>
      <c r="L68" s="38" t="inlineStr">
        <is>
          <t>small</t>
        </is>
      </c>
      <c r="M68" s="38" t="inlineStr">
        <is>
          <t>apparel, relic, crit</t>
        </is>
      </c>
      <c r="N68" s="38" t="n">
        <v>10</v>
      </c>
      <c r="O68" s="38" t="inlineStr">
        <is>
          <t>merchant_aimbot, merchant_ande, merchant_gaseo, merchant_goldie, merchant_jay-jay, merchant_kina, merchant_luxe, merchant_midsworth, merchant_quixel, merchant_serafina</t>
        </is>
      </c>
      <c r="P68" s="38" t="n">
        <v>10</v>
      </c>
      <c r="Q68" s="38" t="inlineStr">
        <is>
          <t>elem_火, elem_雷, elem_冰, elem_地, role_召唤, role_坦克, role_控制, role_治疗, tier_pT1, role_重甲抗压</t>
        </is>
      </c>
      <c r="R68" s="38" t="inlineStr">
        <is>
          <t>Deadly</t>
        </is>
      </c>
      <c r="S68" s="38" t="inlineStr">
        <is>
          <t>pal_067</t>
        </is>
      </c>
      <c r="T68" s="38" t="inlineStr">
        <is>
          <t>沙鳞巨蟒</t>
        </is>
      </c>
      <c r="U68" s="38" t="inlineStr">
        <is>
          <t>https://bazaar-builds.net/db/items/korxena-crest.html</t>
        </is>
      </c>
      <c r="V68" s="38" t="inlineStr">
        <is>
          <t>your items have +15 / 25 / 35% crit chance.</t>
        </is>
      </c>
      <c r="W68" s="38" t="inlineStr">
        <is>
          <t>一对一确认来源对象。</t>
        </is>
      </c>
      <c r="X68" s="385" t="inlineStr">
        <is>
          <t>hero_001</t>
        </is>
      </c>
      <c r="Y68" s="386" t="inlineStr">
        <is>
          <t>reference_reserved</t>
        </is>
      </c>
      <c r="Z68" s="386" t="inlineStr">
        <is>
          <t>apparel, relic, crit</t>
        </is>
      </c>
      <c r="AA68" s="386" t="str"/>
    </row>
    <row r="69">
      <c r="A69" s="38" t="inlineStr">
        <is>
          <t>bz_van_068</t>
        </is>
      </c>
      <c r="B69" s="38" t="n">
        <v>68</v>
      </c>
      <c r="C69" s="38" t="inlineStr">
        <is>
          <t>item</t>
        </is>
      </c>
      <c r="D69" s="38" t="inlineStr">
        <is>
          <t>snapshot_vanessa_legacy_catalog_v1</t>
        </is>
      </c>
      <c r="E69" s="38" t="inlineStr">
        <is>
          <t>snapshot_the_bazaar_patch_18_0_boundary</t>
        </is>
      </c>
      <c r="F69" s="38" t="inlineStr">
        <is>
          <t>true</t>
        </is>
      </c>
      <c r="G69" s="38" t="inlineStr">
        <is>
          <t>false</t>
        </is>
      </c>
      <c r="H69" s="38" t="inlineStr">
        <is>
          <t>current_rule_match,structured_effects,quality_values,cooldown,buy_price,sell_price,ammo</t>
        </is>
      </c>
      <c r="I69" s="38" t="inlineStr">
        <is>
          <t>kusarigama</t>
        </is>
      </c>
      <c r="J69" s="38" t="inlineStr">
        <is>
          <t>Kusarigama</t>
        </is>
      </c>
      <c r="K69" s="38" t="inlineStr">
        <is>
          <t>silver</t>
        </is>
      </c>
      <c r="L69" s="38" t="inlineStr">
        <is>
          <t>small</t>
        </is>
      </c>
      <c r="M69" s="38" t="inlineStr">
        <is>
          <t>weapon, tech, damage, critreference, slowreference</t>
        </is>
      </c>
      <c r="N69" s="38" t="n">
        <v>10</v>
      </c>
      <c r="O69" s="38" t="inlineStr">
        <is>
          <t>merchant_aimbot, merchant_the-tester, merchant_tok-s-clocks, merchant_aila, merchant_ande, merchant_cobweb, merchant_goldie, merchant_jay-jay, merchant_luxe, merchant_midsworth</t>
        </is>
      </c>
      <c r="P69" s="38" t="n">
        <v>10</v>
      </c>
      <c r="Q69" s="38" t="inlineStr">
        <is>
          <t>night_base, elem_火, elem_雷, elem_地, role_坦克, role_控制, special_merchant, tier_pT1, role_召唤铺场, role_抗压承伤</t>
        </is>
      </c>
      <c r="R69" s="38" t="inlineStr">
        <is>
          <t>Icy</t>
        </is>
      </c>
      <c r="S69" s="38" t="inlineStr">
        <is>
          <t>pal_068</t>
        </is>
      </c>
      <c r="T69" s="38" t="inlineStr">
        <is>
          <t>食梦黑貘</t>
        </is>
      </c>
      <c r="U69" s="38" t="inlineStr">
        <is>
          <t>https://bazaar-builds.net/db/items/kusarigama.html</t>
        </is>
      </c>
      <c r="V69" s="38" t="inlineStr">
        <is>
          <t>deal 4 / 8 / 12 damage when you slow or crit, this and adjacent weapons gain +4 / 8 / 12 damage for the fight.</t>
        </is>
      </c>
      <c r="W69" s="38" t="inlineStr">
        <is>
          <t>一对一确认来源对象。</t>
        </is>
      </c>
      <c r="X69" s="385" t="inlineStr">
        <is>
          <t>hero_001</t>
        </is>
      </c>
      <c r="Y69" s="386" t="inlineStr">
        <is>
          <t>reference_reserved</t>
        </is>
      </c>
      <c r="Z69" s="386" t="inlineStr">
        <is>
          <t>weapon, tech, damage</t>
        </is>
      </c>
      <c r="AA69" s="386" t="inlineStr">
        <is>
          <t>crit, slow</t>
        </is>
      </c>
    </row>
    <row r="70">
      <c r="A70" s="38" t="inlineStr">
        <is>
          <t>bz_van_069</t>
        </is>
      </c>
      <c r="B70" s="38" t="n">
        <v>69</v>
      </c>
      <c r="C70" s="38" t="inlineStr">
        <is>
          <t>item</t>
        </is>
      </c>
      <c r="D70" s="38" t="inlineStr">
        <is>
          <t>snapshot_vanessa_legacy_catalog_v1</t>
        </is>
      </c>
      <c r="E70" s="38" t="inlineStr">
        <is>
          <t>snapshot_the_bazaar_patch_18_0_boundary</t>
        </is>
      </c>
      <c r="F70" s="38" t="inlineStr">
        <is>
          <t>true</t>
        </is>
      </c>
      <c r="G70" s="38" t="inlineStr">
        <is>
          <t>false</t>
        </is>
      </c>
      <c r="H70" s="38" t="inlineStr">
        <is>
          <t>current_rule_match,structured_effects,quality_values,cooldown,buy_price,sell_price,ammo</t>
        </is>
      </c>
      <c r="I70" s="38" t="inlineStr">
        <is>
          <t>langxian</t>
        </is>
      </c>
      <c r="J70" s="38" t="inlineStr">
        <is>
          <t>Langxian</t>
        </is>
      </c>
      <c r="K70" s="38" t="inlineStr">
        <is>
          <t>bronze</t>
        </is>
      </c>
      <c r="L70" s="38" t="inlineStr">
        <is>
          <t>medium</t>
        </is>
      </c>
      <c r="M70" s="38" t="inlineStr">
        <is>
          <t>weapon, relic, damage</t>
        </is>
      </c>
      <c r="N70" s="38" t="n">
        <v>10</v>
      </c>
      <c r="O70" s="38" t="inlineStr">
        <is>
          <t>merchant_aila, merchant_barkun, merchant_goldie, merchant_jay-jay, merchant_luxe, merchant_mittel, merchant_quixel, merchant_serafina, merchant_silvia, merchant_the-antiquarian</t>
        </is>
      </c>
      <c r="P70" s="38" t="n">
        <v>10</v>
      </c>
      <c r="Q70" s="38" t="inlineStr">
        <is>
          <t>night_base, elem_水, elem_雷, elem_冰, elem_无, role_召唤, role_坦克, role_控制, role_治疗, role_经济</t>
        </is>
      </c>
      <c r="R70" s="38" t="inlineStr">
        <is>
          <t>Deadly</t>
        </is>
      </c>
      <c r="S70" s="38" t="inlineStr">
        <is>
          <t>pal_069</t>
        </is>
      </c>
      <c r="T70" s="38" t="inlineStr">
        <is>
          <t>碎岩巨龟</t>
        </is>
      </c>
      <c r="U70" s="38" t="inlineStr">
        <is>
          <t>https://bazaar-builds.net/db/items/langxian.html</t>
        </is>
      </c>
      <c r="V70" s="38" t="inlineStr">
        <is>
          <t>deal 40 damage this has +40 / 60 / 80 / 100 damage for each fight you won with this.</t>
        </is>
      </c>
      <c r="W70" s="38" t="inlineStr">
        <is>
          <t>一对一确认来源对象。</t>
        </is>
      </c>
      <c r="X70" s="385" t="inlineStr">
        <is>
          <t>hero_001</t>
        </is>
      </c>
      <c r="Y70" s="386" t="inlineStr">
        <is>
          <t>reference_reserved</t>
        </is>
      </c>
      <c r="Z70" s="386" t="inlineStr">
        <is>
          <t>weapon, relic, damage</t>
        </is>
      </c>
      <c r="AA70" s="386" t="str"/>
    </row>
    <row r="71">
      <c r="A71" s="38" t="inlineStr">
        <is>
          <t>bz_van_070</t>
        </is>
      </c>
      <c r="B71" s="38" t="n">
        <v>70</v>
      </c>
      <c r="C71" s="38" t="inlineStr">
        <is>
          <t>item</t>
        </is>
      </c>
      <c r="D71" s="38" t="inlineStr">
        <is>
          <t>snapshot_vanessa_legacy_catalog_v1</t>
        </is>
      </c>
      <c r="E71" s="38" t="inlineStr">
        <is>
          <t>snapshot_the_bazaar_patch_18_0_boundary</t>
        </is>
      </c>
      <c r="F71" s="38" t="inlineStr">
        <is>
          <t>true</t>
        </is>
      </c>
      <c r="G71" s="38" t="inlineStr">
        <is>
          <t>false</t>
        </is>
      </c>
      <c r="H71" s="38" t="inlineStr">
        <is>
          <t>current_rule_match,structured_effects,quality_values,cooldown,buy_price,sell_price,ammo</t>
        </is>
      </c>
      <c r="I71" s="38" t="inlineStr">
        <is>
          <t>life-preserver</t>
        </is>
      </c>
      <c r="J71" s="38" t="inlineStr">
        <is>
          <t>Life Preserver</t>
        </is>
      </c>
      <c r="K71" s="38" t="inlineStr">
        <is>
          <t>bronze</t>
        </is>
      </c>
      <c r="L71" s="38" t="inlineStr">
        <is>
          <t>medium</t>
        </is>
      </c>
      <c r="M71" s="38" t="inlineStr">
        <is>
          <t>aquatic, shield, heal</t>
        </is>
      </c>
      <c r="N71" s="38" t="n">
        <v>10</v>
      </c>
      <c r="O71" s="38" t="inlineStr">
        <is>
          <t>merchant_kev-s-armory, merchant_nautica, merchant_barkun, merchant_goldie, merchant_herma, merchant_jay-jay, merchant_kina, merchant_luxe, merchant_mittel, merchant_proteus</t>
        </is>
      </c>
      <c r="P71" s="38" t="n">
        <v>10</v>
      </c>
      <c r="Q71" s="38" t="inlineStr">
        <is>
          <t>night_base, elem_水, elem_雷, elem_冰, elem_龙, elem_无, role_坦克, role_控制, role_输出, tier_pT3</t>
        </is>
      </c>
      <c r="R71" s="38" t="inlineStr">
        <is>
          <t>Restorative</t>
        </is>
      </c>
      <c r="S71" s="38" t="inlineStr">
        <is>
          <t>pal_070</t>
        </is>
      </c>
      <c r="T71" s="38" t="inlineStr">
        <is>
          <t>猫翼夜蝠</t>
        </is>
      </c>
      <c r="U71" s="38" t="inlineStr">
        <is>
          <t>https://bazaar-builds.net/db/items/life-preserver.html</t>
        </is>
      </c>
      <c r="V71" s="38" t="inlineStr">
        <is>
          <t>shield 10 / 20 / 40 / 80 the first time you would be defeated each fight, heal 200 / 400 / 800 / 1600.</t>
        </is>
      </c>
      <c r="W71" s="38" t="inlineStr">
        <is>
          <t>一对一确认来源对象。</t>
        </is>
      </c>
      <c r="X71" s="385" t="inlineStr">
        <is>
          <t>hero_001</t>
        </is>
      </c>
      <c r="Y71" s="386" t="inlineStr">
        <is>
          <t>reference_reserved</t>
        </is>
      </c>
      <c r="Z71" s="386" t="inlineStr">
        <is>
          <t>aquatic, shield, heal</t>
        </is>
      </c>
      <c r="AA71" s="386" t="str"/>
    </row>
    <row r="72">
      <c r="A72" s="38" t="inlineStr">
        <is>
          <t>bz_van_071</t>
        </is>
      </c>
      <c r="B72" s="38" t="n">
        <v>71</v>
      </c>
      <c r="C72" s="38" t="inlineStr">
        <is>
          <t>item</t>
        </is>
      </c>
      <c r="D72" s="38" t="inlineStr">
        <is>
          <t>snapshot_vanessa_legacy_catalog_v1</t>
        </is>
      </c>
      <c r="E72" s="38" t="inlineStr">
        <is>
          <t>snapshot_the_bazaar_patch_18_0_boundary</t>
        </is>
      </c>
      <c r="F72" s="38" t="inlineStr">
        <is>
          <t>true</t>
        </is>
      </c>
      <c r="G72" s="38" t="inlineStr">
        <is>
          <t>false</t>
        </is>
      </c>
      <c r="H72" s="38" t="inlineStr">
        <is>
          <t>current_rule_match,structured_effects,quality_values,cooldown,buy_price,sell_price,ammo</t>
        </is>
      </c>
      <c r="I72" s="38" t="inlineStr">
        <is>
          <t>lighter</t>
        </is>
      </c>
      <c r="J72" s="38" t="inlineStr">
        <is>
          <t>Lighter</t>
        </is>
      </c>
      <c r="K72" s="38" t="inlineStr">
        <is>
          <t>bronze</t>
        </is>
      </c>
      <c r="L72" s="38" t="inlineStr">
        <is>
          <t>small</t>
        </is>
      </c>
      <c r="M72" s="38" t="inlineStr">
        <is>
          <t>tool, burn</t>
        </is>
      </c>
      <c r="N72" s="38" t="n">
        <v>10</v>
      </c>
      <c r="O72" s="38" t="inlineStr">
        <is>
          <t>merchant_ande, merchant_goldie, merchant_hef, merchant_jay-jay, merchant_kina, merchant_luxe, merchant_midsworth, merchant_orion, merchant_quixel, merchant_serafina</t>
        </is>
      </c>
      <c r="P72" s="38" t="n">
        <v>10</v>
      </c>
      <c r="Q72" s="38" t="inlineStr">
        <is>
          <t>elem_火, elem_雷, elem_冰, elem_地, role_召唤, role_坦克, role_控制, role_治疗, tier_pT2, role_远点压制</t>
        </is>
      </c>
      <c r="R72" s="38" t="inlineStr">
        <is>
          <t>Fiery</t>
        </is>
      </c>
      <c r="S72" s="38" t="inlineStr">
        <is>
          <t>pal_071</t>
        </is>
      </c>
      <c r="T72" s="38" t="inlineStr">
        <is>
          <t>甘露壁虎</t>
        </is>
      </c>
      <c r="U72" s="38" t="inlineStr">
        <is>
          <t>https://bazaar-builds.net/db/items/lighter.html</t>
        </is>
      </c>
      <c r="V72" s="38" t="inlineStr">
        <is>
          <t>burn 3 / 5 / 7 / 9</t>
        </is>
      </c>
      <c r="W72" s="38" t="inlineStr">
        <is>
          <t>一对一确认来源对象。</t>
        </is>
      </c>
      <c r="X72" s="385" t="inlineStr">
        <is>
          <t>hero_001</t>
        </is>
      </c>
      <c r="Y72" s="386" t="inlineStr">
        <is>
          <t>reference_reserved</t>
        </is>
      </c>
      <c r="Z72" s="386" t="inlineStr">
        <is>
          <t>tool, burn</t>
        </is>
      </c>
      <c r="AA72" s="386" t="str"/>
    </row>
    <row r="73">
      <c r="A73" s="38" t="inlineStr">
        <is>
          <t>bz_van_072</t>
        </is>
      </c>
      <c r="B73" s="38" t="n">
        <v>72</v>
      </c>
      <c r="C73" s="38" t="inlineStr">
        <is>
          <t>item</t>
        </is>
      </c>
      <c r="D73" s="38" t="inlineStr">
        <is>
          <t>snapshot_vanessa_legacy_catalog_v1</t>
        </is>
      </c>
      <c r="E73" s="38" t="inlineStr">
        <is>
          <t>snapshot_the_bazaar_patch_18_0_boundary</t>
        </is>
      </c>
      <c r="F73" s="38" t="inlineStr">
        <is>
          <t>true</t>
        </is>
      </c>
      <c r="G73" s="38" t="inlineStr">
        <is>
          <t>false</t>
        </is>
      </c>
      <c r="H73" s="38" t="inlineStr">
        <is>
          <t>current_rule_match,structured_effects,quality_values,cooldown,buy_price,sell_price,ammo</t>
        </is>
      </c>
      <c r="I73" s="38" t="inlineStr">
        <is>
          <t>lighthouse</t>
        </is>
      </c>
      <c r="J73" s="38" t="inlineStr">
        <is>
          <t>Lighthouse</t>
        </is>
      </c>
      <c r="K73" s="38" t="inlineStr">
        <is>
          <t>gold</t>
        </is>
      </c>
      <c r="L73" s="38" t="inlineStr">
        <is>
          <t>large</t>
        </is>
      </c>
      <c r="M73" s="38" t="inlineStr">
        <is>
          <t>property, aquatic, burn, slow</t>
        </is>
      </c>
      <c r="N73" s="38" t="n">
        <v>10</v>
      </c>
      <c r="O73" s="38" t="inlineStr">
        <is>
          <t>merchant_nautica, merchant_tok-s-clocks, merchant_barkun, merchant_cobweb, merchant_goldie, merchant_hef, merchant_jay-jay, merchant_kina, merchant_luxe, merchant_midsworth</t>
        </is>
      </c>
      <c r="P73" s="38" t="n">
        <v>10</v>
      </c>
      <c r="Q73" s="38" t="inlineStr">
        <is>
          <t>elem_水, elem_雷, elem_冰, elem_地, role_坦克, role_控制, role_输出, special_merchant, tier_pT2, role_召唤铺场</t>
        </is>
      </c>
      <c r="R73" s="38" t="inlineStr">
        <is>
          <t>Fiery</t>
        </is>
      </c>
      <c r="S73" s="38" t="inlineStr">
        <is>
          <t>pal_072</t>
        </is>
      </c>
      <c r="T73" s="38" t="inlineStr">
        <is>
          <t>赤巢火蚁</t>
        </is>
      </c>
      <c r="U73" s="38" t="inlineStr">
        <is>
          <t>https://bazaar-builds.net/db/items/lighthouse.html</t>
        </is>
      </c>
      <c r="V73" s="38" t="inlineStr">
        <is>
          <t>slow 1 → 2 item(s) for 2 seconds when you slow, burn 6 → 9.</t>
        </is>
      </c>
      <c r="W73" s="38" t="inlineStr">
        <is>
          <t>一对一确认来源对象。</t>
        </is>
      </c>
      <c r="X73" s="385" t="inlineStr">
        <is>
          <t>hero_001</t>
        </is>
      </c>
      <c r="Y73" s="386" t="inlineStr">
        <is>
          <t>reference_reserved</t>
        </is>
      </c>
      <c r="Z73" s="386" t="inlineStr">
        <is>
          <t>property, aquatic, burn, slow</t>
        </is>
      </c>
      <c r="AA73" s="386" t="str"/>
    </row>
    <row r="74">
      <c r="A74" s="38" t="inlineStr">
        <is>
          <t>bz_van_073</t>
        </is>
      </c>
      <c r="B74" s="38" t="n">
        <v>73</v>
      </c>
      <c r="C74" s="38" t="inlineStr">
        <is>
          <t>item</t>
        </is>
      </c>
      <c r="D74" s="38" t="inlineStr">
        <is>
          <t>snapshot_vanessa_legacy_catalog_v1</t>
        </is>
      </c>
      <c r="E74" s="38" t="inlineStr">
        <is>
          <t>snapshot_the_bazaar_patch_18_0_boundary</t>
        </is>
      </c>
      <c r="F74" s="38" t="inlineStr">
        <is>
          <t>true</t>
        </is>
      </c>
      <c r="G74" s="38" t="inlineStr">
        <is>
          <t>false</t>
        </is>
      </c>
      <c r="H74" s="38" t="inlineStr">
        <is>
          <t>current_rule_match,structured_effects,quality_values,cooldown,buy_price,sell_price,ammo</t>
        </is>
      </c>
      <c r="I74" s="38" t="inlineStr">
        <is>
          <t>lockbox</t>
        </is>
      </c>
      <c r="J74" s="38" t="inlineStr">
        <is>
          <t>Lockbox</t>
        </is>
      </c>
      <c r="K74" s="38" t="inlineStr">
        <is>
          <t>silver</t>
        </is>
      </c>
      <c r="L74" s="38" t="inlineStr">
        <is>
          <t>medium</t>
        </is>
      </c>
      <c r="M74" s="38" t="inlineStr">
        <is>
          <t>relic, economyreference, value, damagereference</t>
        </is>
      </c>
      <c r="N74" s="38" t="n">
        <v>10</v>
      </c>
      <c r="O74" s="38" t="inlineStr">
        <is>
          <t>merchant_barkun, merchant_goldie, merchant_jay-jay, merchant_kina, merchant_luxe, merchant_mittel, merchant_prospero, merchant_quixel, merchant_serafina, merchant_silvia</t>
        </is>
      </c>
      <c r="P74" s="38" t="n">
        <v>10</v>
      </c>
      <c r="Q74" s="38" t="inlineStr">
        <is>
          <t>elem_水, elem_雷, elem_冰, elem_无, role_召唤, role_坦克, role_控制, role_治疗, role_经济, role_机动</t>
        </is>
      </c>
      <c r="R74" s="38" t="inlineStr">
        <is>
          <t>Golden</t>
        </is>
      </c>
      <c r="S74" s="38" t="inlineStr">
        <is>
          <t>pal_073</t>
        </is>
      </c>
      <c r="T74" s="38" t="inlineStr">
        <is>
          <t>烽翼火龙</t>
        </is>
      </c>
      <c r="U74" s="38" t="inlineStr">
        <is>
          <t>https://bazaar-builds.net/db/items/lockbox.html</t>
        </is>
      </c>
      <c r="V74" s="38" t="inlineStr">
        <is>
          <t>when you win a fight, this permanently gains 3 / 6 / 9 value. your weapons have +damage equal to to this item's value.</t>
        </is>
      </c>
      <c r="W74" s="38" t="inlineStr">
        <is>
          <t>一对一确认来源对象。</t>
        </is>
      </c>
      <c r="X74" s="385" t="inlineStr">
        <is>
          <t>hero_001</t>
        </is>
      </c>
      <c r="Y74" s="386" t="inlineStr">
        <is>
          <t>reference_reserved</t>
        </is>
      </c>
      <c r="Z74" s="386" t="inlineStr">
        <is>
          <t>relic, value</t>
        </is>
      </c>
      <c r="AA74" s="386" t="inlineStr">
        <is>
          <t>economy, damage</t>
        </is>
      </c>
    </row>
    <row r="75">
      <c r="A75" s="38" t="inlineStr">
        <is>
          <t>bz_van_074</t>
        </is>
      </c>
      <c r="B75" s="38" t="n">
        <v>74</v>
      </c>
      <c r="C75" s="38" t="inlineStr">
        <is>
          <t>item</t>
        </is>
      </c>
      <c r="D75" s="38" t="inlineStr">
        <is>
          <t>snapshot_vanessa_legacy_catalog_v1</t>
        </is>
      </c>
      <c r="E75" s="38" t="inlineStr">
        <is>
          <t>snapshot_the_bazaar_patch_18_0_boundary</t>
        </is>
      </c>
      <c r="F75" s="38" t="inlineStr">
        <is>
          <t>true</t>
        </is>
      </c>
      <c r="G75" s="38" t="inlineStr">
        <is>
          <t>false</t>
        </is>
      </c>
      <c r="H75" s="38" t="inlineStr">
        <is>
          <t>current_rule_match,structured_effects,quality_values,cooldown,buy_price,sell_price,ammo</t>
        </is>
      </c>
      <c r="I75" s="38" t="inlineStr">
        <is>
          <t>mantis-shrimp</t>
        </is>
      </c>
      <c r="J75" s="38" t="inlineStr">
        <is>
          <t>Mantis Shrimp</t>
        </is>
      </c>
      <c r="K75" s="38" t="inlineStr">
        <is>
          <t>bronze</t>
        </is>
      </c>
      <c r="L75" s="38" t="inlineStr">
        <is>
          <t>small</t>
        </is>
      </c>
      <c r="M75" s="38" t="inlineStr">
        <is>
          <t>aquatic, weapon, friend, damage, burn, slowreference, ammo</t>
        </is>
      </c>
      <c r="N75" s="38" t="n">
        <v>10</v>
      </c>
      <c r="O75" s="38" t="inlineStr">
        <is>
          <t>merchant_colt, merchant_dryad, merchant_nautica, merchant_tok-s-clocks, merchant_aila, merchant_ande, merchant_cobweb, merchant_goldie, merchant_hef, merchant_jay-jay</t>
        </is>
      </c>
      <c r="P75" s="38" t="n">
        <v>10</v>
      </c>
      <c r="Q75" s="38" t="inlineStr">
        <is>
          <t>night_base, elem_火, elem_雷, role_坦克, role_输出, role_机动, special_merchant, tier_pT2, role_召唤铺场, role_机动压制</t>
        </is>
      </c>
      <c r="R75" s="38" t="inlineStr">
        <is>
          <t>Fiery</t>
        </is>
      </c>
      <c r="S75" s="38" t="inlineStr">
        <is>
          <t>pal_074</t>
        </is>
      </c>
      <c r="T75" s="38" t="inlineStr">
        <is>
          <t>霜翼冥龙</t>
        </is>
      </c>
      <c r="U75" s="38" t="inlineStr">
        <is>
          <t>https://bazaar-builds.net/db/items/mantis-shrimp.html</t>
        </is>
      </c>
      <c r="V75" s="38" t="inlineStr">
        <is>
          <t>deal 20 damage burn 2 when you slow, this gains +10 / 15 / 20 / 25 damage and +2 / 3 / 4 / 5 burn for the fight.</t>
        </is>
      </c>
      <c r="W75" s="38" t="inlineStr">
        <is>
          <t>一对一确认来源对象。</t>
        </is>
      </c>
      <c r="X75" s="385" t="inlineStr">
        <is>
          <t>hero_001</t>
        </is>
      </c>
      <c r="Y75" s="386" t="inlineStr">
        <is>
          <t>reference_reserved</t>
        </is>
      </c>
      <c r="Z75" s="386" t="inlineStr">
        <is>
          <t>aquatic, weapon, friend, damage, burn, ammo</t>
        </is>
      </c>
      <c r="AA75" s="386" t="inlineStr">
        <is>
          <t>slow</t>
        </is>
      </c>
    </row>
    <row r="76">
      <c r="A76" s="38" t="inlineStr">
        <is>
          <t>bz_van_075</t>
        </is>
      </c>
      <c r="B76" s="38" t="n">
        <v>75</v>
      </c>
      <c r="C76" s="38" t="inlineStr">
        <is>
          <t>item</t>
        </is>
      </c>
      <c r="D76" s="38" t="inlineStr">
        <is>
          <t>snapshot_vanessa_legacy_catalog_v1</t>
        </is>
      </c>
      <c r="E76" s="38" t="inlineStr">
        <is>
          <t>snapshot_the_bazaar_patch_18_0_boundary</t>
        </is>
      </c>
      <c r="F76" s="38" t="inlineStr">
        <is>
          <t>true</t>
        </is>
      </c>
      <c r="G76" s="38" t="inlineStr">
        <is>
          <t>false</t>
        </is>
      </c>
      <c r="H76" s="38" t="inlineStr">
        <is>
          <t>current_rule_match,structured_effects,quality_values,cooldown,buy_price,sell_price,ammo</t>
        </is>
      </c>
      <c r="I76" s="38" t="inlineStr">
        <is>
          <t>marlon</t>
        </is>
      </c>
      <c r="J76" s="38" t="inlineStr">
        <is>
          <t>Marlon</t>
        </is>
      </c>
      <c r="K76" s="38" t="inlineStr">
        <is>
          <t>bronze</t>
        </is>
      </c>
      <c r="L76" s="38" t="inlineStr">
        <is>
          <t>medium</t>
        </is>
      </c>
      <c r="M76" s="38" t="inlineStr">
        <is>
          <t>aquatic, friend, weapon, crit, flying</t>
        </is>
      </c>
      <c r="N76" s="38" t="n">
        <v>10</v>
      </c>
      <c r="O76" s="38" t="inlineStr">
        <is>
          <t>merchant_aimbot, merchant_dryad, merchant_nautica, merchant_pinfeather, merchant_aila, merchant_barkun, merchant_goldie, merchant_jay-jay, merchant_luxe, merchant_mittel</t>
        </is>
      </c>
      <c r="P76" s="38" t="n">
        <v>10</v>
      </c>
      <c r="Q76" s="38" t="inlineStr">
        <is>
          <t>night_base, elem_水, elem_草, elem_雷, elem_无, role_坦克, role_控制, role_输出, tier_pT1, role_机动压制</t>
        </is>
      </c>
      <c r="R76" s="38" t="inlineStr">
        <is>
          <t>Deadly</t>
        </is>
      </c>
      <c r="S76" s="38" t="inlineStr">
        <is>
          <t>pal_075</t>
        </is>
      </c>
      <c r="T76" s="38" t="inlineStr">
        <is>
          <t>赤刃螳螂</t>
        </is>
      </c>
      <c r="U76" s="38" t="inlineStr">
        <is>
          <t>https://bazaar-builds.net/db/items/marlon.html</t>
        </is>
      </c>
      <c r="V76" s="38" t="inlineStr">
        <is>
          <t>deal 15 damage an item starts flying. when you use a flying item, this gains +20 / 30 / 40 / 50% crit chance for the fight.</t>
        </is>
      </c>
      <c r="W76" s="38" t="inlineStr">
        <is>
          <t>一对一确认来源对象。</t>
        </is>
      </c>
      <c r="X76" s="385" t="inlineStr">
        <is>
          <t>hero_001</t>
        </is>
      </c>
      <c r="Y76" s="386" t="inlineStr">
        <is>
          <t>reference_reserved</t>
        </is>
      </c>
      <c r="Z76" s="386" t="inlineStr">
        <is>
          <t>aquatic, friend, weapon, crit, flying</t>
        </is>
      </c>
      <c r="AA76" s="386" t="str"/>
    </row>
    <row r="77">
      <c r="A77" s="38" t="inlineStr">
        <is>
          <t>bz_van_076</t>
        </is>
      </c>
      <c r="B77" s="38" t="n">
        <v>76</v>
      </c>
      <c r="C77" s="38" t="inlineStr">
        <is>
          <t>item</t>
        </is>
      </c>
      <c r="D77" s="38" t="inlineStr">
        <is>
          <t>snapshot_vanessa_legacy_catalog_v1</t>
        </is>
      </c>
      <c r="E77" s="38" t="inlineStr">
        <is>
          <t>snapshot_the_bazaar_patch_18_0_boundary</t>
        </is>
      </c>
      <c r="F77" s="38" t="inlineStr">
        <is>
          <t>true</t>
        </is>
      </c>
      <c r="G77" s="38" t="inlineStr">
        <is>
          <t>false</t>
        </is>
      </c>
      <c r="H77" s="38" t="inlineStr">
        <is>
          <t>current_rule_match,structured_effects,quality_values,cooldown,buy_price,sell_price,ammo</t>
        </is>
      </c>
      <c r="I77" s="38" t="inlineStr">
        <is>
          <t>mr-richardson</t>
        </is>
      </c>
      <c r="J77" s="38" t="inlineStr">
        <is>
          <t>Mr. Richardson</t>
        </is>
      </c>
      <c r="K77" s="38" t="inlineStr">
        <is>
          <t>silver</t>
        </is>
      </c>
      <c r="L77" s="38" t="inlineStr">
        <is>
          <t>small</t>
        </is>
      </c>
      <c r="M77" s="38" t="inlineStr">
        <is>
          <t>friend, aquatic, shield, hastereference, slowreference</t>
        </is>
      </c>
      <c r="N77" s="38" t="n">
        <v>10</v>
      </c>
      <c r="O77" s="38" t="inlineStr">
        <is>
          <t>merchant_dryad, merchant_kev-s-armory, merchant_nautica, merchant_tok-s-clocks, merchant_ande, merchant_chronos, merchant_cobweb, merchant_goldie, merchant_jay-jay, merchant_kina</t>
        </is>
      </c>
      <c r="P77" s="38" t="n">
        <v>10</v>
      </c>
      <c r="Q77" s="38" t="inlineStr">
        <is>
          <t>elem_火, elem_雷, elem_冰, role_坦克, role_输出, special_merchant, elite_high, tier_pT3, role_召唤铺场, role_机动压制</t>
        </is>
      </c>
      <c r="R77" s="38" t="inlineStr">
        <is>
          <t>Icy</t>
        </is>
      </c>
      <c r="S77" s="38" t="inlineStr">
        <is>
          <t>pal_076</t>
        </is>
      </c>
      <c r="T77" s="38" t="inlineStr">
        <is>
          <t>迅雷金雕</t>
        </is>
      </c>
      <c r="U77" s="38" t="inlineStr">
        <is>
          <t>https://bazaar-builds.net/db/items/mr-richardson.html</t>
        </is>
      </c>
      <c r="V77" s="38" t="inlineStr">
        <is>
          <t>shield 30 when you haste or slow, this gains +5 / 10 / 15 shield for the fight.</t>
        </is>
      </c>
      <c r="W77" s="38" t="inlineStr">
        <is>
          <t>一对一确认来源对象。</t>
        </is>
      </c>
      <c r="X77" s="385" t="inlineStr">
        <is>
          <t>hero_001</t>
        </is>
      </c>
      <c r="Y77" s="386" t="inlineStr">
        <is>
          <t>reference_reserved</t>
        </is>
      </c>
      <c r="Z77" s="386" t="inlineStr">
        <is>
          <t>friend, aquatic, shield</t>
        </is>
      </c>
      <c r="AA77" s="386" t="inlineStr">
        <is>
          <t>haste, slow</t>
        </is>
      </c>
    </row>
    <row r="78">
      <c r="A78" s="38" t="inlineStr">
        <is>
          <t>bz_van_077</t>
        </is>
      </c>
      <c r="B78" s="38" t="n">
        <v>77</v>
      </c>
      <c r="C78" s="38" t="inlineStr">
        <is>
          <t>item</t>
        </is>
      </c>
      <c r="D78" s="38" t="inlineStr">
        <is>
          <t>snapshot_vanessa_legacy_catalog_v1</t>
        </is>
      </c>
      <c r="E78" s="38" t="inlineStr">
        <is>
          <t>snapshot_the_bazaar_patch_18_0_boundary</t>
        </is>
      </c>
      <c r="F78" s="38" t="inlineStr">
        <is>
          <t>true</t>
        </is>
      </c>
      <c r="G78" s="38" t="inlineStr">
        <is>
          <t>false</t>
        </is>
      </c>
      <c r="H78" s="38" t="inlineStr">
        <is>
          <t>current_rule_match,structured_effects,quality_values,cooldown,buy_price,sell_price,ammo</t>
        </is>
      </c>
      <c r="I78" s="38" t="inlineStr">
        <is>
          <t>musket</t>
        </is>
      </c>
      <c r="J78" s="38" t="inlineStr">
        <is>
          <t>Musket</t>
        </is>
      </c>
      <c r="K78" s="38" t="inlineStr">
        <is>
          <t>silver</t>
        </is>
      </c>
      <c r="L78" s="38" t="inlineStr">
        <is>
          <t>medium</t>
        </is>
      </c>
      <c r="M78" s="38" t="inlineStr">
        <is>
          <t>weapon, damage, ammo, burnreference</t>
        </is>
      </c>
      <c r="N78" s="38" t="n">
        <v>10</v>
      </c>
      <c r="O78" s="38" t="inlineStr">
        <is>
          <t>merchant_colt, merchant_aila, merchant_barkun, merchant_goldie, merchant_hef, merchant_jay-jay, merchant_luxe, merchant_mittel, merchant_quixel, merchant_serafina</t>
        </is>
      </c>
      <c r="P78" s="38" t="n">
        <v>10</v>
      </c>
      <c r="Q78" s="38" t="inlineStr">
        <is>
          <t>night_base, elem_水, elem_雷, elem_无, role_召唤, role_坦克, role_控制, role_治疗, role_机动, tier_pT2</t>
        </is>
      </c>
      <c r="R78" s="38" t="inlineStr">
        <is>
          <t>Fiery</t>
        </is>
      </c>
      <c r="S78" s="38" t="inlineStr">
        <is>
          <t>pal_077</t>
        </is>
      </c>
      <c r="T78" s="38" t="inlineStr">
        <is>
          <t>燧火黑乌</t>
        </is>
      </c>
      <c r="U78" s="38" t="inlineStr">
        <is>
          <t>https://bazaar-builds.net/db/items/musket.html</t>
        </is>
      </c>
      <c r="V78" s="38" t="inlineStr">
        <is>
          <t>deal 100 / 150 / 300 damage when you burn with an adjacent item, reload this and it gains +25 / 50 / 75 damage for the fight.</t>
        </is>
      </c>
      <c r="W78" s="38" t="inlineStr">
        <is>
          <t>一对一确认来源对象。</t>
        </is>
      </c>
      <c r="X78" s="385" t="inlineStr">
        <is>
          <t>hero_001</t>
        </is>
      </c>
      <c r="Y78" s="386" t="inlineStr">
        <is>
          <t>reference_reserved</t>
        </is>
      </c>
      <c r="Z78" s="386" t="inlineStr">
        <is>
          <t>weapon, damage, ammo</t>
        </is>
      </c>
      <c r="AA78" s="386" t="inlineStr">
        <is>
          <t>burn</t>
        </is>
      </c>
    </row>
    <row r="79">
      <c r="A79" s="38" t="inlineStr">
        <is>
          <t>bz_van_078</t>
        </is>
      </c>
      <c r="B79" s="38" t="n">
        <v>78</v>
      </c>
      <c r="C79" s="38" t="inlineStr">
        <is>
          <t>item</t>
        </is>
      </c>
      <c r="D79" s="38" t="inlineStr">
        <is>
          <t>snapshot_vanessa_legacy_catalog_v1</t>
        </is>
      </c>
      <c r="E79" s="38" t="inlineStr">
        <is>
          <t>snapshot_the_bazaar_patch_18_0_boundary</t>
        </is>
      </c>
      <c r="F79" s="38" t="inlineStr">
        <is>
          <t>true</t>
        </is>
      </c>
      <c r="G79" s="38" t="inlineStr">
        <is>
          <t>false</t>
        </is>
      </c>
      <c r="H79" s="38" t="inlineStr">
        <is>
          <t>current_rule_match,structured_effects,quality_values,cooldown,buy_price,sell_price,ammo</t>
        </is>
      </c>
      <c r="I79" s="38" t="inlineStr">
        <is>
          <t>narwhal</t>
        </is>
      </c>
      <c r="J79" s="38" t="inlineStr">
        <is>
          <t>Narwhal</t>
        </is>
      </c>
      <c r="K79" s="38" t="inlineStr">
        <is>
          <t>bronze</t>
        </is>
      </c>
      <c r="L79" s="38" t="inlineStr">
        <is>
          <t>small</t>
        </is>
      </c>
      <c r="M79" s="38" t="inlineStr">
        <is>
          <t>aquatic, weapon, friend, damage</t>
        </is>
      </c>
      <c r="N79" s="38" t="n">
        <v>10</v>
      </c>
      <c r="O79" s="38" t="inlineStr">
        <is>
          <t>merchant_dryad, merchant_nautica, merchant_aila, merchant_ande, merchant_goldie, merchant_jay-jay, merchant_luxe, merchant_midsworth, merchant_quixel, merchant_serafina</t>
        </is>
      </c>
      <c r="P79" s="38" t="n">
        <v>10</v>
      </c>
      <c r="Q79" s="38" t="inlineStr">
        <is>
          <t>night_base, elem_火, elem_雷, elem_地, role_召唤, role_坦克, role_控制, role_治疗, role_输出, role_机动压制</t>
        </is>
      </c>
      <c r="R79" s="38" t="inlineStr">
        <is>
          <t>Deadly</t>
        </is>
      </c>
      <c r="S79" s="38" t="inlineStr">
        <is>
          <t>pal_078</t>
        </is>
      </c>
      <c r="T79" s="38" t="inlineStr">
        <is>
          <t>幽泉灵猫</t>
        </is>
      </c>
      <c r="U79" s="38" t="inlineStr">
        <is>
          <t>https://bazaar-builds.net/db/items/narwhal.html</t>
        </is>
      </c>
      <c r="V79" s="38" t="inlineStr">
        <is>
          <t>deal 5 / 10 / 20 / 40 damage</t>
        </is>
      </c>
      <c r="W79" s="38" t="inlineStr">
        <is>
          <t>一对一确认来源对象。</t>
        </is>
      </c>
      <c r="X79" s="385" t="inlineStr">
        <is>
          <t>hero_001</t>
        </is>
      </c>
      <c r="Y79" s="386" t="inlineStr">
        <is>
          <t>reference_reserved</t>
        </is>
      </c>
      <c r="Z79" s="386" t="inlineStr">
        <is>
          <t>aquatic, weapon, friend, damage</t>
        </is>
      </c>
      <c r="AA79" s="386" t="str"/>
    </row>
    <row r="80">
      <c r="A80" s="38" t="inlineStr">
        <is>
          <t>bz_van_079</t>
        </is>
      </c>
      <c r="B80" s="38" t="n">
        <v>79</v>
      </c>
      <c r="C80" s="38" t="inlineStr">
        <is>
          <t>item</t>
        </is>
      </c>
      <c r="D80" s="38" t="inlineStr">
        <is>
          <t>snapshot_vanessa_legacy_catalog_v1</t>
        </is>
      </c>
      <c r="E80" s="38" t="inlineStr">
        <is>
          <t>snapshot_the_bazaar_patch_18_0_boundary</t>
        </is>
      </c>
      <c r="F80" s="38" t="inlineStr">
        <is>
          <t>true</t>
        </is>
      </c>
      <c r="G80" s="38" t="inlineStr">
        <is>
          <t>false</t>
        </is>
      </c>
      <c r="H80" s="38" t="inlineStr">
        <is>
          <t>current_rule_match,structured_effects,quality_values,cooldown,buy_price,sell_price,ammo</t>
        </is>
      </c>
      <c r="I80" s="38" t="inlineStr">
        <is>
          <t>nesting-doll</t>
        </is>
      </c>
      <c r="J80" s="38" t="inlineStr">
        <is>
          <t>Nesting Doll</t>
        </is>
      </c>
      <c r="K80" s="38" t="inlineStr">
        <is>
          <t>silver</t>
        </is>
      </c>
      <c r="L80" s="38" t="inlineStr">
        <is>
          <t>small</t>
        </is>
      </c>
      <c r="M80" s="38" t="inlineStr">
        <is>
          <t>toy, shield, ammo</t>
        </is>
      </c>
      <c r="N80" s="38" t="n">
        <v>10</v>
      </c>
      <c r="O80" s="38" t="inlineStr">
        <is>
          <t>merchant_colt, merchant_kev-s-armory, merchant_ande, merchant_goldie, merchant_jay-jay, merchant_kina, merchant_luxe, merchant_midsworth, merchant_proteus, merchant_quixel</t>
        </is>
      </c>
      <c r="P80" s="38" t="n">
        <v>10</v>
      </c>
      <c r="Q80" s="38" t="inlineStr">
        <is>
          <t>elem_火, elem_雷, elem_冰, elem_地, elem_龙, role_召唤, role_坦克, role_控制, role_机动, tier_pT3</t>
        </is>
      </c>
      <c r="R80" s="38" t="inlineStr">
        <is>
          <t>Shielded</t>
        </is>
      </c>
      <c r="S80" s="38" t="inlineStr">
        <is>
          <t>pal_079</t>
        </is>
      </c>
      <c r="T80" s="38" t="inlineStr">
        <is>
          <t>焰尾山狐</t>
        </is>
      </c>
      <c r="U80" s="38" t="inlineStr">
        <is>
          <t>https://bazaar-builds.net/db/items/nesting-doll.html</t>
        </is>
      </c>
      <c r="V80" s="38" t="inlineStr">
        <is>
          <t>shield equal to this item's ammo at the start of each day, this gains 1 / 2 / 3 max ammo.</t>
        </is>
      </c>
      <c r="W80" s="38" t="inlineStr">
        <is>
          <t>一对一确认来源对象。</t>
        </is>
      </c>
      <c r="X80" s="385" t="inlineStr">
        <is>
          <t>hero_001</t>
        </is>
      </c>
      <c r="Y80" s="386" t="inlineStr">
        <is>
          <t>reference_reserved</t>
        </is>
      </c>
      <c r="Z80" s="386" t="inlineStr">
        <is>
          <t>toy, shield, ammo</t>
        </is>
      </c>
      <c r="AA80" s="386" t="str"/>
    </row>
    <row r="81">
      <c r="A81" s="38" t="inlineStr">
        <is>
          <t>bz_van_080</t>
        </is>
      </c>
      <c r="B81" s="38" t="n">
        <v>80</v>
      </c>
      <c r="C81" s="38" t="inlineStr">
        <is>
          <t>item</t>
        </is>
      </c>
      <c r="D81" s="38" t="inlineStr">
        <is>
          <t>snapshot_vanessa_legacy_catalog_v1</t>
        </is>
      </c>
      <c r="E81" s="38" t="inlineStr">
        <is>
          <t>snapshot_the_bazaar_patch_18_0_boundary</t>
        </is>
      </c>
      <c r="F81" s="38" t="inlineStr">
        <is>
          <t>true</t>
        </is>
      </c>
      <c r="G81" s="38" t="inlineStr">
        <is>
          <t>false</t>
        </is>
      </c>
      <c r="H81" s="38" t="inlineStr">
        <is>
          <t>current_rule_match,structured_effects,quality_values,cooldown,buy_price,sell_price,ammo</t>
        </is>
      </c>
      <c r="I81" s="38" t="inlineStr">
        <is>
          <t>old-saltclaw</t>
        </is>
      </c>
      <c r="J81" s="38" t="inlineStr">
        <is>
          <t>Old Saltclaw</t>
        </is>
      </c>
      <c r="K81" s="38" t="inlineStr">
        <is>
          <t>silver</t>
        </is>
      </c>
      <c r="L81" s="38" t="inlineStr">
        <is>
          <t>small</t>
        </is>
      </c>
      <c r="M81" s="38" t="inlineStr">
        <is>
          <t>aquatic, friend, weapon, damage, hastereference, slowreference</t>
        </is>
      </c>
      <c r="N81" s="38" t="n">
        <v>10</v>
      </c>
      <c r="O81" s="38" t="inlineStr">
        <is>
          <t>merchant_dryad, merchant_nautica, merchant_tok-s-clocks, merchant_aila, merchant_ande, merchant_chronos, merchant_cobweb, merchant_goldie, merchant_jay-jay, merchant_luxe</t>
        </is>
      </c>
      <c r="P81" s="38" t="n">
        <v>10</v>
      </c>
      <c r="Q81" s="38" t="inlineStr">
        <is>
          <t>night_base, elem_火, elem_雷, role_坦克, role_控制, role_输出, special_merchant, elite_high, role_召唤铺场, role_机动压制</t>
        </is>
      </c>
      <c r="R81" s="38" t="inlineStr">
        <is>
          <t>Icy</t>
        </is>
      </c>
      <c r="S81" s="38" t="inlineStr">
        <is>
          <t>pal_080</t>
        </is>
      </c>
      <c r="T81" s="38" t="inlineStr">
        <is>
          <t>踏春白兔</t>
        </is>
      </c>
      <c r="U81" s="38" t="inlineStr">
        <is>
          <t>https://bazaar-builds.net/db/items/old-saltclaw.html</t>
        </is>
      </c>
      <c r="V81" s="38" t="inlineStr">
        <is>
          <t>deal 30 damage when you haste or slow, this gains +5 / 10 / 15 damage for the fight.</t>
        </is>
      </c>
      <c r="W81" s="38" t="inlineStr">
        <is>
          <t>一对一确认来源对象。</t>
        </is>
      </c>
      <c r="X81" s="385" t="inlineStr">
        <is>
          <t>hero_001</t>
        </is>
      </c>
      <c r="Y81" s="386" t="inlineStr">
        <is>
          <t>reference_reserved</t>
        </is>
      </c>
      <c r="Z81" s="386" t="inlineStr">
        <is>
          <t>aquatic, friend, weapon, damage</t>
        </is>
      </c>
      <c r="AA81" s="386" t="inlineStr">
        <is>
          <t>haste, slow</t>
        </is>
      </c>
    </row>
    <row r="82">
      <c r="A82" s="38" t="inlineStr">
        <is>
          <t>bz_van_081</t>
        </is>
      </c>
      <c r="B82" s="38" t="n">
        <v>81</v>
      </c>
      <c r="C82" s="38" t="inlineStr">
        <is>
          <t>item</t>
        </is>
      </c>
      <c r="D82" s="38" t="inlineStr">
        <is>
          <t>snapshot_vanessa_legacy_catalog_v1</t>
        </is>
      </c>
      <c r="E82" s="38" t="inlineStr">
        <is>
          <t>snapshot_the_bazaar_patch_18_0_boundary</t>
        </is>
      </c>
      <c r="F82" s="38" t="inlineStr">
        <is>
          <t>true</t>
        </is>
      </c>
      <c r="G82" s="38" t="inlineStr">
        <is>
          <t>false</t>
        </is>
      </c>
      <c r="H82" s="38" t="inlineStr">
        <is>
          <t>current_rule_match,structured_effects,quality_values,cooldown,buy_price,sell_price,ammo</t>
        </is>
      </c>
      <c r="I82" s="38" t="inlineStr">
        <is>
          <t>oni-mask</t>
        </is>
      </c>
      <c r="J82" s="38" t="inlineStr">
        <is>
          <t>Oni Mask</t>
        </is>
      </c>
      <c r="K82" s="38" t="inlineStr">
        <is>
          <t>silver</t>
        </is>
      </c>
      <c r="L82" s="38" t="inlineStr">
        <is>
          <t>medium</t>
        </is>
      </c>
      <c r="M82" s="38" t="inlineStr">
        <is>
          <t>apparel, tech, burn, critreference</t>
        </is>
      </c>
      <c r="N82" s="38" t="n">
        <v>10</v>
      </c>
      <c r="O82" s="38" t="inlineStr">
        <is>
          <t>merchant_aimbot, merchant_the-tester, merchant_barkun, merchant_gaseo, merchant_goldie, merchant_hef, merchant_jay-jay, merchant_kina, merchant_luxe, merchant_mittel</t>
        </is>
      </c>
      <c r="P82" s="38" t="n">
        <v>10</v>
      </c>
      <c r="Q82" s="38" t="inlineStr">
        <is>
          <t>elem_水, elem_雷, elem_冰, elem_无, role_坦克, role_控制, tier_pT1, tier_pT2, role_抗压承伤, role_重甲抗压</t>
        </is>
      </c>
      <c r="R82" s="38" t="inlineStr">
        <is>
          <t>Fiery</t>
        </is>
      </c>
      <c r="S82" s="38" t="inlineStr">
        <is>
          <t>pal_081</t>
        </is>
      </c>
      <c r="T82" s="38" t="inlineStr">
        <is>
          <t>药香花鹿</t>
        </is>
      </c>
      <c r="U82" s="38" t="inlineStr">
        <is>
          <t>https://bazaar-builds.net/db/items/oni-mask.html</t>
        </is>
      </c>
      <c r="V82" s="38" t="inlineStr">
        <is>
          <t>burn 6 / 9 / 12 when you crit, your burn items gain +4 / 6 / 8 burn for the fight.</t>
        </is>
      </c>
      <c r="W82" s="38" t="inlineStr">
        <is>
          <t>一对一确认来源对象。</t>
        </is>
      </c>
      <c r="X82" s="385" t="inlineStr">
        <is>
          <t>hero_001</t>
        </is>
      </c>
      <c r="Y82" s="386" t="inlineStr">
        <is>
          <t>reference_reserved</t>
        </is>
      </c>
      <c r="Z82" s="386" t="inlineStr">
        <is>
          <t>apparel, tech, burn</t>
        </is>
      </c>
      <c r="AA82" s="386" t="inlineStr">
        <is>
          <t>crit</t>
        </is>
      </c>
    </row>
    <row r="83">
      <c r="A83" s="38" t="inlineStr">
        <is>
          <t>bz_van_082</t>
        </is>
      </c>
      <c r="B83" s="38" t="n">
        <v>82</v>
      </c>
      <c r="C83" s="38" t="inlineStr">
        <is>
          <t>item</t>
        </is>
      </c>
      <c r="D83" s="38" t="inlineStr">
        <is>
          <t>snapshot_vanessa_legacy_catalog_v1</t>
        </is>
      </c>
      <c r="E83" s="38" t="inlineStr">
        <is>
          <t>snapshot_the_bazaar_patch_18_0_boundary</t>
        </is>
      </c>
      <c r="F83" s="38" t="inlineStr">
        <is>
          <t>true</t>
        </is>
      </c>
      <c r="G83" s="38" t="inlineStr">
        <is>
          <t>false</t>
        </is>
      </c>
      <c r="H83" s="38" t="inlineStr">
        <is>
          <t>current_rule_match,structured_effects,quality_values,cooldown,buy_price,sell_price,ammo</t>
        </is>
      </c>
      <c r="I83" s="38" t="inlineStr">
        <is>
          <t>orange-julian</t>
        </is>
      </c>
      <c r="J83" s="38" t="inlineStr">
        <is>
          <t>Orange Julian</t>
        </is>
      </c>
      <c r="K83" s="38" t="inlineStr">
        <is>
          <t>silver</t>
        </is>
      </c>
      <c r="L83" s="38" t="inlineStr">
        <is>
          <t>medium</t>
        </is>
      </c>
      <c r="M83" s="38" t="inlineStr">
        <is>
          <t>friend, damagereference, economyreference</t>
        </is>
      </c>
      <c r="N83" s="38" t="n">
        <v>10</v>
      </c>
      <c r="O83" s="38" t="inlineStr">
        <is>
          <t>merchant_dryad, merchant_barkun, merchant_goldie, merchant_jay-jay, merchant_kina, merchant_luxe, merchant_mittel, merchant_prospero, merchant_quixel, merchant_serafina</t>
        </is>
      </c>
      <c r="P83" s="38" t="n">
        <v>10</v>
      </c>
      <c r="Q83" s="38" t="inlineStr">
        <is>
          <t>elem_水, elem_雷, elem_冰, elem_无, role_召唤, role_坦克, role_控制, role_治疗, role_机动, role_机动压制</t>
        </is>
      </c>
      <c r="R83" s="38" t="inlineStr">
        <is>
          <t>Golden</t>
        </is>
      </c>
      <c r="S83" s="38" t="inlineStr">
        <is>
          <t>pal_082</t>
        </is>
      </c>
      <c r="T83" s="38" t="inlineStr">
        <is>
          <t>冰丝巨蛾</t>
        </is>
      </c>
      <c r="U83" s="38" t="inlineStr">
        <is>
          <t>https://bazaar-builds.net/db/items/orange-julian.html</t>
        </is>
      </c>
      <c r="V83" s="38" t="inlineStr">
        <is>
          <t>your weapons gain +damage equal to half the gold you have gained this run.</t>
        </is>
      </c>
      <c r="W83" s="38" t="inlineStr">
        <is>
          <t>一对一确认来源对象。</t>
        </is>
      </c>
      <c r="X83" s="385" t="inlineStr">
        <is>
          <t>hero_001</t>
        </is>
      </c>
      <c r="Y83" s="386" t="inlineStr">
        <is>
          <t>reference_reserved</t>
        </is>
      </c>
      <c r="Z83" s="386" t="inlineStr">
        <is>
          <t>friend</t>
        </is>
      </c>
      <c r="AA83" s="386" t="inlineStr">
        <is>
          <t>damage, economy</t>
        </is>
      </c>
    </row>
    <row r="84">
      <c r="A84" s="38" t="inlineStr">
        <is>
          <t>bz_van_083</t>
        </is>
      </c>
      <c r="B84" s="38" t="n">
        <v>83</v>
      </c>
      <c r="C84" s="38" t="inlineStr">
        <is>
          <t>item</t>
        </is>
      </c>
      <c r="D84" s="38" t="inlineStr">
        <is>
          <t>snapshot_vanessa_legacy_catalog_v1</t>
        </is>
      </c>
      <c r="E84" s="38" t="inlineStr">
        <is>
          <t>snapshot_the_bazaar_patch_18_0_boundary</t>
        </is>
      </c>
      <c r="F84" s="38" t="inlineStr">
        <is>
          <t>true</t>
        </is>
      </c>
      <c r="G84" s="38" t="inlineStr">
        <is>
          <t>false</t>
        </is>
      </c>
      <c r="H84" s="38" t="inlineStr">
        <is>
          <t>current_rule_match,structured_effects,quality_values,cooldown,buy_price,sell_price,ammo</t>
        </is>
      </c>
      <c r="I84" s="38" t="inlineStr">
        <is>
          <t>pearl</t>
        </is>
      </c>
      <c r="J84" s="38" t="inlineStr">
        <is>
          <t>Pearl</t>
        </is>
      </c>
      <c r="K84" s="38" t="inlineStr">
        <is>
          <t>bronze</t>
        </is>
      </c>
      <c r="L84" s="38" t="inlineStr">
        <is>
          <t>small</t>
        </is>
      </c>
      <c r="M84" s="38" t="inlineStr">
        <is>
          <t>aquatic, shield</t>
        </is>
      </c>
      <c r="N84" s="38" t="n">
        <v>10</v>
      </c>
      <c r="O84" s="38" t="inlineStr">
        <is>
          <t>merchant_kev-s-armory, merchant_nautica, merchant_ande, merchant_goldie, merchant_jay-jay, merchant_kina, merchant_luxe, merchant_midsworth, merchant_proteus, merchant_quixel</t>
        </is>
      </c>
      <c r="P84" s="38" t="n">
        <v>10</v>
      </c>
      <c r="Q84" s="38" t="inlineStr">
        <is>
          <t>elem_火, elem_雷, elem_冰, elem_地, elem_龙, role_召唤, role_坦克, role_控制, role_输出, tier_pT3</t>
        </is>
      </c>
      <c r="R84" s="38" t="inlineStr">
        <is>
          <t>Turbo</t>
        </is>
      </c>
      <c r="S84" s="38" t="inlineStr">
        <is>
          <t>pal_083</t>
        </is>
      </c>
      <c r="T84" s="38" t="inlineStr">
        <is>
          <t>云鳞幼螭</t>
        </is>
      </c>
      <c r="U84" s="38" t="inlineStr">
        <is>
          <t>https://bazaar-builds.net/db/items/pearl.html</t>
        </is>
      </c>
      <c r="V84" s="38" t="inlineStr">
        <is>
          <t>shield 10 / 20 / 30 / 40 when you use another aquatic item, charge this 1 second.</t>
        </is>
      </c>
      <c r="W84" s="38" t="inlineStr">
        <is>
          <t>一对一确认来源对象。</t>
        </is>
      </c>
      <c r="X84" s="385" t="inlineStr">
        <is>
          <t>hero_001</t>
        </is>
      </c>
      <c r="Y84" s="386" t="inlineStr">
        <is>
          <t>reference_reserved</t>
        </is>
      </c>
      <c r="Z84" s="386" t="inlineStr">
        <is>
          <t>aquatic, shield</t>
        </is>
      </c>
      <c r="AA84" s="386" t="str"/>
    </row>
    <row r="85">
      <c r="A85" s="38" t="inlineStr">
        <is>
          <t>bz_van_084</t>
        </is>
      </c>
      <c r="B85" s="38" t="n">
        <v>84</v>
      </c>
      <c r="C85" s="38" t="inlineStr">
        <is>
          <t>item</t>
        </is>
      </c>
      <c r="D85" s="38" t="inlineStr">
        <is>
          <t>snapshot_vanessa_legacy_catalog_v1</t>
        </is>
      </c>
      <c r="E85" s="38" t="inlineStr">
        <is>
          <t>snapshot_the_bazaar_patch_18_0_boundary</t>
        </is>
      </c>
      <c r="F85" s="38" t="inlineStr">
        <is>
          <t>true</t>
        </is>
      </c>
      <c r="G85" s="38" t="inlineStr">
        <is>
          <t>false</t>
        </is>
      </c>
      <c r="H85" s="38" t="inlineStr">
        <is>
          <t>current_rule_match,structured_effects,quality_values,cooldown,buy_price,sell_price,ammo</t>
        </is>
      </c>
      <c r="I85" s="38" t="inlineStr">
        <is>
          <t>pesky-pete</t>
        </is>
      </c>
      <c r="J85" s="38" t="inlineStr">
        <is>
          <t>Pesky Pete</t>
        </is>
      </c>
      <c r="K85" s="38" t="inlineStr">
        <is>
          <t>bronze</t>
        </is>
      </c>
      <c r="L85" s="38" t="inlineStr">
        <is>
          <t>small</t>
        </is>
      </c>
      <c r="M85" s="38" t="inlineStr">
        <is>
          <t>friend, burn, flying</t>
        </is>
      </c>
      <c r="N85" s="38" t="n">
        <v>10</v>
      </c>
      <c r="O85" s="38" t="inlineStr">
        <is>
          <t>merchant_dryad, merchant_pinfeather, merchant_ande, merchant_goldie, merchant_hef, merchant_jay-jay, merchant_kina, merchant_luxe, merchant_midsworth, merchant_quixel</t>
        </is>
      </c>
      <c r="P85" s="38" t="n">
        <v>10</v>
      </c>
      <c r="Q85" s="38" t="inlineStr">
        <is>
          <t>elem_火, elem_草, elem_雷, elem_冰, elem_地, role_召唤, role_坦克, role_控制, tier_pT2, role_机动压制</t>
        </is>
      </c>
      <c r="R85" s="38" t="inlineStr">
        <is>
          <t>Fiery</t>
        </is>
      </c>
      <c r="S85" s="38" t="inlineStr">
        <is>
          <t>pal_084</t>
        </is>
      </c>
      <c r="T85" s="38" t="inlineStr">
        <is>
          <t>沧浪青蛟</t>
        </is>
      </c>
      <c r="U85" s="38" t="inlineStr">
        <is>
          <t>https://bazaar-builds.net/db/items/pesky-pete.html</t>
        </is>
      </c>
      <c r="V85" s="38" t="inlineStr">
        <is>
          <t>burn 2 this starts flying for each adjacent friend or property, this has +1 multicast.</t>
        </is>
      </c>
      <c r="W85" s="38" t="inlineStr">
        <is>
          <t>一对一确认来源对象。</t>
        </is>
      </c>
      <c r="X85" s="385" t="inlineStr">
        <is>
          <t>hero_001</t>
        </is>
      </c>
      <c r="Y85" s="386" t="inlineStr">
        <is>
          <t>reference_reserved</t>
        </is>
      </c>
      <c r="Z85" s="386" t="inlineStr">
        <is>
          <t>friend, burn, flying</t>
        </is>
      </c>
      <c r="AA85" s="386" t="str"/>
    </row>
    <row r="86">
      <c r="A86" s="38" t="inlineStr">
        <is>
          <t>bz_van_085</t>
        </is>
      </c>
      <c r="B86" s="38" t="n">
        <v>85</v>
      </c>
      <c r="C86" s="38" t="inlineStr">
        <is>
          <t>item</t>
        </is>
      </c>
      <c r="D86" s="38" t="inlineStr">
        <is>
          <t>snapshot_vanessa_legacy_catalog_v1</t>
        </is>
      </c>
      <c r="E86" s="38" t="inlineStr">
        <is>
          <t>snapshot_the_bazaar_patch_18_0_boundary</t>
        </is>
      </c>
      <c r="F86" s="38" t="inlineStr">
        <is>
          <t>true</t>
        </is>
      </c>
      <c r="G86" s="38" t="inlineStr">
        <is>
          <t>false</t>
        </is>
      </c>
      <c r="H86" s="38" t="inlineStr">
        <is>
          <t>current_rule_match,structured_effects,quality_values,cooldown,buy_price,sell_price,ammo</t>
        </is>
      </c>
      <c r="I86" s="38" t="inlineStr">
        <is>
          <t>pet-rock</t>
        </is>
      </c>
      <c r="J86" s="38" t="inlineStr">
        <is>
          <t>Pet Rock</t>
        </is>
      </c>
      <c r="K86" s="38" t="inlineStr">
        <is>
          <t>bronze</t>
        </is>
      </c>
      <c r="L86" s="38" t="inlineStr">
        <is>
          <t>small</t>
        </is>
      </c>
      <c r="M86" s="38" t="inlineStr">
        <is>
          <t>weapon, friend, toy, damage, crit</t>
        </is>
      </c>
      <c r="N86" s="38" t="n">
        <v>10</v>
      </c>
      <c r="O86" s="38" t="inlineStr">
        <is>
          <t>merchant_aimbot, merchant_dryad, merchant_aila, merchant_ande, merchant_goldie, merchant_jay-jay, merchant_luxe, merchant_midsworth, merchant_quixel, merchant_serafina</t>
        </is>
      </c>
      <c r="P86" s="38" t="n">
        <v>10</v>
      </c>
      <c r="Q86" s="38" t="inlineStr">
        <is>
          <t>night_base, elem_火, elem_雷, elem_地, role_召唤, role_坦克, role_控制, role_治疗, tier_pT1, role_机动压制</t>
        </is>
      </c>
      <c r="R86" s="38" t="inlineStr">
        <is>
          <t>Deadly</t>
        </is>
      </c>
      <c r="S86" s="38" t="inlineStr">
        <is>
          <t>pal_085</t>
        </is>
      </c>
      <c r="T86" s="38" t="inlineStr">
        <is>
          <t>涌泉水獭</t>
        </is>
      </c>
      <c r="U86" s="38" t="inlineStr">
        <is>
          <t>https://bazaar-builds.net/db/items/pet-rock.html</t>
        </is>
      </c>
      <c r="V86" s="38" t="inlineStr">
        <is>
          <t>deal 10 / 20 / 40 / 80 damage if this is your only friend, your items have +10 / 15 / 20 / 25% crit chance.</t>
        </is>
      </c>
      <c r="W86" s="38" t="inlineStr">
        <is>
          <t>一对一确认来源对象。</t>
        </is>
      </c>
      <c r="X86" s="385" t="inlineStr">
        <is>
          <t>hero_001</t>
        </is>
      </c>
      <c r="Y86" s="386" t="inlineStr">
        <is>
          <t>reference_reserved</t>
        </is>
      </c>
      <c r="Z86" s="386" t="inlineStr">
        <is>
          <t>weapon, friend, toy, damage, crit</t>
        </is>
      </c>
      <c r="AA86" s="386" t="str"/>
    </row>
    <row r="87">
      <c r="A87" s="38" t="inlineStr">
        <is>
          <t>bz_van_086</t>
        </is>
      </c>
      <c r="B87" s="38" t="n">
        <v>86</v>
      </c>
      <c r="C87" s="38" t="inlineStr">
        <is>
          <t>item</t>
        </is>
      </c>
      <c r="D87" s="38" t="inlineStr">
        <is>
          <t>snapshot_vanessa_legacy_catalog_v1</t>
        </is>
      </c>
      <c r="E87" s="38" t="inlineStr">
        <is>
          <t>snapshot_the_bazaar_patch_18_0_boundary</t>
        </is>
      </c>
      <c r="F87" s="38" t="inlineStr">
        <is>
          <t>true</t>
        </is>
      </c>
      <c r="G87" s="38" t="inlineStr">
        <is>
          <t>false</t>
        </is>
      </c>
      <c r="H87" s="38" t="inlineStr">
        <is>
          <t>current_rule_match,structured_effects,quality_values,cooldown,buy_price,sell_price,ammo</t>
        </is>
      </c>
      <c r="I87" s="38" t="inlineStr">
        <is>
          <t>piano</t>
        </is>
      </c>
      <c r="J87" s="38" t="inlineStr">
        <is>
          <t>Piano</t>
        </is>
      </c>
      <c r="K87" s="38" t="inlineStr">
        <is>
          <t>gold</t>
        </is>
      </c>
      <c r="L87" s="38" t="inlineStr">
        <is>
          <t>medium</t>
        </is>
      </c>
      <c r="M87" s="38" t="inlineStr">
        <is>
          <t>haste</t>
        </is>
      </c>
      <c r="N87" s="38" t="n">
        <v>10</v>
      </c>
      <c r="O87" s="38" t="inlineStr">
        <is>
          <t>merchant_tok-s-clocks, merchant_barkun, merchant_chronos, merchant_goldie, merchant_jay-jay, merchant_kina, merchant_luxe, merchant_mittel, merchant_quixel, merchant_serafina</t>
        </is>
      </c>
      <c r="P87" s="38" t="n">
        <v>10</v>
      </c>
      <c r="Q87" s="38" t="inlineStr">
        <is>
          <t>elem_水, elem_雷, elem_冰, elem_无, role_召唤, role_坦克, role_控制, role_治疗, special_merchant, elite_high</t>
        </is>
      </c>
      <c r="R87" s="38" t="inlineStr">
        <is>
          <t>Turbo</t>
        </is>
      </c>
      <c r="S87" s="38" t="inlineStr">
        <is>
          <t>pal_086</t>
        </is>
      </c>
      <c r="T87" s="38" t="inlineStr">
        <is>
          <t>赤炎狻猊</t>
        </is>
      </c>
      <c r="U87" s="38" t="inlineStr">
        <is>
          <t>https://bazaar-builds.net/db/items/piano.html</t>
        </is>
      </c>
      <c r="V87" s="38" t="inlineStr">
        <is>
          <t>when you use a friend, haste it for 1 → 2 seconds. adjacent items are friends.</t>
        </is>
      </c>
      <c r="W87" s="38" t="inlineStr">
        <is>
          <t>一对一确认来源对象。</t>
        </is>
      </c>
      <c r="X87" s="385" t="inlineStr">
        <is>
          <t>hero_001</t>
        </is>
      </c>
      <c r="Y87" s="386" t="inlineStr">
        <is>
          <t>reference_reserved</t>
        </is>
      </c>
      <c r="Z87" s="386" t="inlineStr">
        <is>
          <t>haste</t>
        </is>
      </c>
      <c r="AA87" s="386" t="str"/>
    </row>
    <row r="88">
      <c r="A88" s="38" t="inlineStr">
        <is>
          <t>bz_van_087</t>
        </is>
      </c>
      <c r="B88" s="38" t="n">
        <v>87</v>
      </c>
      <c r="C88" s="38" t="inlineStr">
        <is>
          <t>item</t>
        </is>
      </c>
      <c r="D88" s="38" t="inlineStr">
        <is>
          <t>snapshot_vanessa_legacy_catalog_v1</t>
        </is>
      </c>
      <c r="E88" s="38" t="inlineStr">
        <is>
          <t>snapshot_the_bazaar_patch_18_0_boundary</t>
        </is>
      </c>
      <c r="F88" s="38" t="inlineStr">
        <is>
          <t>true</t>
        </is>
      </c>
      <c r="G88" s="38" t="inlineStr">
        <is>
          <t>false</t>
        </is>
      </c>
      <c r="H88" s="38" t="inlineStr">
        <is>
          <t>current_rule_match,structured_effects,quality_values,cooldown,buy_price,sell_price,ammo</t>
        </is>
      </c>
      <c r="I88" s="38" t="inlineStr">
        <is>
          <t>piranha</t>
        </is>
      </c>
      <c r="J88" s="38" t="inlineStr">
        <is>
          <t>Piranha</t>
        </is>
      </c>
      <c r="K88" s="38" t="inlineStr">
        <is>
          <t>bronze</t>
        </is>
      </c>
      <c r="L88" s="38" t="inlineStr">
        <is>
          <t>small</t>
        </is>
      </c>
      <c r="M88" s="38" t="inlineStr">
        <is>
          <t>aquatic, weapon, friend, damage, charge</t>
        </is>
      </c>
      <c r="N88" s="38" t="n">
        <v>10</v>
      </c>
      <c r="O88" s="38" t="inlineStr">
        <is>
          <t>merchant_dryad, merchant_nautica, merchant_aila, merchant_ande, merchant_goldie, merchant_jay-jay, merchant_luxe, merchant_midsworth, merchant_quixel, merchant_serafina</t>
        </is>
      </c>
      <c r="P88" s="38" t="n">
        <v>10</v>
      </c>
      <c r="Q88" s="38" t="inlineStr">
        <is>
          <t>night_base, elem_火, elem_雷, elem_地, role_召唤, role_坦克, role_控制, role_治疗, role_输出, role_机动压制</t>
        </is>
      </c>
      <c r="R88" s="38" t="inlineStr">
        <is>
          <t>Turbo</t>
        </is>
      </c>
      <c r="S88" s="38" t="inlineStr">
        <is>
          <t>pal_087</t>
        </is>
      </c>
      <c r="T88" s="38" t="inlineStr">
        <is>
          <t>碧海青蛟</t>
        </is>
      </c>
      <c r="U88" s="38" t="inlineStr">
        <is>
          <t>https://bazaar-builds.net/db/items/piranha.html</t>
        </is>
      </c>
      <c r="V88" s="38" t="inlineStr">
        <is>
          <t>deal 15 damage when you use another friend or food, charge this 1 second.</t>
        </is>
      </c>
      <c r="W88" s="38" t="inlineStr">
        <is>
          <t>一对一确认来源对象。</t>
        </is>
      </c>
      <c r="X88" s="385" t="inlineStr">
        <is>
          <t>hero_001</t>
        </is>
      </c>
      <c r="Y88" s="386" t="inlineStr">
        <is>
          <t>reference_reserved</t>
        </is>
      </c>
      <c r="Z88" s="386" t="inlineStr">
        <is>
          <t>aquatic, weapon, friend, damage, charge</t>
        </is>
      </c>
      <c r="AA88" s="386" t="str"/>
    </row>
    <row r="89">
      <c r="A89" s="38" t="inlineStr">
        <is>
          <t>bz_van_088</t>
        </is>
      </c>
      <c r="B89" s="38" t="n">
        <v>88</v>
      </c>
      <c r="C89" s="38" t="inlineStr">
        <is>
          <t>item</t>
        </is>
      </c>
      <c r="D89" s="38" t="inlineStr">
        <is>
          <t>snapshot_vanessa_legacy_catalog_v1</t>
        </is>
      </c>
      <c r="E89" s="38" t="inlineStr">
        <is>
          <t>snapshot_the_bazaar_patch_18_0_boundary</t>
        </is>
      </c>
      <c r="F89" s="38" t="inlineStr">
        <is>
          <t>true</t>
        </is>
      </c>
      <c r="G89" s="38" t="inlineStr">
        <is>
          <t>false</t>
        </is>
      </c>
      <c r="H89" s="38" t="inlineStr">
        <is>
          <t>current_rule_match,structured_effects,quality_values,cooldown,buy_price,sell_price,ammo</t>
        </is>
      </c>
      <c r="I89" s="38" t="inlineStr">
        <is>
          <t>pistol-sword</t>
        </is>
      </c>
      <c r="J89" s="38" t="inlineStr">
        <is>
          <t>Pistol Sword</t>
        </is>
      </c>
      <c r="K89" s="38" t="inlineStr">
        <is>
          <t>gold</t>
        </is>
      </c>
      <c r="L89" s="38" t="inlineStr">
        <is>
          <t>medium</t>
        </is>
      </c>
      <c r="M89" s="38" t="inlineStr">
        <is>
          <t>weapon, damage, ammo</t>
        </is>
      </c>
      <c r="N89" s="38" t="n">
        <v>10</v>
      </c>
      <c r="O89" s="38" t="inlineStr">
        <is>
          <t>merchant_colt, merchant_aila, merchant_barkun, merchant_goldie, merchant_jay-jay, merchant_luxe, merchant_mittel, merchant_quixel, merchant_serafina, merchant_valpak</t>
        </is>
      </c>
      <c r="P89" s="38" t="n">
        <v>10</v>
      </c>
      <c r="Q89" s="38" t="inlineStr">
        <is>
          <t>night_base, elem_水, elem_雷, elem_暗, elem_无, role_召唤, role_坦克, role_控制, role_治疗, role_机动</t>
        </is>
      </c>
      <c r="R89" s="38" t="inlineStr">
        <is>
          <t>Deadly</t>
        </is>
      </c>
      <c r="S89" s="38" t="inlineStr">
        <is>
          <t>pal_088</t>
        </is>
      </c>
      <c r="T89" s="38" t="inlineStr">
        <is>
          <t>冰棘豪猪</t>
        </is>
      </c>
      <c r="U89" s="38" t="inlineStr">
        <is>
          <t>https://bazaar-builds.net/db/items/pistol-sword.html</t>
        </is>
      </c>
      <c r="V89" s="38" t="inlineStr">
        <is>
          <t>deal 15 → 30 damage when you use an ammo item, deal 15 → 30 damage.</t>
        </is>
      </c>
      <c r="W89" s="38" t="inlineStr">
        <is>
          <t>一对一确认来源对象。</t>
        </is>
      </c>
      <c r="X89" s="385" t="inlineStr">
        <is>
          <t>hero_001</t>
        </is>
      </c>
      <c r="Y89" s="386" t="inlineStr">
        <is>
          <t>reference_reserved</t>
        </is>
      </c>
      <c r="Z89" s="386" t="inlineStr">
        <is>
          <t>weapon, damage, ammo</t>
        </is>
      </c>
      <c r="AA89" s="386" t="str"/>
    </row>
    <row r="90">
      <c r="A90" s="38" t="inlineStr">
        <is>
          <t>bz_van_089</t>
        </is>
      </c>
      <c r="B90" s="38" t="n">
        <v>89</v>
      </c>
      <c r="C90" s="38" t="inlineStr">
        <is>
          <t>item</t>
        </is>
      </c>
      <c r="D90" s="38" t="inlineStr">
        <is>
          <t>snapshot_vanessa_legacy_catalog_v1</t>
        </is>
      </c>
      <c r="E90" s="38" t="inlineStr">
        <is>
          <t>snapshot_the_bazaar_patch_18_0_boundary</t>
        </is>
      </c>
      <c r="F90" s="38" t="inlineStr">
        <is>
          <t>true</t>
        </is>
      </c>
      <c r="G90" s="38" t="inlineStr">
        <is>
          <t>false</t>
        </is>
      </c>
      <c r="H90" s="38" t="inlineStr">
        <is>
          <t>current_rule_match,structured_effects,quality_values,cooldown,buy_price,sell_price,ammo</t>
        </is>
      </c>
      <c r="I90" s="38" t="inlineStr">
        <is>
          <t>pop-snappers</t>
        </is>
      </c>
      <c r="J90" s="38" t="inlineStr">
        <is>
          <t>Pop Snappers</t>
        </is>
      </c>
      <c r="K90" s="38" t="inlineStr">
        <is>
          <t>bronze</t>
        </is>
      </c>
      <c r="L90" s="38" t="inlineStr">
        <is>
          <t>small</t>
        </is>
      </c>
      <c r="M90" s="38" t="inlineStr">
        <is>
          <t>toy, burn, ammo</t>
        </is>
      </c>
      <c r="N90" s="38" t="n">
        <v>10</v>
      </c>
      <c r="O90" s="38" t="inlineStr">
        <is>
          <t>merchant_colt, merchant_ande, merchant_goldie, merchant_hef, merchant_jay-jay, merchant_kina, merchant_luxe, merchant_midsworth, merchant_quixel, merchant_serafina</t>
        </is>
      </c>
      <c r="P90" s="38" t="n">
        <v>10</v>
      </c>
      <c r="Q90" s="38" t="inlineStr">
        <is>
          <t>elem_火, elem_雷, elem_冰, elem_地, role_召唤, role_坦克, role_控制, role_治疗, role_机动, tier_pT2</t>
        </is>
      </c>
      <c r="R90" s="38" t="inlineStr">
        <is>
          <t>Fiery</t>
        </is>
      </c>
      <c r="S90" s="38" t="inlineStr">
        <is>
          <t>pal_089</t>
        </is>
      </c>
      <c r="T90" s="38" t="inlineStr">
        <is>
          <t>狱火凶獒</t>
        </is>
      </c>
      <c r="U90" s="38" t="inlineStr">
        <is>
          <t>https://bazaar-builds.net/db/items/pop-snappers.html</t>
        </is>
      </c>
      <c r="V90" s="38" t="inlineStr">
        <is>
          <t>burn 4 / 8 / 12 / 16</t>
        </is>
      </c>
      <c r="W90" s="38" t="inlineStr">
        <is>
          <t>一对一确认来源对象。</t>
        </is>
      </c>
      <c r="X90" s="385" t="inlineStr">
        <is>
          <t>hero_001</t>
        </is>
      </c>
      <c r="Y90" s="386" t="inlineStr">
        <is>
          <t>reference_reserved</t>
        </is>
      </c>
      <c r="Z90" s="386" t="inlineStr">
        <is>
          <t>toy, burn, ammo</t>
        </is>
      </c>
      <c r="AA90" s="386" t="str"/>
    </row>
    <row r="91">
      <c r="A91" s="38" t="inlineStr">
        <is>
          <t>bz_van_090</t>
        </is>
      </c>
      <c r="B91" s="38" t="n">
        <v>90</v>
      </c>
      <c r="C91" s="38" t="inlineStr">
        <is>
          <t>item</t>
        </is>
      </c>
      <c r="D91" s="38" t="inlineStr">
        <is>
          <t>snapshot_vanessa_legacy_catalog_v1</t>
        </is>
      </c>
      <c r="E91" s="38" t="inlineStr">
        <is>
          <t>snapshot_the_bazaar_patch_18_0_boundary</t>
        </is>
      </c>
      <c r="F91" s="38" t="inlineStr">
        <is>
          <t>true</t>
        </is>
      </c>
      <c r="G91" s="38" t="inlineStr">
        <is>
          <t>false</t>
        </is>
      </c>
      <c r="H91" s="38" t="inlineStr">
        <is>
          <t>current_rule_match,structured_effects,quality_values,cooldown,buy_price,sell_price,ammo</t>
        </is>
      </c>
      <c r="I91" s="38" t="inlineStr">
        <is>
          <t>port</t>
        </is>
      </c>
      <c r="J91" s="38" t="inlineStr">
        <is>
          <t>Port</t>
        </is>
      </c>
      <c r="K91" s="38" t="inlineStr">
        <is>
          <t>silver</t>
        </is>
      </c>
      <c r="L91" s="38" t="inlineStr">
        <is>
          <t>large</t>
        </is>
      </c>
      <c r="M91" s="38" t="inlineStr">
        <is>
          <t>property, aquatic, ammoreference, charge</t>
        </is>
      </c>
      <c r="N91" s="38" t="n">
        <v>10</v>
      </c>
      <c r="O91" s="38" t="inlineStr">
        <is>
          <t>merchant_colt, merchant_nautica, merchant_barkun, merchant_goldie, merchant_jay-jay, merchant_kina, merchant_luxe, merchant_midsworth, merchant_mr-morland, merchant_pol</t>
        </is>
      </c>
      <c r="P91" s="38" t="n">
        <v>10</v>
      </c>
      <c r="Q91" s="38" t="inlineStr">
        <is>
          <t>elem_水, elem_雷, elem_冰, elem_地, elem_暗, role_坦克, role_控制, role_输出, role_机动, role_风系铺场</t>
        </is>
      </c>
      <c r="R91" s="38" t="inlineStr">
        <is>
          <t>Turbo</t>
        </is>
      </c>
      <c r="S91" s="38" t="inlineStr">
        <is>
          <t>pal_090</t>
        </is>
      </c>
      <c r="T91" s="38" t="inlineStr">
        <is>
          <t>三首火犬</t>
        </is>
      </c>
      <c r="U91" s="38" t="inlineStr">
        <is>
          <t>https://bazaar-builds.net/db/items/port.html</t>
        </is>
      </c>
      <c r="V91" s="38" t="inlineStr">
        <is>
          <t>reload all your items 2 / 3 / 4 ammo and charge them 1 / 2 / 3 seconds at the start of each day, get a small ammo item from any hero.</t>
        </is>
      </c>
      <c r="W91" s="38" t="inlineStr">
        <is>
          <t>一对一确认来源对象。</t>
        </is>
      </c>
      <c r="X91" s="385" t="inlineStr">
        <is>
          <t>hero_001</t>
        </is>
      </c>
      <c r="Y91" s="386" t="inlineStr">
        <is>
          <t>reference_reserved</t>
        </is>
      </c>
      <c r="Z91" s="386" t="inlineStr">
        <is>
          <t>property, aquatic, charge</t>
        </is>
      </c>
      <c r="AA91" s="386" t="inlineStr">
        <is>
          <t>ammo</t>
        </is>
      </c>
    </row>
    <row r="92">
      <c r="A92" s="38" t="inlineStr">
        <is>
          <t>bz_van_091</t>
        </is>
      </c>
      <c r="B92" s="38" t="n">
        <v>91</v>
      </c>
      <c r="C92" s="38" t="inlineStr">
        <is>
          <t>item</t>
        </is>
      </c>
      <c r="D92" s="38" t="inlineStr">
        <is>
          <t>snapshot_vanessa_legacy_catalog_v1</t>
        </is>
      </c>
      <c r="E92" s="38" t="inlineStr">
        <is>
          <t>snapshot_the_bazaar_patch_18_0_boundary</t>
        </is>
      </c>
      <c r="F92" s="38" t="inlineStr">
        <is>
          <t>true</t>
        </is>
      </c>
      <c r="G92" s="38" t="inlineStr">
        <is>
          <t>false</t>
        </is>
      </c>
      <c r="H92" s="38" t="inlineStr">
        <is>
          <t>current_rule_match,structured_effects,quality_values,cooldown,buy_price,sell_price,ammo</t>
        </is>
      </c>
      <c r="I92" s="38" t="inlineStr">
        <is>
          <t>powder-horn</t>
        </is>
      </c>
      <c r="J92" s="38" t="inlineStr">
        <is>
          <t>Powder Horn</t>
        </is>
      </c>
      <c r="K92" s="38" t="inlineStr">
        <is>
          <t>bronze</t>
        </is>
      </c>
      <c r="L92" s="38" t="inlineStr">
        <is>
          <t>small</t>
        </is>
      </c>
      <c r="M92" s="38" t="inlineStr">
        <is>
          <t>tool, ammoreference</t>
        </is>
      </c>
      <c r="N92" s="38" t="n">
        <v>10</v>
      </c>
      <c r="O92" s="38" t="inlineStr">
        <is>
          <t>merchant_colt, merchant_ande, merchant_goldie, merchant_jay-jay, merchant_kina, merchant_luxe, merchant_midsworth, merchant_orion, merchant_quixel, merchant_serafina</t>
        </is>
      </c>
      <c r="P92" s="38" t="n">
        <v>10</v>
      </c>
      <c r="Q92" s="38" t="inlineStr">
        <is>
          <t>elem_火, elem_雷, elem_冰, elem_地, role_召唤, role_坦克, role_控制, role_治疗, role_机动, role_远点压制</t>
        </is>
      </c>
      <c r="R92" s="38" t="inlineStr">
        <is>
          <t>Deadly</t>
        </is>
      </c>
      <c r="S92" s="38" t="inlineStr">
        <is>
          <t>pal_091</t>
        </is>
      </c>
      <c r="T92" s="38" t="inlineStr">
        <is>
          <t>覆水龙龟</t>
        </is>
      </c>
      <c r="U92" s="38" t="inlineStr">
        <is>
          <t>https://bazaar-builds.net/db/items/powder-horn.html</t>
        </is>
      </c>
      <c r="V92" s="38" t="inlineStr">
        <is>
          <t>reload the item to the right of this 1 / 2 / 3 / 4 ammo</t>
        </is>
      </c>
      <c r="W92" s="38" t="inlineStr">
        <is>
          <t>一对一确认来源对象。</t>
        </is>
      </c>
      <c r="X92" s="385" t="inlineStr">
        <is>
          <t>hero_001</t>
        </is>
      </c>
      <c r="Y92" s="386" t="inlineStr">
        <is>
          <t>reference_reserved</t>
        </is>
      </c>
      <c r="Z92" s="386" t="inlineStr">
        <is>
          <t>tool</t>
        </is>
      </c>
      <c r="AA92" s="386" t="inlineStr">
        <is>
          <t>ammo</t>
        </is>
      </c>
    </row>
    <row r="93">
      <c r="A93" s="38" t="inlineStr">
        <is>
          <t>bz_van_092</t>
        </is>
      </c>
      <c r="B93" s="38" t="n">
        <v>92</v>
      </c>
      <c r="C93" s="38" t="inlineStr">
        <is>
          <t>item</t>
        </is>
      </c>
      <c r="D93" s="38" t="inlineStr">
        <is>
          <t>snapshot_vanessa_legacy_catalog_v1</t>
        </is>
      </c>
      <c r="E93" s="38" t="inlineStr">
        <is>
          <t>snapshot_the_bazaar_patch_18_0_boundary</t>
        </is>
      </c>
      <c r="F93" s="38" t="inlineStr">
        <is>
          <t>true</t>
        </is>
      </c>
      <c r="G93" s="38" t="inlineStr">
        <is>
          <t>false</t>
        </is>
      </c>
      <c r="H93" s="38" t="inlineStr">
        <is>
          <t>current_rule_match,structured_effects,quality_values,cooldown,buy_price,sell_price,ammo</t>
        </is>
      </c>
      <c r="I93" s="38" t="inlineStr">
        <is>
          <t>powder-keg</t>
        </is>
      </c>
      <c r="J93" s="38" t="inlineStr">
        <is>
          <t>Powder Keg</t>
        </is>
      </c>
      <c r="K93" s="38" t="inlineStr">
        <is>
          <t>gold</t>
        </is>
      </c>
      <c r="L93" s="38" t="inlineStr">
        <is>
          <t>medium</t>
        </is>
      </c>
      <c r="M93" s="38" t="inlineStr">
        <is>
          <t>weapon, damage, burnreference</t>
        </is>
      </c>
      <c r="N93" s="38" t="n">
        <v>10</v>
      </c>
      <c r="O93" s="38" t="inlineStr">
        <is>
          <t>merchant_aila, merchant_barkun, merchant_goldie, merchant_hef, merchant_jay-jay, merchant_luxe, merchant_mittel, merchant_quixel, merchant_serafina, merchant_valpak</t>
        </is>
      </c>
      <c r="P93" s="38" t="n">
        <v>10</v>
      </c>
      <c r="Q93" s="38" t="inlineStr">
        <is>
          <t>night_base, elem_水, elem_雷, elem_暗, elem_无, role_召唤, role_坦克, role_控制, role_治疗, tier_pT2</t>
        </is>
      </c>
      <c r="R93" s="38" t="inlineStr">
        <is>
          <t>Fiery</t>
        </is>
      </c>
      <c r="S93" s="38" t="inlineStr">
        <is>
          <t>pal_092</t>
        </is>
      </c>
      <c r="T93" s="38" t="inlineStr">
        <is>
          <t>雷泽青蛟</t>
        </is>
      </c>
      <c r="U93" s="38" t="inlineStr">
        <is>
          <t>https://bazaar-builds.net/db/items/powder-keg.html</t>
        </is>
      </c>
      <c r="V93" s="38" t="inlineStr">
        <is>
          <t>deal damage equal to 30 → 40% of an enemy's max health and destroy this when you burn, charge this 2 seconds.</t>
        </is>
      </c>
      <c r="W93" s="38" t="inlineStr">
        <is>
          <t>一对一确认来源对象。</t>
        </is>
      </c>
      <c r="X93" s="385" t="inlineStr">
        <is>
          <t>hero_001</t>
        </is>
      </c>
      <c r="Y93" s="386" t="inlineStr">
        <is>
          <t>reference_reserved</t>
        </is>
      </c>
      <c r="Z93" s="386" t="inlineStr">
        <is>
          <t>weapon, damage</t>
        </is>
      </c>
      <c r="AA93" s="386" t="inlineStr">
        <is>
          <t>burn</t>
        </is>
      </c>
    </row>
    <row r="94">
      <c r="A94" s="38" t="inlineStr">
        <is>
          <t>bz_van_093</t>
        </is>
      </c>
      <c r="B94" s="38" t="n">
        <v>93</v>
      </c>
      <c r="C94" s="38" t="inlineStr">
        <is>
          <t>item</t>
        </is>
      </c>
      <c r="D94" s="38" t="inlineStr">
        <is>
          <t>snapshot_vanessa_legacy_catalog_v1</t>
        </is>
      </c>
      <c r="E94" s="38" t="inlineStr">
        <is>
          <t>snapshot_the_bazaar_patch_18_0_boundary</t>
        </is>
      </c>
      <c r="F94" s="38" t="inlineStr">
        <is>
          <t>true</t>
        </is>
      </c>
      <c r="G94" s="38" t="inlineStr">
        <is>
          <t>false</t>
        </is>
      </c>
      <c r="H94" s="38" t="inlineStr">
        <is>
          <t>current_rule_match,structured_effects,quality_values,cooldown,buy_price,sell_price,ammo</t>
        </is>
      </c>
      <c r="I94" s="38" t="inlineStr">
        <is>
          <t>pufferfish</t>
        </is>
      </c>
      <c r="J94" s="38" t="inlineStr">
        <is>
          <t>Pufferfish</t>
        </is>
      </c>
      <c r="K94" s="38" t="inlineStr">
        <is>
          <t>silver</t>
        </is>
      </c>
      <c r="L94" s="38" t="inlineStr">
        <is>
          <t>medium</t>
        </is>
      </c>
      <c r="M94" s="38" t="inlineStr">
        <is>
          <t>aquatic, friend, poison, hastereference</t>
        </is>
      </c>
      <c r="N94" s="38" t="n">
        <v>10</v>
      </c>
      <c r="O94" s="38" t="inlineStr">
        <is>
          <t>merchant_dryad, merchant_nautica, merchant_tok-s-clocks, merchant_barkun, merchant_chronos, merchant_goldie, merchant_jay-jay, merchant_kina, merchant_knightshade, merchant_luxe</t>
        </is>
      </c>
      <c r="P94" s="38" t="n">
        <v>10</v>
      </c>
      <c r="Q94" s="38" t="inlineStr">
        <is>
          <t>elem_水, elem_雷, elem_冰, role_坦克, role_控制, role_输出, special_merchant, elite_high, role_机动压制, role_火系压制</t>
        </is>
      </c>
      <c r="R94" s="38" t="inlineStr">
        <is>
          <t>Toxic</t>
        </is>
      </c>
      <c r="S94" s="38" t="inlineStr">
        <is>
          <t>pal_093</t>
        </is>
      </c>
      <c r="T94" s="38" t="inlineStr">
        <is>
          <t>连理双鹿</t>
        </is>
      </c>
      <c r="U94" s="38" t="inlineStr">
        <is>
          <t>https://bazaar-builds.net/db/items/pufferfish.html</t>
        </is>
      </c>
      <c r="V94" s="38" t="inlineStr">
        <is>
          <t>poison 10 / 20 / 30 when you haste, charge this 2 seconds.</t>
        </is>
      </c>
      <c r="W94" s="38" t="inlineStr">
        <is>
          <t>一对一确认来源对象。</t>
        </is>
      </c>
      <c r="X94" s="385" t="inlineStr">
        <is>
          <t>hero_001</t>
        </is>
      </c>
      <c r="Y94" s="386" t="inlineStr">
        <is>
          <t>reference_reserved</t>
        </is>
      </c>
      <c r="Z94" s="386" t="inlineStr">
        <is>
          <t>aquatic, friend, poison</t>
        </is>
      </c>
      <c r="AA94" s="386" t="inlineStr">
        <is>
          <t>haste</t>
        </is>
      </c>
    </row>
    <row r="95">
      <c r="A95" s="38" t="inlineStr">
        <is>
          <t>bz_van_094</t>
        </is>
      </c>
      <c r="B95" s="38" t="n">
        <v>94</v>
      </c>
      <c r="C95" s="38" t="inlineStr">
        <is>
          <t>item</t>
        </is>
      </c>
      <c r="D95" s="38" t="inlineStr">
        <is>
          <t>snapshot_vanessa_legacy_catalog_v1</t>
        </is>
      </c>
      <c r="E95" s="38" t="inlineStr">
        <is>
          <t>snapshot_the_bazaar_patch_18_0_boundary</t>
        </is>
      </c>
      <c r="F95" s="38" t="inlineStr">
        <is>
          <t>true</t>
        </is>
      </c>
      <c r="G95" s="38" t="inlineStr">
        <is>
          <t>false</t>
        </is>
      </c>
      <c r="H95" s="38" t="inlineStr">
        <is>
          <t>current_rule_match,structured_effects,quality_values,cooldown,buy_price,sell_price,ammo</t>
        </is>
      </c>
      <c r="I95" s="38" t="inlineStr">
        <is>
          <t>ramrod</t>
        </is>
      </c>
      <c r="J95" s="38" t="inlineStr">
        <is>
          <t>Ramrod</t>
        </is>
      </c>
      <c r="K95" s="38" t="inlineStr">
        <is>
          <t>bronze</t>
        </is>
      </c>
      <c r="L95" s="38" t="inlineStr">
        <is>
          <t>medium</t>
        </is>
      </c>
      <c r="M95" s="38" t="inlineStr">
        <is>
          <t>tool, ammoreference, crit</t>
        </is>
      </c>
      <c r="N95" s="38" t="n">
        <v>10</v>
      </c>
      <c r="O95" s="38" t="inlineStr">
        <is>
          <t>merchant_aimbot, merchant_colt, merchant_barkun, merchant_goldie, merchant_jay-jay, merchant_kina, merchant_luxe, merchant_mittel, merchant_orion, merchant_quixel</t>
        </is>
      </c>
      <c r="P95" s="38" t="n">
        <v>10</v>
      </c>
      <c r="Q95" s="38" t="inlineStr">
        <is>
          <t>elem_水, elem_雷, elem_冰, elem_无, role_召唤, role_坦克, role_控制, role_机动, tier_pT1, role_远点压制</t>
        </is>
      </c>
      <c r="R95" s="38" t="inlineStr">
        <is>
          <t>Deadly</t>
        </is>
      </c>
      <c r="S95" s="38" t="inlineStr">
        <is>
          <t>pal_094</t>
        </is>
      </c>
      <c r="T95" s="38" t="inlineStr">
        <is>
          <t>海棠水鹿</t>
        </is>
      </c>
      <c r="U95" s="38" t="inlineStr">
        <is>
          <t>https://bazaar-builds.net/db/items/ramrod.html</t>
        </is>
      </c>
      <c r="V95" s="38" t="inlineStr">
        <is>
          <t>reload adjacent ammo items 1 / 2 / 3 / 4 ammo when you reload an item, it gains +10 / 20 / 30 / 40% crit chance for the fight</t>
        </is>
      </c>
      <c r="W95" s="38" t="inlineStr">
        <is>
          <t>一对一确认来源对象。</t>
        </is>
      </c>
      <c r="X95" s="385" t="inlineStr">
        <is>
          <t>hero_001</t>
        </is>
      </c>
      <c r="Y95" s="386" t="inlineStr">
        <is>
          <t>reference_reserved</t>
        </is>
      </c>
      <c r="Z95" s="386" t="inlineStr">
        <is>
          <t>tool, crit</t>
        </is>
      </c>
      <c r="AA95" s="386" t="inlineStr">
        <is>
          <t>ammo</t>
        </is>
      </c>
    </row>
    <row r="96">
      <c r="A96" s="38" t="inlineStr">
        <is>
          <t>bz_van_095</t>
        </is>
      </c>
      <c r="B96" s="38" t="n">
        <v>95</v>
      </c>
      <c r="C96" s="38" t="inlineStr">
        <is>
          <t>item</t>
        </is>
      </c>
      <c r="D96" s="38" t="inlineStr">
        <is>
          <t>snapshot_vanessa_legacy_catalog_v1</t>
        </is>
      </c>
      <c r="E96" s="38" t="inlineStr">
        <is>
          <t>snapshot_the_bazaar_patch_18_0_boundary</t>
        </is>
      </c>
      <c r="F96" s="38" t="inlineStr">
        <is>
          <t>true</t>
        </is>
      </c>
      <c r="G96" s="38" t="inlineStr">
        <is>
          <t>false</t>
        </is>
      </c>
      <c r="H96" s="38" t="inlineStr">
        <is>
          <t>current_rule_match,structured_effects,quality_values,cooldown,buy_price,sell_price,ammo</t>
        </is>
      </c>
      <c r="I96" s="38" t="inlineStr">
        <is>
          <t>repeater</t>
        </is>
      </c>
      <c r="J96" s="38" t="inlineStr">
        <is>
          <t>Repeater</t>
        </is>
      </c>
      <c r="K96" s="38" t="inlineStr">
        <is>
          <t>silver</t>
        </is>
      </c>
      <c r="L96" s="38" t="inlineStr">
        <is>
          <t>medium</t>
        </is>
      </c>
      <c r="M96" s="38" t="inlineStr">
        <is>
          <t>weapon, damage, ammo</t>
        </is>
      </c>
      <c r="N96" s="38" t="n">
        <v>10</v>
      </c>
      <c r="O96" s="38" t="inlineStr">
        <is>
          <t>merchant_colt, merchant_aila, merchant_barkun, merchant_goldie, merchant_jay-jay, merchant_luxe, merchant_mittel, merchant_quixel, merchant_serafina, merchant_silvia</t>
        </is>
      </c>
      <c r="P96" s="38" t="n">
        <v>10</v>
      </c>
      <c r="Q96" s="38" t="inlineStr">
        <is>
          <t>night_base, elem_水, elem_雷, elem_无, role_召唤, role_坦克, role_控制, role_治疗, role_经济, role_机动</t>
        </is>
      </c>
      <c r="R96" s="38" t="inlineStr">
        <is>
          <t>Deadly</t>
        </is>
      </c>
      <c r="S96" s="38" t="inlineStr">
        <is>
          <t>pal_095</t>
        </is>
      </c>
      <c r="T96" s="38" t="inlineStr">
        <is>
          <t>百花灵鹿</t>
        </is>
      </c>
      <c r="U96" s="38" t="inlineStr">
        <is>
          <t>https://bazaar-builds.net/db/items/repeater.html</t>
        </is>
      </c>
      <c r="V96" s="38" t="inlineStr">
        <is>
          <t>deal 30 damage when you use another ammo item, use this.</t>
        </is>
      </c>
      <c r="W96" s="38" t="inlineStr">
        <is>
          <t>一对一确认来源对象。</t>
        </is>
      </c>
      <c r="X96" s="385" t="inlineStr">
        <is>
          <t>hero_001</t>
        </is>
      </c>
      <c r="Y96" s="386" t="inlineStr">
        <is>
          <t>reference_reserved</t>
        </is>
      </c>
      <c r="Z96" s="386" t="inlineStr">
        <is>
          <t>weapon, damage, ammo</t>
        </is>
      </c>
      <c r="AA96" s="386" t="str"/>
    </row>
    <row r="97">
      <c r="A97" s="38" t="inlineStr">
        <is>
          <t>bz_van_096</t>
        </is>
      </c>
      <c r="B97" s="38" t="n">
        <v>96</v>
      </c>
      <c r="C97" s="38" t="inlineStr">
        <is>
          <t>item</t>
        </is>
      </c>
      <c r="D97" s="38" t="inlineStr">
        <is>
          <t>snapshot_vanessa_legacy_catalog_v1</t>
        </is>
      </c>
      <c r="E97" s="38" t="inlineStr">
        <is>
          <t>snapshot_the_bazaar_patch_18_0_boundary</t>
        </is>
      </c>
      <c r="F97" s="38" t="inlineStr">
        <is>
          <t>true</t>
        </is>
      </c>
      <c r="G97" s="38" t="inlineStr">
        <is>
          <t>false</t>
        </is>
      </c>
      <c r="H97" s="38" t="inlineStr">
        <is>
          <t>current_rule_match,structured_effects,quality_values,cooldown,buy_price,sell_price,ammo</t>
        </is>
      </c>
      <c r="I97" s="38" t="inlineStr">
        <is>
          <t>revolver</t>
        </is>
      </c>
      <c r="J97" s="38" t="inlineStr">
        <is>
          <t>Revolver</t>
        </is>
      </c>
      <c r="K97" s="38" t="inlineStr">
        <is>
          <t>bronze</t>
        </is>
      </c>
      <c r="L97" s="38" t="inlineStr">
        <is>
          <t>small</t>
        </is>
      </c>
      <c r="M97" s="38" t="inlineStr">
        <is>
          <t>weapon, damage, ammo</t>
        </is>
      </c>
      <c r="N97" s="38" t="n">
        <v>10</v>
      </c>
      <c r="O97" s="38" t="inlineStr">
        <is>
          <t>merchant_colt, merchant_aila, merchant_ande, merchant_goldie, merchant_jay-jay, merchant_luxe, merchant_midsworth, merchant_quixel, merchant_serafina, merchant_silvia</t>
        </is>
      </c>
      <c r="P97" s="38" t="n">
        <v>10</v>
      </c>
      <c r="Q97" s="38" t="inlineStr">
        <is>
          <t>night_base, elem_火, elem_雷, elem_地, role_召唤, role_坦克, role_控制, role_治疗, role_经济, role_机动</t>
        </is>
      </c>
      <c r="R97" s="38" t="inlineStr">
        <is>
          <t>Deadly</t>
        </is>
      </c>
      <c r="S97" s="38" t="inlineStr">
        <is>
          <t>pal_096</t>
        </is>
      </c>
      <c r="T97" s="38" t="inlineStr">
        <is>
          <t>熔岩巨兽</t>
        </is>
      </c>
      <c r="U97" s="38" t="inlineStr">
        <is>
          <t>https://bazaar-builds.net/db/items/revolver.html</t>
        </is>
      </c>
      <c r="V97" s="38" t="inlineStr">
        <is>
          <t>deal 8 / 16 / 32 / 64 damage</t>
        </is>
      </c>
      <c r="W97" s="38" t="inlineStr">
        <is>
          <t>一对一确认来源对象。</t>
        </is>
      </c>
      <c r="X97" s="385" t="inlineStr">
        <is>
          <t>hero_001</t>
        </is>
      </c>
      <c r="Y97" s="386" t="inlineStr">
        <is>
          <t>reference_reserved</t>
        </is>
      </c>
      <c r="Z97" s="386" t="inlineStr">
        <is>
          <t>weapon, damage, ammo</t>
        </is>
      </c>
      <c r="AA97" s="386" t="str"/>
    </row>
    <row r="98">
      <c r="A98" s="38" t="inlineStr">
        <is>
          <t>bz_van_097</t>
        </is>
      </c>
      <c r="B98" s="38" t="n">
        <v>97</v>
      </c>
      <c r="C98" s="38" t="inlineStr">
        <is>
          <t>item</t>
        </is>
      </c>
      <c r="D98" s="38" t="inlineStr">
        <is>
          <t>snapshot_vanessa_legacy_catalog_v1</t>
        </is>
      </c>
      <c r="E98" s="38" t="inlineStr">
        <is>
          <t>snapshot_the_bazaar_patch_18_0_boundary</t>
        </is>
      </c>
      <c r="F98" s="38" t="inlineStr">
        <is>
          <t>true</t>
        </is>
      </c>
      <c r="G98" s="38" t="inlineStr">
        <is>
          <t>false</t>
        </is>
      </c>
      <c r="H98" s="38" t="inlineStr">
        <is>
          <t>current_rule_match,structured_effects,quality_values,cooldown,buy_price,sell_price,ammo</t>
        </is>
      </c>
      <c r="I98" s="38" t="inlineStr">
        <is>
          <t>rifle</t>
        </is>
      </c>
      <c r="J98" s="38" t="inlineStr">
        <is>
          <t>Rifle</t>
        </is>
      </c>
      <c r="K98" s="38" t="inlineStr">
        <is>
          <t>bronze</t>
        </is>
      </c>
      <c r="L98" s="38" t="inlineStr">
        <is>
          <t>medium</t>
        </is>
      </c>
      <c r="M98" s="38" t="inlineStr">
        <is>
          <t>weapon, damage, ammo</t>
        </is>
      </c>
      <c r="N98" s="38" t="n">
        <v>10</v>
      </c>
      <c r="O98" s="38" t="inlineStr">
        <is>
          <t>merchant_colt, merchant_aila, merchant_barkun, merchant_goldie, merchant_jay-jay, merchant_luxe, merchant_mittel, merchant_quixel, merchant_serafina, merchant_silvia</t>
        </is>
      </c>
      <c r="P98" s="38" t="n">
        <v>10</v>
      </c>
      <c r="Q98" s="38" t="inlineStr">
        <is>
          <t>night_base, elem_水, elem_雷, elem_无, role_召唤, role_坦克, role_控制, role_治疗, role_经济, role_机动</t>
        </is>
      </c>
      <c r="R98" s="38" t="inlineStr">
        <is>
          <t>Deadly</t>
        </is>
      </c>
      <c r="S98" s="38" t="inlineStr">
        <is>
          <t>pal_097</t>
        </is>
      </c>
      <c r="T98" s="38" t="inlineStr">
        <is>
          <t>寒岩巨兽</t>
        </is>
      </c>
      <c r="U98" s="38" t="inlineStr">
        <is>
          <t>https://bazaar-builds.net/db/items/rifle.html</t>
        </is>
      </c>
      <c r="V98" s="38" t="inlineStr">
        <is>
          <t>deal 20 / 40 / 60 / 80 damage this gains +20 / 40 / 60 / 80 damage for the fight</t>
        </is>
      </c>
      <c r="W98" s="38" t="inlineStr">
        <is>
          <t>一对一确认来源对象。</t>
        </is>
      </c>
      <c r="X98" s="385" t="inlineStr">
        <is>
          <t>hero_001</t>
        </is>
      </c>
      <c r="Y98" s="386" t="inlineStr">
        <is>
          <t>reference_reserved</t>
        </is>
      </c>
      <c r="Z98" s="386" t="inlineStr">
        <is>
          <t>weapon, damage, ammo</t>
        </is>
      </c>
      <c r="AA98" s="386" t="str"/>
    </row>
    <row r="99">
      <c r="A99" s="38" t="inlineStr">
        <is>
          <t>bz_van_098</t>
        </is>
      </c>
      <c r="B99" s="38" t="n">
        <v>98</v>
      </c>
      <c r="C99" s="38" t="inlineStr">
        <is>
          <t>item</t>
        </is>
      </c>
      <c r="D99" s="38" t="inlineStr">
        <is>
          <t>snapshot_vanessa_legacy_catalog_v1</t>
        </is>
      </c>
      <c r="E99" s="38" t="inlineStr">
        <is>
          <t>snapshot_the_bazaar_patch_18_0_boundary</t>
        </is>
      </c>
      <c r="F99" s="38" t="inlineStr">
        <is>
          <t>true</t>
        </is>
      </c>
      <c r="G99" s="38" t="inlineStr">
        <is>
          <t>false</t>
        </is>
      </c>
      <c r="H99" s="38" t="inlineStr">
        <is>
          <t>current_rule_match,structured_effects,quality_values,cooldown,buy_price,sell_price,ammo</t>
        </is>
      </c>
      <c r="I99" s="38" t="inlineStr">
        <is>
          <t>rowboat</t>
        </is>
      </c>
      <c r="J99" s="38" t="inlineStr">
        <is>
          <t>Rowboat</t>
        </is>
      </c>
      <c r="K99" s="38" t="inlineStr">
        <is>
          <t>gold</t>
        </is>
      </c>
      <c r="L99" s="38" t="inlineStr">
        <is>
          <t>medium</t>
        </is>
      </c>
      <c r="M99" s="38" t="inlineStr">
        <is>
          <t>aquatic, vehicle, charge, cooldown</t>
        </is>
      </c>
      <c r="N99" s="38" t="n">
        <v>10</v>
      </c>
      <c r="O99" s="38" t="inlineStr">
        <is>
          <t>merchant_nautica, merchant_tok-s-clocks, merchant_aero, merchant_barkun, merchant_goldie, merchant_jay-jay, merchant_kina, merchant_luxe, merchant_mittel, merchant_quixel</t>
        </is>
      </c>
      <c r="P99" s="38" t="n">
        <v>10</v>
      </c>
      <c r="Q99" s="38" t="inlineStr">
        <is>
          <t>elem_火, elem_水, elem_雷, elem_冰, elem_无, role_召唤, role_坦克, role_控制, role_输出, special_merchant</t>
        </is>
      </c>
      <c r="R99" s="38" t="inlineStr">
        <is>
          <t>Turbo</t>
        </is>
      </c>
      <c r="S99" s="38" t="inlineStr">
        <is>
          <t>pal_098</t>
        </is>
      </c>
      <c r="T99" s="38" t="inlineStr">
        <is>
          <t>云顶巨驼</t>
        </is>
      </c>
      <c r="U99" s="38" t="inlineStr">
        <is>
          <t>https://bazaar-builds.net/db/items/rowboat.html</t>
        </is>
      </c>
      <c r="V99" s="38" t="inlineStr">
        <is>
          <t>charge adjacent items 1 → 2 seconds if you have 7 or more unique types, this item's cooldown is reduced by 5 seconds.</t>
        </is>
      </c>
      <c r="W99" s="38" t="inlineStr">
        <is>
          <t>一对一确认来源对象。</t>
        </is>
      </c>
      <c r="X99" s="385" t="inlineStr">
        <is>
          <t>hero_001</t>
        </is>
      </c>
      <c r="Y99" s="386" t="inlineStr">
        <is>
          <t>reference_reserved</t>
        </is>
      </c>
      <c r="Z99" s="386" t="inlineStr">
        <is>
          <t>aquatic, vehicle, charge, cooldown</t>
        </is>
      </c>
      <c r="AA99" s="386" t="str"/>
    </row>
    <row r="100">
      <c r="A100" s="38" t="inlineStr">
        <is>
          <t>bz_van_099</t>
        </is>
      </c>
      <c r="B100" s="38" t="n">
        <v>99</v>
      </c>
      <c r="C100" s="38" t="inlineStr">
        <is>
          <t>item</t>
        </is>
      </c>
      <c r="D100" s="38" t="inlineStr">
        <is>
          <t>snapshot_vanessa_legacy_catalog_v1</t>
        </is>
      </c>
      <c r="E100" s="38" t="inlineStr">
        <is>
          <t>snapshot_the_bazaar_patch_18_0_boundary</t>
        </is>
      </c>
      <c r="F100" s="38" t="inlineStr">
        <is>
          <t>true</t>
        </is>
      </c>
      <c r="G100" s="38" t="inlineStr">
        <is>
          <t>false</t>
        </is>
      </c>
      <c r="H100" s="38" t="inlineStr">
        <is>
          <t>current_rule_match,structured_effects,quality_values,cooldown,buy_price,sell_price,ammo</t>
        </is>
      </c>
      <c r="I100" s="38" t="inlineStr">
        <is>
          <t>scimitar-of-the-deep</t>
        </is>
      </c>
      <c r="J100" s="38" t="inlineStr">
        <is>
          <t>Scimitar of the Deep</t>
        </is>
      </c>
      <c r="K100" s="38" t="inlineStr">
        <is>
          <t>silver</t>
        </is>
      </c>
      <c r="L100" s="38" t="inlineStr">
        <is>
          <t>medium</t>
        </is>
      </c>
      <c r="M100" s="38" t="inlineStr">
        <is>
          <t>weapon, relic, aquatic, damage, poison, crit, hastereference</t>
        </is>
      </c>
      <c r="N100" s="38" t="n">
        <v>10</v>
      </c>
      <c r="O100" s="38" t="inlineStr">
        <is>
          <t>merchant_aimbot, merchant_nautica, merchant_tok-s-clocks, merchant_aila, merchant_barkun, merchant_chronos, merchant_goldie, merchant_jay-jay, merchant_knightshade, merchant_luxe</t>
        </is>
      </c>
      <c r="P100" s="38" t="n">
        <v>10</v>
      </c>
      <c r="Q100" s="38" t="inlineStr">
        <is>
          <t>night_base, elem_水, elem_雷, role_坦克, role_控制, role_输出, special_merchant, elite_high, tier_pT1, role_火系压制</t>
        </is>
      </c>
      <c r="R100" s="38" t="inlineStr">
        <is>
          <t>Toxic</t>
        </is>
      </c>
      <c r="S100" s="38" t="inlineStr">
        <is>
          <t>pal_099</t>
        </is>
      </c>
      <c r="T100" s="38" t="inlineStr">
        <is>
          <t>冰峰巨驼</t>
        </is>
      </c>
      <c r="U100" s="38" t="inlineStr">
        <is>
          <t>https://bazaar-builds.net/db/items/scimitar-of-the-deep.html</t>
        </is>
      </c>
      <c r="V100" s="38" t="inlineStr">
        <is>
          <t>deal 20 damage when you crit, poison equal to half this item's damage. when this is hasted, your poison items gain +3 / 6 / 9 poison for the fight.</t>
        </is>
      </c>
      <c r="W100" s="38" t="inlineStr">
        <is>
          <t>一对一确认来源对象。</t>
        </is>
      </c>
      <c r="X100" s="385" t="inlineStr">
        <is>
          <t>hero_001</t>
        </is>
      </c>
      <c r="Y100" s="386" t="inlineStr">
        <is>
          <t>reference_reserved</t>
        </is>
      </c>
      <c r="Z100" s="386" t="inlineStr">
        <is>
          <t>weapon, relic, aquatic, damage, poison, crit</t>
        </is>
      </c>
      <c r="AA100" s="386" t="inlineStr">
        <is>
          <t>haste</t>
        </is>
      </c>
    </row>
    <row r="101">
      <c r="A101" s="38" t="inlineStr">
        <is>
          <t>bz_van_100</t>
        </is>
      </c>
      <c r="B101" s="38" t="n">
        <v>100</v>
      </c>
      <c r="C101" s="38" t="inlineStr">
        <is>
          <t>item</t>
        </is>
      </c>
      <c r="D101" s="38" t="inlineStr">
        <is>
          <t>snapshot_vanessa_legacy_catalog_v1</t>
        </is>
      </c>
      <c r="E101" s="38" t="inlineStr">
        <is>
          <t>snapshot_the_bazaar_patch_18_0_boundary</t>
        </is>
      </c>
      <c r="F101" s="38" t="inlineStr">
        <is>
          <t>true</t>
        </is>
      </c>
      <c r="G101" s="38" t="inlineStr">
        <is>
          <t>false</t>
        </is>
      </c>
      <c r="H101" s="38" t="inlineStr">
        <is>
          <t>current_rule_match,structured_effects,quality_values,cooldown,buy_price,sell_price,ammo</t>
        </is>
      </c>
      <c r="I101" s="38" t="inlineStr">
        <is>
          <t>sea-shell</t>
        </is>
      </c>
      <c r="J101" s="38" t="inlineStr">
        <is>
          <t>Sea Shell</t>
        </is>
      </c>
      <c r="K101" s="38" t="inlineStr">
        <is>
          <t>bronze</t>
        </is>
      </c>
      <c r="L101" s="38" t="inlineStr">
        <is>
          <t>small</t>
        </is>
      </c>
      <c r="M101" s="38" t="inlineStr">
        <is>
          <t>aquatic, shield</t>
        </is>
      </c>
      <c r="N101" s="38" t="n">
        <v>10</v>
      </c>
      <c r="O101" s="38" t="inlineStr">
        <is>
          <t>merchant_kev-s-armory, merchant_nautica, merchant_ande, merchant_goldie, merchant_jay-jay, merchant_kina, merchant_luxe, merchant_midsworth, merchant_proteus, merchant_quixel</t>
        </is>
      </c>
      <c r="P101" s="38" t="n">
        <v>10</v>
      </c>
      <c r="Q101" s="38" t="inlineStr">
        <is>
          <t>elem_火, elem_雷, elem_冰, elem_地, elem_龙, role_召唤, role_坦克, role_控制, role_输出, tier_pT3</t>
        </is>
      </c>
      <c r="R101" s="38" t="inlineStr">
        <is>
          <t>Shielded</t>
        </is>
      </c>
      <c r="S101" s="38" t="inlineStr">
        <is>
          <t>pal_100</t>
        </is>
      </c>
      <c r="T101" s="38" t="inlineStr">
        <is>
          <t>青林巨象</t>
        </is>
      </c>
      <c r="U101" s="38" t="inlineStr">
        <is>
          <t>https://bazaar-builds.net/db/items/sea-shell.html</t>
        </is>
      </c>
      <c r="V101" s="38" t="inlineStr">
        <is>
          <t>shield 10 / 15 / 20 / 25 for each aquatic item you have</t>
        </is>
      </c>
      <c r="W101" s="38" t="inlineStr">
        <is>
          <t>一对一确认来源对象。</t>
        </is>
      </c>
      <c r="X101" s="385" t="inlineStr">
        <is>
          <t>hero_001</t>
        </is>
      </c>
      <c r="Y101" s="386" t="inlineStr">
        <is>
          <t>reference_reserved</t>
        </is>
      </c>
      <c r="Z101" s="386" t="inlineStr">
        <is>
          <t>aquatic, shield</t>
        </is>
      </c>
      <c r="AA101" s="386" t="str"/>
    </row>
    <row r="102">
      <c r="A102" s="38" t="inlineStr">
        <is>
          <t>bz_van_101</t>
        </is>
      </c>
      <c r="B102" s="38" t="n">
        <v>101</v>
      </c>
      <c r="C102" s="38" t="inlineStr">
        <is>
          <t>item</t>
        </is>
      </c>
      <c r="D102" s="38" t="inlineStr">
        <is>
          <t>snapshot_vanessa_legacy_catalog_v1</t>
        </is>
      </c>
      <c r="E102" s="38" t="inlineStr">
        <is>
          <t>snapshot_the_bazaar_patch_18_0_boundary</t>
        </is>
      </c>
      <c r="F102" s="38" t="inlineStr">
        <is>
          <t>true</t>
        </is>
      </c>
      <c r="G102" s="38" t="inlineStr">
        <is>
          <t>false</t>
        </is>
      </c>
      <c r="H102" s="38" t="inlineStr">
        <is>
          <t>current_rule_match,structured_effects,quality_values,cooldown,buy_price,sell_price,ammo</t>
        </is>
      </c>
      <c r="I102" s="38" t="inlineStr">
        <is>
          <t>seadog-s-saloon</t>
        </is>
      </c>
      <c r="J102" s="38" t="inlineStr">
        <is>
          <t>Seadog's Saloon</t>
        </is>
      </c>
      <c r="K102" s="38" t="inlineStr">
        <is>
          <t>silver</t>
        </is>
      </c>
      <c r="L102" s="38" t="inlineStr">
        <is>
          <t>large</t>
        </is>
      </c>
      <c r="M102" s="38" t="inlineStr">
        <is>
          <t>aquatic, property, haste, slow</t>
        </is>
      </c>
      <c r="N102" s="38" t="n">
        <v>10</v>
      </c>
      <c r="O102" s="38" t="inlineStr">
        <is>
          <t>merchant_nautica, merchant_tok-s-clocks, merchant_barkun, merchant_chronos, merchant_cobweb, merchant_goldie, merchant_jay-jay, merchant_kina, merchant_luxe, merchant_midsworth</t>
        </is>
      </c>
      <c r="P102" s="38" t="n">
        <v>10</v>
      </c>
      <c r="Q102" s="38" t="inlineStr">
        <is>
          <t>elem_水, elem_雷, elem_冰, elem_地, role_坦克, role_控制, role_输出, special_merchant, elite_high, role_召唤铺场</t>
        </is>
      </c>
      <c r="R102" s="38" t="inlineStr">
        <is>
          <t>Icy</t>
        </is>
      </c>
      <c r="S102" s="38" t="inlineStr">
        <is>
          <t>pal_101</t>
        </is>
      </c>
      <c r="T102" s="38" t="inlineStr">
        <is>
          <t>白牙雪象</t>
        </is>
      </c>
      <c r="U102" s="38" t="inlineStr">
        <is>
          <t>https://bazaar-builds.net/db/items/seadog-s-saloon.html</t>
        </is>
      </c>
      <c r="V102" s="38" t="inlineStr">
        <is>
          <t>haste an item for 2 seconds slow an item for 2 seconds this has +1 multicast for each friend you have.</t>
        </is>
      </c>
      <c r="W102" s="38" t="inlineStr">
        <is>
          <t>一对一确认来源对象。</t>
        </is>
      </c>
      <c r="X102" s="385" t="inlineStr">
        <is>
          <t>hero_001</t>
        </is>
      </c>
      <c r="Y102" s="386" t="inlineStr">
        <is>
          <t>reference_reserved</t>
        </is>
      </c>
      <c r="Z102" s="386" t="inlineStr">
        <is>
          <t>aquatic, property, haste, slow</t>
        </is>
      </c>
      <c r="AA102" s="386" t="str"/>
    </row>
    <row r="103">
      <c r="A103" s="38" t="inlineStr">
        <is>
          <t>bz_van_102</t>
        </is>
      </c>
      <c r="B103" s="38" t="n">
        <v>102</v>
      </c>
      <c r="C103" s="38" t="inlineStr">
        <is>
          <t>item</t>
        </is>
      </c>
      <c r="D103" s="38" t="inlineStr">
        <is>
          <t>snapshot_vanessa_legacy_catalog_v1</t>
        </is>
      </c>
      <c r="E103" s="38" t="inlineStr">
        <is>
          <t>snapshot_the_bazaar_patch_18_0_boundary</t>
        </is>
      </c>
      <c r="F103" s="38" t="inlineStr">
        <is>
          <t>true</t>
        </is>
      </c>
      <c r="G103" s="38" t="inlineStr">
        <is>
          <t>false</t>
        </is>
      </c>
      <c r="H103" s="38" t="inlineStr">
        <is>
          <t>current_rule_match,structured_effects,quality_values,cooldown,buy_price,sell_price,ammo</t>
        </is>
      </c>
      <c r="I103" s="38" t="inlineStr">
        <is>
          <t>seashadow</t>
        </is>
      </c>
      <c r="J103" s="38" t="inlineStr">
        <is>
          <t>Seashadow</t>
        </is>
      </c>
      <c r="K103" s="38" t="inlineStr">
        <is>
          <t>silver</t>
        </is>
      </c>
      <c r="L103" s="38" t="inlineStr">
        <is>
          <t>medium</t>
        </is>
      </c>
      <c r="M103" s="38" t="inlineStr">
        <is>
          <t>friend, vehicle, cooldown</t>
        </is>
      </c>
      <c r="N103" s="38" t="n">
        <v>10</v>
      </c>
      <c r="O103" s="38" t="inlineStr">
        <is>
          <t>merchant_dryad, merchant_tok-s-clocks, merchant_aero, merchant_barkun, merchant_goldie, merchant_jay-jay, merchant_kina, merchant_luxe, merchant_mittel, merchant_quixel</t>
        </is>
      </c>
      <c r="P103" s="38" t="n">
        <v>10</v>
      </c>
      <c r="Q103" s="38" t="inlineStr">
        <is>
          <t>elem_火, elem_水, elem_雷, elem_冰, elem_无, role_召唤, role_坦克, role_控制, special_merchant, role_机动压制</t>
        </is>
      </c>
      <c r="R103" s="38" t="inlineStr">
        <is>
          <t>Turbo</t>
        </is>
      </c>
      <c r="S103" s="38" t="inlineStr">
        <is>
          <t>pal_102</t>
        </is>
      </c>
      <c r="T103" s="38" t="inlineStr">
        <is>
          <t>白绒雪猿</t>
        </is>
      </c>
      <c r="U103" s="38" t="inlineStr">
        <is>
          <t>https://bazaar-builds.net/db/items/seashadow.html</t>
        </is>
      </c>
      <c r="V103" s="38" t="inlineStr">
        <is>
          <t>reduce the cooldown of your other items by 8% for the fight increase this item's cooldown by 4 / 3 / 2 seconds for the fight</t>
        </is>
      </c>
      <c r="W103" s="38" t="inlineStr">
        <is>
          <t>一对一确认来源对象。</t>
        </is>
      </c>
      <c r="X103" s="385" t="inlineStr">
        <is>
          <t>hero_001</t>
        </is>
      </c>
      <c r="Y103" s="386" t="inlineStr">
        <is>
          <t>reference_reserved</t>
        </is>
      </c>
      <c r="Z103" s="386" t="inlineStr">
        <is>
          <t>friend, vehicle, cooldown</t>
        </is>
      </c>
      <c r="AA103" s="386" t="str"/>
    </row>
    <row r="104">
      <c r="A104" s="38" t="inlineStr">
        <is>
          <t>bz_van_103</t>
        </is>
      </c>
      <c r="B104" s="38" t="n">
        <v>103</v>
      </c>
      <c r="C104" s="38" t="inlineStr">
        <is>
          <t>item</t>
        </is>
      </c>
      <c r="D104" s="38" t="inlineStr">
        <is>
          <t>snapshot_vanessa_legacy_catalog_v1</t>
        </is>
      </c>
      <c r="E104" s="38" t="inlineStr">
        <is>
          <t>snapshot_the_bazaar_patch_18_0_boundary</t>
        </is>
      </c>
      <c r="F104" s="38" t="inlineStr">
        <is>
          <t>true</t>
        </is>
      </c>
      <c r="G104" s="38" t="inlineStr">
        <is>
          <t>false</t>
        </is>
      </c>
      <c r="H104" s="38" t="inlineStr">
        <is>
          <t>current_rule_match,structured_effects,quality_values,cooldown,buy_price,sell_price,ammo</t>
        </is>
      </c>
      <c r="I104" s="38" t="inlineStr">
        <is>
          <t>seaweed</t>
        </is>
      </c>
      <c r="J104" s="38" t="inlineStr">
        <is>
          <t>Seaweed</t>
        </is>
      </c>
      <c r="K104" s="38" t="inlineStr">
        <is>
          <t>bronze</t>
        </is>
      </c>
      <c r="L104" s="38" t="inlineStr">
        <is>
          <t>small</t>
        </is>
      </c>
      <c r="M104" s="38" t="inlineStr">
        <is>
          <t>aquatic, heal</t>
        </is>
      </c>
      <c r="N104" s="38" t="n">
        <v>10</v>
      </c>
      <c r="O104" s="38" t="inlineStr">
        <is>
          <t>merchant_nautica, merchant_ande, merchant_goldie, merchant_herma, merchant_jay-jay, merchant_kina, merchant_luxe, merchant_midsworth, merchant_quixel, merchant_serafina</t>
        </is>
      </c>
      <c r="P104" s="38" t="n">
        <v>10</v>
      </c>
      <c r="Q104" s="38" t="inlineStr">
        <is>
          <t>night_base, elem_火, elem_雷, elem_冰, elem_地, role_召唤, role_坦克, role_控制, role_治疗, role_输出</t>
        </is>
      </c>
      <c r="R104" s="38" t="inlineStr">
        <is>
          <t>Restorative</t>
        </is>
      </c>
      <c r="S104" s="38" t="inlineStr">
        <is>
          <t>pal_103</t>
        </is>
      </c>
      <c r="T104" s="38" t="inlineStr">
        <is>
          <t>绿苔巨猿</t>
        </is>
      </c>
      <c r="U104" s="38" t="inlineStr">
        <is>
          <t>https://bazaar-builds.net/db/items/seaweed.html</t>
        </is>
      </c>
      <c r="V104" s="38" t="inlineStr">
        <is>
          <t>heal 20 when you use an aquatic item, this gains +5 / 10 / 15 / 20 heal for the fight.</t>
        </is>
      </c>
      <c r="W104" s="38" t="inlineStr">
        <is>
          <t>一对一确认来源对象。</t>
        </is>
      </c>
      <c r="X104" s="385" t="inlineStr">
        <is>
          <t>hero_001</t>
        </is>
      </c>
      <c r="Y104" s="386" t="inlineStr">
        <is>
          <t>reference_reserved</t>
        </is>
      </c>
      <c r="Z104" s="386" t="inlineStr">
        <is>
          <t>aquatic, heal</t>
        </is>
      </c>
      <c r="AA104" s="386" t="str"/>
    </row>
    <row r="105">
      <c r="A105" s="38" t="inlineStr">
        <is>
          <t>bz_van_104</t>
        </is>
      </c>
      <c r="B105" s="38" t="n">
        <v>104</v>
      </c>
      <c r="C105" s="38" t="inlineStr">
        <is>
          <t>item</t>
        </is>
      </c>
      <c r="D105" s="38" t="inlineStr">
        <is>
          <t>snapshot_vanessa_legacy_catalog_v1</t>
        </is>
      </c>
      <c r="E105" s="38" t="inlineStr">
        <is>
          <t>snapshot_the_bazaar_patch_18_0_boundary</t>
        </is>
      </c>
      <c r="F105" s="38" t="inlineStr">
        <is>
          <t>true</t>
        </is>
      </c>
      <c r="G105" s="38" t="inlineStr">
        <is>
          <t>false</t>
        </is>
      </c>
      <c r="H105" s="38" t="inlineStr">
        <is>
          <t>current_rule_match,structured_effects,quality_values,cooldown,buy_price,sell_price,ammo</t>
        </is>
      </c>
      <c r="I105" s="38" t="inlineStr">
        <is>
          <t>sextant</t>
        </is>
      </c>
      <c r="J105" s="38" t="inlineStr">
        <is>
          <t>Sextant</t>
        </is>
      </c>
      <c r="K105" s="38" t="inlineStr">
        <is>
          <t>silver</t>
        </is>
      </c>
      <c r="L105" s="38" t="inlineStr">
        <is>
          <t>medium</t>
        </is>
      </c>
      <c r="M105" s="38" t="inlineStr">
        <is>
          <t>aquatic, tool, crit, haste</t>
        </is>
      </c>
      <c r="N105" s="38" t="n">
        <v>10</v>
      </c>
      <c r="O105" s="38" t="inlineStr">
        <is>
          <t>merchant_aimbot, merchant_nautica, merchant_tok-s-clocks, merchant_barkun, merchant_chronos, merchant_goldie, merchant_jay-jay, merchant_kina, merchant_luxe, merchant_mittel</t>
        </is>
      </c>
      <c r="P105" s="38" t="n">
        <v>10</v>
      </c>
      <c r="Q105" s="38" t="inlineStr">
        <is>
          <t>elem_水, elem_雷, elem_冰, elem_无, role_坦克, role_控制, role_输出, special_merchant, elite_high, tier_pT1</t>
        </is>
      </c>
      <c r="R105" s="38" t="inlineStr">
        <is>
          <t>Turbo</t>
        </is>
      </c>
      <c r="S105" s="38" t="inlineStr">
        <is>
          <t>pal_104</t>
        </is>
      </c>
      <c r="T105" s="38" t="inlineStr">
        <is>
          <t>铁甲巨兕</t>
        </is>
      </c>
      <c r="U105" s="38" t="inlineStr">
        <is>
          <t>https://bazaar-builds.net/db/items/sextant.html</t>
        </is>
      </c>
      <c r="V105" s="38" t="inlineStr">
        <is>
          <t>when you crit, haste an item for 1 / 2 / 3 seconds. when you haste, an item gains +10% crit chance for the fight.</t>
        </is>
      </c>
      <c r="W105" s="38" t="inlineStr">
        <is>
          <t>一对一确认来源对象。</t>
        </is>
      </c>
      <c r="X105" s="385" t="inlineStr">
        <is>
          <t>hero_001</t>
        </is>
      </c>
      <c r="Y105" s="386" t="inlineStr">
        <is>
          <t>reference_reserved</t>
        </is>
      </c>
      <c r="Z105" s="386" t="inlineStr">
        <is>
          <t>aquatic, tool, crit, haste</t>
        </is>
      </c>
      <c r="AA105" s="386" t="str"/>
    </row>
    <row r="106">
      <c r="A106" s="38" t="inlineStr">
        <is>
          <t>bz_van_105</t>
        </is>
      </c>
      <c r="B106" s="38" t="n">
        <v>105</v>
      </c>
      <c r="C106" s="38" t="inlineStr">
        <is>
          <t>item</t>
        </is>
      </c>
      <c r="D106" s="38" t="inlineStr">
        <is>
          <t>snapshot_vanessa_legacy_catalog_v1</t>
        </is>
      </c>
      <c r="E106" s="38" t="inlineStr">
        <is>
          <t>snapshot_the_bazaar_patch_18_0_boundary</t>
        </is>
      </c>
      <c r="F106" s="38" t="inlineStr">
        <is>
          <t>true</t>
        </is>
      </c>
      <c r="G106" s="38" t="inlineStr">
        <is>
          <t>false</t>
        </is>
      </c>
      <c r="H106" s="38" t="inlineStr">
        <is>
          <t>current_rule_match,structured_effects,quality_values,cooldown,buy_price,sell_price,ammo</t>
        </is>
      </c>
      <c r="I106" s="38" t="inlineStr">
        <is>
          <t>sharkclaws</t>
        </is>
      </c>
      <c r="J106" s="38" t="inlineStr">
        <is>
          <t>Sharkclaws</t>
        </is>
      </c>
      <c r="K106" s="38" t="inlineStr">
        <is>
          <t>bronze</t>
        </is>
      </c>
      <c r="L106" s="38" t="inlineStr">
        <is>
          <t>medium</t>
        </is>
      </c>
      <c r="M106" s="38" t="inlineStr">
        <is>
          <t>aquatic, weapon, damage</t>
        </is>
      </c>
      <c r="N106" s="38" t="n">
        <v>10</v>
      </c>
      <c r="O106" s="38" t="inlineStr">
        <is>
          <t>merchant_nautica, merchant_aila, merchant_barkun, merchant_goldie, merchant_jay-jay, merchant_luxe, merchant_mittel, merchant_quixel, merchant_serafina, merchant_silvia</t>
        </is>
      </c>
      <c r="P106" s="38" t="n">
        <v>10</v>
      </c>
      <c r="Q106" s="38" t="inlineStr">
        <is>
          <t>night_base, elem_水, elem_雷, elem_无, role_召唤, role_坦克, role_控制, role_治疗, role_输出, role_经济</t>
        </is>
      </c>
      <c r="R106" s="38" t="inlineStr">
        <is>
          <t>Deadly</t>
        </is>
      </c>
      <c r="S106" s="38" t="inlineStr">
        <is>
          <t>pal_105</t>
        </is>
      </c>
      <c r="T106" s="38" t="inlineStr">
        <is>
          <t>云海白鹿</t>
        </is>
      </c>
      <c r="U106" s="38" t="inlineStr">
        <is>
          <t>https://bazaar-builds.net/db/items/sharkclaws.html</t>
        </is>
      </c>
      <c r="V106" s="38" t="inlineStr">
        <is>
          <t>deal 10 / 20 / 30 / 40 damage your weapons gain +10 / 20 / 30 / 40 damage for the fight</t>
        </is>
      </c>
      <c r="W106" s="38" t="inlineStr">
        <is>
          <t>一对一确认来源对象。</t>
        </is>
      </c>
      <c r="X106" s="385" t="inlineStr">
        <is>
          <t>hero_001</t>
        </is>
      </c>
      <c r="Y106" s="386" t="inlineStr">
        <is>
          <t>reference_reserved</t>
        </is>
      </c>
      <c r="Z106" s="386" t="inlineStr">
        <is>
          <t>aquatic, weapon, damage</t>
        </is>
      </c>
      <c r="AA106" s="386" t="str"/>
    </row>
    <row r="107">
      <c r="A107" s="38" t="inlineStr">
        <is>
          <t>bz_van_106</t>
        </is>
      </c>
      <c r="B107" s="38" t="n">
        <v>106</v>
      </c>
      <c r="C107" s="38" t="inlineStr">
        <is>
          <t>item</t>
        </is>
      </c>
      <c r="D107" s="38" t="inlineStr">
        <is>
          <t>snapshot_vanessa_legacy_catalog_v1</t>
        </is>
      </c>
      <c r="E107" s="38" t="inlineStr">
        <is>
          <t>snapshot_the_bazaar_patch_18_0_boundary</t>
        </is>
      </c>
      <c r="F107" s="38" t="inlineStr">
        <is>
          <t>true</t>
        </is>
      </c>
      <c r="G107" s="38" t="inlineStr">
        <is>
          <t>false</t>
        </is>
      </c>
      <c r="H107" s="38" t="inlineStr">
        <is>
          <t>current_rule_match,structured_effects,quality_values,cooldown,buy_price,sell_price,ammo</t>
        </is>
      </c>
      <c r="I107" s="38" t="inlineStr">
        <is>
          <t>sharkray</t>
        </is>
      </c>
      <c r="J107" s="38" t="inlineStr">
        <is>
          <t>Sharkray</t>
        </is>
      </c>
      <c r="K107" s="38" t="inlineStr">
        <is>
          <t>silver</t>
        </is>
      </c>
      <c r="L107" s="38" t="inlineStr">
        <is>
          <t>medium</t>
        </is>
      </c>
      <c r="M107" s="38" t="inlineStr">
        <is>
          <t>aquatic, weapon, friend, ray, damage, hastereference, poisonreference</t>
        </is>
      </c>
      <c r="N107" s="38" t="n">
        <v>10</v>
      </c>
      <c r="O107" s="38" t="inlineStr">
        <is>
          <t>merchant_dryad, merchant_nautica, merchant_tok-s-clocks, merchant_aila, merchant_barkun, merchant_chronos, merchant_goldie, merchant_jay-jay, merchant_knightshade, merchant_luxe</t>
        </is>
      </c>
      <c r="P107" s="38" t="n">
        <v>10</v>
      </c>
      <c r="Q107" s="38" t="inlineStr">
        <is>
          <t>night_base, elem_水, elem_雷, role_坦克, role_控制, role_输出, special_merchant, elite_high, role_机动压制, role_火系压制</t>
        </is>
      </c>
      <c r="R107" s="38" t="inlineStr">
        <is>
          <t>Toxic</t>
        </is>
      </c>
      <c r="S107" s="38" t="inlineStr">
        <is>
          <t>pal_106</t>
        </is>
      </c>
      <c r="T107" s="38" t="inlineStr">
        <is>
          <t>夜幕巨蝠</t>
        </is>
      </c>
      <c r="U107" s="38" t="inlineStr">
        <is>
          <t>https://bazaar-builds.net/db/items/sharkray.html</t>
        </is>
      </c>
      <c r="V107" s="38" t="inlineStr">
        <is>
          <t>deal 20 damage when you haste a friend, your friends gain +5 / 10 / 15 damage and 1 / 2 / 3 poison for the fight.</t>
        </is>
      </c>
      <c r="W107" s="38" t="inlineStr">
        <is>
          <t>一对一确认来源对象。</t>
        </is>
      </c>
      <c r="X107" s="385" t="inlineStr">
        <is>
          <t>hero_001</t>
        </is>
      </c>
      <c r="Y107" s="386" t="inlineStr">
        <is>
          <t>reference_reserved</t>
        </is>
      </c>
      <c r="Z107" s="386" t="inlineStr">
        <is>
          <t>aquatic, weapon, friend, ray, damage</t>
        </is>
      </c>
      <c r="AA107" s="386" t="inlineStr">
        <is>
          <t>haste, poison</t>
        </is>
      </c>
    </row>
    <row r="108">
      <c r="A108" s="38" t="inlineStr">
        <is>
          <t>bz_van_107</t>
        </is>
      </c>
      <c r="B108" s="38" t="n">
        <v>107</v>
      </c>
      <c r="C108" s="38" t="inlineStr">
        <is>
          <t>item</t>
        </is>
      </c>
      <c r="D108" s="38" t="inlineStr">
        <is>
          <t>snapshot_vanessa_legacy_catalog_v1</t>
        </is>
      </c>
      <c r="E108" s="38" t="inlineStr">
        <is>
          <t>snapshot_the_bazaar_patch_18_0_boundary</t>
        </is>
      </c>
      <c r="F108" s="38" t="inlineStr">
        <is>
          <t>true</t>
        </is>
      </c>
      <c r="G108" s="38" t="inlineStr">
        <is>
          <t>false</t>
        </is>
      </c>
      <c r="H108" s="38" t="inlineStr">
        <is>
          <t>current_rule_match,structured_effects,quality_values,cooldown,buy_price,sell_price,ammo</t>
        </is>
      </c>
      <c r="I108" s="38" t="inlineStr">
        <is>
          <t>shipwreck</t>
        </is>
      </c>
      <c r="J108" s="38" t="inlineStr">
        <is>
          <t>Shipwreck</t>
        </is>
      </c>
      <c r="K108" s="38" t="inlineStr">
        <is>
          <t>diamond</t>
        </is>
      </c>
      <c r="L108" s="38" t="inlineStr">
        <is>
          <t>large</t>
        </is>
      </c>
      <c r="M108" s="38" t="inlineStr">
        <is>
          <t>aquatic, vehicle, property, relic</t>
        </is>
      </c>
      <c r="N108" s="38" t="n">
        <v>10</v>
      </c>
      <c r="O108" s="38" t="inlineStr">
        <is>
          <t>merchant_nautica, merchant_aero, merchant_barkun, merchant_jay-jay, merchant_kina, merchant_luxe, merchant_midsworth, merchant_mr-morland, merchant_pol, merchant_serafina</t>
        </is>
      </c>
      <c r="P108" s="38" t="n">
        <v>10</v>
      </c>
      <c r="Q108" s="38" t="inlineStr">
        <is>
          <t>elem_火, elem_水, elem_雷, elem_冰, elem_地, elem_暗, role_控制, role_治疗, role_输出, role_风系铺场</t>
        </is>
      </c>
      <c r="R108" s="38" t="inlineStr">
        <is>
          <t>Radiant</t>
        </is>
      </c>
      <c r="S108" s="38" t="inlineStr">
        <is>
          <t>pal_107</t>
        </is>
      </c>
      <c r="T108" s="38" t="inlineStr">
        <is>
          <t>天羽云螭</t>
        </is>
      </c>
      <c r="U108" s="38" t="inlineStr">
        <is>
          <t>https://bazaar-builds.net/db/items/shipwreck.html</t>
        </is>
      </c>
      <c r="V108" s="38" t="inlineStr">
        <is>
          <t>your aquatic items have +1 multicast.</t>
        </is>
      </c>
      <c r="W108" s="38" t="inlineStr">
        <is>
          <t>一对一确认来源对象。</t>
        </is>
      </c>
      <c r="X108" s="385" t="inlineStr">
        <is>
          <t>hero_001</t>
        </is>
      </c>
      <c r="Y108" s="386" t="inlineStr">
        <is>
          <t>reference_reserved</t>
        </is>
      </c>
      <c r="Z108" s="386" t="inlineStr">
        <is>
          <t>aquatic, vehicle, property, relic</t>
        </is>
      </c>
      <c r="AA108" s="386" t="str"/>
    </row>
    <row r="109">
      <c r="A109" s="38" t="inlineStr">
        <is>
          <t>bz_van_108</t>
        </is>
      </c>
      <c r="B109" s="38" t="n">
        <v>108</v>
      </c>
      <c r="C109" s="38" t="inlineStr">
        <is>
          <t>item</t>
        </is>
      </c>
      <c r="D109" s="38" t="inlineStr">
        <is>
          <t>snapshot_vanessa_legacy_catalog_v1</t>
        </is>
      </c>
      <c r="E109" s="38" t="inlineStr">
        <is>
          <t>snapshot_the_bazaar_patch_18_0_boundary</t>
        </is>
      </c>
      <c r="F109" s="38" t="inlineStr">
        <is>
          <t>true</t>
        </is>
      </c>
      <c r="G109" s="38" t="inlineStr">
        <is>
          <t>false</t>
        </is>
      </c>
      <c r="H109" s="38" t="inlineStr">
        <is>
          <t>current_rule_match,structured_effects,quality_values,cooldown,buy_price,sell_price,ammo</t>
        </is>
      </c>
      <c r="I109" s="38" t="inlineStr">
        <is>
          <t>shoe-blade</t>
        </is>
      </c>
      <c r="J109" s="38" t="inlineStr">
        <is>
          <t>Shoe Blade</t>
        </is>
      </c>
      <c r="K109" s="38" t="inlineStr">
        <is>
          <t>bronze</t>
        </is>
      </c>
      <c r="L109" s="38" t="inlineStr">
        <is>
          <t>small</t>
        </is>
      </c>
      <c r="M109" s="38" t="inlineStr">
        <is>
          <t>weapon, apparel, damage, crit</t>
        </is>
      </c>
      <c r="N109" s="38" t="n">
        <v>10</v>
      </c>
      <c r="O109" s="38" t="inlineStr">
        <is>
          <t>merchant_aimbot, merchant_aila, merchant_ande, merchant_gaseo, merchant_goldie, merchant_jay-jay, merchant_luxe, merchant_midsworth, merchant_quixel, merchant_serafina</t>
        </is>
      </c>
      <c r="P109" s="38" t="n">
        <v>10</v>
      </c>
      <c r="Q109" s="38" t="inlineStr">
        <is>
          <t>night_base, elem_火, elem_雷, elem_地, role_召唤, role_坦克, role_控制, role_治疗, tier_pT1, role_重甲抗压</t>
        </is>
      </c>
      <c r="R109" s="38" t="inlineStr">
        <is>
          <t>Deadly</t>
        </is>
      </c>
      <c r="S109" s="38" t="inlineStr">
        <is>
          <t>pal_108</t>
        </is>
      </c>
      <c r="T109" s="38" t="inlineStr">
        <is>
          <t>焰羽赤雕</t>
        </is>
      </c>
      <c r="U109" s="38" t="inlineStr">
        <is>
          <t>https://bazaar-builds.net/db/items/shoe-blade.html</t>
        </is>
      </c>
      <c r="V109" s="38" t="inlineStr">
        <is>
          <t>deal 25 / 50 / 100 / 200 damage this has +100% crit chance on its first use each fight.</t>
        </is>
      </c>
      <c r="W109" s="38" t="inlineStr">
        <is>
          <t>一对一确认来源对象。</t>
        </is>
      </c>
      <c r="X109" s="385" t="inlineStr">
        <is>
          <t>hero_001</t>
        </is>
      </c>
      <c r="Y109" s="386" t="inlineStr">
        <is>
          <t>reference_reserved</t>
        </is>
      </c>
      <c r="Z109" s="386" t="inlineStr">
        <is>
          <t>weapon, apparel, damage, crit</t>
        </is>
      </c>
      <c r="AA109" s="386" t="str"/>
    </row>
    <row r="110">
      <c r="A110" s="38" t="inlineStr">
        <is>
          <t>bz_van_109</t>
        </is>
      </c>
      <c r="B110" s="38" t="n">
        <v>109</v>
      </c>
      <c r="C110" s="38" t="inlineStr">
        <is>
          <t>item</t>
        </is>
      </c>
      <c r="D110" s="38" t="inlineStr">
        <is>
          <t>snapshot_vanessa_legacy_catalog_v1</t>
        </is>
      </c>
      <c r="E110" s="38" t="inlineStr">
        <is>
          <t>snapshot_the_bazaar_patch_18_0_boundary</t>
        </is>
      </c>
      <c r="F110" s="38" t="inlineStr">
        <is>
          <t>true</t>
        </is>
      </c>
      <c r="G110" s="38" t="inlineStr">
        <is>
          <t>false</t>
        </is>
      </c>
      <c r="H110" s="38" t="inlineStr">
        <is>
          <t>current_rule_match,structured_effects,quality_values,cooldown,buy_price,sell_price,ammo</t>
        </is>
      </c>
      <c r="I110" s="38" t="inlineStr">
        <is>
          <t>shot-glasses</t>
        </is>
      </c>
      <c r="J110" s="38" t="inlineStr">
        <is>
          <t>Shot Glasses</t>
        </is>
      </c>
      <c r="K110" s="38" t="inlineStr">
        <is>
          <t>silver</t>
        </is>
      </c>
      <c r="L110" s="38" t="inlineStr">
        <is>
          <t>small</t>
        </is>
      </c>
      <c r="M110" s="38" t="inlineStr">
        <is>
          <t>ammo, haste, slow</t>
        </is>
      </c>
      <c r="N110" s="38" t="n">
        <v>10</v>
      </c>
      <c r="O110" s="38" t="inlineStr">
        <is>
          <t>merchant_colt, merchant_tok-s-clocks, merchant_ande, merchant_chronos, merchant_cobweb, merchant_goldie, merchant_jay-jay, merchant_kina, merchant_luxe, merchant_midsworth</t>
        </is>
      </c>
      <c r="P110" s="38" t="n">
        <v>10</v>
      </c>
      <c r="Q110" s="38" t="inlineStr">
        <is>
          <t>elem_火, elem_雷, elem_冰, elem_地, role_坦克, role_控制, role_机动, special_merchant, elite_high, role_召唤铺场</t>
        </is>
      </c>
      <c r="R110" s="38" t="inlineStr">
        <is>
          <t>Icy</t>
        </is>
      </c>
      <c r="S110" s="38" t="inlineStr">
        <is>
          <t>pal_109</t>
        </is>
      </c>
      <c r="T110" s="38" t="inlineStr">
        <is>
          <t>冥羽黑乌</t>
        </is>
      </c>
      <c r="U110" s="38" t="inlineStr">
        <is>
          <t>https://bazaar-builds.net/db/items/shot-glasses.html</t>
        </is>
      </c>
      <c r="V110" s="38" t="inlineStr">
        <is>
          <t>haste 4 of your items for 1 second slow 4 of your items for 1 second</t>
        </is>
      </c>
      <c r="W110" s="38" t="inlineStr">
        <is>
          <t>一对一确认来源对象。</t>
        </is>
      </c>
      <c r="X110" s="385" t="inlineStr">
        <is>
          <t>hero_001</t>
        </is>
      </c>
      <c r="Y110" s="386" t="inlineStr">
        <is>
          <t>reference_reserved</t>
        </is>
      </c>
      <c r="Z110" s="386" t="inlineStr">
        <is>
          <t>ammo, haste, slow</t>
        </is>
      </c>
      <c r="AA110" s="386" t="str"/>
    </row>
    <row r="111">
      <c r="A111" s="38" t="inlineStr">
        <is>
          <t>bz_van_110</t>
        </is>
      </c>
      <c r="B111" s="38" t="n">
        <v>110</v>
      </c>
      <c r="C111" s="38" t="inlineStr">
        <is>
          <t>item</t>
        </is>
      </c>
      <c r="D111" s="38" t="inlineStr">
        <is>
          <t>snapshot_vanessa_legacy_catalog_v1</t>
        </is>
      </c>
      <c r="E111" s="38" t="inlineStr">
        <is>
          <t>snapshot_the_bazaar_patch_18_0_boundary</t>
        </is>
      </c>
      <c r="F111" s="38" t="inlineStr">
        <is>
          <t>true</t>
        </is>
      </c>
      <c r="G111" s="38" t="inlineStr">
        <is>
          <t>false</t>
        </is>
      </c>
      <c r="H111" s="38" t="inlineStr">
        <is>
          <t>current_rule_match,structured_effects,quality_values,cooldown,buy_price,sell_price,ammo</t>
        </is>
      </c>
      <c r="I111" s="38" t="inlineStr">
        <is>
          <t>shovel</t>
        </is>
      </c>
      <c r="J111" s="38" t="inlineStr">
        <is>
          <t>Shovel</t>
        </is>
      </c>
      <c r="K111" s="38" t="inlineStr">
        <is>
          <t>bronze</t>
        </is>
      </c>
      <c r="L111" s="38" t="inlineStr">
        <is>
          <t>medium</t>
        </is>
      </c>
      <c r="M111" s="38" t="inlineStr">
        <is>
          <t>weapon, tool, damage</t>
        </is>
      </c>
      <c r="N111" s="38" t="n">
        <v>10</v>
      </c>
      <c r="O111" s="38" t="inlineStr">
        <is>
          <t>merchant_aila, merchant_barkun, merchant_goldie, merchant_jay-jay, merchant_luxe, merchant_mittel, merchant_orion, merchant_quixel, merchant_serafina, merchant_silvia</t>
        </is>
      </c>
      <c r="P111" s="38" t="n">
        <v>10</v>
      </c>
      <c r="Q111" s="38" t="inlineStr">
        <is>
          <t>night_base, elem_水, elem_雷, elem_无, role_召唤, role_坦克, role_控制, role_治疗, role_经济, role_远点压制</t>
        </is>
      </c>
      <c r="R111" s="38" t="inlineStr">
        <is>
          <t>Deadly</t>
        </is>
      </c>
      <c r="S111" s="38" t="inlineStr">
        <is>
          <t>pal_110</t>
        </is>
      </c>
      <c r="T111" s="38" t="inlineStr">
        <is>
          <t>渊鳞黑蛟</t>
        </is>
      </c>
      <c r="U111" s="38" t="inlineStr">
        <is>
          <t>https://bazaar-builds.net/db/items/shovel.html</t>
        </is>
      </c>
      <c r="V111" s="38" t="inlineStr">
        <is>
          <t>deal 25 / 50 / 100 / 200 damage at the start of each day, get a small item from any hero.</t>
        </is>
      </c>
      <c r="W111" s="38" t="inlineStr">
        <is>
          <t>一对一确认来源对象。</t>
        </is>
      </c>
      <c r="X111" s="385" t="inlineStr">
        <is>
          <t>hero_001</t>
        </is>
      </c>
      <c r="Y111" s="386" t="inlineStr">
        <is>
          <t>reference_reserved</t>
        </is>
      </c>
      <c r="Z111" s="386" t="inlineStr">
        <is>
          <t>weapon, tool, damage</t>
        </is>
      </c>
      <c r="AA111" s="386" t="str"/>
    </row>
    <row r="112">
      <c r="A112" s="38" t="inlineStr">
        <is>
          <t>bz_van_111</t>
        </is>
      </c>
      <c r="B112" s="38" t="n">
        <v>111</v>
      </c>
      <c r="C112" s="38" t="inlineStr">
        <is>
          <t>item</t>
        </is>
      </c>
      <c r="D112" s="38" t="inlineStr">
        <is>
          <t>snapshot_vanessa_legacy_catalog_v1</t>
        </is>
      </c>
      <c r="E112" s="38" t="inlineStr">
        <is>
          <t>snapshot_the_bazaar_patch_18_0_boundary</t>
        </is>
      </c>
      <c r="F112" s="38" t="inlineStr">
        <is>
          <t>true</t>
        </is>
      </c>
      <c r="G112" s="38" t="inlineStr">
        <is>
          <t>false</t>
        </is>
      </c>
      <c r="H112" s="38" t="inlineStr">
        <is>
          <t>current_rule_match,structured_effects,quality_values,cooldown,buy_price,sell_price,ammo</t>
        </is>
      </c>
      <c r="I112" s="38" t="inlineStr">
        <is>
          <t>shuriken</t>
        </is>
      </c>
      <c r="J112" s="38" t="inlineStr">
        <is>
          <t>Shuriken</t>
        </is>
      </c>
      <c r="K112" s="38" t="inlineStr">
        <is>
          <t>bronze</t>
        </is>
      </c>
      <c r="L112" s="38" t="inlineStr">
        <is>
          <t>small</t>
        </is>
      </c>
      <c r="M112" s="38" t="inlineStr">
        <is>
          <t>weapon, damage, ammo</t>
        </is>
      </c>
      <c r="N112" s="38" t="n">
        <v>10</v>
      </c>
      <c r="O112" s="38" t="inlineStr">
        <is>
          <t>merchant_colt, merchant_aila, merchant_ande, merchant_goldie, merchant_jay-jay, merchant_luxe, merchant_midsworth, merchant_quixel, merchant_serafina, merchant_silvia</t>
        </is>
      </c>
      <c r="P112" s="38" t="n">
        <v>10</v>
      </c>
      <c r="Q112" s="38" t="inlineStr">
        <is>
          <t>night_base, elem_火, elem_雷, elem_地, role_召唤, role_坦克, role_控制, role_治疗, role_经济, role_机动</t>
        </is>
      </c>
      <c r="R112" s="38" t="inlineStr">
        <is>
          <t>Deadly</t>
        </is>
      </c>
      <c r="S112" s="38" t="inlineStr">
        <is>
          <t>pal_111</t>
        </is>
      </c>
      <c r="T112" s="38" t="inlineStr">
        <is>
          <t>毒甲蝎将</t>
        </is>
      </c>
      <c r="U112" s="38" t="inlineStr">
        <is>
          <t>https://bazaar-builds.net/db/items/shuriken.html</t>
        </is>
      </c>
      <c r="V112" s="38" t="inlineStr">
        <is>
          <t>deal 5 / 10 / 20 / 40 damage this has multicast equal to its current ammo. when you use this, spend all its ammo.</t>
        </is>
      </c>
      <c r="W112" s="38" t="inlineStr">
        <is>
          <t>一对一确认来源对象。</t>
        </is>
      </c>
      <c r="X112" s="385" t="inlineStr">
        <is>
          <t>hero_001</t>
        </is>
      </c>
      <c r="Y112" s="386" t="inlineStr">
        <is>
          <t>reference_reserved</t>
        </is>
      </c>
      <c r="Z112" s="386" t="inlineStr">
        <is>
          <t>weapon, damage, ammo</t>
        </is>
      </c>
      <c r="AA112" s="386" t="str"/>
    </row>
    <row r="113">
      <c r="A113" s="38" t="inlineStr">
        <is>
          <t>bz_van_112</t>
        </is>
      </c>
      <c r="B113" s="38" t="n">
        <v>112</v>
      </c>
      <c r="C113" s="38" t="inlineStr">
        <is>
          <t>item</t>
        </is>
      </c>
      <c r="D113" s="38" t="inlineStr">
        <is>
          <t>snapshot_vanessa_legacy_catalog_v1</t>
        </is>
      </c>
      <c r="E113" s="38" t="inlineStr">
        <is>
          <t>snapshot_the_bazaar_patch_18_0_boundary</t>
        </is>
      </c>
      <c r="F113" s="38" t="inlineStr">
        <is>
          <t>true</t>
        </is>
      </c>
      <c r="G113" s="38" t="inlineStr">
        <is>
          <t>false</t>
        </is>
      </c>
      <c r="H113" s="38" t="inlineStr">
        <is>
          <t>current_rule_match,structured_effects,quality_values,cooldown,buy_price,sell_price,ammo</t>
        </is>
      </c>
      <c r="I113" s="38" t="inlineStr">
        <is>
          <t>slumbering-primordial</t>
        </is>
      </c>
      <c r="J113" s="38" t="inlineStr">
        <is>
          <t>Slumbering Primordial</t>
        </is>
      </c>
      <c r="K113" s="38" t="inlineStr">
        <is>
          <t>gold</t>
        </is>
      </c>
      <c r="L113" s="38" t="inlineStr">
        <is>
          <t>large</t>
        </is>
      </c>
      <c r="M113" s="38" t="inlineStr">
        <is>
          <t>friend, aquatic, weapon, relic, poisonreference, freezereference, burnreference, damage</t>
        </is>
      </c>
      <c r="N113" s="38" t="n">
        <v>10</v>
      </c>
      <c r="O113" s="38" t="inlineStr">
        <is>
          <t>merchant_dryad, merchant_nautica, merchant_aila, merchant_barkun, merchant_freiya, merchant_goldie, merchant_hef, merchant_jay-jay, merchant_knightshade, merchant_luxe</t>
        </is>
      </c>
      <c r="P113" s="38" t="n">
        <v>10</v>
      </c>
      <c r="Q113" s="38" t="inlineStr">
        <is>
          <t>night_base, elem_水, elem_雷, role_坦克, role_控制, role_输出, tier_pT2, role_机动压制, role_风系牵制, role_火系压制</t>
        </is>
      </c>
      <c r="R113" s="38" t="inlineStr">
        <is>
          <t>Fiery</t>
        </is>
      </c>
      <c r="S113" s="38" t="inlineStr">
        <is>
          <t>pal_112</t>
        </is>
      </c>
      <c r="T113" s="38" t="inlineStr">
        <is>
          <t>石猿战将</t>
        </is>
      </c>
      <c r="U113" s="38" t="inlineStr">
        <is>
          <t>https://bazaar-builds.net/db/items/slumbering-primordial.html</t>
        </is>
      </c>
      <c r="V113" s="38" t="inlineStr">
        <is>
          <t>deal 20 → 25 damage when you poison, freeze, or burn, charge this 1 → 2 seconds and this gains +20 → 25 damage for the fight.</t>
        </is>
      </c>
      <c r="W113" s="38" t="inlineStr">
        <is>
          <t>一对一确认来源对象。</t>
        </is>
      </c>
      <c r="X113" s="385" t="inlineStr">
        <is>
          <t>hero_001</t>
        </is>
      </c>
      <c r="Y113" s="386" t="inlineStr">
        <is>
          <t>reference_reserved</t>
        </is>
      </c>
      <c r="Z113" s="386" t="inlineStr">
        <is>
          <t>friend, aquatic, weapon, relic, damage</t>
        </is>
      </c>
      <c r="AA113" s="386" t="inlineStr">
        <is>
          <t>poison, freeze, burn</t>
        </is>
      </c>
    </row>
    <row r="114">
      <c r="A114" s="38" t="inlineStr">
        <is>
          <t>bz_van_113</t>
        </is>
      </c>
      <c r="B114" s="38" t="n">
        <v>113</v>
      </c>
      <c r="C114" s="38" t="inlineStr">
        <is>
          <t>item</t>
        </is>
      </c>
      <c r="D114" s="38" t="inlineStr">
        <is>
          <t>snapshot_vanessa_legacy_catalog_v1</t>
        </is>
      </c>
      <c r="E114" s="38" t="inlineStr">
        <is>
          <t>snapshot_the_bazaar_patch_18_0_boundary</t>
        </is>
      </c>
      <c r="F114" s="38" t="inlineStr">
        <is>
          <t>true</t>
        </is>
      </c>
      <c r="G114" s="38" t="inlineStr">
        <is>
          <t>false</t>
        </is>
      </c>
      <c r="H114" s="38" t="inlineStr">
        <is>
          <t>current_rule_match,structured_effects,quality_values,cooldown,buy_price,sell_price,ammo</t>
        </is>
      </c>
      <c r="I114" s="38" t="inlineStr">
        <is>
          <t>sniper-rifle</t>
        </is>
      </c>
      <c r="J114" s="38" t="inlineStr">
        <is>
          <t>Sniper Rifle</t>
        </is>
      </c>
      <c r="K114" s="38" t="inlineStr">
        <is>
          <t>gold</t>
        </is>
      </c>
      <c r="L114" s="38" t="inlineStr">
        <is>
          <t>medium</t>
        </is>
      </c>
      <c r="M114" s="38" t="inlineStr">
        <is>
          <t>weapon, damage</t>
        </is>
      </c>
      <c r="N114" s="38" t="n">
        <v>10</v>
      </c>
      <c r="O114" s="38" t="inlineStr">
        <is>
          <t>merchant_aila, merchant_barkun, merchant_goldie, merchant_jay-jay, merchant_luxe, merchant_mittel, merchant_quixel, merchant_serafina, merchant_valpak, merchant_vanessa</t>
        </is>
      </c>
      <c r="P114" s="38" t="n">
        <v>10</v>
      </c>
      <c r="Q114" s="38" t="inlineStr">
        <is>
          <t>night_base, elem_水, elem_雷, elem_暗, elem_无, role_召唤, role_坦克, role_控制, role_治疗, elite_high</t>
        </is>
      </c>
      <c r="R114" s="38" t="inlineStr">
        <is>
          <t>Deadly</t>
        </is>
      </c>
      <c r="S114" s="38" t="inlineStr">
        <is>
          <t>pal_113</t>
        </is>
      </c>
      <c r="T114" s="38" t="inlineStr">
        <is>
          <t>覆海蛟王</t>
        </is>
      </c>
      <c r="U114" s="38" t="inlineStr">
        <is>
          <t>https://bazaar-builds.net/db/items/sniper-rifle.html</t>
        </is>
      </c>
      <c r="V114" s="38" t="inlineStr">
        <is>
          <t>deal 100 damage this deals 5 → 10 times more damage if it is your only weapon.</t>
        </is>
      </c>
      <c r="W114" s="38" t="inlineStr">
        <is>
          <t>一对一确认来源对象。</t>
        </is>
      </c>
      <c r="X114" s="385" t="inlineStr">
        <is>
          <t>hero_001</t>
        </is>
      </c>
      <c r="Y114" s="386" t="inlineStr">
        <is>
          <t>reference_reserved</t>
        </is>
      </c>
      <c r="Z114" s="386" t="inlineStr">
        <is>
          <t>weapon, damage</t>
        </is>
      </c>
      <c r="AA114" s="386" t="str"/>
    </row>
    <row r="115">
      <c r="A115" s="38" t="inlineStr">
        <is>
          <t>bz_van_114</t>
        </is>
      </c>
      <c r="B115" s="38" t="n">
        <v>114</v>
      </c>
      <c r="C115" s="38" t="inlineStr">
        <is>
          <t>item</t>
        </is>
      </c>
      <c r="D115" s="38" t="inlineStr">
        <is>
          <t>snapshot_vanessa_legacy_catalog_v1</t>
        </is>
      </c>
      <c r="E115" s="38" t="inlineStr">
        <is>
          <t>snapshot_the_bazaar_patch_18_0_boundary</t>
        </is>
      </c>
      <c r="F115" s="38" t="inlineStr">
        <is>
          <t>true</t>
        </is>
      </c>
      <c r="G115" s="38" t="inlineStr">
        <is>
          <t>false</t>
        </is>
      </c>
      <c r="H115" s="38" t="inlineStr">
        <is>
          <t>current_rule_match,structured_effects,quality_values,cooldown,buy_price,sell_price,ammo</t>
        </is>
      </c>
      <c r="I115" s="38" t="inlineStr">
        <is>
          <t>spyglass</t>
        </is>
      </c>
      <c r="J115" s="38" t="inlineStr">
        <is>
          <t>Spyglass</t>
        </is>
      </c>
      <c r="K115" s="38" t="inlineStr">
        <is>
          <t>gold</t>
        </is>
      </c>
      <c r="L115" s="38" t="inlineStr">
        <is>
          <t>medium</t>
        </is>
      </c>
      <c r="M115" s="38" t="inlineStr">
        <is>
          <t>tool, crit, cooldown, slowreference</t>
        </is>
      </c>
      <c r="N115" s="38" t="n">
        <v>10</v>
      </c>
      <c r="O115" s="38" t="inlineStr">
        <is>
          <t>merchant_aimbot, merchant_tok-s-clocks, merchant_barkun, merchant_cobweb, merchant_goldie, merchant_jay-jay, merchant_kina, merchant_luxe, merchant_mittel, merchant_orion</t>
        </is>
      </c>
      <c r="P115" s="38" t="n">
        <v>10</v>
      </c>
      <c r="Q115" s="38" t="inlineStr">
        <is>
          <t>elem_水, elem_雷, elem_冰, elem_无, role_坦克, role_控制, special_merchant, tier_pT1, role_召唤铺场, role_远点压制</t>
        </is>
      </c>
      <c r="R115" s="38" t="inlineStr">
        <is>
          <t>Icy</t>
        </is>
      </c>
      <c r="S115" s="38" t="inlineStr">
        <is>
          <t>pal_114</t>
        </is>
      </c>
      <c r="T115" s="38" t="inlineStr">
        <is>
          <t>赤焰龙君</t>
        </is>
      </c>
      <c r="U115" s="38" t="inlineStr">
        <is>
          <t>https://bazaar-builds.net/db/items/spyglass.html</t>
        </is>
      </c>
      <c r="V115" s="38" t="inlineStr">
        <is>
          <t>when you slow, an item gains +10% crit chance for the fight. at the start of each fight, increase an enemy items cooldown by 3 → 6 seconds for the fight.</t>
        </is>
      </c>
      <c r="W115" s="38" t="inlineStr">
        <is>
          <t>一对一确认来源对象。</t>
        </is>
      </c>
      <c r="X115" s="385" t="inlineStr">
        <is>
          <t>hero_001</t>
        </is>
      </c>
      <c r="Y115" s="386" t="inlineStr">
        <is>
          <t>reference_reserved</t>
        </is>
      </c>
      <c r="Z115" s="386" t="inlineStr">
        <is>
          <t>tool, crit, cooldown</t>
        </is>
      </c>
      <c r="AA115" s="386" t="inlineStr">
        <is>
          <t>slow</t>
        </is>
      </c>
    </row>
    <row r="116">
      <c r="A116" s="38" t="inlineStr">
        <is>
          <t>bz_van_115</t>
        </is>
      </c>
      <c r="B116" s="38" t="n">
        <v>115</v>
      </c>
      <c r="C116" s="38" t="inlineStr">
        <is>
          <t>item</t>
        </is>
      </c>
      <c r="D116" s="38" t="inlineStr">
        <is>
          <t>snapshot_vanessa_legacy_catalog_v1</t>
        </is>
      </c>
      <c r="E116" s="38" t="inlineStr">
        <is>
          <t>snapshot_the_bazaar_patch_18_0_boundary</t>
        </is>
      </c>
      <c r="F116" s="38" t="inlineStr">
        <is>
          <t>true</t>
        </is>
      </c>
      <c r="G116" s="38" t="inlineStr">
        <is>
          <t>false</t>
        </is>
      </c>
      <c r="H116" s="38" t="inlineStr">
        <is>
          <t>current_rule_match,structured_effects,quality_values,cooldown,buy_price,sell_price,ammo</t>
        </is>
      </c>
      <c r="I116" s="38" t="inlineStr">
        <is>
          <t>star-chart</t>
        </is>
      </c>
      <c r="J116" s="38" t="inlineStr">
        <is>
          <t>Star Chart</t>
        </is>
      </c>
      <c r="K116" s="38" t="inlineStr">
        <is>
          <t>bronze</t>
        </is>
      </c>
      <c r="L116" s="38" t="inlineStr">
        <is>
          <t>medium</t>
        </is>
      </c>
      <c r="M116" s="38" t="inlineStr">
        <is>
          <t>tool, relic, cooldown, crit</t>
        </is>
      </c>
      <c r="N116" s="38" t="n">
        <v>10</v>
      </c>
      <c r="O116" s="38" t="inlineStr">
        <is>
          <t>merchant_aimbot, merchant_tok-s-clocks, merchant_barkun, merchant_goldie, merchant_jay-jay, merchant_kina, merchant_luxe, merchant_mittel, merchant_orion, merchant_quixel</t>
        </is>
      </c>
      <c r="P116" s="38" t="n">
        <v>10</v>
      </c>
      <c r="Q116" s="38" t="inlineStr">
        <is>
          <t>elem_水, elem_雷, elem_冰, elem_无, role_召唤, role_坦克, role_控制, special_merchant, tier_pT1, role_远点压制</t>
        </is>
      </c>
      <c r="R116" s="38" t="inlineStr">
        <is>
          <t>Turbo</t>
        </is>
      </c>
      <c r="S116" s="38" t="inlineStr">
        <is>
          <t>pal_115</t>
        </is>
      </c>
      <c r="T116" s="38" t="inlineStr">
        <is>
          <t>南明朱雀</t>
        </is>
      </c>
      <c r="U116" s="38" t="inlineStr">
        <is>
          <t>https://bazaar-builds.net/db/items/star-chart.html</t>
        </is>
      </c>
      <c r="V116" s="38" t="inlineStr">
        <is>
          <t>adjacent items have +10 / 15 / 20 / 25% crit chance. adjacent items' cooldowns are reduced by 5 / 10 / 15 / 20%.</t>
        </is>
      </c>
      <c r="W116" s="38" t="inlineStr">
        <is>
          <t>一对一确认来源对象。</t>
        </is>
      </c>
      <c r="X116" s="385" t="inlineStr">
        <is>
          <t>hero_001</t>
        </is>
      </c>
      <c r="Y116" s="386" t="inlineStr">
        <is>
          <t>reference_reserved</t>
        </is>
      </c>
      <c r="Z116" s="386" t="inlineStr">
        <is>
          <t>tool, relic, cooldown, crit</t>
        </is>
      </c>
      <c r="AA116" s="386" t="str"/>
    </row>
    <row r="117">
      <c r="A117" s="38" t="inlineStr">
        <is>
          <t>bz_van_116</t>
        </is>
      </c>
      <c r="B117" s="38" t="n">
        <v>116</v>
      </c>
      <c r="C117" s="38" t="inlineStr">
        <is>
          <t>item</t>
        </is>
      </c>
      <c r="D117" s="38" t="inlineStr">
        <is>
          <t>snapshot_vanessa_legacy_catalog_v1</t>
        </is>
      </c>
      <c r="E117" s="38" t="inlineStr">
        <is>
          <t>snapshot_the_bazaar_patch_18_0_boundary</t>
        </is>
      </c>
      <c r="F117" s="38" t="inlineStr">
        <is>
          <t>true</t>
        </is>
      </c>
      <c r="G117" s="38" t="inlineStr">
        <is>
          <t>false</t>
        </is>
      </c>
      <c r="H117" s="38" t="inlineStr">
        <is>
          <t>current_rule_match,structured_effects,quality_values,cooldown,buy_price,sell_price,ammo</t>
        </is>
      </c>
      <c r="I117" s="38" t="inlineStr">
        <is>
          <t>stealth-glider</t>
        </is>
      </c>
      <c r="J117" s="38" t="inlineStr">
        <is>
          <t>Stealth Glider</t>
        </is>
      </c>
      <c r="K117" s="38" t="inlineStr">
        <is>
          <t>silver</t>
        </is>
      </c>
      <c r="L117" s="38" t="inlineStr">
        <is>
          <t>large</t>
        </is>
      </c>
      <c r="M117" s="38" t="inlineStr">
        <is>
          <t>vehicle, tech, flying</t>
        </is>
      </c>
      <c r="N117" s="38" t="n">
        <v>10</v>
      </c>
      <c r="O117" s="38" t="inlineStr">
        <is>
          <t>merchant_pinfeather, merchant_the-tester, merchant_aero, merchant_barkun, merchant_goldie, merchant_jay-jay, merchant_kina, merchant_luxe, merchant_midsworth, merchant_pol</t>
        </is>
      </c>
      <c r="P117" s="38" t="n">
        <v>10</v>
      </c>
      <c r="Q117" s="38" t="inlineStr">
        <is>
          <t>elem_火, elem_水, elem_草, elem_雷, elem_冰, elem_地, role_坦克, role_控制, role_抗压承伤, role_风系铺场</t>
        </is>
      </c>
      <c r="R117" s="38" t="inlineStr">
        <is>
          <t>Deadly</t>
        </is>
      </c>
      <c r="S117" s="38" t="inlineStr">
        <is>
          <t>pal_116</t>
        </is>
      </c>
      <c r="T117" s="38" t="inlineStr">
        <is>
          <t>净瓶青鸾</t>
        </is>
      </c>
      <c r="U117" s="38" t="inlineStr">
        <is>
          <t>https://bazaar-builds.net/db/items/stealth-glider.html</t>
        </is>
      </c>
      <c r="V117" s="38" t="inlineStr">
        <is>
          <t>an item starts flying. you take 10% less damage for each other flying item you have.</t>
        </is>
      </c>
      <c r="W117" s="38" t="inlineStr">
        <is>
          <t>一对一确认来源对象。</t>
        </is>
      </c>
      <c r="X117" s="385" t="inlineStr">
        <is>
          <t>hero_001</t>
        </is>
      </c>
      <c r="Y117" s="386" t="inlineStr">
        <is>
          <t>reference_reserved</t>
        </is>
      </c>
      <c r="Z117" s="386" t="inlineStr">
        <is>
          <t>vehicle, tech, flying</t>
        </is>
      </c>
      <c r="AA117" s="386" t="str"/>
    </row>
    <row r="118">
      <c r="A118" s="38" t="inlineStr">
        <is>
          <t>bz_van_117</t>
        </is>
      </c>
      <c r="B118" s="38" t="n">
        <v>117</v>
      </c>
      <c r="C118" s="38" t="inlineStr">
        <is>
          <t>item</t>
        </is>
      </c>
      <c r="D118" s="38" t="inlineStr">
        <is>
          <t>snapshot_vanessa_legacy_catalog_v1</t>
        </is>
      </c>
      <c r="E118" s="38" t="inlineStr">
        <is>
          <t>snapshot_the_bazaar_patch_18_0_boundary</t>
        </is>
      </c>
      <c r="F118" s="38" t="inlineStr">
        <is>
          <t>true</t>
        </is>
      </c>
      <c r="G118" s="38" t="inlineStr">
        <is>
          <t>false</t>
        </is>
      </c>
      <c r="H118" s="38" t="inlineStr">
        <is>
          <t>current_rule_match,structured_effects,quality_values,cooldown,buy_price,sell_price,ammo</t>
        </is>
      </c>
      <c r="I118" s="38" t="inlineStr">
        <is>
          <t>submarine</t>
        </is>
      </c>
      <c r="J118" s="38" t="inlineStr">
        <is>
          <t>Submarine</t>
        </is>
      </c>
      <c r="K118" s="38" t="inlineStr">
        <is>
          <t>silver</t>
        </is>
      </c>
      <c r="L118" s="38" t="inlineStr">
        <is>
          <t>large</t>
        </is>
      </c>
      <c r="M118" s="38" t="inlineStr">
        <is>
          <t>aquatic, weapon, vehicle, tech, damage, shield</t>
        </is>
      </c>
      <c r="N118" s="38" t="n">
        <v>10</v>
      </c>
      <c r="O118" s="38" t="inlineStr">
        <is>
          <t>merchant_kev-s-armory, merchant_nautica, merchant_the-tester, merchant_aero, merchant_aila, merchant_barkun, merchant_goldie, merchant_jay-jay, merchant_luxe, merchant_midsworth</t>
        </is>
      </c>
      <c r="P118" s="38" t="n">
        <v>10</v>
      </c>
      <c r="Q118" s="38" t="inlineStr">
        <is>
          <t>night_base, elem_火, elem_水, elem_雷, elem_地, role_坦克, role_控制, role_输出, tier_pT3, role_抗压承伤</t>
        </is>
      </c>
      <c r="R118" s="38" t="inlineStr">
        <is>
          <t>Icy</t>
        </is>
      </c>
      <c r="S118" s="38" t="inlineStr">
        <is>
          <t>pal_117</t>
        </is>
      </c>
      <c r="T118" s="38" t="inlineStr">
        <is>
          <t>九霄熊王</t>
        </is>
      </c>
      <c r="U118" s="38" t="inlineStr">
        <is>
          <t>https://bazaar-builds.net/db/items/submarine.html</t>
        </is>
      </c>
      <c r="V118" s="38" t="inlineStr">
        <is>
          <t>deal 60 / 120 / 240 damage shield equal to this item's damage if this is your only weapon it is affected by freeze and slow for half as long.</t>
        </is>
      </c>
      <c r="W118" s="38" t="inlineStr">
        <is>
          <t>一对一确认来源对象。</t>
        </is>
      </c>
      <c r="X118" s="385" t="inlineStr">
        <is>
          <t>hero_001</t>
        </is>
      </c>
      <c r="Y118" s="386" t="inlineStr">
        <is>
          <t>reference_reserved</t>
        </is>
      </c>
      <c r="Z118" s="386" t="inlineStr">
        <is>
          <t>aquatic, weapon, vehicle, tech, damage, shield</t>
        </is>
      </c>
      <c r="AA118" s="386" t="str"/>
    </row>
    <row r="119">
      <c r="A119" s="38" t="inlineStr">
        <is>
          <t>bz_van_118</t>
        </is>
      </c>
      <c r="B119" s="38" t="n">
        <v>118</v>
      </c>
      <c r="C119" s="38" t="inlineStr">
        <is>
          <t>item</t>
        </is>
      </c>
      <c r="D119" s="38" t="inlineStr">
        <is>
          <t>snapshot_vanessa_legacy_catalog_v1</t>
        </is>
      </c>
      <c r="E119" s="38" t="inlineStr">
        <is>
          <t>snapshot_the_bazaar_patch_18_0_boundary</t>
        </is>
      </c>
      <c r="F119" s="38" t="inlineStr">
        <is>
          <t>true</t>
        </is>
      </c>
      <c r="G119" s="38" t="inlineStr">
        <is>
          <t>false</t>
        </is>
      </c>
      <c r="H119" s="38" t="inlineStr">
        <is>
          <t>current_rule_match,structured_effects,quality_values,cooldown,buy_price,sell_price,ammo</t>
        </is>
      </c>
      <c r="I119" s="38" t="inlineStr">
        <is>
          <t>submersible</t>
        </is>
      </c>
      <c r="J119" s="38" t="inlineStr">
        <is>
          <t>Submersible</t>
        </is>
      </c>
      <c r="K119" s="38" t="inlineStr">
        <is>
          <t>silver</t>
        </is>
      </c>
      <c r="L119" s="38" t="inlineStr">
        <is>
          <t>medium</t>
        </is>
      </c>
      <c r="M119" s="38" t="inlineStr">
        <is>
          <t>aquatic, tool, vehicle, tech, damagereference, shieldreference</t>
        </is>
      </c>
      <c r="N119" s="38" t="n">
        <v>10</v>
      </c>
      <c r="O119" s="38" t="inlineStr">
        <is>
          <t>merchant_kev-s-armory, merchant_nautica, merchant_the-tester, merchant_aero, merchant_barkun, merchant_goldie, merchant_jay-jay, merchant_kina, merchant_luxe, merchant_mittel</t>
        </is>
      </c>
      <c r="P119" s="38" t="n">
        <v>10</v>
      </c>
      <c r="Q119" s="38" t="inlineStr">
        <is>
          <t>elem_火, elem_水, elem_雷, elem_冰, elem_无, role_坦克, role_控制, role_输出, tier_pT3, role_抗压承伤</t>
        </is>
      </c>
      <c r="R119" s="38" t="inlineStr">
        <is>
          <t>Turbo</t>
        </is>
      </c>
      <c r="S119" s="38" t="inlineStr">
        <is>
          <t>pal_118</t>
        </is>
      </c>
      <c r="T119" s="38" t="inlineStr">
        <is>
          <t>百花鹿仙</t>
        </is>
      </c>
      <c r="U119" s="38" t="inlineStr">
        <is>
          <t>https://bazaar-builds.net/db/items/submersible.html</t>
        </is>
      </c>
      <c r="V119" s="38" t="inlineStr">
        <is>
          <t>your leftmost and rightmost aquatic weapon and shield items gain +10 / 20 / 30 damage and +10 / 20 / 30 shield for the fight. if you have another vehicle or large item, this item's cooldown is reduced by 2 seconds.</t>
        </is>
      </c>
      <c r="W119" s="38" t="inlineStr">
        <is>
          <t>一对一确认来源对象。</t>
        </is>
      </c>
      <c r="X119" s="385" t="inlineStr">
        <is>
          <t>hero_001</t>
        </is>
      </c>
      <c r="Y119" s="386" t="inlineStr">
        <is>
          <t>reference_reserved</t>
        </is>
      </c>
      <c r="Z119" s="386" t="inlineStr">
        <is>
          <t>aquatic, tool, vehicle, tech</t>
        </is>
      </c>
      <c r="AA119" s="386" t="inlineStr">
        <is>
          <t>damage, shield</t>
        </is>
      </c>
    </row>
    <row r="120">
      <c r="A120" s="38" t="inlineStr">
        <is>
          <t>bz_van_119</t>
        </is>
      </c>
      <c r="B120" s="38" t="n">
        <v>119</v>
      </c>
      <c r="C120" s="38" t="inlineStr">
        <is>
          <t>item</t>
        </is>
      </c>
      <c r="D120" s="38" t="inlineStr">
        <is>
          <t>snapshot_vanessa_legacy_catalog_v1</t>
        </is>
      </c>
      <c r="E120" s="38" t="inlineStr">
        <is>
          <t>snapshot_the_bazaar_patch_18_0_boundary</t>
        </is>
      </c>
      <c r="F120" s="38" t="inlineStr">
        <is>
          <t>true</t>
        </is>
      </c>
      <c r="G120" s="38" t="inlineStr">
        <is>
          <t>false</t>
        </is>
      </c>
      <c r="H120" s="38" t="inlineStr">
        <is>
          <t>current_rule_match,structured_effects,quality_values,cooldown,buy_price,sell_price,ammo</t>
        </is>
      </c>
      <c r="I120" s="38" t="inlineStr">
        <is>
          <t>suppressor</t>
        </is>
      </c>
      <c r="J120" s="38" t="inlineStr">
        <is>
          <t>Suppressor</t>
        </is>
      </c>
      <c r="K120" s="38" t="inlineStr">
        <is>
          <t>silver</t>
        </is>
      </c>
      <c r="L120" s="38" t="inlineStr">
        <is>
          <t>small</t>
        </is>
      </c>
      <c r="M120" s="38" t="inlineStr">
        <is>
          <t>tech, damagereference, cooldown</t>
        </is>
      </c>
      <c r="N120" s="38" t="n">
        <v>10</v>
      </c>
      <c r="O120" s="38" t="inlineStr">
        <is>
          <t>merchant_the-tester, merchant_tok-s-clocks, merchant_ande, merchant_goldie, merchant_jay-jay, merchant_kina, merchant_luxe, merchant_midsworth, merchant_quixel, merchant_serafina</t>
        </is>
      </c>
      <c r="P120" s="38" t="n">
        <v>10</v>
      </c>
      <c r="Q120" s="38" t="inlineStr">
        <is>
          <t>elem_火, elem_雷, elem_冰, elem_地, role_召唤, role_坦克, role_控制, role_治疗, special_merchant, role_抗压承伤</t>
        </is>
      </c>
      <c r="R120" s="38" t="inlineStr">
        <is>
          <t>Turbo</t>
        </is>
      </c>
      <c r="S120" s="38" t="inlineStr">
        <is>
          <t>pal_119</t>
        </is>
      </c>
      <c r="T120" s="38" t="inlineStr">
        <is>
          <t>黑月狐姬</t>
        </is>
      </c>
      <c r="U120" s="38" t="inlineStr">
        <is>
          <t>https://bazaar-builds.net/db/items/suppressor.html</t>
        </is>
      </c>
      <c r="V120" s="38" t="inlineStr">
        <is>
          <t>the weapon to the left of this has +25 / 50 / 75 damage. if you have exactly one weapon, its cooldown is reduced by 5 / 10 / 15%.</t>
        </is>
      </c>
      <c r="W120" s="38" t="inlineStr">
        <is>
          <t>一对一确认来源对象。</t>
        </is>
      </c>
      <c r="X120" s="385" t="inlineStr">
        <is>
          <t>hero_001</t>
        </is>
      </c>
      <c r="Y120" s="386" t="inlineStr">
        <is>
          <t>reference_reserved</t>
        </is>
      </c>
      <c r="Z120" s="386" t="inlineStr">
        <is>
          <t>tech, cooldown</t>
        </is>
      </c>
      <c r="AA120" s="386" t="inlineStr">
        <is>
          <t>damage</t>
        </is>
      </c>
    </row>
    <row r="121">
      <c r="A121" s="38" t="inlineStr">
        <is>
          <t>bz_van_120</t>
        </is>
      </c>
      <c r="B121" s="38" t="n">
        <v>120</v>
      </c>
      <c r="C121" s="38" t="inlineStr">
        <is>
          <t>item</t>
        </is>
      </c>
      <c r="D121" s="38" t="inlineStr">
        <is>
          <t>snapshot_vanessa_legacy_catalog_v1</t>
        </is>
      </c>
      <c r="E121" s="38" t="inlineStr">
        <is>
          <t>snapshot_the_bazaar_patch_18_0_boundary</t>
        </is>
      </c>
      <c r="F121" s="38" t="inlineStr">
        <is>
          <t>true</t>
        </is>
      </c>
      <c r="G121" s="38" t="inlineStr">
        <is>
          <t>false</t>
        </is>
      </c>
      <c r="H121" s="38" t="inlineStr">
        <is>
          <t>current_rule_match,structured_effects,quality_values,cooldown,buy_price,sell_price,ammo</t>
        </is>
      </c>
      <c r="I121" s="38" t="inlineStr">
        <is>
          <t>swash-buckle</t>
        </is>
      </c>
      <c r="J121" s="38" t="inlineStr">
        <is>
          <t>Swash Buckle</t>
        </is>
      </c>
      <c r="K121" s="38" t="inlineStr">
        <is>
          <t>gold</t>
        </is>
      </c>
      <c r="L121" s="38" t="inlineStr">
        <is>
          <t>medium</t>
        </is>
      </c>
      <c r="M121" s="38" t="inlineStr">
        <is>
          <t>apparel, crit, damagereference, healreference, shieldreference</t>
        </is>
      </c>
      <c r="N121" s="38" t="n">
        <v>10</v>
      </c>
      <c r="O121" s="38" t="inlineStr">
        <is>
          <t>merchant_aimbot, merchant_kev-s-armory, merchant_barkun, merchant_gaseo, merchant_goldie, merchant_herma, merchant_jay-jay, merchant_kina, merchant_luxe, merchant_mittel</t>
        </is>
      </c>
      <c r="P121" s="38" t="n">
        <v>10</v>
      </c>
      <c r="Q121" s="38" t="inlineStr">
        <is>
          <t>night_base, elem_水, elem_雷, elem_冰, elem_无, role_坦克, role_控制, tier_pT1, tier_pT3, role_重甲抗压</t>
        </is>
      </c>
      <c r="R121" s="38" t="inlineStr">
        <is>
          <t>Restorative</t>
        </is>
      </c>
      <c r="S121" s="38" t="inlineStr">
        <is>
          <t>pal_120</t>
        </is>
      </c>
      <c r="T121" s="38" t="inlineStr">
        <is>
          <t>火云鹏王</t>
        </is>
      </c>
      <c r="U121" s="38" t="inlineStr">
        <is>
          <t>https://bazaar-builds.net/db/items/swash-buckle.html</t>
        </is>
      </c>
      <c r="V121" s="38" t="inlineStr">
        <is>
          <t>adjacent items have +20 → 40% crit chance. adjacent items have bonus damage, heal, or shield equal to their crit chance.</t>
        </is>
      </c>
      <c r="W121" s="38" t="inlineStr">
        <is>
          <t>一对一确认来源对象。</t>
        </is>
      </c>
      <c r="X121" s="385" t="inlineStr">
        <is>
          <t>hero_001</t>
        </is>
      </c>
      <c r="Y121" s="386" t="inlineStr">
        <is>
          <t>reference_reserved</t>
        </is>
      </c>
      <c r="Z121" s="386" t="inlineStr">
        <is>
          <t>apparel, crit</t>
        </is>
      </c>
      <c r="AA121" s="386" t="inlineStr">
        <is>
          <t>damage, heal, shield</t>
        </is>
      </c>
    </row>
    <row r="122">
      <c r="A122" s="38" t="inlineStr">
        <is>
          <t>bz_van_121</t>
        </is>
      </c>
      <c r="B122" s="38" t="n">
        <v>121</v>
      </c>
      <c r="C122" s="38" t="inlineStr">
        <is>
          <t>item</t>
        </is>
      </c>
      <c r="D122" s="38" t="inlineStr">
        <is>
          <t>snapshot_vanessa_legacy_catalog_v1</t>
        </is>
      </c>
      <c r="E122" s="38" t="inlineStr">
        <is>
          <t>snapshot_the_bazaar_patch_18_0_boundary</t>
        </is>
      </c>
      <c r="F122" s="38" t="inlineStr">
        <is>
          <t>true</t>
        </is>
      </c>
      <c r="G122" s="38" t="inlineStr">
        <is>
          <t>false</t>
        </is>
      </c>
      <c r="H122" s="38" t="inlineStr">
        <is>
          <t>current_rule_match,structured_effects,quality_values,cooldown,buy_price,sell_price,ammo</t>
        </is>
      </c>
      <c r="I122" s="38" t="inlineStr">
        <is>
          <t>switchblade</t>
        </is>
      </c>
      <c r="J122" s="38" t="inlineStr">
        <is>
          <t>Switchblade</t>
        </is>
      </c>
      <c r="K122" s="38" t="inlineStr">
        <is>
          <t>bronze</t>
        </is>
      </c>
      <c r="L122" s="38" t="inlineStr">
        <is>
          <t>small</t>
        </is>
      </c>
      <c r="M122" s="38" t="inlineStr">
        <is>
          <t>weapon, damage</t>
        </is>
      </c>
      <c r="N122" s="38" t="n">
        <v>10</v>
      </c>
      <c r="O122" s="38" t="inlineStr">
        <is>
          <t>merchant_aila, merchant_ande, merchant_goldie, merchant_jay-jay, merchant_luxe, merchant_midsworth, merchant_quixel, merchant_serafina, merchant_silvia, merchant_valpak</t>
        </is>
      </c>
      <c r="P122" s="38" t="n">
        <v>10</v>
      </c>
      <c r="Q122" s="38" t="inlineStr">
        <is>
          <t>night_base, elem_火, elem_雷, elem_地, elem_暗, role_召唤, role_坦克, role_控制, role_治疗, role_经济</t>
        </is>
      </c>
      <c r="R122" s="38" t="inlineStr">
        <is>
          <t>Deadly</t>
        </is>
      </c>
      <c r="S122" s="38" t="inlineStr">
        <is>
          <t>pal_121</t>
        </is>
      </c>
      <c r="T122" s="38" t="inlineStr">
        <is>
          <t>雷泽龙王</t>
        </is>
      </c>
      <c r="U122" s="38" t="inlineStr">
        <is>
          <t>https://bazaar-builds.net/db/items/switchblade.html</t>
        </is>
      </c>
      <c r="V122" s="38" t="inlineStr">
        <is>
          <t>deal 4 / 8 / 12 / 16 damage when you use an adjacent weapon, it gains +4 / 8 / 12 / 16 damage for the fight.</t>
        </is>
      </c>
      <c r="W122" s="38" t="inlineStr">
        <is>
          <t>一对一确认来源对象。</t>
        </is>
      </c>
      <c r="X122" s="385" t="inlineStr">
        <is>
          <t>hero_001</t>
        </is>
      </c>
      <c r="Y122" s="386" t="inlineStr">
        <is>
          <t>reference_reserved</t>
        </is>
      </c>
      <c r="Z122" s="386" t="inlineStr">
        <is>
          <t>weapon, damage</t>
        </is>
      </c>
      <c r="AA122" s="386" t="str"/>
    </row>
    <row r="123">
      <c r="A123" s="38" t="inlineStr">
        <is>
          <t>bz_van_122</t>
        </is>
      </c>
      <c r="B123" s="38" t="n">
        <v>122</v>
      </c>
      <c r="C123" s="38" t="inlineStr">
        <is>
          <t>item</t>
        </is>
      </c>
      <c r="D123" s="38" t="inlineStr">
        <is>
          <t>snapshot_vanessa_legacy_catalog_v1</t>
        </is>
      </c>
      <c r="E123" s="38" t="inlineStr">
        <is>
          <t>snapshot_the_bazaar_patch_18_0_boundary</t>
        </is>
      </c>
      <c r="F123" s="38" t="inlineStr">
        <is>
          <t>true</t>
        </is>
      </c>
      <c r="G123" s="38" t="inlineStr">
        <is>
          <t>false</t>
        </is>
      </c>
      <c r="H123" s="38" t="inlineStr">
        <is>
          <t>current_rule_match,structured_effects,quality_values,cooldown,buy_price,sell_price,ammo</t>
        </is>
      </c>
      <c r="I123" s="38" t="inlineStr">
        <is>
          <t>the-boulder</t>
        </is>
      </c>
      <c r="J123" s="38" t="inlineStr">
        <is>
          <t>The Boulder</t>
        </is>
      </c>
      <c r="K123" s="38" t="inlineStr">
        <is>
          <t>gold</t>
        </is>
      </c>
      <c r="L123" s="38" t="inlineStr">
        <is>
          <t>large</t>
        </is>
      </c>
      <c r="M123" s="38" t="inlineStr">
        <is>
          <t>weapon, relic, trap, damage, ammo</t>
        </is>
      </c>
      <c r="N123" s="38" t="n">
        <v>10</v>
      </c>
      <c r="O123" s="38" t="inlineStr">
        <is>
          <t>merchant_colt, merchant_aila, merchant_barkun, merchant_goldie, merchant_jay-jay, merchant_luxe, merchant_midsworth, merchant_pol, merchant_serafina, merchant_the-antiquarian</t>
        </is>
      </c>
      <c r="P123" s="38" t="n">
        <v>10</v>
      </c>
      <c r="Q123" s="38" t="inlineStr">
        <is>
          <t>night_base, elem_水, elem_雷, elem_冰, elem_地, role_坦克, role_控制, role_治疗, role_机动, role_风系铺场</t>
        </is>
      </c>
      <c r="R123" s="38" t="inlineStr">
        <is>
          <t>Restorative</t>
        </is>
      </c>
      <c r="S123" s="38" t="inlineStr">
        <is>
          <t>pal_122</t>
        </is>
      </c>
      <c r="T123" s="38" t="inlineStr">
        <is>
          <t>玄羽雕尊</t>
        </is>
      </c>
      <c r="U123" s="38" t="inlineStr">
        <is>
          <t>https://bazaar-builds.net/db/items/the-boulder.html</t>
        </is>
      </c>
      <c r="V123" s="38" t="inlineStr">
        <is>
          <t>deal damage equal to an enemy's max health</t>
        </is>
      </c>
      <c r="W123" s="38" t="inlineStr">
        <is>
          <t>一对一确认来源对象。</t>
        </is>
      </c>
      <c r="X123" s="385" t="inlineStr">
        <is>
          <t>hero_001</t>
        </is>
      </c>
      <c r="Y123" s="386" t="inlineStr">
        <is>
          <t>reference_reserved</t>
        </is>
      </c>
      <c r="Z123" s="386" t="inlineStr">
        <is>
          <t>weapon, relic, trap, damage, ammo</t>
        </is>
      </c>
      <c r="AA123" s="386" t="str"/>
    </row>
    <row r="124">
      <c r="A124" s="38" t="inlineStr">
        <is>
          <t>bz_van_123</t>
        </is>
      </c>
      <c r="B124" s="38" t="n">
        <v>123</v>
      </c>
      <c r="C124" s="38" t="inlineStr">
        <is>
          <t>item</t>
        </is>
      </c>
      <c r="D124" s="38" t="inlineStr">
        <is>
          <t>snapshot_vanessa_legacy_catalog_v1</t>
        </is>
      </c>
      <c r="E124" s="38" t="inlineStr">
        <is>
          <t>snapshot_the_bazaar_patch_18_0_boundary</t>
        </is>
      </c>
      <c r="F124" s="38" t="inlineStr">
        <is>
          <t>true</t>
        </is>
      </c>
      <c r="G124" s="38" t="inlineStr">
        <is>
          <t>false</t>
        </is>
      </c>
      <c r="H124" s="38" t="inlineStr">
        <is>
          <t>current_rule_match,structured_effects,quality_values,cooldown,buy_price,sell_price,ammo</t>
        </is>
      </c>
      <c r="I124" s="38" t="inlineStr">
        <is>
          <t>throwing-knives</t>
        </is>
      </c>
      <c r="J124" s="38" t="inlineStr">
        <is>
          <t>Throwing Knives</t>
        </is>
      </c>
      <c r="K124" s="38" t="inlineStr">
        <is>
          <t>gold</t>
        </is>
      </c>
      <c r="L124" s="38" t="inlineStr">
        <is>
          <t>small</t>
        </is>
      </c>
      <c r="M124" s="38" t="inlineStr">
        <is>
          <t>weapon, damage, critreference, ammo</t>
        </is>
      </c>
      <c r="N124" s="38" t="n">
        <v>10</v>
      </c>
      <c r="O124" s="38" t="inlineStr">
        <is>
          <t>merchant_aimbot, merchant_colt, merchant_aila, merchant_ande, merchant_goldie, merchant_jay-jay, merchant_luxe, merchant_midsworth, merchant_quixel, merchant_serafina</t>
        </is>
      </c>
      <c r="P124" s="38" t="n">
        <v>10</v>
      </c>
      <c r="Q124" s="38" t="inlineStr">
        <is>
          <t>night_base, elem_火, elem_雷, elem_地, role_召唤, role_坦克, role_控制, role_治疗, role_机动, tier_pT1</t>
        </is>
      </c>
      <c r="R124" s="38" t="inlineStr">
        <is>
          <t>Deadly</t>
        </is>
      </c>
      <c r="S124" s="38" t="inlineStr">
        <is>
          <t>pal_123</t>
        </is>
      </c>
      <c r="T124" s="38" t="inlineStr">
        <is>
          <t>白象护法</t>
        </is>
      </c>
      <c r="U124" s="38" t="inlineStr">
        <is>
          <t>https://bazaar-builds.net/db/items/throwing-knives.html</t>
        </is>
      </c>
      <c r="V124" s="38" t="inlineStr">
        <is>
          <t>deal 33 damage when you crit with another item, use this.</t>
        </is>
      </c>
      <c r="W124" s="38" t="inlineStr">
        <is>
          <t>一对一确认来源对象。</t>
        </is>
      </c>
      <c r="X124" s="385" t="inlineStr">
        <is>
          <t>hero_001</t>
        </is>
      </c>
      <c r="Y124" s="386" t="inlineStr">
        <is>
          <t>reference_reserved</t>
        </is>
      </c>
      <c r="Z124" s="386" t="inlineStr">
        <is>
          <t>weapon, damage, ammo</t>
        </is>
      </c>
      <c r="AA124" s="386" t="inlineStr">
        <is>
          <t>crit</t>
        </is>
      </c>
    </row>
    <row r="125">
      <c r="A125" s="38" t="inlineStr">
        <is>
          <t>bz_van_124</t>
        </is>
      </c>
      <c r="B125" s="38" t="n">
        <v>124</v>
      </c>
      <c r="C125" s="38" t="inlineStr">
        <is>
          <t>item</t>
        </is>
      </c>
      <c r="D125" s="38" t="inlineStr">
        <is>
          <t>snapshot_vanessa_legacy_catalog_v1</t>
        </is>
      </c>
      <c r="E125" s="38" t="inlineStr">
        <is>
          <t>snapshot_the_bazaar_patch_18_0_boundary</t>
        </is>
      </c>
      <c r="F125" s="38" t="inlineStr">
        <is>
          <t>true</t>
        </is>
      </c>
      <c r="G125" s="38" t="inlineStr">
        <is>
          <t>false</t>
        </is>
      </c>
      <c r="H125" s="38" t="inlineStr">
        <is>
          <t>current_rule_match,structured_effects,quality_values,cooldown,buy_price,sell_price,ammo</t>
        </is>
      </c>
      <c r="I125" s="38" t="inlineStr">
        <is>
          <t>tiny-cutlass</t>
        </is>
      </c>
      <c r="J125" s="38" t="inlineStr">
        <is>
          <t>Tiny Cutlass</t>
        </is>
      </c>
      <c r="K125" s="38" t="inlineStr">
        <is>
          <t>bronze</t>
        </is>
      </c>
      <c r="L125" s="38" t="inlineStr">
        <is>
          <t>small</t>
        </is>
      </c>
      <c r="M125" s="38" t="inlineStr">
        <is>
          <t>weapon, damage, critreference</t>
        </is>
      </c>
      <c r="N125" s="38" t="n">
        <v>1</v>
      </c>
      <c r="O125" s="38" t="inlineStr">
        <is>
          <t>merchant_vanessa</t>
        </is>
      </c>
      <c r="P125" s="38" t="n">
        <v>1</v>
      </c>
      <c r="Q125" s="38" t="inlineStr">
        <is>
          <t>elite_high</t>
        </is>
      </c>
      <c r="R125" s="38" t="inlineStr">
        <is>
          <t>Deadly</t>
        </is>
      </c>
      <c r="S125" s="38" t="inlineStr">
        <is>
          <t>pal_124</t>
        </is>
      </c>
      <c r="T125" s="38" t="inlineStr">
        <is>
          <t>混世魔猿</t>
        </is>
      </c>
      <c r="U125" s="38" t="inlineStr">
        <is>
          <t>https://bazaar-builds.net/db/items/tiny-cutlass.html</t>
        </is>
      </c>
      <c r="V125" s="38" t="inlineStr">
        <is>
          <t>deal 6 / 12 / 24 / 48 damage this deals double crit damage.</t>
        </is>
      </c>
      <c r="W125" s="38" t="inlineStr">
        <is>
          <t>一对一确认来源对象。</t>
        </is>
      </c>
      <c r="X125" s="385" t="inlineStr">
        <is>
          <t>hero_001</t>
        </is>
      </c>
      <c r="Y125" s="386" t="inlineStr">
        <is>
          <t>reference_reserved</t>
        </is>
      </c>
      <c r="Z125" s="386" t="inlineStr">
        <is>
          <t>weapon, damage</t>
        </is>
      </c>
      <c r="AA125" s="386" t="inlineStr">
        <is>
          <t>crit</t>
        </is>
      </c>
    </row>
    <row r="126">
      <c r="A126" s="38" t="inlineStr">
        <is>
          <t>bz_van_125</t>
        </is>
      </c>
      <c r="B126" s="38" t="n">
        <v>125</v>
      </c>
      <c r="C126" s="38" t="inlineStr">
        <is>
          <t>item</t>
        </is>
      </c>
      <c r="D126" s="38" t="inlineStr">
        <is>
          <t>snapshot_vanessa_legacy_catalog_v1</t>
        </is>
      </c>
      <c r="E126" s="38" t="inlineStr">
        <is>
          <t>snapshot_the_bazaar_patch_18_0_boundary</t>
        </is>
      </c>
      <c r="F126" s="38" t="inlineStr">
        <is>
          <t>true</t>
        </is>
      </c>
      <c r="G126" s="38" t="inlineStr">
        <is>
          <t>false</t>
        </is>
      </c>
      <c r="H126" s="38" t="inlineStr">
        <is>
          <t>current_rule_match,structured_effects,quality_values,cooldown,buy_price,sell_price,ammo</t>
        </is>
      </c>
      <c r="I126" s="38" t="inlineStr">
        <is>
          <t>torpedo</t>
        </is>
      </c>
      <c r="J126" s="38" t="inlineStr">
        <is>
          <t>Torpedo</t>
        </is>
      </c>
      <c r="K126" s="38" t="inlineStr">
        <is>
          <t>silver</t>
        </is>
      </c>
      <c r="L126" s="38" t="inlineStr">
        <is>
          <t>medium</t>
        </is>
      </c>
      <c r="M126" s="38" t="inlineStr">
        <is>
          <t>aquatic, weapon, tech, damage, ammo</t>
        </is>
      </c>
      <c r="N126" s="38" t="n">
        <v>10</v>
      </c>
      <c r="O126" s="38" t="inlineStr">
        <is>
          <t>merchant_colt, merchant_nautica, merchant_the-tester, merchant_aila, merchant_barkun, merchant_goldie, merchant_jay-jay, merchant_luxe, merchant_mittel, merchant_quixel</t>
        </is>
      </c>
      <c r="P126" s="38" t="n">
        <v>10</v>
      </c>
      <c r="Q126" s="38" t="inlineStr">
        <is>
          <t>night_base, elem_水, elem_雷, elem_无, role_召唤, role_坦克, role_控制, role_输出, role_机动, role_抗压承伤</t>
        </is>
      </c>
      <c r="R126" s="38" t="inlineStr">
        <is>
          <t>Deadly</t>
        </is>
      </c>
      <c r="S126" s="38" t="inlineStr">
        <is>
          <t>pal_125</t>
        </is>
      </c>
      <c r="T126" s="38" t="inlineStr">
        <is>
          <t>寒狮妖王</t>
        </is>
      </c>
      <c r="U126" s="38" t="inlineStr">
        <is>
          <t>https://bazaar-builds.net/db/items/torpedo.html</t>
        </is>
      </c>
      <c r="V126" s="38" t="inlineStr">
        <is>
          <t>deal 100 damage when you use another aquatic or ammo item, this gains 40 / 80 / 120 damage for the fight. if the item is large, double the damage gain.</t>
        </is>
      </c>
      <c r="W126" s="38" t="inlineStr">
        <is>
          <t>一对一确认来源对象。</t>
        </is>
      </c>
      <c r="X126" s="385" t="inlineStr">
        <is>
          <t>hero_001</t>
        </is>
      </c>
      <c r="Y126" s="386" t="inlineStr">
        <is>
          <t>reference_reserved</t>
        </is>
      </c>
      <c r="Z126" s="386" t="inlineStr">
        <is>
          <t>aquatic, weapon, tech, damage, ammo</t>
        </is>
      </c>
      <c r="AA126" s="386" t="str"/>
    </row>
    <row r="127">
      <c r="A127" s="38" t="inlineStr">
        <is>
          <t>bz_van_126</t>
        </is>
      </c>
      <c r="B127" s="38" t="n">
        <v>126</v>
      </c>
      <c r="C127" s="38" t="inlineStr">
        <is>
          <t>item</t>
        </is>
      </c>
      <c r="D127" s="38" t="inlineStr">
        <is>
          <t>snapshot_vanessa_legacy_catalog_v1</t>
        </is>
      </c>
      <c r="E127" s="38" t="inlineStr">
        <is>
          <t>snapshot_the_bazaar_patch_18_0_boundary</t>
        </is>
      </c>
      <c r="F127" s="38" t="inlineStr">
        <is>
          <t>true</t>
        </is>
      </c>
      <c r="G127" s="38" t="inlineStr">
        <is>
          <t>false</t>
        </is>
      </c>
      <c r="H127" s="38" t="inlineStr">
        <is>
          <t>current_rule_match,structured_effects,quality_values,cooldown,buy_price,sell_price,ammo</t>
        </is>
      </c>
      <c r="I127" s="38" t="inlineStr">
        <is>
          <t>tortuga</t>
        </is>
      </c>
      <c r="J127" s="38" t="inlineStr">
        <is>
          <t>Tortuga</t>
        </is>
      </c>
      <c r="K127" s="38" t="inlineStr">
        <is>
          <t>gold</t>
        </is>
      </c>
      <c r="L127" s="38" t="inlineStr">
        <is>
          <t>large</t>
        </is>
      </c>
      <c r="M127" s="38" t="inlineStr">
        <is>
          <t>aquatic, friend, vehicle, weapon, damage, haste</t>
        </is>
      </c>
      <c r="N127" s="38" t="n">
        <v>10</v>
      </c>
      <c r="O127" s="38" t="inlineStr">
        <is>
          <t>merchant_dryad, merchant_nautica, merchant_tok-s-clocks, merchant_aero, merchant_aila, merchant_barkun, merchant_chronos, merchant_goldie, merchant_jay-jay, merchant_luxe</t>
        </is>
      </c>
      <c r="P127" s="38" t="n">
        <v>10</v>
      </c>
      <c r="Q127" s="38" t="inlineStr">
        <is>
          <t>night_base, elem_火, elem_水, elem_雷, role_坦克, role_控制, role_输出, special_merchant, elite_high, role_机动压制</t>
        </is>
      </c>
      <c r="R127" s="38" t="inlineStr">
        <is>
          <t>Turbo</t>
        </is>
      </c>
      <c r="S127" s="38" t="inlineStr">
        <is>
          <t>pal_126</t>
        </is>
      </c>
      <c r="T127" s="38" t="inlineStr">
        <is>
          <t>幽冥獒王</t>
        </is>
      </c>
      <c r="U127" s="38" t="inlineStr">
        <is>
          <t>https://bazaar-builds.net/db/items/tortuga.html</t>
        </is>
      </c>
      <c r="V127" s="38" t="inlineStr">
        <is>
          <t>deal 450 → 900 damage haste your other items for 1 second when you use another friend, charge this 2 seconds.</t>
        </is>
      </c>
      <c r="W127" s="38" t="inlineStr">
        <is>
          <t>一对一确认来源对象。</t>
        </is>
      </c>
      <c r="X127" s="385" t="inlineStr">
        <is>
          <t>hero_001</t>
        </is>
      </c>
      <c r="Y127" s="386" t="inlineStr">
        <is>
          <t>reference_reserved</t>
        </is>
      </c>
      <c r="Z127" s="386" t="inlineStr">
        <is>
          <t>aquatic, friend, vehicle, weapon, damage, haste</t>
        </is>
      </c>
      <c r="AA127" s="386" t="str"/>
    </row>
    <row r="128">
      <c r="A128" s="38" t="inlineStr">
        <is>
          <t>bz_van_127</t>
        </is>
      </c>
      <c r="B128" s="38" t="n">
        <v>127</v>
      </c>
      <c r="C128" s="38" t="inlineStr">
        <is>
          <t>item</t>
        </is>
      </c>
      <c r="D128" s="38" t="inlineStr">
        <is>
          <t>snapshot_vanessa_legacy_catalog_v1</t>
        </is>
      </c>
      <c r="E128" s="38" t="inlineStr">
        <is>
          <t>snapshot_the_bazaar_patch_18_0_boundary</t>
        </is>
      </c>
      <c r="F128" s="38" t="inlineStr">
        <is>
          <t>true</t>
        </is>
      </c>
      <c r="G128" s="38" t="inlineStr">
        <is>
          <t>false</t>
        </is>
      </c>
      <c r="H128" s="38" t="inlineStr">
        <is>
          <t>current_rule_match,structured_effects,quality_values,cooldown,buy_price,sell_price,ammo</t>
        </is>
      </c>
      <c r="I128" s="38" t="inlineStr">
        <is>
          <t>trebuchet</t>
        </is>
      </c>
      <c r="J128" s="38" t="inlineStr">
        <is>
          <t>Trebuchet</t>
        </is>
      </c>
      <c r="K128" s="38" t="inlineStr">
        <is>
          <t>silver</t>
        </is>
      </c>
      <c r="L128" s="38" t="inlineStr">
        <is>
          <t>large</t>
        </is>
      </c>
      <c r="M128" s="38" t="inlineStr">
        <is>
          <t>weapon, burn, damage, hastereference</t>
        </is>
      </c>
      <c r="N128" s="38" t="n">
        <v>10</v>
      </c>
      <c r="O128" s="38" t="inlineStr">
        <is>
          <t>merchant_tok-s-clocks, merchant_aila, merchant_barkun, merchant_chronos, merchant_goldie, merchant_hef, merchant_jay-jay, merchant_luxe, merchant_midsworth, merchant_pol</t>
        </is>
      </c>
      <c r="P128" s="38" t="n">
        <v>10</v>
      </c>
      <c r="Q128" s="38" t="inlineStr">
        <is>
          <t>night_base, elem_水, elem_雷, elem_地, role_坦克, role_控制, special_merchant, elite_high, tier_pT2, role_风系铺场</t>
        </is>
      </c>
      <c r="R128" s="38" t="inlineStr">
        <is>
          <t>Fiery</t>
        </is>
      </c>
      <c r="S128" s="38" t="inlineStr">
        <is>
          <t>pal_127</t>
        </is>
      </c>
      <c r="T128" s="38" t="inlineStr">
        <is>
          <t>九天龙君</t>
        </is>
      </c>
      <c r="U128" s="38" t="inlineStr">
        <is>
          <t>https://bazaar-builds.net/db/items/trebuchet.html</t>
        </is>
      </c>
      <c r="V128" s="38" t="inlineStr">
        <is>
          <t>deal 75 / 150 / 300 damage burn 8 / 16 / 24 when you use another weapon or haste, charge this 2 seconds.</t>
        </is>
      </c>
      <c r="W128" s="38" t="inlineStr">
        <is>
          <t>一对一确认来源对象。</t>
        </is>
      </c>
      <c r="X128" s="385" t="inlineStr">
        <is>
          <t>hero_001</t>
        </is>
      </c>
      <c r="Y128" s="386" t="inlineStr">
        <is>
          <t>reference_reserved</t>
        </is>
      </c>
      <c r="Z128" s="386" t="inlineStr">
        <is>
          <t>weapon, burn, damage</t>
        </is>
      </c>
      <c r="AA128" s="386" t="inlineStr">
        <is>
          <t>haste</t>
        </is>
      </c>
    </row>
    <row r="129">
      <c r="A129" s="38" t="inlineStr">
        <is>
          <t>bz_van_128</t>
        </is>
      </c>
      <c r="B129" s="38" t="n">
        <v>128</v>
      </c>
      <c r="C129" s="38" t="inlineStr">
        <is>
          <t>item</t>
        </is>
      </c>
      <c r="D129" s="38" t="inlineStr">
        <is>
          <t>snapshot_vanessa_legacy_catalog_v1</t>
        </is>
      </c>
      <c r="E129" s="38" t="inlineStr">
        <is>
          <t>snapshot_the_bazaar_patch_18_0_boundary</t>
        </is>
      </c>
      <c r="F129" s="38" t="inlineStr">
        <is>
          <t>true</t>
        </is>
      </c>
      <c r="G129" s="38" t="inlineStr">
        <is>
          <t>false</t>
        </is>
      </c>
      <c r="H129" s="38" t="inlineStr">
        <is>
          <t>current_rule_match,structured_effects,quality_values,cooldown,buy_price,sell_price,ammo</t>
        </is>
      </c>
      <c r="I129" s="38" t="inlineStr">
        <is>
          <t>tripwire</t>
        </is>
      </c>
      <c r="J129" s="38" t="inlineStr">
        <is>
          <t>Tripwire</t>
        </is>
      </c>
      <c r="K129" s="38" t="inlineStr">
        <is>
          <t>gold</t>
        </is>
      </c>
      <c r="L129" s="38" t="inlineStr">
        <is>
          <t>medium</t>
        </is>
      </c>
      <c r="M129" s="38" t="inlineStr">
        <is>
          <t>trap, slow</t>
        </is>
      </c>
      <c r="N129" s="38" t="n">
        <v>10</v>
      </c>
      <c r="O129" s="38" t="inlineStr">
        <is>
          <t>merchant_tok-s-clocks, merchant_barkun, merchant_cobweb, merchant_goldie, merchant_jay-jay, merchant_kina, merchant_luxe, merchant_mittel, merchant_quixel, merchant_serafina</t>
        </is>
      </c>
      <c r="P129" s="38" t="n">
        <v>10</v>
      </c>
      <c r="Q129" s="38" t="inlineStr">
        <is>
          <t>elem_水, elem_雷, elem_冰, elem_无, role_召唤, role_坦克, role_控制, role_治疗, special_merchant, role_召唤铺场</t>
        </is>
      </c>
      <c r="R129" s="38" t="inlineStr">
        <is>
          <t>Icy</t>
        </is>
      </c>
      <c r="S129" s="38" t="inlineStr">
        <is>
          <t>pal_128</t>
        </is>
      </c>
      <c r="T129" s="38" t="inlineStr">
        <is>
          <t>星貂王</t>
        </is>
      </c>
      <c r="U129" s="38" t="inlineStr">
        <is>
          <t>https://bazaar-builds.net/db/items/tripwire.html</t>
        </is>
      </c>
      <c r="V129" s="38" t="inlineStr">
        <is>
          <t>when an enemy uses an item, slow it for 1 → 2 seconds.</t>
        </is>
      </c>
      <c r="W129" s="38" t="inlineStr">
        <is>
          <t>一对一确认来源对象。</t>
        </is>
      </c>
      <c r="X129" s="385" t="inlineStr">
        <is>
          <t>hero_001</t>
        </is>
      </c>
      <c r="Y129" s="386" t="inlineStr">
        <is>
          <t>reference_reserved</t>
        </is>
      </c>
      <c r="Z129" s="386" t="inlineStr">
        <is>
          <t>trap, slow</t>
        </is>
      </c>
      <c r="AA129" s="386" t="str"/>
    </row>
    <row r="130">
      <c r="A130" s="38" t="inlineStr">
        <is>
          <t>bz_van_129</t>
        </is>
      </c>
      <c r="B130" s="38" t="n">
        <v>129</v>
      </c>
      <c r="C130" s="38" t="inlineStr">
        <is>
          <t>item</t>
        </is>
      </c>
      <c r="D130" s="38" t="inlineStr">
        <is>
          <t>snapshot_vanessa_legacy_catalog_v1</t>
        </is>
      </c>
      <c r="E130" s="38" t="inlineStr">
        <is>
          <t>snapshot_the_bazaar_patch_18_0_boundary</t>
        </is>
      </c>
      <c r="F130" s="38" t="inlineStr">
        <is>
          <t>true</t>
        </is>
      </c>
      <c r="G130" s="38" t="inlineStr">
        <is>
          <t>false</t>
        </is>
      </c>
      <c r="H130" s="38" t="inlineStr">
        <is>
          <t>current_rule_match,structured_effects,quality_values,cooldown,buy_price,sell_price,ammo</t>
        </is>
      </c>
      <c r="I130" s="38" t="inlineStr">
        <is>
          <t>tropical-island</t>
        </is>
      </c>
      <c r="J130" s="38" t="inlineStr">
        <is>
          <t>Tropical Island</t>
        </is>
      </c>
      <c r="K130" s="38" t="inlineStr">
        <is>
          <t>gold</t>
        </is>
      </c>
      <c r="L130" s="38" t="inlineStr">
        <is>
          <t>large</t>
        </is>
      </c>
      <c r="M130" s="38" t="inlineStr">
        <is>
          <t>property, aquatic, regen, slowreference</t>
        </is>
      </c>
      <c r="N130" s="38" t="n">
        <v>10</v>
      </c>
      <c r="O130" s="38" t="inlineStr">
        <is>
          <t>merchant_nautica, merchant_tok-s-clocks, merchant_barkun, merchant_cobweb, merchant_goldie, merchant_herma, merchant_jay-jay, merchant_kina, merchant_luxe, merchant_midsworth</t>
        </is>
      </c>
      <c r="P130" s="38" t="n">
        <v>10</v>
      </c>
      <c r="Q130" s="38" t="inlineStr">
        <is>
          <t>night_base, elem_水, elem_雷, elem_冰, elem_地, role_坦克, role_控制, role_输出, special_merchant, role_召唤铺场</t>
        </is>
      </c>
      <c r="R130" s="38" t="inlineStr">
        <is>
          <t>Icy</t>
        </is>
      </c>
      <c r="S130" s="38" t="inlineStr">
        <is>
          <t>pal_129</t>
        </is>
      </c>
      <c r="T130" s="38" t="inlineStr">
        <is>
          <t>渊鹤王</t>
        </is>
      </c>
      <c r="U130" s="38" t="inlineStr">
        <is>
          <t>https://bazaar-builds.net/db/items/tropical-island.html</t>
        </is>
      </c>
      <c r="V130" s="38" t="inlineStr">
        <is>
          <t>when you slow, regen 5 → 10. at the start of each hour, get a coconut or citrus.</t>
        </is>
      </c>
      <c r="W130" s="38" t="inlineStr">
        <is>
          <t>一对一确认来源对象。</t>
        </is>
      </c>
      <c r="X130" s="385" t="inlineStr">
        <is>
          <t>hero_001</t>
        </is>
      </c>
      <c r="Y130" s="386" t="inlineStr">
        <is>
          <t>reference_reserved</t>
        </is>
      </c>
      <c r="Z130" s="386" t="inlineStr">
        <is>
          <t>property, aquatic, regen</t>
        </is>
      </c>
      <c r="AA130" s="386" t="inlineStr">
        <is>
          <t>slow</t>
        </is>
      </c>
    </row>
    <row r="131">
      <c r="A131" s="38" t="inlineStr">
        <is>
          <t>bz_van_130</t>
        </is>
      </c>
      <c r="B131" s="38" t="n">
        <v>130</v>
      </c>
      <c r="C131" s="38" t="inlineStr">
        <is>
          <t>item</t>
        </is>
      </c>
      <c r="D131" s="38" t="inlineStr">
        <is>
          <t>snapshot_vanessa_legacy_catalog_v1</t>
        </is>
      </c>
      <c r="E131" s="38" t="inlineStr">
        <is>
          <t>snapshot_the_bazaar_patch_18_0_boundary</t>
        </is>
      </c>
      <c r="F131" s="38" t="inlineStr">
        <is>
          <t>true</t>
        </is>
      </c>
      <c r="G131" s="38" t="inlineStr">
        <is>
          <t>false</t>
        </is>
      </c>
      <c r="H131" s="38" t="inlineStr">
        <is>
          <t>current_rule_match,structured_effects,quality_values,cooldown,buy_price,sell_price,ammo</t>
        </is>
      </c>
      <c r="I131" s="38" t="inlineStr">
        <is>
          <t>turtle-shell</t>
        </is>
      </c>
      <c r="J131" s="38" t="inlineStr">
        <is>
          <t>Turtle Shell</t>
        </is>
      </c>
      <c r="K131" s="38" t="inlineStr">
        <is>
          <t>gold</t>
        </is>
      </c>
      <c r="L131" s="38" t="inlineStr">
        <is>
          <t>medium</t>
        </is>
      </c>
      <c r="M131" s="38" t="inlineStr">
        <is>
          <t>aquatic, shield</t>
        </is>
      </c>
      <c r="N131" s="38" t="n">
        <v>10</v>
      </c>
      <c r="O131" s="38" t="inlineStr">
        <is>
          <t>merchant_kev-s-armory, merchant_nautica, merchant_barkun, merchant_goldie, merchant_jay-jay, merchant_kina, merchant_luxe, merchant_mittel, merchant_proteus, merchant_quixel</t>
        </is>
      </c>
      <c r="P131" s="38" t="n">
        <v>10</v>
      </c>
      <c r="Q131" s="38" t="inlineStr">
        <is>
          <t>elem_水, elem_雷, elem_冰, elem_龙, elem_无, role_召唤, role_坦克, role_控制, role_输出, tier_pT3</t>
        </is>
      </c>
      <c r="R131" s="38" t="inlineStr">
        <is>
          <t>Turbo</t>
        </is>
      </c>
      <c r="S131" s="38" t="inlineStr">
        <is>
          <t>pal_130</t>
        </is>
      </c>
      <c r="T131" s="38" t="inlineStr">
        <is>
          <t>潮甲君</t>
        </is>
      </c>
      <c r="U131" s="38" t="inlineStr">
        <is>
          <t>https://bazaar-builds.net/db/items/turtle-shell.html</t>
        </is>
      </c>
      <c r="V131" s="38" t="inlineStr">
        <is>
          <t>shield 15 your shield items gain +15 → 30 shield for the fight when you use another non-weapon item, charge this 2 seconds.</t>
        </is>
      </c>
      <c r="W131" s="38" t="inlineStr">
        <is>
          <t>一对一确认来源对象。</t>
        </is>
      </c>
      <c r="X131" s="385" t="inlineStr">
        <is>
          <t>hero_001</t>
        </is>
      </c>
      <c r="Y131" s="386" t="inlineStr">
        <is>
          <t>reference_reserved</t>
        </is>
      </c>
      <c r="Z131" s="386" t="inlineStr">
        <is>
          <t>aquatic, shield</t>
        </is>
      </c>
      <c r="AA131" s="386" t="str"/>
    </row>
    <row r="132">
      <c r="A132" s="38" t="inlineStr">
        <is>
          <t>bz_van_131</t>
        </is>
      </c>
      <c r="B132" s="38" t="n">
        <v>131</v>
      </c>
      <c r="C132" s="38" t="inlineStr">
        <is>
          <t>item</t>
        </is>
      </c>
      <c r="D132" s="38" t="inlineStr">
        <is>
          <t>snapshot_vanessa_legacy_catalog_v1</t>
        </is>
      </c>
      <c r="E132" s="38" t="inlineStr">
        <is>
          <t>snapshot_the_bazaar_patch_18_0_boundary</t>
        </is>
      </c>
      <c r="F132" s="38" t="inlineStr">
        <is>
          <t>true</t>
        </is>
      </c>
      <c r="G132" s="38" t="inlineStr">
        <is>
          <t>false</t>
        </is>
      </c>
      <c r="H132" s="38" t="inlineStr">
        <is>
          <t>current_rule_match,structured_effects,quality_values,cooldown,buy_price,sell_price,ammo</t>
        </is>
      </c>
      <c r="I132" s="38" t="inlineStr">
        <is>
          <t>vampire-squid</t>
        </is>
      </c>
      <c r="J132" s="38" t="inlineStr">
        <is>
          <t>Vampire Squid</t>
        </is>
      </c>
      <c r="K132" s="38" t="inlineStr">
        <is>
          <t>silver</t>
        </is>
      </c>
      <c r="L132" s="38" t="inlineStr">
        <is>
          <t>small</t>
        </is>
      </c>
      <c r="M132" s="38" t="inlineStr">
        <is>
          <t>aquatic, weapon, friend, damage, critreference</t>
        </is>
      </c>
      <c r="N132" s="38" t="n">
        <v>10</v>
      </c>
      <c r="O132" s="38" t="inlineStr">
        <is>
          <t>merchant_aimbot, merchant_dryad, merchant_nautica, merchant_aila, merchant_ande, merchant_goldie, merchant_jay-jay, merchant_luxe, merchant_midsworth, merchant_quixel</t>
        </is>
      </c>
      <c r="P132" s="38" t="n">
        <v>10</v>
      </c>
      <c r="Q132" s="38" t="inlineStr">
        <is>
          <t>night_base, elem_火, elem_雷, elem_地, role_召唤, role_坦克, role_控制, role_输出, tier_pT1, role_机动压制</t>
        </is>
      </c>
      <c r="R132" s="38" t="inlineStr">
        <is>
          <t>Deadly</t>
        </is>
      </c>
      <c r="S132" s="38" t="inlineStr">
        <is>
          <t>pal_131</t>
        </is>
      </c>
      <c r="T132" s="38" t="inlineStr">
        <is>
          <t>碧蜂妖</t>
        </is>
      </c>
      <c r="U132" s="38" t="inlineStr">
        <is>
          <t>https://bazaar-builds.net/db/items/vampire-squid.html</t>
        </is>
      </c>
      <c r="V132" s="38" t="inlineStr">
        <is>
          <t>deal 15 / 30 / 60 damage this has +damage equal to its crit chance.</t>
        </is>
      </c>
      <c r="W132" s="38" t="inlineStr">
        <is>
          <t>一对一确认来源对象。</t>
        </is>
      </c>
      <c r="X132" s="385" t="inlineStr">
        <is>
          <t>hero_001</t>
        </is>
      </c>
      <c r="Y132" s="386" t="inlineStr">
        <is>
          <t>reference_reserved</t>
        </is>
      </c>
      <c r="Z132" s="386" t="inlineStr">
        <is>
          <t>aquatic, weapon, friend, damage</t>
        </is>
      </c>
      <c r="AA132" s="386" t="inlineStr">
        <is>
          <t>crit</t>
        </is>
      </c>
    </row>
    <row r="133">
      <c r="A133" s="38" t="inlineStr">
        <is>
          <t>bz_van_132</t>
        </is>
      </c>
      <c r="B133" s="38" t="n">
        <v>132</v>
      </c>
      <c r="C133" s="38" t="inlineStr">
        <is>
          <t>item</t>
        </is>
      </c>
      <c r="D133" s="38" t="inlineStr">
        <is>
          <t>snapshot_vanessa_legacy_catalog_v1</t>
        </is>
      </c>
      <c r="E133" s="38" t="inlineStr">
        <is>
          <t>snapshot_the_bazaar_patch_18_0_boundary</t>
        </is>
      </c>
      <c r="F133" s="38" t="inlineStr">
        <is>
          <t>true</t>
        </is>
      </c>
      <c r="G133" s="38" t="inlineStr">
        <is>
          <t>false</t>
        </is>
      </c>
      <c r="H133" s="38" t="inlineStr">
        <is>
          <t>current_rule_match,structured_effects,quality_values,cooldown,buy_price,sell_price,ammo</t>
        </is>
      </c>
      <c r="I133" s="38" t="inlineStr">
        <is>
          <t>volcanic-vents</t>
        </is>
      </c>
      <c r="J133" s="38" t="inlineStr">
        <is>
          <t>Volcanic Vents</t>
        </is>
      </c>
      <c r="K133" s="38" t="inlineStr">
        <is>
          <t>bronze</t>
        </is>
      </c>
      <c r="L133" s="38" t="inlineStr">
        <is>
          <t>medium</t>
        </is>
      </c>
      <c r="M133" s="38" t="inlineStr">
        <is>
          <t>aquatic, burn</t>
        </is>
      </c>
      <c r="N133" s="38" t="n">
        <v>10</v>
      </c>
      <c r="O133" s="38" t="inlineStr">
        <is>
          <t>merchant_nautica, merchant_barkun, merchant_goldie, merchant_hef, merchant_jay-jay, merchant_kina, merchant_luxe, merchant_mittel, merchant_quixel, merchant_serafina</t>
        </is>
      </c>
      <c r="P133" s="38" t="n">
        <v>10</v>
      </c>
      <c r="Q133" s="38" t="inlineStr">
        <is>
          <t>elem_水, elem_雷, elem_冰, elem_无, role_召唤, role_坦克, role_控制, role_治疗, role_输出, tier_pT2</t>
        </is>
      </c>
      <c r="R133" s="38" t="inlineStr">
        <is>
          <t>Fiery</t>
        </is>
      </c>
      <c r="S133" s="38" t="inlineStr">
        <is>
          <t>pal_132</t>
        </is>
      </c>
      <c r="T133" s="38" t="inlineStr">
        <is>
          <t>烬隼童</t>
        </is>
      </c>
      <c r="U133" s="38" t="inlineStr">
        <is>
          <t>https://bazaar-builds.net/db/items/volcanic-vents.html</t>
        </is>
      </c>
      <c r="V133" s="38" t="inlineStr">
        <is>
          <t>burn 3 / 6 / 9 / 12</t>
        </is>
      </c>
      <c r="W133" s="38" t="inlineStr">
        <is>
          <t>一对一确认来源对象。</t>
        </is>
      </c>
      <c r="X133" s="385" t="inlineStr">
        <is>
          <t>hero_001</t>
        </is>
      </c>
      <c r="Y133" s="386" t="inlineStr">
        <is>
          <t>reference_reserved</t>
        </is>
      </c>
      <c r="Z133" s="386" t="inlineStr">
        <is>
          <t>aquatic, burn</t>
        </is>
      </c>
      <c r="AA133" s="386" t="str"/>
    </row>
    <row r="134">
      <c r="A134" s="38" t="inlineStr">
        <is>
          <t>bz_van_133</t>
        </is>
      </c>
      <c r="B134" s="38" t="n">
        <v>133</v>
      </c>
      <c r="C134" s="38" t="inlineStr">
        <is>
          <t>item</t>
        </is>
      </c>
      <c r="D134" s="38" t="inlineStr">
        <is>
          <t>snapshot_vanessa_legacy_catalog_v1</t>
        </is>
      </c>
      <c r="E134" s="38" t="inlineStr">
        <is>
          <t>snapshot_the_bazaar_patch_18_0_boundary</t>
        </is>
      </c>
      <c r="F134" s="38" t="inlineStr">
        <is>
          <t>true</t>
        </is>
      </c>
      <c r="G134" s="38" t="inlineStr">
        <is>
          <t>false</t>
        </is>
      </c>
      <c r="H134" s="38" t="inlineStr">
        <is>
          <t>current_rule_match,structured_effects,quality_values,cooldown,buy_price,sell_price,ammo</t>
        </is>
      </c>
      <c r="I134" s="38" t="inlineStr">
        <is>
          <t>wanted-poster</t>
        </is>
      </c>
      <c r="J134" s="38" t="inlineStr">
        <is>
          <t>Wanted Poster</t>
        </is>
      </c>
      <c r="K134" s="38" t="inlineStr">
        <is>
          <t>silver</t>
        </is>
      </c>
      <c r="L134" s="38" t="inlineStr">
        <is>
          <t>medium</t>
        </is>
      </c>
      <c r="M134" s="38" t="inlineStr">
        <is>
          <t>crit, experience</t>
        </is>
      </c>
      <c r="N134" s="38" t="n">
        <v>10</v>
      </c>
      <c r="O134" s="38" t="inlineStr">
        <is>
          <t>merchant_aimbot, merchant_barkun, merchant_goldie, merchant_jay-jay, merchant_kina, merchant_luxe, merchant_mittel, merchant_quixel, merchant_serafina, merchant_silvia</t>
        </is>
      </c>
      <c r="P134" s="38" t="n">
        <v>10</v>
      </c>
      <c r="Q134" s="38" t="inlineStr">
        <is>
          <t>elem_水, elem_雷, elem_冰, elem_无, role_召唤, role_坦克, role_控制, role_治疗, role_经济, tier_pT1</t>
        </is>
      </c>
      <c r="R134" s="38" t="inlineStr">
        <is>
          <t>Deadly</t>
        </is>
      </c>
      <c r="S134" s="38" t="inlineStr">
        <is>
          <t>pal_133</t>
        </is>
      </c>
      <c r="T134" s="38" t="inlineStr">
        <is>
          <t>雷貉卫</t>
        </is>
      </c>
      <c r="U134" s="38" t="inlineStr">
        <is>
          <t>https://bazaar-builds.net/db/items/wanted-poster.html</t>
        </is>
      </c>
      <c r="V134" s="38" t="inlineStr">
        <is>
          <t>when you win a fight against a hero, gain 1 xp. if you won the fight with this, gain 1 additional xp. your items have +10 / 20 / 30% crit chance.</t>
        </is>
      </c>
      <c r="W134" s="38" t="inlineStr">
        <is>
          <t>一对一确认来源对象。</t>
        </is>
      </c>
      <c r="X134" s="385" t="inlineStr">
        <is>
          <t>hero_001</t>
        </is>
      </c>
      <c r="Y134" s="386" t="inlineStr">
        <is>
          <t>reference_reserved</t>
        </is>
      </c>
      <c r="Z134" s="386" t="inlineStr">
        <is>
          <t>crit, experience</t>
        </is>
      </c>
      <c r="AA134" s="386" t="str"/>
    </row>
    <row r="135">
      <c r="A135" s="38" t="inlineStr">
        <is>
          <t>bz_van_134</t>
        </is>
      </c>
      <c r="B135" s="38" t="n">
        <v>134</v>
      </c>
      <c r="C135" s="38" t="inlineStr">
        <is>
          <t>item</t>
        </is>
      </c>
      <c r="D135" s="38" t="inlineStr">
        <is>
          <t>snapshot_vanessa_legacy_catalog_v1</t>
        </is>
      </c>
      <c r="E135" s="38" t="inlineStr">
        <is>
          <t>snapshot_the_bazaar_patch_18_0_boundary</t>
        </is>
      </c>
      <c r="F135" s="38" t="inlineStr">
        <is>
          <t>true</t>
        </is>
      </c>
      <c r="G135" s="38" t="inlineStr">
        <is>
          <t>false</t>
        </is>
      </c>
      <c r="H135" s="38" t="inlineStr">
        <is>
          <t>current_rule_match,structured_effects,quality_values,cooldown,buy_price,sell_price,ammo</t>
        </is>
      </c>
      <c r="I135" s="38" t="inlineStr">
        <is>
          <t>water-wheel</t>
        </is>
      </c>
      <c r="J135" s="38" t="inlineStr">
        <is>
          <t>Water Wheel</t>
        </is>
      </c>
      <c r="K135" s="38" t="inlineStr">
        <is>
          <t>silver</t>
        </is>
      </c>
      <c r="L135" s="38" t="inlineStr">
        <is>
          <t>large</t>
        </is>
      </c>
      <c r="M135" s="38" t="inlineStr">
        <is>
          <t>aquatic, property, haste</t>
        </is>
      </c>
      <c r="N135" s="38" t="n">
        <v>10</v>
      </c>
      <c r="O135" s="38" t="inlineStr">
        <is>
          <t>merchant_nautica, merchant_tok-s-clocks, merchant_barkun, merchant_chronos, merchant_goldie, merchant_jay-jay, merchant_kina, merchant_luxe, merchant_midsworth, merchant_mr-morland</t>
        </is>
      </c>
      <c r="P135" s="38" t="n">
        <v>10</v>
      </c>
      <c r="Q135" s="38" t="inlineStr">
        <is>
          <t>elem_水, elem_雷, elem_冰, elem_地, elem_暗, role_坦克, role_控制, role_输出, special_merchant, elite_high</t>
        </is>
      </c>
      <c r="R135" s="38" t="inlineStr">
        <is>
          <t>Turbo</t>
        </is>
      </c>
      <c r="S135" s="38" t="inlineStr">
        <is>
          <t>pal_134</t>
        </is>
      </c>
      <c r="T135" s="38" t="inlineStr">
        <is>
          <t>沧雀卫</t>
        </is>
      </c>
      <c r="U135" s="38" t="inlineStr">
        <is>
          <t>https://bazaar-builds.net/db/items/water-wheel.html</t>
        </is>
      </c>
      <c r="V135" s="38" t="inlineStr">
        <is>
          <t>haste your other items for 2 seconds when you use an adjacent item, charge this 2 seconds.</t>
        </is>
      </c>
      <c r="W135" s="38" t="inlineStr">
        <is>
          <t>一对一确认来源对象。</t>
        </is>
      </c>
      <c r="X135" s="385" t="inlineStr">
        <is>
          <t>hero_001</t>
        </is>
      </c>
      <c r="Y135" s="386" t="inlineStr">
        <is>
          <t>reference_reserved</t>
        </is>
      </c>
      <c r="Z135" s="386" t="inlineStr">
        <is>
          <t>aquatic, property, haste</t>
        </is>
      </c>
      <c r="AA135" s="386" t="str"/>
    </row>
    <row r="136">
      <c r="A136" s="38" t="inlineStr">
        <is>
          <t>bz_van_135</t>
        </is>
      </c>
      <c r="B136" s="38" t="n">
        <v>135</v>
      </c>
      <c r="C136" s="38" t="inlineStr">
        <is>
          <t>item</t>
        </is>
      </c>
      <c r="D136" s="38" t="inlineStr">
        <is>
          <t>snapshot_vanessa_legacy_catalog_v1</t>
        </is>
      </c>
      <c r="E136" s="38" t="inlineStr">
        <is>
          <t>snapshot_the_bazaar_patch_18_0_boundary</t>
        </is>
      </c>
      <c r="F136" s="38" t="inlineStr">
        <is>
          <t>true</t>
        </is>
      </c>
      <c r="G136" s="38" t="inlineStr">
        <is>
          <t>false</t>
        </is>
      </c>
      <c r="H136" s="38" t="inlineStr">
        <is>
          <t>current_rule_match,structured_effects,quality_values,cooldown,buy_price,sell_price,ammo</t>
        </is>
      </c>
      <c r="I136" s="38" t="inlineStr">
        <is>
          <t>weather-glass</t>
        </is>
      </c>
      <c r="J136" s="38" t="inlineStr">
        <is>
          <t>Weather Glass</t>
        </is>
      </c>
      <c r="K136" s="38" t="inlineStr">
        <is>
          <t>silver</t>
        </is>
      </c>
      <c r="L136" s="38" t="inlineStr">
        <is>
          <t>medium</t>
        </is>
      </c>
      <c r="M136" s="38" t="inlineStr">
        <is>
          <t>tool, burn, poison, slowreference, freezereference</t>
        </is>
      </c>
      <c r="N136" s="38" t="n">
        <v>10</v>
      </c>
      <c r="O136" s="38" t="inlineStr">
        <is>
          <t>merchant_tok-s-clocks, merchant_barkun, merchant_cobweb, merchant_freiya, merchant_goldie, merchant_hef, merchant_jay-jay, merchant_kina, merchant_knightshade, merchant_luxe</t>
        </is>
      </c>
      <c r="P136" s="38" t="n">
        <v>10</v>
      </c>
      <c r="Q136" s="38" t="inlineStr">
        <is>
          <t>elem_水, elem_雷, elem_冰, role_坦克, role_控制, special_merchant, tier_pT2, role_召唤铺场, role_风系牵制, role_火系压制</t>
        </is>
      </c>
      <c r="R136" s="38" t="inlineStr">
        <is>
          <t>Fiery</t>
        </is>
      </c>
      <c r="S136" s="38" t="inlineStr">
        <is>
          <t>pal_135</t>
        </is>
      </c>
      <c r="T136" s="38" t="inlineStr">
        <is>
          <t>赤蝎精</t>
        </is>
      </c>
      <c r="U136" s="38" t="inlineStr">
        <is>
          <t>https://bazaar-builds.net/db/items/weather-glass.html</t>
        </is>
      </c>
      <c r="V136" s="38" t="inlineStr">
        <is>
          <t>burn 4 poison 4 if you have another item with burn, poison, slow, or freeze, this has +1 multicast for each.</t>
        </is>
      </c>
      <c r="W136" s="38" t="inlineStr">
        <is>
          <t>一对一确认来源对象。</t>
        </is>
      </c>
      <c r="X136" s="385" t="inlineStr">
        <is>
          <t>hero_001</t>
        </is>
      </c>
      <c r="Y136" s="386" t="inlineStr">
        <is>
          <t>reference_reserved</t>
        </is>
      </c>
      <c r="Z136" s="386" t="inlineStr">
        <is>
          <t>tool, burn, poison</t>
        </is>
      </c>
      <c r="AA136" s="386" t="inlineStr">
        <is>
          <t>slow, freeze</t>
        </is>
      </c>
    </row>
    <row r="137">
      <c r="A137" s="38" t="inlineStr">
        <is>
          <t>bz_van_136</t>
        </is>
      </c>
      <c r="B137" s="38" t="n">
        <v>136</v>
      </c>
      <c r="C137" s="38" t="inlineStr">
        <is>
          <t>item</t>
        </is>
      </c>
      <c r="D137" s="38" t="inlineStr">
        <is>
          <t>snapshot_vanessa_legacy_catalog_v1</t>
        </is>
      </c>
      <c r="E137" s="38" t="inlineStr">
        <is>
          <t>snapshot_the_bazaar_patch_18_0_boundary</t>
        </is>
      </c>
      <c r="F137" s="38" t="inlineStr">
        <is>
          <t>true</t>
        </is>
      </c>
      <c r="G137" s="38" t="inlineStr">
        <is>
          <t>false</t>
        </is>
      </c>
      <c r="H137" s="38" t="inlineStr">
        <is>
          <t>current_rule_match,structured_effects,quality_values,cooldown,buy_price,sell_price,ammo</t>
        </is>
      </c>
      <c r="I137" s="38" t="inlineStr">
        <is>
          <t>wetware</t>
        </is>
      </c>
      <c r="J137" s="38" t="inlineStr">
        <is>
          <t>Wetware</t>
        </is>
      </c>
      <c r="K137" s="38" t="inlineStr">
        <is>
          <t>bronze</t>
        </is>
      </c>
      <c r="L137" s="38" t="inlineStr">
        <is>
          <t>medium</t>
        </is>
      </c>
      <c r="M137" s="38" t="inlineStr">
        <is>
          <t>aquatic, apparel, tech, shield, techreference, damagereference</t>
        </is>
      </c>
      <c r="N137" s="38" t="n">
        <v>10</v>
      </c>
      <c r="O137" s="38" t="inlineStr">
        <is>
          <t>merchant_kev-s-armory, merchant_nautica, merchant_the-tester, merchant_barkun, merchant_gaseo, merchant_goldie, merchant_jay-jay, merchant_kina, merchant_luxe, merchant_mittel</t>
        </is>
      </c>
      <c r="P137" s="38" t="n">
        <v>10</v>
      </c>
      <c r="Q137" s="38" t="inlineStr">
        <is>
          <t>elem_水, elem_雷, elem_冰, elem_无, role_坦克, role_控制, role_输出, tier_pT3, role_抗压承伤, role_重甲抗压</t>
        </is>
      </c>
      <c r="R137" s="38" t="inlineStr">
        <is>
          <t>Turbo</t>
        </is>
      </c>
      <c r="S137" s="38" t="inlineStr">
        <is>
          <t>pal_136</t>
        </is>
      </c>
      <c r="T137" s="38" t="inlineStr">
        <is>
          <t>沧熊童</t>
        </is>
      </c>
      <c r="U137" s="38" t="inlineStr">
        <is>
          <t>https://bazaar-builds.net/db/items/wetware.html</t>
        </is>
      </c>
      <c r="V137" s="38" t="inlineStr">
        <is>
          <t>shield 10 when you use a weapon, this gains +15 / 25 / 35 / 45 shield for the fight. if you have another tech item, this item's cooldown is reduced by 2 seconds.</t>
        </is>
      </c>
      <c r="W137" s="38" t="inlineStr">
        <is>
          <t>一对一确认来源对象。</t>
        </is>
      </c>
      <c r="X137" s="385" t="inlineStr">
        <is>
          <t>hero_001</t>
        </is>
      </c>
      <c r="Y137" s="386" t="inlineStr">
        <is>
          <t>reference_reserved</t>
        </is>
      </c>
      <c r="Z137" s="386" t="inlineStr">
        <is>
          <t>aquatic, apparel, tech, shield</t>
        </is>
      </c>
      <c r="AA137" s="386" t="inlineStr">
        <is>
          <t>tech, damage</t>
        </is>
      </c>
    </row>
    <row r="138">
      <c r="A138" s="38" t="inlineStr">
        <is>
          <t>bz_van_137</t>
        </is>
      </c>
      <c r="B138" s="38" t="n">
        <v>137</v>
      </c>
      <c r="C138" s="38" t="inlineStr">
        <is>
          <t>item</t>
        </is>
      </c>
      <c r="D138" s="38" t="inlineStr">
        <is>
          <t>snapshot_vanessa_legacy_catalog_v1</t>
        </is>
      </c>
      <c r="E138" s="38" t="inlineStr">
        <is>
          <t>snapshot_the_bazaar_patch_18_0_boundary</t>
        </is>
      </c>
      <c r="F138" s="38" t="inlineStr">
        <is>
          <t>true</t>
        </is>
      </c>
      <c r="G138" s="38" t="inlineStr">
        <is>
          <t>false</t>
        </is>
      </c>
      <c r="H138" s="38" t="inlineStr">
        <is>
          <t>current_rule_match,structured_effects,quality_values,cooldown,buy_price,sell_price,ammo</t>
        </is>
      </c>
      <c r="I138" s="38" t="inlineStr">
        <is>
          <t>yeti-crab</t>
        </is>
      </c>
      <c r="J138" s="38" t="inlineStr">
        <is>
          <t>Yeti Crab</t>
        </is>
      </c>
      <c r="K138" s="38" t="inlineStr">
        <is>
          <t>bronze</t>
        </is>
      </c>
      <c r="L138" s="38" t="inlineStr">
        <is>
          <t>small</t>
        </is>
      </c>
      <c r="M138" s="38" t="inlineStr">
        <is>
          <t>aquatic, friend, freeze, poisonreference</t>
        </is>
      </c>
      <c r="N138" s="38" t="n">
        <v>10</v>
      </c>
      <c r="O138" s="38" t="inlineStr">
        <is>
          <t>merchant_dryad, merchant_nautica, merchant_ande, merchant_freiya, merchant_goldie, merchant_jay-jay, merchant_kina, merchant_knightshade, merchant_luxe, merchant_midsworth</t>
        </is>
      </c>
      <c r="P138" s="38" t="n">
        <v>10</v>
      </c>
      <c r="Q138" s="38" t="inlineStr">
        <is>
          <t>elem_火, elem_雷, elem_冰, elem_地, role_坦克, role_控制, role_输出, role_机动压制, role_风系牵制, role_火系压制</t>
        </is>
      </c>
      <c r="R138" s="38" t="inlineStr">
        <is>
          <t>Icy</t>
        </is>
      </c>
      <c r="S138" s="38" t="inlineStr">
        <is>
          <t>pal_137</t>
        </is>
      </c>
      <c r="T138" s="38" t="inlineStr">
        <is>
          <t>雪貂童</t>
        </is>
      </c>
      <c r="U138" s="38" t="inlineStr">
        <is>
          <t>https://bazaar-builds.net/db/items/yeti-crab.html</t>
        </is>
      </c>
      <c r="V138" s="38" t="inlineStr">
        <is>
          <t>freeze an item for 1 second when you freeze, adjacent poison items gain +2 / 4 / 6 / 8 poison for the fight.</t>
        </is>
      </c>
      <c r="W138" s="38" t="inlineStr">
        <is>
          <t>一对一确认来源对象。</t>
        </is>
      </c>
      <c r="X138" s="385" t="inlineStr">
        <is>
          <t>hero_001</t>
        </is>
      </c>
      <c r="Y138" s="386" t="inlineStr">
        <is>
          <t>reference_reserved</t>
        </is>
      </c>
      <c r="Z138" s="386" t="inlineStr">
        <is>
          <t>aquatic, friend, freeze</t>
        </is>
      </c>
      <c r="AA138" s="386" t="inlineStr">
        <is>
          <t>poison</t>
        </is>
      </c>
    </row>
    <row r="139">
      <c r="A139" s="38" t="inlineStr">
        <is>
          <t>bz_van_138</t>
        </is>
      </c>
      <c r="B139" s="38" t="n">
        <v>138</v>
      </c>
      <c r="C139" s="38" t="inlineStr">
        <is>
          <t>item</t>
        </is>
      </c>
      <c r="D139" s="38" t="inlineStr">
        <is>
          <t>snapshot_vanessa_legacy_catalog_v1</t>
        </is>
      </c>
      <c r="E139" s="38" t="inlineStr">
        <is>
          <t>snapshot_the_bazaar_patch_18_0_boundary</t>
        </is>
      </c>
      <c r="F139" s="38" t="inlineStr">
        <is>
          <t>true</t>
        </is>
      </c>
      <c r="G139" s="38" t="inlineStr">
        <is>
          <t>false</t>
        </is>
      </c>
      <c r="H139" s="38" t="inlineStr">
        <is>
          <t>current_rule_match,structured_effects,quality_values,cooldown,buy_price,sell_price,ammo</t>
        </is>
      </c>
      <c r="I139" s="38" t="inlineStr">
        <is>
          <t>zoarcid</t>
        </is>
      </c>
      <c r="J139" s="38" t="inlineStr">
        <is>
          <t>Zoarcid</t>
        </is>
      </c>
      <c r="K139" s="38" t="inlineStr">
        <is>
          <t>bronze</t>
        </is>
      </c>
      <c r="L139" s="38" t="inlineStr">
        <is>
          <t>small</t>
        </is>
      </c>
      <c r="M139" s="38" t="inlineStr">
        <is>
          <t>aquatic, weapon, friend, damage, haste, burnreference</t>
        </is>
      </c>
      <c r="N139" s="38" t="n">
        <v>10</v>
      </c>
      <c r="O139" s="38" t="inlineStr">
        <is>
          <t>merchant_dryad, merchant_nautica, merchant_tok-s-clocks, merchant_aila, merchant_ande, merchant_chronos, merchant_goldie, merchant_hef, merchant_jay-jay, merchant_luxe</t>
        </is>
      </c>
      <c r="P139" s="38" t="n">
        <v>10</v>
      </c>
      <c r="Q139" s="38" t="inlineStr">
        <is>
          <t>night_base, elem_火, elem_雷, role_坦克, role_控制, role_输出, special_merchant, elite_high, tier_pT2, role_机动压制</t>
        </is>
      </c>
      <c r="R139" s="38" t="inlineStr">
        <is>
          <t>Fiery</t>
        </is>
      </c>
      <c r="S139" s="38" t="inlineStr">
        <is>
          <t>pal_138</t>
        </is>
      </c>
      <c r="T139" s="38" t="inlineStr">
        <is>
          <t>烬蜂童</t>
        </is>
      </c>
      <c r="U139" s="38" t="inlineStr">
        <is>
          <t>https://bazaar-builds.net/db/items/zoarcid.html</t>
        </is>
      </c>
      <c r="V139" s="38" t="inlineStr">
        <is>
          <t>deal 20 damage haste adjacent items for 2 seconds when you burn, charge this 1 second.</t>
        </is>
      </c>
      <c r="W139" s="38" t="inlineStr">
        <is>
          <t>一对一确认来源对象。</t>
        </is>
      </c>
      <c r="X139" s="385" t="inlineStr">
        <is>
          <t>hero_001</t>
        </is>
      </c>
      <c r="Y139" s="386" t="inlineStr">
        <is>
          <t>reference_reserved</t>
        </is>
      </c>
      <c r="Z139" s="386" t="inlineStr">
        <is>
          <t>aquatic, weapon, friend, damage, haste</t>
        </is>
      </c>
      <c r="AA139" s="386" t="inlineStr">
        <is>
          <t>burn</t>
        </is>
      </c>
    </row>
    <row r="140">
      <c r="A140" s="38" t="inlineStr">
        <is>
          <t>bz_van_139</t>
        </is>
      </c>
      <c r="B140" s="38" t="n">
        <v>139</v>
      </c>
      <c r="C140" s="38" t="inlineStr">
        <is>
          <t>skill</t>
        </is>
      </c>
      <c r="D140" s="38" t="inlineStr">
        <is>
          <t>snapshot_vanessa_legacy_catalog_v1</t>
        </is>
      </c>
      <c r="E140" s="38" t="inlineStr">
        <is>
          <t>snapshot_the_bazaar_patch_18_0_boundary</t>
        </is>
      </c>
      <c r="F140" s="38" t="inlineStr">
        <is>
          <t>true</t>
        </is>
      </c>
      <c r="G140" s="38" t="inlineStr">
        <is>
          <t>false</t>
        </is>
      </c>
      <c r="H140" s="38" t="inlineStr">
        <is>
          <t>current_rule_match,structured_trigger,structured_effects,quality_values,owner_scope,trainer_availability</t>
        </is>
      </c>
      <c r="I140" s="38" t="inlineStr">
        <is>
          <t>alacrity</t>
        </is>
      </c>
      <c r="J140" s="38" t="inlineStr">
        <is>
          <t>Alacrity</t>
        </is>
      </c>
      <c r="K140" s="38" t="inlineStr">
        <is>
          <t>gold</t>
        </is>
      </c>
      <c r="L140" s="38" t="inlineStr">
        <is>
          <t>medium</t>
        </is>
      </c>
      <c r="M140" s="38" t="inlineStr">
        <is>
          <t>charge, critreference</t>
        </is>
      </c>
      <c r="N140" s="38" t="n">
        <v>5</v>
      </c>
      <c r="O140" s="38" t="inlineStr">
        <is>
          <t>trainer_adira, trainer_nufu, trainer_orlin, trainer_vermir, trainer_zara</t>
        </is>
      </c>
      <c r="P140" s="38" t="n">
        <v>5</v>
      </c>
      <c r="Q140" s="38" t="inlineStr">
        <is>
          <t>elem_水, elem_龙, elem_无, role_召唤, special_merchant</t>
        </is>
      </c>
      <c r="R140" s="38" t="inlineStr">
        <is>
          <t>Turbo</t>
        </is>
      </c>
      <c r="S140" s="38" t="inlineStr">
        <is>
          <t>pal_139</t>
        </is>
      </c>
      <c r="T140" s="38" t="inlineStr">
        <is>
          <t>雷鲭王</t>
        </is>
      </c>
      <c r="U140" s="38" t="inlineStr">
        <is>
          <t>https://bazaar-builds.net/db/skills/alacrity.html</t>
        </is>
      </c>
      <c r="V140" s="38" t="inlineStr">
        <is>
          <t>the first 5 → 10 times you crit each fight, charge an item 1 second.</t>
        </is>
      </c>
      <c r="W140" s="38" t="inlineStr">
        <is>
          <t>一对一确认来源对象。</t>
        </is>
      </c>
      <c r="X140" s="385" t="str"/>
      <c r="Y140" s="386" t="inlineStr">
        <is>
          <t>reference_reserved</t>
        </is>
      </c>
      <c r="Z140" s="386" t="str"/>
      <c r="AA140" s="386" t="str"/>
    </row>
    <row r="141">
      <c r="A141" s="38" t="inlineStr">
        <is>
          <t>bz_van_140</t>
        </is>
      </c>
      <c r="B141" s="38" t="n">
        <v>140</v>
      </c>
      <c r="C141" s="38" t="inlineStr">
        <is>
          <t>skill</t>
        </is>
      </c>
      <c r="D141" s="38" t="inlineStr">
        <is>
          <t>snapshot_vanessa_legacy_catalog_v1</t>
        </is>
      </c>
      <c r="E141" s="38" t="inlineStr">
        <is>
          <t>snapshot_the_bazaar_patch_18_0_boundary</t>
        </is>
      </c>
      <c r="F141" s="38" t="inlineStr">
        <is>
          <t>true</t>
        </is>
      </c>
      <c r="G141" s="38" t="inlineStr">
        <is>
          <t>false</t>
        </is>
      </c>
      <c r="H141" s="38" t="inlineStr">
        <is>
          <t>current_rule_match,structured_trigger,structured_effects,quality_values,owner_scope,trainer_availability</t>
        </is>
      </c>
      <c r="I141" s="38" t="inlineStr">
        <is>
          <t>arbitrage</t>
        </is>
      </c>
      <c r="J141" s="38" t="inlineStr">
        <is>
          <t>Arbitrage</t>
        </is>
      </c>
      <c r="K141" s="38" t="inlineStr">
        <is>
          <t>silver</t>
        </is>
      </c>
      <c r="L141" s="38" t="inlineStr">
        <is>
          <t>medium</t>
        </is>
      </c>
      <c r="M141" s="38" t="inlineStr">
        <is>
          <t>economyreference</t>
        </is>
      </c>
      <c r="N141" s="38" t="n">
        <v>4</v>
      </c>
      <c r="O141" s="38" t="inlineStr">
        <is>
          <t>trainer_adira, trainer_argenta, trainer_nufu, trainer_orlin</t>
        </is>
      </c>
      <c r="P141" s="38" t="n">
        <v>4</v>
      </c>
      <c r="Q141" s="38" t="inlineStr">
        <is>
          <t>elem_水, elem_雷, elem_龙, elem_无</t>
        </is>
      </c>
      <c r="R141" s="38" t="inlineStr">
        <is>
          <t>Golden</t>
        </is>
      </c>
      <c r="S141" s="38" t="inlineStr">
        <is>
          <t>pal_140</t>
        </is>
      </c>
      <c r="T141" s="38" t="inlineStr">
        <is>
          <t>冥雀卫</t>
        </is>
      </c>
      <c r="U141" s="38" t="inlineStr">
        <is>
          <t>https://bazaar-builds.net/db/skills/arbitrage.html</t>
        </is>
      </c>
      <c r="V141" s="38" t="inlineStr">
        <is>
          <t>your rerolls cost 1 / 2 / 3 less gold.</t>
        </is>
      </c>
      <c r="W141" s="38" t="inlineStr">
        <is>
          <t>一对一确认来源对象。</t>
        </is>
      </c>
      <c r="X141" s="385" t="str"/>
      <c r="Y141" s="386" t="inlineStr">
        <is>
          <t>reference_reserved</t>
        </is>
      </c>
      <c r="Z141" s="386" t="str"/>
      <c r="AA141" s="386" t="str"/>
    </row>
    <row r="142">
      <c r="A142" s="38" t="inlineStr">
        <is>
          <t>bz_van_141</t>
        </is>
      </c>
      <c r="B142" s="38" t="n">
        <v>141</v>
      </c>
      <c r="C142" s="38" t="inlineStr">
        <is>
          <t>skill</t>
        </is>
      </c>
      <c r="D142" s="38" t="inlineStr">
        <is>
          <t>snapshot_vanessa_legacy_catalog_v1</t>
        </is>
      </c>
      <c r="E142" s="38" t="inlineStr">
        <is>
          <t>snapshot_the_bazaar_patch_18_0_boundary</t>
        </is>
      </c>
      <c r="F142" s="38" t="inlineStr">
        <is>
          <t>true</t>
        </is>
      </c>
      <c r="G142" s="38" t="inlineStr">
        <is>
          <t>false</t>
        </is>
      </c>
      <c r="H142" s="38" t="inlineStr">
        <is>
          <t>current_rule_match,structured_trigger,structured_effects,quality_values,owner_scope,trainer_availability</t>
        </is>
      </c>
      <c r="I142" s="38" t="inlineStr">
        <is>
          <t>arms-dealer</t>
        </is>
      </c>
      <c r="J142" s="38" t="inlineStr">
        <is>
          <t>Arms Dealer</t>
        </is>
      </c>
      <c r="K142" s="38" t="inlineStr">
        <is>
          <t>bronze</t>
        </is>
      </c>
      <c r="L142" s="38" t="inlineStr">
        <is>
          <t>medium</t>
        </is>
      </c>
      <c r="M142" s="38" t="inlineStr">
        <is>
          <t>weapon, health</t>
        </is>
      </c>
      <c r="N142" s="38" t="n">
        <v>6</v>
      </c>
      <c r="O142" s="38" t="inlineStr">
        <is>
          <t>trainer_adira, trainer_argenta, trainer_nufu, trainer_orlin, trainer_regenald, trainer_ryukon</t>
        </is>
      </c>
      <c r="P142" s="38" t="n">
        <v>6</v>
      </c>
      <c r="Q142" s="38" t="inlineStr">
        <is>
          <t>elem_水, elem_雷, elem_龙, elem_无, role_坦克, tier_pT2</t>
        </is>
      </c>
      <c r="R142" s="38" t="inlineStr">
        <is>
          <t>Restorative</t>
        </is>
      </c>
      <c r="S142" s="38" t="inlineStr">
        <is>
          <t>pal_141</t>
        </is>
      </c>
      <c r="T142" s="38" t="inlineStr">
        <is>
          <t>沧鸾仔</t>
        </is>
      </c>
      <c r="U142" s="38" t="inlineStr">
        <is>
          <t>https://bazaar-builds.net/db/skills/arms-dealer.html</t>
        </is>
      </c>
      <c r="V142" s="38" t="inlineStr">
        <is>
          <t>when you buy a weapon, gain 10 / 20 / 30 / 40 max health.</t>
        </is>
      </c>
      <c r="W142" s="38" t="inlineStr">
        <is>
          <t>一对一确认来源对象。</t>
        </is>
      </c>
      <c r="X142" s="385" t="str"/>
      <c r="Y142" s="386" t="inlineStr">
        <is>
          <t>reference_reserved</t>
        </is>
      </c>
      <c r="Z142" s="386" t="str"/>
      <c r="AA142" s="386" t="str"/>
    </row>
    <row r="143">
      <c r="A143" s="38" t="inlineStr">
        <is>
          <t>bz_van_142</t>
        </is>
      </c>
      <c r="B143" s="38" t="n">
        <v>142</v>
      </c>
      <c r="C143" s="38" t="inlineStr">
        <is>
          <t>skill</t>
        </is>
      </c>
      <c r="D143" s="38" t="inlineStr">
        <is>
          <t>snapshot_vanessa_legacy_catalog_v1</t>
        </is>
      </c>
      <c r="E143" s="38" t="inlineStr">
        <is>
          <t>snapshot_the_bazaar_patch_18_0_boundary</t>
        </is>
      </c>
      <c r="F143" s="38" t="inlineStr">
        <is>
          <t>true</t>
        </is>
      </c>
      <c r="G143" s="38" t="inlineStr">
        <is>
          <t>false</t>
        </is>
      </c>
      <c r="H143" s="38" t="inlineStr">
        <is>
          <t>current_rule_match,structured_trigger,structured_effects,quality_values,owner_scope,trainer_availability</t>
        </is>
      </c>
      <c r="I143" s="38" t="inlineStr">
        <is>
          <t>artillery-spotter</t>
        </is>
      </c>
      <c r="J143" s="38" t="inlineStr">
        <is>
          <t>Artillery Spotter</t>
        </is>
      </c>
      <c r="K143" s="38" t="inlineStr">
        <is>
          <t>bronze</t>
        </is>
      </c>
      <c r="L143" s="38" t="inlineStr">
        <is>
          <t>medium</t>
        </is>
      </c>
      <c r="M143" s="38" t="inlineStr">
        <is>
          <t>crit</t>
        </is>
      </c>
      <c r="N143" s="38" t="n">
        <v>5</v>
      </c>
      <c r="O143" s="38" t="inlineStr">
        <is>
          <t>trainer_adira, trainer_argenta, trainer_nufu, trainer_orlin, trainer_vermir</t>
        </is>
      </c>
      <c r="P143" s="38" t="n">
        <v>5</v>
      </c>
      <c r="Q143" s="38" t="inlineStr">
        <is>
          <t>elem_水, elem_雷, elem_龙, elem_无, role_召唤</t>
        </is>
      </c>
      <c r="R143" s="38" t="inlineStr">
        <is>
          <t>Deadly</t>
        </is>
      </c>
      <c r="S143" s="38" t="inlineStr">
        <is>
          <t>pal_142</t>
        </is>
      </c>
      <c r="T143" s="38" t="inlineStr">
        <is>
          <t>霆螳灵</t>
        </is>
      </c>
      <c r="U143" s="38" t="inlineStr">
        <is>
          <t>https://bazaar-builds.net/db/skills/artillery-spotter.html</t>
        </is>
      </c>
      <c r="V143" s="38" t="inlineStr">
        <is>
          <t>if you have 5 or fewer items, your items have +10 / 20 / 30 / 40% crit chance.</t>
        </is>
      </c>
      <c r="W143" s="38" t="inlineStr">
        <is>
          <t>一对一确认来源对象。</t>
        </is>
      </c>
      <c r="X143" s="385" t="str"/>
      <c r="Y143" s="386" t="inlineStr">
        <is>
          <t>reference_reserved</t>
        </is>
      </c>
      <c r="Z143" s="386" t="str"/>
      <c r="AA143" s="386" t="str"/>
    </row>
    <row r="144">
      <c r="A144" s="38" t="inlineStr">
        <is>
          <t>bz_van_143</t>
        </is>
      </c>
      <c r="B144" s="38" t="n">
        <v>143</v>
      </c>
      <c r="C144" s="38" t="inlineStr">
        <is>
          <t>skill</t>
        </is>
      </c>
      <c r="D144" s="38" t="inlineStr">
        <is>
          <t>snapshot_vanessa_legacy_catalog_v1</t>
        </is>
      </c>
      <c r="E144" s="38" t="inlineStr">
        <is>
          <t>snapshot_the_bazaar_patch_18_0_boundary</t>
        </is>
      </c>
      <c r="F144" s="38" t="inlineStr">
        <is>
          <t>true</t>
        </is>
      </c>
      <c r="G144" s="38" t="inlineStr">
        <is>
          <t>false</t>
        </is>
      </c>
      <c r="H144" s="38" t="inlineStr">
        <is>
          <t>current_rule_match,structured_trigger,structured_effects,quality_values,owner_scope,trainer_availability</t>
        </is>
      </c>
      <c r="I144" s="38" t="inlineStr">
        <is>
          <t>balanced-friendship</t>
        </is>
      </c>
      <c r="J144" s="38" t="inlineStr">
        <is>
          <t>Balanced Friendship</t>
        </is>
      </c>
      <c r="K144" s="38" t="inlineStr">
        <is>
          <t>silver</t>
        </is>
      </c>
      <c r="L144" s="38" t="inlineStr">
        <is>
          <t>medium</t>
        </is>
      </c>
      <c r="M144" s="38" t="inlineStr">
        <is>
          <t>friend, shieldreference, damagereference</t>
        </is>
      </c>
      <c r="N144" s="38" t="n">
        <v>5</v>
      </c>
      <c r="O144" s="38" t="inlineStr">
        <is>
          <t>trainer_adira, trainer_argenta, trainer_fortis, trainer_nufu, trainer_orlin</t>
        </is>
      </c>
      <c r="P144" s="38" t="n">
        <v>5</v>
      </c>
      <c r="Q144" s="38" t="inlineStr">
        <is>
          <t>elem_水, elem_雷, elem_龙, elem_无, role_召唤铺场</t>
        </is>
      </c>
      <c r="R144" s="38" t="inlineStr">
        <is>
          <t>Shielded</t>
        </is>
      </c>
      <c r="S144" s="38" t="inlineStr">
        <is>
          <t>pal_143</t>
        </is>
      </c>
      <c r="T144" s="38" t="inlineStr">
        <is>
          <t>山熊卫</t>
        </is>
      </c>
      <c r="U144" s="38" t="inlineStr">
        <is>
          <t>https://bazaar-builds.net/db/skills/balanced-friendship.html</t>
        </is>
      </c>
      <c r="V144" s="38" t="inlineStr">
        <is>
          <t>when you use a friend, your weapons gain +2 / 4 / 6 damage and shield items gain +2 / 4 / 6 shield for the fight.</t>
        </is>
      </c>
      <c r="W144" s="38" t="inlineStr">
        <is>
          <t>一对一确认来源对象。</t>
        </is>
      </c>
      <c r="X144" s="385" t="str"/>
      <c r="Y144" s="386" t="inlineStr">
        <is>
          <t>reference_reserved</t>
        </is>
      </c>
      <c r="Z144" s="386" t="str"/>
      <c r="AA144" s="386" t="str"/>
    </row>
    <row r="145">
      <c r="A145" s="38" t="inlineStr">
        <is>
          <t>bz_van_144</t>
        </is>
      </c>
      <c r="B145" s="38" t="n">
        <v>144</v>
      </c>
      <c r="C145" s="38" t="inlineStr">
        <is>
          <t>skill</t>
        </is>
      </c>
      <c r="D145" s="38" t="inlineStr">
        <is>
          <t>snapshot_vanessa_legacy_catalog_v1</t>
        </is>
      </c>
      <c r="E145" s="38" t="inlineStr">
        <is>
          <t>snapshot_the_bazaar_patch_18_0_boundary</t>
        </is>
      </c>
      <c r="F145" s="38" t="inlineStr">
        <is>
          <t>true</t>
        </is>
      </c>
      <c r="G145" s="38" t="inlineStr">
        <is>
          <t>false</t>
        </is>
      </c>
      <c r="H145" s="38" t="inlineStr">
        <is>
          <t>current_rule_match,structured_trigger,structured_effects,quality_values,owner_scope,trainer_availability</t>
        </is>
      </c>
      <c r="I145" s="38" t="inlineStr">
        <is>
          <t>barnacle-crusted</t>
        </is>
      </c>
      <c r="J145" s="38" t="inlineStr">
        <is>
          <t>Barnacle Crusted</t>
        </is>
      </c>
      <c r="K145" s="38" t="inlineStr">
        <is>
          <t>gold</t>
        </is>
      </c>
      <c r="L145" s="38" t="inlineStr">
        <is>
          <t>medium</t>
        </is>
      </c>
      <c r="M145" s="38" t="inlineStr">
        <is>
          <t>aquatic, cooldown</t>
        </is>
      </c>
      <c r="N145" s="38" t="n">
        <v>4</v>
      </c>
      <c r="O145" s="38" t="inlineStr">
        <is>
          <t>trainer_adira, trainer_nufu, trainer_old-zane, trainer_orlin</t>
        </is>
      </c>
      <c r="P145" s="38" t="n">
        <v>4</v>
      </c>
      <c r="Q145" s="38" t="inlineStr">
        <is>
          <t>elem_水, elem_地, elem_龙, elem_无</t>
        </is>
      </c>
      <c r="R145" s="38" t="inlineStr">
        <is>
          <t>Turbo</t>
        </is>
      </c>
      <c r="S145" s="38" t="inlineStr">
        <is>
          <t>pal_144</t>
        </is>
      </c>
      <c r="T145" s="38" t="inlineStr">
        <is>
          <t>沧燕侯</t>
        </is>
      </c>
      <c r="U145" s="38" t="inlineStr">
        <is>
          <t>https://bazaar-builds.net/db/skills/barnacle-crusted.html</t>
        </is>
      </c>
      <c r="V145" s="38" t="inlineStr">
        <is>
          <t>the cooldown of your aquatic items is reduced by 5 → 10%.</t>
        </is>
      </c>
      <c r="W145" s="38" t="inlineStr">
        <is>
          <t>一对一确认来源对象。</t>
        </is>
      </c>
      <c r="X145" s="385" t="str"/>
      <c r="Y145" s="386" t="inlineStr">
        <is>
          <t>reference_reserved</t>
        </is>
      </c>
      <c r="Z145" s="386" t="str"/>
      <c r="AA145" s="386" t="str"/>
    </row>
    <row r="146">
      <c r="A146" s="38" t="inlineStr">
        <is>
          <t>bz_van_145</t>
        </is>
      </c>
      <c r="B146" s="38" t="n">
        <v>145</v>
      </c>
      <c r="C146" s="38" t="inlineStr">
        <is>
          <t>skill</t>
        </is>
      </c>
      <c r="D146" s="38" t="inlineStr">
        <is>
          <t>snapshot_vanessa_legacy_catalog_v1</t>
        </is>
      </c>
      <c r="E146" s="38" t="inlineStr">
        <is>
          <t>snapshot_the_bazaar_patch_18_0_boundary</t>
        </is>
      </c>
      <c r="F146" s="38" t="inlineStr">
        <is>
          <t>true</t>
        </is>
      </c>
      <c r="G146" s="38" t="inlineStr">
        <is>
          <t>false</t>
        </is>
      </c>
      <c r="H146" s="38" t="inlineStr">
        <is>
          <t>current_rule_match,structured_trigger,structured_effects,quality_values,owner_scope,trainer_availability</t>
        </is>
      </c>
      <c r="I146" s="38" t="inlineStr">
        <is>
          <t>beautiful-friendship</t>
        </is>
      </c>
      <c r="J146" s="38" t="inlineStr">
        <is>
          <t>Beautiful Friendship</t>
        </is>
      </c>
      <c r="K146" s="38" t="inlineStr">
        <is>
          <t>silver</t>
        </is>
      </c>
      <c r="L146" s="38" t="inlineStr">
        <is>
          <t>medium</t>
        </is>
      </c>
      <c r="M146" s="38" t="inlineStr">
        <is>
          <t>friend, damagereference</t>
        </is>
      </c>
      <c r="N146" s="38" t="n">
        <v>4</v>
      </c>
      <c r="O146" s="38" t="inlineStr">
        <is>
          <t>trainer_adira, trainer_argenta, trainer_nufu, trainer_orlin</t>
        </is>
      </c>
      <c r="P146" s="38" t="n">
        <v>4</v>
      </c>
      <c r="Q146" s="38" t="inlineStr">
        <is>
          <t>elem_水, elem_雷, elem_龙, elem_无</t>
        </is>
      </c>
      <c r="R146" s="38" t="inlineStr">
        <is>
          <t>Deadly</t>
        </is>
      </c>
      <c r="S146" s="38" t="inlineStr">
        <is>
          <t>pal_145</t>
        </is>
      </c>
      <c r="T146" s="38" t="inlineStr">
        <is>
          <t>螭蜂妖</t>
        </is>
      </c>
      <c r="U146" s="38" t="inlineStr">
        <is>
          <t>https://bazaar-builds.net/db/skills/beautiful-friendship.html</t>
        </is>
      </c>
      <c r="V146" s="38" t="inlineStr">
        <is>
          <t>your weapons have +5 / 10 / 15 damage for each friend item you have.</t>
        </is>
      </c>
      <c r="W146" s="38" t="inlineStr">
        <is>
          <t>一对一确认来源对象。</t>
        </is>
      </c>
      <c r="X146" s="385" t="str"/>
      <c r="Y146" s="386" t="inlineStr">
        <is>
          <t>reference_reserved</t>
        </is>
      </c>
      <c r="Z146" s="386" t="str"/>
      <c r="AA146" s="386" t="str"/>
    </row>
    <row r="147">
      <c r="A147" s="38" t="inlineStr">
        <is>
          <t>bz_van_146</t>
        </is>
      </c>
      <c r="B147" s="38" t="n">
        <v>146</v>
      </c>
      <c r="C147" s="38" t="inlineStr">
        <is>
          <t>skill</t>
        </is>
      </c>
      <c r="D147" s="38" t="inlineStr">
        <is>
          <t>snapshot_vanessa_legacy_catalog_v1</t>
        </is>
      </c>
      <c r="E147" s="38" t="inlineStr">
        <is>
          <t>snapshot_the_bazaar_patch_18_0_boundary</t>
        </is>
      </c>
      <c r="F147" s="38" t="inlineStr">
        <is>
          <t>true</t>
        </is>
      </c>
      <c r="G147" s="38" t="inlineStr">
        <is>
          <t>false</t>
        </is>
      </c>
      <c r="H147" s="38" t="inlineStr">
        <is>
          <t>current_rule_match,structured_trigger,structured_effects,quality_values,owner_scope,trainer_availability</t>
        </is>
      </c>
      <c r="I147" s="38" t="inlineStr">
        <is>
          <t>berserker</t>
        </is>
      </c>
      <c r="J147" s="38" t="inlineStr">
        <is>
          <t>Berserker</t>
        </is>
      </c>
      <c r="K147" s="38" t="inlineStr">
        <is>
          <t>silver</t>
        </is>
      </c>
      <c r="L147" s="38" t="inlineStr">
        <is>
          <t>medium</t>
        </is>
      </c>
      <c r="M147" s="38" t="inlineStr">
        <is>
          <t>weapon, cooldown</t>
        </is>
      </c>
      <c r="N147" s="38" t="n">
        <v>6</v>
      </c>
      <c r="O147" s="38" t="inlineStr">
        <is>
          <t>trainer_adira, trainer_argenta, trainer_nufu, trainer_old-zane, trainer_orlin, trainer_ryukon</t>
        </is>
      </c>
      <c r="P147" s="38" t="n">
        <v>6</v>
      </c>
      <c r="Q147" s="38" t="inlineStr">
        <is>
          <t>elem_水, elem_雷, elem_地, elem_龙, elem_无, role_坦克</t>
        </is>
      </c>
      <c r="R147" s="38" t="inlineStr">
        <is>
          <t>Turbo</t>
        </is>
      </c>
      <c r="S147" s="38" t="inlineStr">
        <is>
          <t>pal_146</t>
        </is>
      </c>
      <c r="T147" s="38" t="inlineStr">
        <is>
          <t>沧鲤将</t>
        </is>
      </c>
      <c r="U147" s="38" t="inlineStr">
        <is>
          <t>https://bazaar-builds.net/db/skills/berserker.html</t>
        </is>
      </c>
      <c r="V147" s="38" t="inlineStr">
        <is>
          <t>while your enemy has more health than you, your weapons' cooldowns are reduced by 5 / 10 / 15%.</t>
        </is>
      </c>
      <c r="W147" s="38" t="inlineStr">
        <is>
          <t>一对一确认来源对象。</t>
        </is>
      </c>
      <c r="X147" s="385" t="str"/>
      <c r="Y147" s="386" t="inlineStr">
        <is>
          <t>reference_reserved</t>
        </is>
      </c>
      <c r="Z147" s="386" t="str"/>
      <c r="AA147" s="386" t="str"/>
    </row>
    <row r="148">
      <c r="A148" s="38" t="inlineStr">
        <is>
          <t>bz_van_147</t>
        </is>
      </c>
      <c r="B148" s="38" t="n">
        <v>147</v>
      </c>
      <c r="C148" s="38" t="inlineStr">
        <is>
          <t>skill</t>
        </is>
      </c>
      <c r="D148" s="38" t="inlineStr">
        <is>
          <t>snapshot_vanessa_legacy_catalog_v1</t>
        </is>
      </c>
      <c r="E148" s="38" t="inlineStr">
        <is>
          <t>snapshot_the_bazaar_patch_18_0_boundary</t>
        </is>
      </c>
      <c r="F148" s="38" t="inlineStr">
        <is>
          <t>true</t>
        </is>
      </c>
      <c r="G148" s="38" t="inlineStr">
        <is>
          <t>false</t>
        </is>
      </c>
      <c r="H148" s="38" t="inlineStr">
        <is>
          <t>current_rule_match,structured_trigger,structured_effects,quality_values,owner_scope,trainer_availability</t>
        </is>
      </c>
      <c r="I148" s="38" t="inlineStr">
        <is>
          <t>big-guns</t>
        </is>
      </c>
      <c r="J148" s="38" t="inlineStr">
        <is>
          <t>Big Guns</t>
        </is>
      </c>
      <c r="K148" s="38" t="inlineStr">
        <is>
          <t>diamond</t>
        </is>
      </c>
      <c r="L148" s="38" t="inlineStr">
        <is>
          <t>medium</t>
        </is>
      </c>
      <c r="M148" s="38" t="inlineStr">
        <is>
          <t>weapon, damagereference</t>
        </is>
      </c>
      <c r="N148" s="38" t="n">
        <v>3</v>
      </c>
      <c r="O148" s="38" t="inlineStr">
        <is>
          <t>trainer_adira, trainer_nufu, trainer_ryukon</t>
        </is>
      </c>
      <c r="P148" s="38" t="n">
        <v>3</v>
      </c>
      <c r="Q148" s="38" t="inlineStr">
        <is>
          <t>elem_水, elem_龙, role_坦克</t>
        </is>
      </c>
      <c r="R148" s="38" t="inlineStr">
        <is>
          <t>Deadly</t>
        </is>
      </c>
      <c r="S148" s="38" t="inlineStr">
        <is>
          <t>pal_147</t>
        </is>
      </c>
      <c r="T148" s="38" t="inlineStr">
        <is>
          <t>沙狮神</t>
        </is>
      </c>
      <c r="U148" s="38" t="inlineStr">
        <is>
          <t>https://bazaar-builds.net/db/skills/big-guns.html</t>
        </is>
      </c>
      <c r="V148" s="38" t="inlineStr">
        <is>
          <t>double the damage of your large weapons.</t>
        </is>
      </c>
      <c r="W148" s="38" t="inlineStr">
        <is>
          <t>一对一确认来源对象。</t>
        </is>
      </c>
      <c r="X148" s="385" t="str"/>
      <c r="Y148" s="386" t="inlineStr">
        <is>
          <t>reference_reserved</t>
        </is>
      </c>
      <c r="Z148" s="386" t="str"/>
      <c r="AA148" s="386" t="str"/>
    </row>
    <row r="149">
      <c r="A149" s="38" t="inlineStr">
        <is>
          <t>bz_van_148</t>
        </is>
      </c>
      <c r="B149" s="38" t="n">
        <v>148</v>
      </c>
      <c r="C149" s="38" t="inlineStr">
        <is>
          <t>skill</t>
        </is>
      </c>
      <c r="D149" s="38" t="inlineStr">
        <is>
          <t>snapshot_vanessa_legacy_catalog_v1</t>
        </is>
      </c>
      <c r="E149" s="38" t="inlineStr">
        <is>
          <t>snapshot_the_bazaar_patch_18_0_boundary</t>
        </is>
      </c>
      <c r="F149" s="38" t="inlineStr">
        <is>
          <t>true</t>
        </is>
      </c>
      <c r="G149" s="38" t="inlineStr">
        <is>
          <t>false</t>
        </is>
      </c>
      <c r="H149" s="38" t="inlineStr">
        <is>
          <t>current_rule_match,structured_trigger,structured_effects,quality_values,owner_scope,trainer_availability</t>
        </is>
      </c>
      <c r="I149" s="38" t="inlineStr">
        <is>
          <t>big-numbers</t>
        </is>
      </c>
      <c r="J149" s="38" t="inlineStr">
        <is>
          <t>Big Numbers</t>
        </is>
      </c>
      <c r="K149" s="38" t="inlineStr">
        <is>
          <t>gold</t>
        </is>
      </c>
      <c r="L149" s="38" t="inlineStr">
        <is>
          <t>medium</t>
        </is>
      </c>
      <c r="M149" s="38" t="inlineStr">
        <is>
          <t>crit</t>
        </is>
      </c>
      <c r="N149" s="38" t="n">
        <v>4</v>
      </c>
      <c r="O149" s="38" t="inlineStr">
        <is>
          <t>trainer_adira, trainer_nufu, trainer_orlin, trainer_vermir</t>
        </is>
      </c>
      <c r="P149" s="38" t="n">
        <v>4</v>
      </c>
      <c r="Q149" s="38" t="inlineStr">
        <is>
          <t>elem_水, elem_龙, elem_无, role_召唤</t>
        </is>
      </c>
      <c r="R149" s="38" t="inlineStr">
        <is>
          <t>Deadly</t>
        </is>
      </c>
      <c r="S149" s="38" t="inlineStr">
        <is>
          <t>pal_148</t>
        </is>
      </c>
      <c r="T149" s="38" t="inlineStr">
        <is>
          <t>震狼君</t>
        </is>
      </c>
      <c r="U149" s="38" t="inlineStr">
        <is>
          <t>https://bazaar-builds.net/db/skills/big-numbers.html</t>
        </is>
      </c>
      <c r="V149" s="38" t="inlineStr">
        <is>
          <t>your large items have +25 → 50% crit chance</t>
        </is>
      </c>
      <c r="W149" s="38" t="inlineStr">
        <is>
          <t>一对一确认来源对象。</t>
        </is>
      </c>
      <c r="X149" s="385" t="str"/>
      <c r="Y149" s="386" t="inlineStr">
        <is>
          <t>reference_reserved</t>
        </is>
      </c>
      <c r="Z149" s="386" t="str"/>
      <c r="AA149" s="386" t="str"/>
    </row>
    <row r="150">
      <c r="A150" s="38" t="inlineStr">
        <is>
          <t>bz_van_149</t>
        </is>
      </c>
      <c r="B150" s="38" t="n">
        <v>149</v>
      </c>
      <c r="C150" s="38" t="inlineStr">
        <is>
          <t>skill</t>
        </is>
      </c>
      <c r="D150" s="38" t="inlineStr">
        <is>
          <t>snapshot_vanessa_legacy_catalog_v1</t>
        </is>
      </c>
      <c r="E150" s="38" t="inlineStr">
        <is>
          <t>snapshot_the_bazaar_patch_18_0_boundary</t>
        </is>
      </c>
      <c r="F150" s="38" t="inlineStr">
        <is>
          <t>true</t>
        </is>
      </c>
      <c r="G150" s="38" t="inlineStr">
        <is>
          <t>false</t>
        </is>
      </c>
      <c r="H150" s="38" t="inlineStr">
        <is>
          <t>current_rule_match,structured_trigger,structured_effects,quality_values,owner_scope,trainer_availability</t>
        </is>
      </c>
      <c r="I150" s="38" t="inlineStr">
        <is>
          <t>bloodhound</t>
        </is>
      </c>
      <c r="J150" s="38" t="inlineStr">
        <is>
          <t>Bloodhound</t>
        </is>
      </c>
      <c r="K150" s="38" t="inlineStr">
        <is>
          <t>silver</t>
        </is>
      </c>
      <c r="L150" s="38" t="inlineStr">
        <is>
          <t>medium</t>
        </is>
      </c>
      <c r="M150" s="38" t="inlineStr">
        <is>
          <t>charge</t>
        </is>
      </c>
      <c r="N150" s="38" t="n">
        <v>5</v>
      </c>
      <c r="O150" s="38" t="inlineStr">
        <is>
          <t>trainer_adira, trainer_argenta, trainer_nufu, trainer_orlin, trainer_zara</t>
        </is>
      </c>
      <c r="P150" s="38" t="n">
        <v>5</v>
      </c>
      <c r="Q150" s="38" t="inlineStr">
        <is>
          <t>elem_水, elem_雷, elem_龙, elem_无, special_merchant</t>
        </is>
      </c>
      <c r="R150" s="38" t="inlineStr">
        <is>
          <t>Turbo</t>
        </is>
      </c>
      <c r="S150" s="38" t="inlineStr">
        <is>
          <t>pal_149</t>
        </is>
      </c>
      <c r="T150" s="38" t="inlineStr">
        <is>
          <t>渊鹿妖</t>
        </is>
      </c>
      <c r="U150" s="38" t="inlineStr">
        <is>
          <t>https://bazaar-builds.net/db/skills/bloodhound.html</t>
        </is>
      </c>
      <c r="V150" s="38" t="inlineStr">
        <is>
          <t>the first time an enemy falls below half health each fight, charge your items 1 / 2 / 3 seconds.</t>
        </is>
      </c>
      <c r="W150" s="38" t="inlineStr">
        <is>
          <t>一对一确认来源对象。</t>
        </is>
      </c>
      <c r="X150" s="385" t="str"/>
      <c r="Y150" s="386" t="inlineStr">
        <is>
          <t>reference_reserved</t>
        </is>
      </c>
      <c r="Z150" s="386" t="str"/>
      <c r="AA150" s="386" t="str"/>
    </row>
    <row r="151">
      <c r="A151" s="38" t="inlineStr">
        <is>
          <t>bz_van_150</t>
        </is>
      </c>
      <c r="B151" s="38" t="n">
        <v>150</v>
      </c>
      <c r="C151" s="38" t="inlineStr">
        <is>
          <t>skill</t>
        </is>
      </c>
      <c r="D151" s="38" t="inlineStr">
        <is>
          <t>snapshot_vanessa_legacy_catalog_v1</t>
        </is>
      </c>
      <c r="E151" s="38" t="inlineStr">
        <is>
          <t>snapshot_the_bazaar_patch_18_0_boundary</t>
        </is>
      </c>
      <c r="F151" s="38" t="inlineStr">
        <is>
          <t>true</t>
        </is>
      </c>
      <c r="G151" s="38" t="inlineStr">
        <is>
          <t>false</t>
        </is>
      </c>
      <c r="H151" s="38" t="inlineStr">
        <is>
          <t>current_rule_match,structured_trigger,structured_effects,quality_values,owner_scope,trainer_availability</t>
        </is>
      </c>
      <c r="I151" s="38" t="inlineStr">
        <is>
          <t>bold-under-pressure</t>
        </is>
      </c>
      <c r="J151" s="38" t="inlineStr">
        <is>
          <t>Bold Under Pressure</t>
        </is>
      </c>
      <c r="K151" s="38" t="inlineStr">
        <is>
          <t>silver</t>
        </is>
      </c>
      <c r="L151" s="38" t="inlineStr">
        <is>
          <t>medium</t>
        </is>
      </c>
      <c r="M151" s="38" t="inlineStr">
        <is>
          <t>haste</t>
        </is>
      </c>
      <c r="N151" s="38" t="n">
        <v>5</v>
      </c>
      <c r="O151" s="38" t="inlineStr">
        <is>
          <t>trainer_adira, trainer_argenta, trainer_nufu, trainer_orlin, trainer_zara</t>
        </is>
      </c>
      <c r="P151" s="38" t="n">
        <v>5</v>
      </c>
      <c r="Q151" s="38" t="inlineStr">
        <is>
          <t>elem_水, elem_雷, elem_龙, elem_无, special_merchant</t>
        </is>
      </c>
      <c r="R151" s="38" t="inlineStr">
        <is>
          <t>Turbo</t>
        </is>
      </c>
      <c r="S151" s="38" t="inlineStr">
        <is>
          <t>pal_150</t>
        </is>
      </c>
      <c r="T151" s="38" t="inlineStr">
        <is>
          <t>汐蝶卫</t>
        </is>
      </c>
      <c r="U151" s="38" t="inlineStr">
        <is>
          <t>https://bazaar-builds.net/db/skills/bold-under-pressure.html</t>
        </is>
      </c>
      <c r="V151" s="38" t="inlineStr">
        <is>
          <t>the first time you fall below half health each fight, haste 2 / 4 / 6 items for 2 seconds.</t>
        </is>
      </c>
      <c r="W151" s="38" t="inlineStr">
        <is>
          <t>一对一确认来源对象。</t>
        </is>
      </c>
      <c r="X151" s="385" t="str"/>
      <c r="Y151" s="386" t="inlineStr">
        <is>
          <t>reference_reserved</t>
        </is>
      </c>
      <c r="Z151" s="386" t="str"/>
      <c r="AA151" s="386" t="str"/>
    </row>
    <row r="152">
      <c r="A152" s="38" t="inlineStr">
        <is>
          <t>bz_van_151</t>
        </is>
      </c>
      <c r="B152" s="38" t="n">
        <v>151</v>
      </c>
      <c r="C152" s="38" t="inlineStr">
        <is>
          <t>skill</t>
        </is>
      </c>
      <c r="D152" s="38" t="inlineStr">
        <is>
          <t>snapshot_vanessa_legacy_catalog_v1</t>
        </is>
      </c>
      <c r="E152" s="38" t="inlineStr">
        <is>
          <t>snapshot_the_bazaar_patch_18_0_boundary</t>
        </is>
      </c>
      <c r="F152" s="38" t="inlineStr">
        <is>
          <t>true</t>
        </is>
      </c>
      <c r="G152" s="38" t="inlineStr">
        <is>
          <t>false</t>
        </is>
      </c>
      <c r="H152" s="38" t="inlineStr">
        <is>
          <t>current_rule_match,structured_trigger,structured_effects,quality_values,owner_scope,trainer_availability</t>
        </is>
      </c>
      <c r="I152" s="38" t="inlineStr">
        <is>
          <t>building-crescendo</t>
        </is>
      </c>
      <c r="J152" s="38" t="inlineStr">
        <is>
          <t>Building Crescendo</t>
        </is>
      </c>
      <c r="K152" s="38" t="inlineStr">
        <is>
          <t>gold</t>
        </is>
      </c>
      <c r="L152" s="38" t="inlineStr">
        <is>
          <t>medium</t>
        </is>
      </c>
      <c r="M152" s="38" t="inlineStr">
        <is>
          <t>crit</t>
        </is>
      </c>
      <c r="N152" s="38" t="n">
        <v>4</v>
      </c>
      <c r="O152" s="38" t="inlineStr">
        <is>
          <t>trainer_adira, trainer_nufu, trainer_orlin, trainer_vermir</t>
        </is>
      </c>
      <c r="P152" s="38" t="n">
        <v>4</v>
      </c>
      <c r="Q152" s="38" t="inlineStr">
        <is>
          <t>elem_水, elem_龙, elem_无, role_召唤</t>
        </is>
      </c>
      <c r="R152" s="38" t="inlineStr">
        <is>
          <t>Deadly</t>
        </is>
      </c>
      <c r="S152" s="38" t="inlineStr">
        <is>
          <t>pal_151</t>
        </is>
      </c>
      <c r="T152" s="38" t="inlineStr">
        <is>
          <t>电鹰君</t>
        </is>
      </c>
      <c r="U152" s="38" t="inlineStr">
        <is>
          <t>https://bazaar-builds.net/db/skills/building-crescendo.html</t>
        </is>
      </c>
      <c r="V152" s="38" t="inlineStr">
        <is>
          <t>when you use an item, your items gain 1 → 2% crit chance for the fight.</t>
        </is>
      </c>
      <c r="W152" s="38" t="inlineStr">
        <is>
          <t>一对一确认来源对象。</t>
        </is>
      </c>
      <c r="X152" s="385" t="str"/>
      <c r="Y152" s="386" t="inlineStr">
        <is>
          <t>reference_reserved</t>
        </is>
      </c>
      <c r="Z152" s="386" t="str"/>
      <c r="AA152" s="386" t="str"/>
    </row>
    <row r="153">
      <c r="A153" s="38" t="inlineStr">
        <is>
          <t>bz_van_152</t>
        </is>
      </c>
      <c r="B153" s="38" t="n">
        <v>152</v>
      </c>
      <c r="C153" s="38" t="inlineStr">
        <is>
          <t>skill</t>
        </is>
      </c>
      <c r="D153" s="38" t="inlineStr">
        <is>
          <t>snapshot_vanessa_legacy_catalog_v1</t>
        </is>
      </c>
      <c r="E153" s="38" t="inlineStr">
        <is>
          <t>snapshot_the_bazaar_patch_18_0_boundary</t>
        </is>
      </c>
      <c r="F153" s="38" t="inlineStr">
        <is>
          <t>true</t>
        </is>
      </c>
      <c r="G153" s="38" t="inlineStr">
        <is>
          <t>false</t>
        </is>
      </c>
      <c r="H153" s="38" t="inlineStr">
        <is>
          <t>current_rule_match,structured_trigger,structured_effects,quality_values,owner_scope,trainer_availability</t>
        </is>
      </c>
      <c r="I153" s="38" t="inlineStr">
        <is>
          <t>bullet-time</t>
        </is>
      </c>
      <c r="J153" s="38" t="inlineStr">
        <is>
          <t>Bullet Time</t>
        </is>
      </c>
      <c r="K153" s="38" t="inlineStr">
        <is>
          <t>gold</t>
        </is>
      </c>
      <c r="L153" s="38" t="inlineStr">
        <is>
          <t>medium</t>
        </is>
      </c>
      <c r="M153" s="38" t="inlineStr">
        <is>
          <t>slow, ammoreference</t>
        </is>
      </c>
      <c r="N153" s="38" t="n">
        <v>6</v>
      </c>
      <c r="O153" s="38" t="inlineStr">
        <is>
          <t>trainer_adira, trainer_c4, trainer_nufu, trainer_old-zane, trainer_orlin, trainer_slohmor-lumbra</t>
        </is>
      </c>
      <c r="P153" s="38" t="n">
        <v>6</v>
      </c>
      <c r="Q153" s="38" t="inlineStr">
        <is>
          <t>elem_水, elem_地, elem_龙, elem_无, role_经济, tier_pT1</t>
        </is>
      </c>
      <c r="R153" s="38" t="inlineStr">
        <is>
          <t>Icy</t>
        </is>
      </c>
      <c r="S153" s="38" t="inlineStr">
        <is>
          <t>pal_152</t>
        </is>
      </c>
      <c r="T153" s="38" t="inlineStr">
        <is>
          <t>鸣鳗王</t>
        </is>
      </c>
      <c r="U153" s="38" t="inlineStr">
        <is>
          <t>https://bazaar-builds.net/db/skills/bullet-time.html</t>
        </is>
      </c>
      <c r="V153" s="38" t="inlineStr">
        <is>
          <t>the first 4 → 8 times you use an ammo item each fight, slow an item for 1 second.</t>
        </is>
      </c>
      <c r="W153" s="38" t="inlineStr">
        <is>
          <t>一对一确认来源对象。</t>
        </is>
      </c>
      <c r="X153" s="385" t="str"/>
      <c r="Y153" s="386" t="inlineStr">
        <is>
          <t>reference_reserved</t>
        </is>
      </c>
      <c r="Z153" s="386" t="str"/>
      <c r="AA153" s="386" t="str"/>
    </row>
    <row r="154">
      <c r="A154" s="38" t="inlineStr">
        <is>
          <t>bz_van_153</t>
        </is>
      </c>
      <c r="B154" s="38" t="n">
        <v>153</v>
      </c>
      <c r="C154" s="38" t="inlineStr">
        <is>
          <t>skill</t>
        </is>
      </c>
      <c r="D154" s="38" t="inlineStr">
        <is>
          <t>snapshot_vanessa_legacy_catalog_v1</t>
        </is>
      </c>
      <c r="E154" s="38" t="inlineStr">
        <is>
          <t>snapshot_the_bazaar_patch_18_0_boundary</t>
        </is>
      </c>
      <c r="F154" s="38" t="inlineStr">
        <is>
          <t>true</t>
        </is>
      </c>
      <c r="G154" s="38" t="inlineStr">
        <is>
          <t>false</t>
        </is>
      </c>
      <c r="H154" s="38" t="inlineStr">
        <is>
          <t>current_rule_match,structured_trigger,structured_effects,quality_values,owner_scope,trainer_availability</t>
        </is>
      </c>
      <c r="I154" s="38" t="inlineStr">
        <is>
          <t>captain-s-charge</t>
        </is>
      </c>
      <c r="J154" s="38" t="inlineStr">
        <is>
          <t>Captain's Charge</t>
        </is>
      </c>
      <c r="K154" s="38" t="inlineStr">
        <is>
          <t>silver</t>
        </is>
      </c>
      <c r="L154" s="38" t="inlineStr">
        <is>
          <t>medium</t>
        </is>
      </c>
      <c r="M154" s="38" t="inlineStr">
        <is>
          <t>haste</t>
        </is>
      </c>
      <c r="N154" s="38" t="n">
        <v>5</v>
      </c>
      <c r="O154" s="38" t="inlineStr">
        <is>
          <t>trainer_adira, trainer_argenta, trainer_nufu, trainer_orlin, trainer_zara</t>
        </is>
      </c>
      <c r="P154" s="38" t="n">
        <v>5</v>
      </c>
      <c r="Q154" s="38" t="inlineStr">
        <is>
          <t>elem_水, elem_雷, elem_龙, elem_无, special_merchant</t>
        </is>
      </c>
      <c r="R154" s="38" t="inlineStr">
        <is>
          <t>Turbo</t>
        </is>
      </c>
      <c r="S154" s="38" t="inlineStr">
        <is>
          <t>pal_153</t>
        </is>
      </c>
      <c r="T154" s="38" t="inlineStr">
        <is>
          <t>震狐卫</t>
        </is>
      </c>
      <c r="U154" s="38" t="inlineStr">
        <is>
          <t>https://bazaar-builds.net/db/skills/captain-s-charge.html</t>
        </is>
      </c>
      <c r="V154" s="38" t="inlineStr">
        <is>
          <t>the first time you use a large item each fight, haste 2 / 3 / 4 items for 3 seconds.</t>
        </is>
      </c>
      <c r="W154" s="38" t="inlineStr">
        <is>
          <t>一对一确认来源对象。</t>
        </is>
      </c>
      <c r="X154" s="385" t="str"/>
      <c r="Y154" s="386" t="inlineStr">
        <is>
          <t>reference_reserved</t>
        </is>
      </c>
      <c r="Z154" s="386" t="str"/>
      <c r="AA154" s="386" t="str"/>
    </row>
    <row r="155">
      <c r="A155" s="38" t="inlineStr">
        <is>
          <t>bz_van_154</t>
        </is>
      </c>
      <c r="B155" s="38" t="n">
        <v>154</v>
      </c>
      <c r="C155" s="38" t="inlineStr">
        <is>
          <t>skill</t>
        </is>
      </c>
      <c r="D155" s="38" t="inlineStr">
        <is>
          <t>snapshot_vanessa_legacy_catalog_v1</t>
        </is>
      </c>
      <c r="E155" s="38" t="inlineStr">
        <is>
          <t>snapshot_the_bazaar_patch_18_0_boundary</t>
        </is>
      </c>
      <c r="F155" s="38" t="inlineStr">
        <is>
          <t>true</t>
        </is>
      </c>
      <c r="G155" s="38" t="inlineStr">
        <is>
          <t>false</t>
        </is>
      </c>
      <c r="H155" s="38" t="inlineStr">
        <is>
          <t>current_rule_match,structured_trigger,structured_effects,quality_values,owner_scope,trainer_availability</t>
        </is>
      </c>
      <c r="I155" s="38" t="inlineStr">
        <is>
          <t>chemical-fire</t>
        </is>
      </c>
      <c r="J155" s="38" t="inlineStr">
        <is>
          <t>Chemical Fire</t>
        </is>
      </c>
      <c r="K155" s="38" t="inlineStr">
        <is>
          <t>silver</t>
        </is>
      </c>
      <c r="L155" s="38" t="inlineStr">
        <is>
          <t>medium</t>
        </is>
      </c>
      <c r="M155" s="38" t="inlineStr">
        <is>
          <t>poisonreference, burnreference</t>
        </is>
      </c>
      <c r="N155" s="38" t="n">
        <v>6</v>
      </c>
      <c r="O155" s="38" t="inlineStr">
        <is>
          <t>trainer_adira, trainer_argenta, trainer_malafang, trainer_nufu, trainer_orlin, trainer_professor-riggle</t>
        </is>
      </c>
      <c r="P155" s="38" t="n">
        <v>6</v>
      </c>
      <c r="Q155" s="38" t="inlineStr">
        <is>
          <t>elem_水, elem_雷, elem_龙, elem_无, role_治疗, role_输出</t>
        </is>
      </c>
      <c r="R155" s="38" t="inlineStr">
        <is>
          <t>Fiery</t>
        </is>
      </c>
      <c r="S155" s="38" t="inlineStr">
        <is>
          <t>pal_154</t>
        </is>
      </c>
      <c r="T155" s="38" t="inlineStr">
        <is>
          <t>朱蛛将</t>
        </is>
      </c>
      <c r="U155" s="38" t="inlineStr">
        <is>
          <t>https://bazaar-builds.net/db/skills/chemical-fire.html</t>
        </is>
      </c>
      <c r="V155" s="38" t="inlineStr">
        <is>
          <t>your burn items have +2 / 4 / 6 burn. your poison items have +2 / 4 / 6 poison.</t>
        </is>
      </c>
      <c r="W155" s="38" t="inlineStr">
        <is>
          <t>一对一确认来源对象。</t>
        </is>
      </c>
      <c r="X155" s="385" t="str"/>
      <c r="Y155" s="386" t="inlineStr">
        <is>
          <t>reference_reserved</t>
        </is>
      </c>
      <c r="Z155" s="386" t="str"/>
      <c r="AA155" s="386" t="str"/>
    </row>
    <row r="156">
      <c r="A156" s="38" t="inlineStr">
        <is>
          <t>bz_van_155</t>
        </is>
      </c>
      <c r="B156" s="38" t="n">
        <v>155</v>
      </c>
      <c r="C156" s="38" t="inlineStr">
        <is>
          <t>skill</t>
        </is>
      </c>
      <c r="D156" s="38" t="inlineStr">
        <is>
          <t>snapshot_vanessa_legacy_catalog_v1</t>
        </is>
      </c>
      <c r="E156" s="38" t="inlineStr">
        <is>
          <t>snapshot_the_bazaar_patch_18_0_boundary</t>
        </is>
      </c>
      <c r="F156" s="38" t="inlineStr">
        <is>
          <t>true</t>
        </is>
      </c>
      <c r="G156" s="38" t="inlineStr">
        <is>
          <t>false</t>
        </is>
      </c>
      <c r="H156" s="38" t="inlineStr">
        <is>
          <t>current_rule_match,structured_trigger,structured_effects,quality_values,owner_scope,trainer_availability</t>
        </is>
      </c>
      <c r="I156" s="38" t="inlineStr">
        <is>
          <t>circle-of-life</t>
        </is>
      </c>
      <c r="J156" s="38" t="inlineStr">
        <is>
          <t>Circle of Life</t>
        </is>
      </c>
      <c r="K156" s="38" t="inlineStr">
        <is>
          <t>diamond</t>
        </is>
      </c>
      <c r="L156" s="38" t="inlineStr">
        <is>
          <t>medium</t>
        </is>
      </c>
      <c r="M156" s="38" t="inlineStr">
        <is>
          <t>weapon, lifesteal</t>
        </is>
      </c>
      <c r="N156" s="38" t="n">
        <v>3</v>
      </c>
      <c r="O156" s="38" t="inlineStr">
        <is>
          <t>trainer_adira, trainer_nufu, trainer_ryukon</t>
        </is>
      </c>
      <c r="P156" s="38" t="n">
        <v>3</v>
      </c>
      <c r="Q156" s="38" t="inlineStr">
        <is>
          <t>elem_水, elem_龙, role_坦克</t>
        </is>
      </c>
      <c r="R156" s="38" t="inlineStr">
        <is>
          <t>Deadly</t>
        </is>
      </c>
      <c r="S156" s="38" t="inlineStr">
        <is>
          <t>pal_155</t>
        </is>
      </c>
      <c r="T156" s="38" t="inlineStr">
        <is>
          <t>沧鲤祖</t>
        </is>
      </c>
      <c r="U156" s="38" t="inlineStr">
        <is>
          <t>https://bazaar-builds.net/db/skills/circle-of-life.html</t>
        </is>
      </c>
      <c r="V156" s="38" t="inlineStr">
        <is>
          <t>your leftmost weapon has lifesteal.</t>
        </is>
      </c>
      <c r="W156" s="38" t="inlineStr">
        <is>
          <t>一对一确认来源对象。</t>
        </is>
      </c>
      <c r="X156" s="385" t="str"/>
      <c r="Y156" s="386" t="inlineStr">
        <is>
          <t>reference_reserved</t>
        </is>
      </c>
      <c r="Z156" s="386" t="str"/>
      <c r="AA156" s="386" t="str"/>
    </row>
    <row r="157">
      <c r="A157" s="38" t="inlineStr">
        <is>
          <t>bz_van_156</t>
        </is>
      </c>
      <c r="B157" s="38" t="n">
        <v>156</v>
      </c>
      <c r="C157" s="38" t="inlineStr">
        <is>
          <t>skill</t>
        </is>
      </c>
      <c r="D157" s="38" t="inlineStr">
        <is>
          <t>snapshot_vanessa_legacy_catalog_v1</t>
        </is>
      </c>
      <c r="E157" s="38" t="inlineStr">
        <is>
          <t>snapshot_the_bazaar_patch_18_0_boundary</t>
        </is>
      </c>
      <c r="F157" s="38" t="inlineStr">
        <is>
          <t>true</t>
        </is>
      </c>
      <c r="G157" s="38" t="inlineStr">
        <is>
          <t>false</t>
        </is>
      </c>
      <c r="H157" s="38" t="inlineStr">
        <is>
          <t>current_rule_match,structured_trigger,structured_effects,quality_values,owner_scope,trainer_availability</t>
        </is>
      </c>
      <c r="I157" s="38" t="inlineStr">
        <is>
          <t>command-ship</t>
        </is>
      </c>
      <c r="J157" s="38" t="inlineStr">
        <is>
          <t>Command Ship</t>
        </is>
      </c>
      <c r="K157" s="38" t="inlineStr">
        <is>
          <t>gold</t>
        </is>
      </c>
      <c r="L157" s="38" t="inlineStr">
        <is>
          <t>medium</t>
        </is>
      </c>
      <c r="M157" s="38" t="inlineStr">
        <is>
          <t>vehicle, cooldown</t>
        </is>
      </c>
      <c r="N157" s="38" t="n">
        <v>3</v>
      </c>
      <c r="O157" s="38" t="inlineStr">
        <is>
          <t>trainer_adira, trainer_nufu, trainer_orlin</t>
        </is>
      </c>
      <c r="P157" s="38" t="n">
        <v>3</v>
      </c>
      <c r="Q157" s="38" t="inlineStr">
        <is>
          <t>elem_水, elem_龙, elem_无</t>
        </is>
      </c>
      <c r="R157" s="38" t="inlineStr">
        <is>
          <t>Turbo</t>
        </is>
      </c>
      <c r="S157" s="38" t="inlineStr">
        <is>
          <t>pal_156</t>
        </is>
      </c>
      <c r="T157" s="38" t="inlineStr">
        <is>
          <t>角马王</t>
        </is>
      </c>
      <c r="U157" s="38" t="inlineStr">
        <is>
          <t>https://bazaar-builds.net/db/skills/command-ship.html</t>
        </is>
      </c>
      <c r="V157" s="38" t="inlineStr">
        <is>
          <t>if you have a vehicle, your non-vehicle items' cooldowns are reduced by 5 → 10%.</t>
        </is>
      </c>
      <c r="W157" s="38" t="inlineStr">
        <is>
          <t>一对一确认来源对象。</t>
        </is>
      </c>
      <c r="X157" s="385" t="str"/>
      <c r="Y157" s="386" t="inlineStr">
        <is>
          <t>reference_reserved</t>
        </is>
      </c>
      <c r="Z157" s="386" t="str"/>
      <c r="AA157" s="386" t="str"/>
    </row>
    <row r="158">
      <c r="A158" s="38" t="inlineStr">
        <is>
          <t>bz_van_157</t>
        </is>
      </c>
      <c r="B158" s="38" t="n">
        <v>157</v>
      </c>
      <c r="C158" s="38" t="inlineStr">
        <is>
          <t>skill</t>
        </is>
      </c>
      <c r="D158" s="38" t="inlineStr">
        <is>
          <t>snapshot_vanessa_legacy_catalog_v1</t>
        </is>
      </c>
      <c r="E158" s="38" t="inlineStr">
        <is>
          <t>snapshot_the_bazaar_patch_18_0_boundary</t>
        </is>
      </c>
      <c r="F158" s="38" t="inlineStr">
        <is>
          <t>true</t>
        </is>
      </c>
      <c r="G158" s="38" t="inlineStr">
        <is>
          <t>false</t>
        </is>
      </c>
      <c r="H158" s="38" t="inlineStr">
        <is>
          <t>current_rule_match,structured_trigger,structured_effects,quality_values,owner_scope,trainer_availability</t>
        </is>
      </c>
      <c r="I158" s="38" t="inlineStr">
        <is>
          <t>conflagration</t>
        </is>
      </c>
      <c r="J158" s="38" t="inlineStr">
        <is>
          <t>Conflagration</t>
        </is>
      </c>
      <c r="K158" s="38" t="inlineStr">
        <is>
          <t>silver</t>
        </is>
      </c>
      <c r="L158" s="38" t="inlineStr">
        <is>
          <t>medium</t>
        </is>
      </c>
      <c r="M158" s="38" t="inlineStr">
        <is>
          <t>burnreference</t>
        </is>
      </c>
      <c r="N158" s="38" t="n">
        <v>5</v>
      </c>
      <c r="O158" s="38" t="inlineStr">
        <is>
          <t>trainer_adira, trainer_argenta, trainer_malafang, trainer_nufu, trainer_orlin</t>
        </is>
      </c>
      <c r="P158" s="38" t="n">
        <v>5</v>
      </c>
      <c r="Q158" s="38" t="inlineStr">
        <is>
          <t>elem_水, elem_雷, elem_龙, elem_无, role_治疗</t>
        </is>
      </c>
      <c r="R158" s="38" t="inlineStr">
        <is>
          <t>Fiery</t>
        </is>
      </c>
      <c r="S158" s="38" t="inlineStr">
        <is>
          <t>pal_157</t>
        </is>
      </c>
      <c r="T158" s="38" t="inlineStr">
        <is>
          <t>焰鹰妖</t>
        </is>
      </c>
      <c r="U158" s="38" t="inlineStr">
        <is>
          <t>https://bazaar-builds.net/db/skills/conflagration.html</t>
        </is>
      </c>
      <c r="V158" s="38" t="inlineStr">
        <is>
          <t>when you use an item with burn, that item gains 1 / 2 / 3 burn for the fight.</t>
        </is>
      </c>
      <c r="W158" s="38" t="inlineStr">
        <is>
          <t>一对一确认来源对象。</t>
        </is>
      </c>
      <c r="X158" s="385" t="str"/>
      <c r="Y158" s="386" t="inlineStr">
        <is>
          <t>reference_reserved</t>
        </is>
      </c>
      <c r="Z158" s="386" t="str"/>
      <c r="AA158" s="386" t="str"/>
    </row>
    <row r="159">
      <c r="A159" s="38" t="inlineStr">
        <is>
          <t>bz_van_158</t>
        </is>
      </c>
      <c r="B159" s="38" t="n">
        <v>158</v>
      </c>
      <c r="C159" s="38" t="inlineStr">
        <is>
          <t>skill</t>
        </is>
      </c>
      <c r="D159" s="38" t="inlineStr">
        <is>
          <t>snapshot_vanessa_legacy_catalog_v1</t>
        </is>
      </c>
      <c r="E159" s="38" t="inlineStr">
        <is>
          <t>snapshot_the_bazaar_patch_18_0_boundary</t>
        </is>
      </c>
      <c r="F159" s="38" t="inlineStr">
        <is>
          <t>true</t>
        </is>
      </c>
      <c r="G159" s="38" t="inlineStr">
        <is>
          <t>false</t>
        </is>
      </c>
      <c r="H159" s="38" t="inlineStr">
        <is>
          <t>current_rule_match,structured_trigger,structured_effects,quality_values,owner_scope,trainer_availability</t>
        </is>
      </c>
      <c r="I159" s="38" t="inlineStr">
        <is>
          <t>crashing-waves</t>
        </is>
      </c>
      <c r="J159" s="38" t="inlineStr">
        <is>
          <t>Crashing Waves</t>
        </is>
      </c>
      <c r="K159" s="38" t="inlineStr">
        <is>
          <t>gold</t>
        </is>
      </c>
      <c r="L159" s="38" t="inlineStr">
        <is>
          <t>medium</t>
        </is>
      </c>
      <c r="M159" s="38" t="inlineStr">
        <is>
          <t>weapon, aquatic, haste, damagereference</t>
        </is>
      </c>
      <c r="N159" s="38" t="n">
        <v>6</v>
      </c>
      <c r="O159" s="38" t="inlineStr">
        <is>
          <t>trainer_adira, trainer_nufu, trainer_old-zane, trainer_orlin, trainer_ryukon, trainer_zara</t>
        </is>
      </c>
      <c r="P159" s="38" t="n">
        <v>6</v>
      </c>
      <c r="Q159" s="38" t="inlineStr">
        <is>
          <t>elem_水, elem_地, elem_龙, elem_无, role_坦克, special_merchant</t>
        </is>
      </c>
      <c r="R159" s="38" t="inlineStr">
        <is>
          <t>Turbo</t>
        </is>
      </c>
      <c r="S159" s="38" t="inlineStr">
        <is>
          <t>pal_158</t>
        </is>
      </c>
      <c r="T159" s="38" t="inlineStr">
        <is>
          <t>澜蜂尊</t>
        </is>
      </c>
      <c r="U159" s="38" t="inlineStr">
        <is>
          <t>https://bazaar-builds.net/db/skills/crashing-waves.html</t>
        </is>
      </c>
      <c r="V159" s="38" t="inlineStr">
        <is>
          <t>the first 5 → 10 times you use an aquatic item each fight, haste a weapon for 1 second.</t>
        </is>
      </c>
      <c r="W159" s="38" t="inlineStr">
        <is>
          <t>一对一确认来源对象。</t>
        </is>
      </c>
      <c r="X159" s="385" t="str"/>
      <c r="Y159" s="386" t="inlineStr">
        <is>
          <t>reference_reserved</t>
        </is>
      </c>
      <c r="Z159" s="386" t="str"/>
      <c r="AA159" s="386" t="str"/>
    </row>
    <row r="160">
      <c r="A160" s="38" t="inlineStr">
        <is>
          <t>bz_van_159</t>
        </is>
      </c>
      <c r="B160" s="38" t="n">
        <v>159</v>
      </c>
      <c r="C160" s="38" t="inlineStr">
        <is>
          <t>skill</t>
        </is>
      </c>
      <c r="D160" s="38" t="inlineStr">
        <is>
          <t>snapshot_vanessa_legacy_catalog_v1</t>
        </is>
      </c>
      <c r="E160" s="38" t="inlineStr">
        <is>
          <t>snapshot_the_bazaar_patch_18_0_boundary</t>
        </is>
      </c>
      <c r="F160" s="38" t="inlineStr">
        <is>
          <t>true</t>
        </is>
      </c>
      <c r="G160" s="38" t="inlineStr">
        <is>
          <t>false</t>
        </is>
      </c>
      <c r="H160" s="38" t="inlineStr">
        <is>
          <t>current_rule_match,structured_trigger,structured_effects,quality_values,owner_scope,trainer_availability</t>
        </is>
      </c>
      <c r="I160" s="38" t="inlineStr">
        <is>
          <t>creeping-chill</t>
        </is>
      </c>
      <c r="J160" s="38" t="inlineStr">
        <is>
          <t>Creeping Chill</t>
        </is>
      </c>
      <c r="K160" s="38" t="inlineStr">
        <is>
          <t>silver</t>
        </is>
      </c>
      <c r="L160" s="38" t="inlineStr">
        <is>
          <t>medium</t>
        </is>
      </c>
      <c r="M160" s="38" t="inlineStr">
        <is>
          <t>slowreference, freeze</t>
        </is>
      </c>
      <c r="N160" s="38" t="n">
        <v>6</v>
      </c>
      <c r="O160" s="38" t="inlineStr">
        <is>
          <t>trainer_adira, trainer_argenta, trainer_bjorn, trainer_nufu, trainer_orlin, trainer_slohmor-lumbra</t>
        </is>
      </c>
      <c r="P160" s="38" t="n">
        <v>6</v>
      </c>
      <c r="Q160" s="38" t="inlineStr">
        <is>
          <t>elem_水, elem_雷, elem_龙, elem_无, role_控制, role_经济</t>
        </is>
      </c>
      <c r="R160" s="38" t="inlineStr">
        <is>
          <t>Icy</t>
        </is>
      </c>
      <c r="S160" s="38" t="inlineStr">
        <is>
          <t>pal_159</t>
        </is>
      </c>
      <c r="T160" s="38" t="inlineStr">
        <is>
          <t>凝鳗卫</t>
        </is>
      </c>
      <c r="U160" s="38" t="inlineStr">
        <is>
          <t>https://bazaar-builds.net/db/skills/creeping-chill.html</t>
        </is>
      </c>
      <c r="V160" s="38" t="inlineStr">
        <is>
          <t>the first time you slow each fight, freeze an item for 2 / 3 / 4 seconds.</t>
        </is>
      </c>
      <c r="W160" s="38" t="inlineStr">
        <is>
          <t>一对一确认来源对象。</t>
        </is>
      </c>
      <c r="X160" s="385" t="str"/>
      <c r="Y160" s="386" t="inlineStr">
        <is>
          <t>reference_reserved</t>
        </is>
      </c>
      <c r="Z160" s="386" t="str"/>
      <c r="AA160" s="386" t="str"/>
    </row>
    <row r="161">
      <c r="A161" s="38" t="inlineStr">
        <is>
          <t>bz_van_160</t>
        </is>
      </c>
      <c r="B161" s="38" t="n">
        <v>160</v>
      </c>
      <c r="C161" s="38" t="inlineStr">
        <is>
          <t>skill</t>
        </is>
      </c>
      <c r="D161" s="38" t="inlineStr">
        <is>
          <t>snapshot_vanessa_legacy_catalog_v1</t>
        </is>
      </c>
      <c r="E161" s="38" t="inlineStr">
        <is>
          <t>snapshot_the_bazaar_patch_18_0_boundary</t>
        </is>
      </c>
      <c r="F161" s="38" t="inlineStr">
        <is>
          <t>true</t>
        </is>
      </c>
      <c r="G161" s="38" t="inlineStr">
        <is>
          <t>false</t>
        </is>
      </c>
      <c r="H161" s="38" t="inlineStr">
        <is>
          <t>current_rule_match,structured_trigger,structured_effects,quality_values,owner_scope,trainer_availability</t>
        </is>
      </c>
      <c r="I161" s="38" t="inlineStr">
        <is>
          <t>creeping-toxins</t>
        </is>
      </c>
      <c r="J161" s="38" t="inlineStr">
        <is>
          <t>Creeping Toxins</t>
        </is>
      </c>
      <c r="K161" s="38" t="inlineStr">
        <is>
          <t>gold</t>
        </is>
      </c>
      <c r="L161" s="38" t="inlineStr">
        <is>
          <t>medium</t>
        </is>
      </c>
      <c r="M161" s="38" t="inlineStr">
        <is>
          <t>charge, poisonreference, slowreference</t>
        </is>
      </c>
      <c r="N161" s="38" t="n">
        <v>6</v>
      </c>
      <c r="O161" s="38" t="inlineStr">
        <is>
          <t>trainer_adira, trainer_nufu, trainer_orlin, trainer_professor-riggle, trainer_slohmor-lumbra, trainer_zara</t>
        </is>
      </c>
      <c r="P161" s="38" t="n">
        <v>6</v>
      </c>
      <c r="Q161" s="38" t="inlineStr">
        <is>
          <t>elem_水, elem_龙, elem_无, role_输出, role_经济, special_merchant</t>
        </is>
      </c>
      <c r="R161" s="38" t="inlineStr">
        <is>
          <t>Icy</t>
        </is>
      </c>
      <c r="S161" s="38" t="inlineStr">
        <is>
          <t>pal_160</t>
        </is>
      </c>
      <c r="T161" s="38" t="inlineStr">
        <is>
          <t>青鳗君</t>
        </is>
      </c>
      <c r="U161" s="38" t="inlineStr">
        <is>
          <t>https://bazaar-builds.net/db/skills/creeping-toxins.html</t>
        </is>
      </c>
      <c r="V161" s="38" t="inlineStr">
        <is>
          <t>the first 4 → 8 times you slow each fight, charge a poison item 1 second.</t>
        </is>
      </c>
      <c r="W161" s="38" t="inlineStr">
        <is>
          <t>一对一确认来源对象。</t>
        </is>
      </c>
      <c r="X161" s="385" t="str"/>
      <c r="Y161" s="386" t="inlineStr">
        <is>
          <t>reference_reserved</t>
        </is>
      </c>
      <c r="Z161" s="386" t="str"/>
      <c r="AA161" s="386" t="str"/>
    </row>
    <row r="162">
      <c r="A162" s="38" t="inlineStr">
        <is>
          <t>bz_van_161</t>
        </is>
      </c>
      <c r="B162" s="38" t="n">
        <v>161</v>
      </c>
      <c r="C162" s="38" t="inlineStr">
        <is>
          <t>skill</t>
        </is>
      </c>
      <c r="D162" s="38" t="inlineStr">
        <is>
          <t>snapshot_vanessa_legacy_catalog_v1</t>
        </is>
      </c>
      <c r="E162" s="38" t="inlineStr">
        <is>
          <t>snapshot_the_bazaar_patch_18_0_boundary</t>
        </is>
      </c>
      <c r="F162" s="38" t="inlineStr">
        <is>
          <t>true</t>
        </is>
      </c>
      <c r="G162" s="38" t="inlineStr">
        <is>
          <t>false</t>
        </is>
      </c>
      <c r="H162" s="38" t="inlineStr">
        <is>
          <t>current_rule_match,structured_trigger,structured_effects,quality_values,owner_scope,trainer_availability</t>
        </is>
      </c>
      <c r="I162" s="38" t="inlineStr">
        <is>
          <t>deadly-eye</t>
        </is>
      </c>
      <c r="J162" s="38" t="inlineStr">
        <is>
          <t>Deadly Eye</t>
        </is>
      </c>
      <c r="K162" s="38" t="inlineStr">
        <is>
          <t>bronze</t>
        </is>
      </c>
      <c r="L162" s="38" t="inlineStr">
        <is>
          <t>medium</t>
        </is>
      </c>
      <c r="M162" s="38" t="inlineStr">
        <is>
          <t>weapon, crit</t>
        </is>
      </c>
      <c r="N162" s="38" t="n">
        <v>6</v>
      </c>
      <c r="O162" s="38" t="inlineStr">
        <is>
          <t>trainer_adira, trainer_argenta, trainer_nufu, trainer_orlin, trainer_ryukon, trainer_vermir</t>
        </is>
      </c>
      <c r="P162" s="38" t="n">
        <v>6</v>
      </c>
      <c r="Q162" s="38" t="inlineStr">
        <is>
          <t>elem_水, elem_雷, elem_龙, elem_无, role_召唤, role_坦克</t>
        </is>
      </c>
      <c r="R162" s="38" t="inlineStr">
        <is>
          <t>Deadly</t>
        </is>
      </c>
      <c r="S162" s="38" t="inlineStr">
        <is>
          <t>pal_161</t>
        </is>
      </c>
      <c r="T162" s="38" t="inlineStr">
        <is>
          <t>电鹰童</t>
        </is>
      </c>
      <c r="U162" s="38" t="inlineStr">
        <is>
          <t>https://bazaar-builds.net/db/skills/deadly-eye.html</t>
        </is>
      </c>
      <c r="V162" s="38" t="inlineStr">
        <is>
          <t>your weapons have +5 / 10 / 15 / 20% crit chance.</t>
        </is>
      </c>
      <c r="W162" s="38" t="inlineStr">
        <is>
          <t>一对一确认来源对象。</t>
        </is>
      </c>
      <c r="X162" s="385" t="str"/>
      <c r="Y162" s="386" t="inlineStr">
        <is>
          <t>reference_reserved</t>
        </is>
      </c>
      <c r="Z162" s="386" t="str"/>
      <c r="AA162" s="386" t="str"/>
    </row>
    <row r="163">
      <c r="A163" s="38" t="inlineStr">
        <is>
          <t>bz_van_162</t>
        </is>
      </c>
      <c r="B163" s="38" t="n">
        <v>162</v>
      </c>
      <c r="C163" s="38" t="inlineStr">
        <is>
          <t>skill</t>
        </is>
      </c>
      <c r="D163" s="38" t="inlineStr">
        <is>
          <t>snapshot_vanessa_legacy_catalog_v1</t>
        </is>
      </c>
      <c r="E163" s="38" t="inlineStr">
        <is>
          <t>snapshot_the_bazaar_patch_18_0_boundary</t>
        </is>
      </c>
      <c r="F163" s="38" t="inlineStr">
        <is>
          <t>true</t>
        </is>
      </c>
      <c r="G163" s="38" t="inlineStr">
        <is>
          <t>false</t>
        </is>
      </c>
      <c r="H163" s="38" t="inlineStr">
        <is>
          <t>current_rule_match,structured_trigger,structured_effects,quality_values,owner_scope,trainer_availability</t>
        </is>
      </c>
      <c r="I163" s="38" t="inlineStr">
        <is>
          <t>deadly-waters</t>
        </is>
      </c>
      <c r="J163" s="38" t="inlineStr">
        <is>
          <t>Deadly Waters</t>
        </is>
      </c>
      <c r="K163" s="38" t="inlineStr">
        <is>
          <t>bronze</t>
        </is>
      </c>
      <c r="L163" s="38" t="inlineStr">
        <is>
          <t>medium</t>
        </is>
      </c>
      <c r="M163" s="38" t="inlineStr">
        <is>
          <t>aquatic, damagereference</t>
        </is>
      </c>
      <c r="N163" s="38" t="n">
        <v>5</v>
      </c>
      <c r="O163" s="38" t="inlineStr">
        <is>
          <t>trainer_adira, trainer_argenta, trainer_nufu, trainer_old-zane, trainer_orlin</t>
        </is>
      </c>
      <c r="P163" s="38" t="n">
        <v>5</v>
      </c>
      <c r="Q163" s="38" t="inlineStr">
        <is>
          <t>elem_水, elem_雷, elem_地, elem_龙, elem_无</t>
        </is>
      </c>
      <c r="R163" s="38" t="inlineStr">
        <is>
          <t>Deadly</t>
        </is>
      </c>
      <c r="S163" s="38" t="inlineStr">
        <is>
          <t>pal_162</t>
        </is>
      </c>
      <c r="T163" s="38" t="inlineStr">
        <is>
          <t>澜鲨童</t>
        </is>
      </c>
      <c r="U163" s="38" t="inlineStr">
        <is>
          <t>https://bazaar-builds.net/db/skills/deadly-waters.html</t>
        </is>
      </c>
      <c r="V163" s="38" t="inlineStr">
        <is>
          <t>your aquatic weapons deal +10 / 20 / 30 / 40 damage.</t>
        </is>
      </c>
      <c r="W163" s="38" t="inlineStr">
        <is>
          <t>一对一确认来源对象。</t>
        </is>
      </c>
      <c r="X163" s="385" t="str"/>
      <c r="Y163" s="386" t="inlineStr">
        <is>
          <t>reference_reserved</t>
        </is>
      </c>
      <c r="Z163" s="386" t="str"/>
      <c r="AA163" s="386" t="str"/>
    </row>
    <row r="164">
      <c r="A164" s="38" t="inlineStr">
        <is>
          <t>bz_van_163</t>
        </is>
      </c>
      <c r="B164" s="38" t="n">
        <v>163</v>
      </c>
      <c r="C164" s="38" t="inlineStr">
        <is>
          <t>skill</t>
        </is>
      </c>
      <c r="D164" s="38" t="inlineStr">
        <is>
          <t>snapshot_vanessa_legacy_catalog_v1</t>
        </is>
      </c>
      <c r="E164" s="38" t="inlineStr">
        <is>
          <t>snapshot_the_bazaar_patch_18_0_boundary</t>
        </is>
      </c>
      <c r="F164" s="38" t="inlineStr">
        <is>
          <t>true</t>
        </is>
      </c>
      <c r="G164" s="38" t="inlineStr">
        <is>
          <t>false</t>
        </is>
      </c>
      <c r="H164" s="38" t="inlineStr">
        <is>
          <t>current_rule_match,structured_trigger,structured_effects,quality_values,owner_scope,trainer_availability</t>
        </is>
      </c>
      <c r="I164" s="38" t="inlineStr">
        <is>
          <t>defensive-stance</t>
        </is>
      </c>
      <c r="J164" s="38" t="inlineStr">
        <is>
          <t>Defensive Stance</t>
        </is>
      </c>
      <c r="K164" s="38" t="inlineStr">
        <is>
          <t>silver</t>
        </is>
      </c>
      <c r="L164" s="38" t="inlineStr">
        <is>
          <t>medium</t>
        </is>
      </c>
      <c r="M164" s="38" t="inlineStr">
        <is>
          <t>weapon, shieldreference, damagereference</t>
        </is>
      </c>
      <c r="N164" s="38" t="n">
        <v>6</v>
      </c>
      <c r="O164" s="38" t="inlineStr">
        <is>
          <t>trainer_adira, trainer_argenta, trainer_fortis, trainer_nufu, trainer_orlin, trainer_ryukon</t>
        </is>
      </c>
      <c r="P164" s="38" t="n">
        <v>6</v>
      </c>
      <c r="Q164" s="38" t="inlineStr">
        <is>
          <t>elem_水, elem_雷, elem_龙, elem_无, role_坦克, role_召唤铺场</t>
        </is>
      </c>
      <c r="R164" s="38" t="inlineStr">
        <is>
          <t>Shielded</t>
        </is>
      </c>
      <c r="S164" s="38" t="inlineStr">
        <is>
          <t>pal_163</t>
        </is>
      </c>
      <c r="T164" s="38" t="inlineStr">
        <is>
          <t>石甲将</t>
        </is>
      </c>
      <c r="U164" s="38" t="inlineStr">
        <is>
          <t>https://bazaar-builds.net/db/skills/defensive-stance.html</t>
        </is>
      </c>
      <c r="V164" s="38" t="inlineStr">
        <is>
          <t>when you use a weapon, your shield items gain 3 / 6 / 9 shield for the fight.</t>
        </is>
      </c>
      <c r="W164" s="38" t="inlineStr">
        <is>
          <t>一对一确认来源对象。</t>
        </is>
      </c>
      <c r="X164" s="385" t="str"/>
      <c r="Y164" s="386" t="inlineStr">
        <is>
          <t>reference_reserved</t>
        </is>
      </c>
      <c r="Z164" s="386" t="str"/>
      <c r="AA164" s="386" t="str"/>
    </row>
    <row r="165">
      <c r="A165" s="38" t="inlineStr">
        <is>
          <t>bz_van_164</t>
        </is>
      </c>
      <c r="B165" s="38" t="n">
        <v>164</v>
      </c>
      <c r="C165" s="38" t="inlineStr">
        <is>
          <t>skill</t>
        </is>
      </c>
      <c r="D165" s="38" t="inlineStr">
        <is>
          <t>snapshot_vanessa_legacy_catalog_v1</t>
        </is>
      </c>
      <c r="E165" s="38" t="inlineStr">
        <is>
          <t>snapshot_the_bazaar_patch_18_0_boundary</t>
        </is>
      </c>
      <c r="F165" s="38" t="inlineStr">
        <is>
          <t>true</t>
        </is>
      </c>
      <c r="G165" s="38" t="inlineStr">
        <is>
          <t>false</t>
        </is>
      </c>
      <c r="H165" s="38" t="inlineStr">
        <is>
          <t>current_rule_match,structured_trigger,structured_effects,quality_values,owner_scope,trainer_availability</t>
        </is>
      </c>
      <c r="I165" s="38" t="inlineStr">
        <is>
          <t>denizens-of-the-deep</t>
        </is>
      </c>
      <c r="J165" s="38" t="inlineStr">
        <is>
          <t>Denizens of the Deep</t>
        </is>
      </c>
      <c r="K165" s="38" t="inlineStr">
        <is>
          <t>gold</t>
        </is>
      </c>
      <c r="L165" s="38" t="inlineStr">
        <is>
          <t>medium</t>
        </is>
      </c>
      <c r="M165" s="38" t="inlineStr">
        <is>
          <t>aquatic, friend, burn, poison</t>
        </is>
      </c>
      <c r="N165" s="38" t="n">
        <v>6</v>
      </c>
      <c r="O165" s="38" t="inlineStr">
        <is>
          <t>trainer_adira, trainer_malafang, trainer_nufu, trainer_old-zane, trainer_orlin, trainer_professor-riggle</t>
        </is>
      </c>
      <c r="P165" s="38" t="n">
        <v>6</v>
      </c>
      <c r="Q165" s="38" t="inlineStr">
        <is>
          <t>elem_水, elem_地, elem_龙, elem_无, role_治疗, role_输出</t>
        </is>
      </c>
      <c r="R165" s="38" t="inlineStr">
        <is>
          <t>Fiery</t>
        </is>
      </c>
      <c r="S165" s="38" t="inlineStr">
        <is>
          <t>pal_164</t>
        </is>
      </c>
      <c r="T165" s="38" t="inlineStr">
        <is>
          <t>朱蛛侯</t>
        </is>
      </c>
      <c r="U165" s="38" t="inlineStr">
        <is>
          <t>https://bazaar-builds.net/db/skills/denizens-of-the-deep.html</t>
        </is>
      </c>
      <c r="V165" s="38" t="inlineStr">
        <is>
          <t>the first 4 → 8 times you use an aquatic friend each fight, poison 5 and burn 5.</t>
        </is>
      </c>
      <c r="W165" s="38" t="inlineStr">
        <is>
          <t>一对一确认来源对象。</t>
        </is>
      </c>
      <c r="X165" s="385" t="str"/>
      <c r="Y165" s="386" t="inlineStr">
        <is>
          <t>reference_reserved</t>
        </is>
      </c>
      <c r="Z165" s="386" t="str"/>
      <c r="AA165" s="386" t="str"/>
    </row>
    <row r="166">
      <c r="A166" s="38" t="inlineStr">
        <is>
          <t>bz_van_165</t>
        </is>
      </c>
      <c r="B166" s="38" t="n">
        <v>165</v>
      </c>
      <c r="C166" s="38" t="inlineStr">
        <is>
          <t>skill</t>
        </is>
      </c>
      <c r="D166" s="38" t="inlineStr">
        <is>
          <t>snapshot_vanessa_legacy_catalog_v1</t>
        </is>
      </c>
      <c r="E166" s="38" t="inlineStr">
        <is>
          <t>snapshot_the_bazaar_patch_18_0_boundary</t>
        </is>
      </c>
      <c r="F166" s="38" t="inlineStr">
        <is>
          <t>true</t>
        </is>
      </c>
      <c r="G166" s="38" t="inlineStr">
        <is>
          <t>false</t>
        </is>
      </c>
      <c r="H166" s="38" t="inlineStr">
        <is>
          <t>current_rule_match,structured_trigger,structured_effects,quality_values,owner_scope,trainer_availability</t>
        </is>
      </c>
      <c r="I166" s="38" t="inlineStr">
        <is>
          <t>depth-charge</t>
        </is>
      </c>
      <c r="J166" s="38" t="inlineStr">
        <is>
          <t>Depth Charge</t>
        </is>
      </c>
      <c r="K166" s="38" t="inlineStr">
        <is>
          <t>gold</t>
        </is>
      </c>
      <c r="L166" s="38" t="inlineStr">
        <is>
          <t>medium</t>
        </is>
      </c>
      <c r="M166" s="38" t="inlineStr">
        <is>
          <t>weapon, aquatic, ammo, damagereference</t>
        </is>
      </c>
      <c r="N166" s="38" t="n">
        <v>6</v>
      </c>
      <c r="O166" s="38" t="inlineStr">
        <is>
          <t>trainer_adira, trainer_c4, trainer_nufu, trainer_old-zane, trainer_orlin, trainer_ryukon</t>
        </is>
      </c>
      <c r="P166" s="38" t="n">
        <v>6</v>
      </c>
      <c r="Q166" s="38" t="inlineStr">
        <is>
          <t>elem_水, elem_地, elem_龙, elem_无, role_坦克, tier_pT1</t>
        </is>
      </c>
      <c r="R166" s="38" t="inlineStr">
        <is>
          <t>Turbo</t>
        </is>
      </c>
      <c r="S166" s="38" t="inlineStr">
        <is>
          <t>pal_165</t>
        </is>
      </c>
      <c r="T166" s="38" t="inlineStr">
        <is>
          <t>渊猿王</t>
        </is>
      </c>
      <c r="U166" s="38" t="inlineStr">
        <is>
          <t>https://bazaar-builds.net/db/skills/depth-charge.html</t>
        </is>
      </c>
      <c r="V166" s="38" t="inlineStr">
        <is>
          <t>if you have exactly one weapon, it has +5 → 10 max ammo. ...if it is also aquatic, it has +25 → 50 damage.</t>
        </is>
      </c>
      <c r="W166" s="38" t="inlineStr">
        <is>
          <t>一对一确认来源对象。</t>
        </is>
      </c>
      <c r="X166" s="385" t="str"/>
      <c r="Y166" s="386" t="inlineStr">
        <is>
          <t>reference_reserved</t>
        </is>
      </c>
      <c r="Z166" s="386" t="str"/>
      <c r="AA166" s="386" t="str"/>
    </row>
    <row r="167">
      <c r="A167" s="38" t="inlineStr">
        <is>
          <t>bz_van_166</t>
        </is>
      </c>
      <c r="B167" s="38" t="n">
        <v>166</v>
      </c>
      <c r="C167" s="38" t="inlineStr">
        <is>
          <t>skill</t>
        </is>
      </c>
      <c r="D167" s="38" t="inlineStr">
        <is>
          <t>snapshot_vanessa_legacy_catalog_v1</t>
        </is>
      </c>
      <c r="E167" s="38" t="inlineStr">
        <is>
          <t>snapshot_the_bazaar_patch_18_0_boundary</t>
        </is>
      </c>
      <c r="F167" s="38" t="inlineStr">
        <is>
          <t>true</t>
        </is>
      </c>
      <c r="G167" s="38" t="inlineStr">
        <is>
          <t>false</t>
        </is>
      </c>
      <c r="H167" s="38" t="inlineStr">
        <is>
          <t>current_rule_match,structured_trigger,structured_effects,quality_values,owner_scope,trainer_availability</t>
        </is>
      </c>
      <c r="I167" s="38" t="inlineStr">
        <is>
          <t>desperate-cleanse</t>
        </is>
      </c>
      <c r="J167" s="38" t="inlineStr">
        <is>
          <t>Desperate Cleanse</t>
        </is>
      </c>
      <c r="K167" s="38" t="inlineStr">
        <is>
          <t>diamond</t>
        </is>
      </c>
      <c r="L167" s="38" t="inlineStr">
        <is>
          <t>medium</t>
        </is>
      </c>
      <c r="M167" s="38" t="str"/>
      <c r="N167" s="38" t="n">
        <v>2</v>
      </c>
      <c r="O167" s="38" t="inlineStr">
        <is>
          <t>trainer_adira, trainer_nufu</t>
        </is>
      </c>
      <c r="P167" s="38" t="n">
        <v>2</v>
      </c>
      <c r="Q167" s="38" t="inlineStr">
        <is>
          <t>elem_水, elem_龙</t>
        </is>
      </c>
      <c r="R167" s="38" t="inlineStr">
        <is>
          <t>Fiery</t>
        </is>
      </c>
      <c r="S167" s="38" t="inlineStr">
        <is>
          <t>pal_166</t>
        </is>
      </c>
      <c r="T167" s="38" t="inlineStr">
        <is>
          <t>焰蚌圣</t>
        </is>
      </c>
      <c r="U167" s="38" t="inlineStr">
        <is>
          <t>https://bazaar-builds.net/db/skills/desperate-cleanse.html</t>
        </is>
      </c>
      <c r="V167" s="38" t="inlineStr">
        <is>
          <t>the first time you fall below half health each fight, remove freeze and slow from your items and cleanse half your burn and poison.</t>
        </is>
      </c>
      <c r="W167" s="38" t="inlineStr">
        <is>
          <t>一对一确认来源对象。</t>
        </is>
      </c>
      <c r="X167" s="385" t="str"/>
      <c r="Y167" s="386" t="inlineStr">
        <is>
          <t>reference_reserved</t>
        </is>
      </c>
      <c r="Z167" s="386" t="str"/>
      <c r="AA167" s="386" t="str"/>
    </row>
    <row r="168">
      <c r="A168" s="38" t="inlineStr">
        <is>
          <t>bz_van_167</t>
        </is>
      </c>
      <c r="B168" s="38" t="n">
        <v>167</v>
      </c>
      <c r="C168" s="38" t="inlineStr">
        <is>
          <t>skill</t>
        </is>
      </c>
      <c r="D168" s="38" t="inlineStr">
        <is>
          <t>snapshot_vanessa_legacy_catalog_v1</t>
        </is>
      </c>
      <c r="E168" s="38" t="inlineStr">
        <is>
          <t>snapshot_the_bazaar_patch_18_0_boundary</t>
        </is>
      </c>
      <c r="F168" s="38" t="inlineStr">
        <is>
          <t>true</t>
        </is>
      </c>
      <c r="G168" s="38" t="inlineStr">
        <is>
          <t>false</t>
        </is>
      </c>
      <c r="H168" s="38" t="inlineStr">
        <is>
          <t>current_rule_match,structured_trigger,structured_effects,quality_values,owner_scope,trainer_availability</t>
        </is>
      </c>
      <c r="I168" s="38" t="inlineStr">
        <is>
          <t>desperate-strike</t>
        </is>
      </c>
      <c r="J168" s="38" t="inlineStr">
        <is>
          <t>Desperate Strike</t>
        </is>
      </c>
      <c r="K168" s="38" t="inlineStr">
        <is>
          <t>silver</t>
        </is>
      </c>
      <c r="L168" s="38" t="inlineStr">
        <is>
          <t>medium</t>
        </is>
      </c>
      <c r="M168" s="38" t="inlineStr">
        <is>
          <t>crit</t>
        </is>
      </c>
      <c r="N168" s="38" t="n">
        <v>5</v>
      </c>
      <c r="O168" s="38" t="inlineStr">
        <is>
          <t>trainer_adira, trainer_argenta, trainer_nufu, trainer_orlin, trainer_vermir</t>
        </is>
      </c>
      <c r="P168" s="38" t="n">
        <v>5</v>
      </c>
      <c r="Q168" s="38" t="inlineStr">
        <is>
          <t>elem_水, elem_雷, elem_龙, elem_无, role_召唤</t>
        </is>
      </c>
      <c r="R168" s="38" t="inlineStr">
        <is>
          <t>Restorative</t>
        </is>
      </c>
      <c r="S168" s="38" t="inlineStr">
        <is>
          <t>pal_167</t>
        </is>
      </c>
      <c r="T168" s="38" t="inlineStr">
        <is>
          <t>渊兔妖</t>
        </is>
      </c>
      <c r="U168" s="38" t="inlineStr">
        <is>
          <t>https://bazaar-builds.net/db/skills/desperate-strike.html</t>
        </is>
      </c>
      <c r="V168" s="38" t="inlineStr">
        <is>
          <t>while you have less health than your enemy, your items have +20 / 40 / 60% crit chance.</t>
        </is>
      </c>
      <c r="W168" s="38" t="inlineStr">
        <is>
          <t>一对一确认来源对象。</t>
        </is>
      </c>
      <c r="X168" s="385" t="str"/>
      <c r="Y168" s="386" t="inlineStr">
        <is>
          <t>reference_reserved</t>
        </is>
      </c>
      <c r="Z168" s="386" t="str"/>
      <c r="AA168" s="386" t="str"/>
    </row>
    <row r="169">
      <c r="A169" s="38" t="inlineStr">
        <is>
          <t>bz_van_168</t>
        </is>
      </c>
      <c r="B169" s="38" t="n">
        <v>168</v>
      </c>
      <c r="C169" s="38" t="inlineStr">
        <is>
          <t>skill</t>
        </is>
      </c>
      <c r="D169" s="38" t="inlineStr">
        <is>
          <t>snapshot_vanessa_legacy_catalog_v1</t>
        </is>
      </c>
      <c r="E169" s="38" t="inlineStr">
        <is>
          <t>snapshot_the_bazaar_patch_18_0_boundary</t>
        </is>
      </c>
      <c r="F169" s="38" t="inlineStr">
        <is>
          <t>true</t>
        </is>
      </c>
      <c r="G169" s="38" t="inlineStr">
        <is>
          <t>false</t>
        </is>
      </c>
      <c r="H169" s="38" t="inlineStr">
        <is>
          <t>current_rule_match,structured_trigger,structured_effects,quality_values,owner_scope,trainer_availability</t>
        </is>
      </c>
      <c r="I169" s="38" t="inlineStr">
        <is>
          <t>double-down</t>
        </is>
      </c>
      <c r="J169" s="38" t="inlineStr">
        <is>
          <t>Double Down</t>
        </is>
      </c>
      <c r="K169" s="38" t="inlineStr">
        <is>
          <t>diamond</t>
        </is>
      </c>
      <c r="L169" s="38" t="inlineStr">
        <is>
          <t>medium</t>
        </is>
      </c>
      <c r="M169" s="38" t="inlineStr">
        <is>
          <t>weapon, damagereference</t>
        </is>
      </c>
      <c r="N169" s="38" t="n">
        <v>3</v>
      </c>
      <c r="O169" s="38" t="inlineStr">
        <is>
          <t>trainer_adira, trainer_nufu, trainer_ryukon</t>
        </is>
      </c>
      <c r="P169" s="38" t="n">
        <v>3</v>
      </c>
      <c r="Q169" s="38" t="inlineStr">
        <is>
          <t>elem_水, elem_龙, role_坦克</t>
        </is>
      </c>
      <c r="R169" s="38" t="inlineStr">
        <is>
          <t>Restorative</t>
        </is>
      </c>
      <c r="S169" s="38" t="inlineStr">
        <is>
          <t>pal_168</t>
        </is>
      </c>
      <c r="T169" s="38" t="inlineStr">
        <is>
          <t>澜兔祖</t>
        </is>
      </c>
      <c r="U169" s="38" t="inlineStr">
        <is>
          <t>https://bazaar-builds.net/db/skills/double-down.html</t>
        </is>
      </c>
      <c r="V169" s="38" t="inlineStr">
        <is>
          <t>the first time you fall below half health each fight, double the damage of your leftmost weapon for the fight.</t>
        </is>
      </c>
      <c r="W169" s="38" t="inlineStr">
        <is>
          <t>一对一确认来源对象。</t>
        </is>
      </c>
      <c r="X169" s="385" t="str"/>
      <c r="Y169" s="386" t="inlineStr">
        <is>
          <t>reference_reserved</t>
        </is>
      </c>
      <c r="Z169" s="386" t="str"/>
      <c r="AA169" s="386" t="str"/>
    </row>
    <row r="170">
      <c r="A170" s="38" t="inlineStr">
        <is>
          <t>bz_van_169</t>
        </is>
      </c>
      <c r="B170" s="38" t="n">
        <v>169</v>
      </c>
      <c r="C170" s="38" t="inlineStr">
        <is>
          <t>skill</t>
        </is>
      </c>
      <c r="D170" s="38" t="inlineStr">
        <is>
          <t>snapshot_vanessa_legacy_catalog_v1</t>
        </is>
      </c>
      <c r="E170" s="38" t="inlineStr">
        <is>
          <t>snapshot_the_bazaar_patch_18_0_boundary</t>
        </is>
      </c>
      <c r="F170" s="38" t="inlineStr">
        <is>
          <t>true</t>
        </is>
      </c>
      <c r="G170" s="38" t="inlineStr">
        <is>
          <t>false</t>
        </is>
      </c>
      <c r="H170" s="38" t="inlineStr">
        <is>
          <t>current_rule_match,structured_trigger,structured_effects,quality_values,owner_scope,trainer_availability</t>
        </is>
      </c>
      <c r="I170" s="38" t="inlineStr">
        <is>
          <t>emergency-burn</t>
        </is>
      </c>
      <c r="J170" s="38" t="inlineStr">
        <is>
          <t>Emergency Burn</t>
        </is>
      </c>
      <c r="K170" s="38" t="inlineStr">
        <is>
          <t>silver</t>
        </is>
      </c>
      <c r="L170" s="38" t="inlineStr">
        <is>
          <t>medium</t>
        </is>
      </c>
      <c r="M170" s="38" t="inlineStr">
        <is>
          <t>burn</t>
        </is>
      </c>
      <c r="N170" s="38" t="n">
        <v>5</v>
      </c>
      <c r="O170" s="38" t="inlineStr">
        <is>
          <t>trainer_adira, trainer_argenta, trainer_malafang, trainer_nufu, trainer_orlin</t>
        </is>
      </c>
      <c r="P170" s="38" t="n">
        <v>5</v>
      </c>
      <c r="Q170" s="38" t="inlineStr">
        <is>
          <t>elem_水, elem_雷, elem_龙, elem_无, role_治疗</t>
        </is>
      </c>
      <c r="R170" s="38" t="inlineStr">
        <is>
          <t>Fiery</t>
        </is>
      </c>
      <c r="S170" s="38" t="inlineStr">
        <is>
          <t>pal_169</t>
        </is>
      </c>
      <c r="T170" s="38" t="inlineStr">
        <is>
          <t>朱鹤将</t>
        </is>
      </c>
      <c r="U170" s="38" t="inlineStr">
        <is>
          <t>https://bazaar-builds.net/db/skills/emergency-burn.html</t>
        </is>
      </c>
      <c r="V170" s="38" t="inlineStr">
        <is>
          <t>the first time you fall below half health each fight, burn 20 / 30 / 40.</t>
        </is>
      </c>
      <c r="W170" s="38" t="inlineStr">
        <is>
          <t>一对一确认来源对象。</t>
        </is>
      </c>
      <c r="X170" s="385" t="str"/>
      <c r="Y170" s="386" t="inlineStr">
        <is>
          <t>reference_reserved</t>
        </is>
      </c>
      <c r="Z170" s="386" t="str"/>
      <c r="AA170" s="386" t="str"/>
    </row>
    <row r="171">
      <c r="A171" s="38" t="inlineStr">
        <is>
          <t>bz_van_170</t>
        </is>
      </c>
      <c r="B171" s="38" t="n">
        <v>170</v>
      </c>
      <c r="C171" s="38" t="inlineStr">
        <is>
          <t>skill</t>
        </is>
      </c>
      <c r="D171" s="38" t="inlineStr">
        <is>
          <t>snapshot_vanessa_legacy_catalog_v1</t>
        </is>
      </c>
      <c r="E171" s="38" t="inlineStr">
        <is>
          <t>snapshot_the_bazaar_patch_18_0_boundary</t>
        </is>
      </c>
      <c r="F171" s="38" t="inlineStr">
        <is>
          <t>true</t>
        </is>
      </c>
      <c r="G171" s="38" t="inlineStr">
        <is>
          <t>false</t>
        </is>
      </c>
      <c r="H171" s="38" t="inlineStr">
        <is>
          <t>current_rule_match,structured_trigger,structured_effects,quality_values,owner_scope,trainer_availability</t>
        </is>
      </c>
      <c r="I171" s="38" t="inlineStr">
        <is>
          <t>exposing-toxins</t>
        </is>
      </c>
      <c r="J171" s="38" t="inlineStr">
        <is>
          <t>Exposing Toxins</t>
        </is>
      </c>
      <c r="K171" s="38" t="inlineStr">
        <is>
          <t>silver</t>
        </is>
      </c>
      <c r="L171" s="38" t="inlineStr">
        <is>
          <t>medium</t>
        </is>
      </c>
      <c r="M171" s="38" t="inlineStr">
        <is>
          <t>poisonreference, crit</t>
        </is>
      </c>
      <c r="N171" s="38" t="n">
        <v>6</v>
      </c>
      <c r="O171" s="38" t="inlineStr">
        <is>
          <t>trainer_adira, trainer_argenta, trainer_nufu, trainer_orlin, trainer_professor-riggle, trainer_vermir</t>
        </is>
      </c>
      <c r="P171" s="38" t="n">
        <v>6</v>
      </c>
      <c r="Q171" s="38" t="inlineStr">
        <is>
          <t>elem_水, elem_雷, elem_龙, elem_无, role_召唤, role_输出</t>
        </is>
      </c>
      <c r="R171" s="38" t="inlineStr">
        <is>
          <t>Toxic</t>
        </is>
      </c>
      <c r="S171" s="38" t="inlineStr">
        <is>
          <t>pal_170</t>
        </is>
      </c>
      <c r="T171" s="38" t="inlineStr">
        <is>
          <t>青蝎卫</t>
        </is>
      </c>
      <c r="U171" s="38" t="inlineStr">
        <is>
          <t>https://bazaar-builds.net/db/skills/exposing-toxins.html</t>
        </is>
      </c>
      <c r="V171" s="38" t="inlineStr">
        <is>
          <t>when you poison, your items gain +1 / 2 / 3% crit chance for the fight.</t>
        </is>
      </c>
      <c r="W171" s="38" t="inlineStr">
        <is>
          <t>一对一确认来源对象。</t>
        </is>
      </c>
      <c r="X171" s="385" t="str"/>
      <c r="Y171" s="386" t="inlineStr">
        <is>
          <t>reference_reserved</t>
        </is>
      </c>
      <c r="Z171" s="386" t="str"/>
      <c r="AA171" s="386" t="str"/>
    </row>
    <row r="172">
      <c r="A172" s="38" t="inlineStr">
        <is>
          <t>bz_van_171</t>
        </is>
      </c>
      <c r="B172" s="38" t="n">
        <v>171</v>
      </c>
      <c r="C172" s="38" t="inlineStr">
        <is>
          <t>skill</t>
        </is>
      </c>
      <c r="D172" s="38" t="inlineStr">
        <is>
          <t>snapshot_vanessa_legacy_catalog_v1</t>
        </is>
      </c>
      <c r="E172" s="38" t="inlineStr">
        <is>
          <t>snapshot_the_bazaar_patch_18_0_boundary</t>
        </is>
      </c>
      <c r="F172" s="38" t="inlineStr">
        <is>
          <t>true</t>
        </is>
      </c>
      <c r="G172" s="38" t="inlineStr">
        <is>
          <t>false</t>
        </is>
      </c>
      <c r="H172" s="38" t="inlineStr">
        <is>
          <t>current_rule_match,structured_trigger,structured_effects,quality_values,owner_scope,trainer_availability</t>
        </is>
      </c>
      <c r="I172" s="38" t="inlineStr">
        <is>
          <t>fiery</t>
        </is>
      </c>
      <c r="J172" s="38" t="inlineStr">
        <is>
          <t>Fiery</t>
        </is>
      </c>
      <c r="K172" s="38" t="inlineStr">
        <is>
          <t>bronze</t>
        </is>
      </c>
      <c r="L172" s="38" t="inlineStr">
        <is>
          <t>medium</t>
        </is>
      </c>
      <c r="M172" s="38" t="inlineStr">
        <is>
          <t>burnreference</t>
        </is>
      </c>
      <c r="N172" s="38" t="n">
        <v>5</v>
      </c>
      <c r="O172" s="38" t="inlineStr">
        <is>
          <t>trainer_adira, trainer_argenta, trainer_malafang, trainer_nufu, trainer_orlin</t>
        </is>
      </c>
      <c r="P172" s="38" t="n">
        <v>5</v>
      </c>
      <c r="Q172" s="38" t="inlineStr">
        <is>
          <t>elem_水, elem_雷, elem_龙, elem_无, role_治疗</t>
        </is>
      </c>
      <c r="R172" s="38" t="inlineStr">
        <is>
          <t>Fiery</t>
        </is>
      </c>
      <c r="S172" s="38" t="inlineStr">
        <is>
          <t>pal_171</t>
        </is>
      </c>
      <c r="T172" s="38" t="inlineStr">
        <is>
          <t>赤狼童</t>
        </is>
      </c>
      <c r="U172" s="38" t="inlineStr">
        <is>
          <t>https://bazaar-builds.net/db/skills/fiery.html</t>
        </is>
      </c>
      <c r="V172" s="38" t="inlineStr">
        <is>
          <t>your burn items have +1 / 2 / 3 / 4 burn.</t>
        </is>
      </c>
      <c r="W172" s="38" t="inlineStr">
        <is>
          <t>一对一确认来源对象。</t>
        </is>
      </c>
      <c r="X172" s="385" t="str"/>
      <c r="Y172" s="386" t="inlineStr">
        <is>
          <t>reference_reserved</t>
        </is>
      </c>
      <c r="Z172" s="386" t="str"/>
      <c r="AA172" s="386" t="str"/>
    </row>
    <row r="173">
      <c r="A173" s="38" t="inlineStr">
        <is>
          <t>bz_van_172</t>
        </is>
      </c>
      <c r="B173" s="38" t="n">
        <v>172</v>
      </c>
      <c r="C173" s="38" t="inlineStr">
        <is>
          <t>skill</t>
        </is>
      </c>
      <c r="D173" s="38" t="inlineStr">
        <is>
          <t>snapshot_vanessa_legacy_catalog_v1</t>
        </is>
      </c>
      <c r="E173" s="38" t="inlineStr">
        <is>
          <t>snapshot_the_bazaar_patch_18_0_boundary</t>
        </is>
      </c>
      <c r="F173" s="38" t="inlineStr">
        <is>
          <t>true</t>
        </is>
      </c>
      <c r="G173" s="38" t="inlineStr">
        <is>
          <t>false</t>
        </is>
      </c>
      <c r="H173" s="38" t="inlineStr">
        <is>
          <t>current_rule_match,structured_trigger,structured_effects,quality_values,owner_scope,trainer_availability</t>
        </is>
      </c>
      <c r="I173" s="38" t="inlineStr">
        <is>
          <t>final-dose</t>
        </is>
      </c>
      <c r="J173" s="38" t="inlineStr">
        <is>
          <t>Final Dose</t>
        </is>
      </c>
      <c r="K173" s="38" t="inlineStr">
        <is>
          <t>bronze</t>
        </is>
      </c>
      <c r="L173" s="38" t="inlineStr">
        <is>
          <t>medium</t>
        </is>
      </c>
      <c r="M173" s="38" t="inlineStr">
        <is>
          <t>poisonreference</t>
        </is>
      </c>
      <c r="N173" s="38" t="n">
        <v>5</v>
      </c>
      <c r="O173" s="38" t="inlineStr">
        <is>
          <t>trainer_adira, trainer_argenta, trainer_nufu, trainer_orlin, trainer_professor-riggle</t>
        </is>
      </c>
      <c r="P173" s="38" t="n">
        <v>5</v>
      </c>
      <c r="Q173" s="38" t="inlineStr">
        <is>
          <t>elem_水, elem_雷, elem_龙, elem_无, role_输出</t>
        </is>
      </c>
      <c r="R173" s="38" t="inlineStr">
        <is>
          <t>Toxic</t>
        </is>
      </c>
      <c r="S173" s="38" t="inlineStr">
        <is>
          <t>pal_172</t>
        </is>
      </c>
      <c r="T173" s="38" t="inlineStr">
        <is>
          <t>森蟒仔</t>
        </is>
      </c>
      <c r="U173" s="38" t="inlineStr">
        <is>
          <t>https://bazaar-builds.net/db/skills/final-dose.html</t>
        </is>
      </c>
      <c r="V173" s="38" t="inlineStr">
        <is>
          <t>your rightmost poison item has +2 / 4 / 6 / 8 poison.</t>
        </is>
      </c>
      <c r="W173" s="38" t="inlineStr">
        <is>
          <t>一对一确认来源对象。</t>
        </is>
      </c>
      <c r="X173" s="385" t="str"/>
      <c r="Y173" s="386" t="inlineStr">
        <is>
          <t>reference_reserved</t>
        </is>
      </c>
      <c r="Z173" s="386" t="str"/>
      <c r="AA173" s="386" t="str"/>
    </row>
    <row r="174">
      <c r="A174" s="38" t="inlineStr">
        <is>
          <t>bz_van_173</t>
        </is>
      </c>
      <c r="B174" s="38" t="n">
        <v>173</v>
      </c>
      <c r="C174" s="38" t="inlineStr">
        <is>
          <t>skill</t>
        </is>
      </c>
      <c r="D174" s="38" t="inlineStr">
        <is>
          <t>snapshot_vanessa_legacy_catalog_v1</t>
        </is>
      </c>
      <c r="E174" s="38" t="inlineStr">
        <is>
          <t>snapshot_the_bazaar_patch_18_0_boundary</t>
        </is>
      </c>
      <c r="F174" s="38" t="inlineStr">
        <is>
          <t>true</t>
        </is>
      </c>
      <c r="G174" s="38" t="inlineStr">
        <is>
          <t>false</t>
        </is>
      </c>
      <c r="H174" s="38" t="inlineStr">
        <is>
          <t>current_rule_match,structured_trigger,structured_effects,quality_values,owner_scope,trainer_availability</t>
        </is>
      </c>
      <c r="I174" s="38" t="inlineStr">
        <is>
          <t>final-flame</t>
        </is>
      </c>
      <c r="J174" s="38" t="inlineStr">
        <is>
          <t>Final Flame</t>
        </is>
      </c>
      <c r="K174" s="38" t="inlineStr">
        <is>
          <t>bronze</t>
        </is>
      </c>
      <c r="L174" s="38" t="inlineStr">
        <is>
          <t>medium</t>
        </is>
      </c>
      <c r="M174" s="38" t="inlineStr">
        <is>
          <t>burnreference</t>
        </is>
      </c>
      <c r="N174" s="38" t="n">
        <v>5</v>
      </c>
      <c r="O174" s="38" t="inlineStr">
        <is>
          <t>trainer_adira, trainer_argenta, trainer_malafang, trainer_nufu, trainer_orlin</t>
        </is>
      </c>
      <c r="P174" s="38" t="n">
        <v>5</v>
      </c>
      <c r="Q174" s="38" t="inlineStr">
        <is>
          <t>elem_水, elem_雷, elem_龙, elem_无, role_治疗</t>
        </is>
      </c>
      <c r="R174" s="38" t="inlineStr">
        <is>
          <t>Fiery</t>
        </is>
      </c>
      <c r="S174" s="38" t="inlineStr">
        <is>
          <t>pal_173</t>
        </is>
      </c>
      <c r="T174" s="38" t="inlineStr">
        <is>
          <t>燎鹰兽</t>
        </is>
      </c>
      <c r="U174" s="38" t="inlineStr">
        <is>
          <t>https://bazaar-builds.net/db/skills/final-flame.html</t>
        </is>
      </c>
      <c r="V174" s="38" t="inlineStr">
        <is>
          <t>your rightmost burn item has +2 / 4 / 6 / 8 burn.</t>
        </is>
      </c>
      <c r="W174" s="38" t="inlineStr">
        <is>
          <t>一对一确认来源对象。</t>
        </is>
      </c>
      <c r="X174" s="385" t="str"/>
      <c r="Y174" s="386" t="inlineStr">
        <is>
          <t>reference_reserved</t>
        </is>
      </c>
      <c r="Z174" s="386" t="str"/>
      <c r="AA174" s="386" t="str"/>
    </row>
    <row r="175">
      <c r="A175" s="38" t="inlineStr">
        <is>
          <t>bz_van_174</t>
        </is>
      </c>
      <c r="B175" s="38" t="n">
        <v>174</v>
      </c>
      <c r="C175" s="38" t="inlineStr">
        <is>
          <t>skill</t>
        </is>
      </c>
      <c r="D175" s="38" t="inlineStr">
        <is>
          <t>snapshot_vanessa_legacy_catalog_v1</t>
        </is>
      </c>
      <c r="E175" s="38" t="inlineStr">
        <is>
          <t>snapshot_the_bazaar_patch_18_0_boundary</t>
        </is>
      </c>
      <c r="F175" s="38" t="inlineStr">
        <is>
          <t>true</t>
        </is>
      </c>
      <c r="G175" s="38" t="inlineStr">
        <is>
          <t>false</t>
        </is>
      </c>
      <c r="H175" s="38" t="inlineStr">
        <is>
          <t>current_rule_match,structured_trigger,structured_effects,quality_values,owner_scope,trainer_availability</t>
        </is>
      </c>
      <c r="I175" s="38" t="inlineStr">
        <is>
          <t>first-flames</t>
        </is>
      </c>
      <c r="J175" s="38" t="inlineStr">
        <is>
          <t>First Flames</t>
        </is>
      </c>
      <c r="K175" s="38" t="inlineStr">
        <is>
          <t>silver</t>
        </is>
      </c>
      <c r="L175" s="38" t="inlineStr">
        <is>
          <t>medium</t>
        </is>
      </c>
      <c r="M175" s="38" t="inlineStr">
        <is>
          <t>burn</t>
        </is>
      </c>
      <c r="N175" s="38" t="n">
        <v>5</v>
      </c>
      <c r="O175" s="38" t="inlineStr">
        <is>
          <t>trainer_adira, trainer_argenta, trainer_malafang, trainer_nufu, trainer_orlin</t>
        </is>
      </c>
      <c r="P175" s="38" t="n">
        <v>5</v>
      </c>
      <c r="Q175" s="38" t="inlineStr">
        <is>
          <t>elem_水, elem_雷, elem_龙, elem_无, role_治疗</t>
        </is>
      </c>
      <c r="R175" s="38" t="inlineStr">
        <is>
          <t>Fiery</t>
        </is>
      </c>
      <c r="S175" s="38" t="inlineStr">
        <is>
          <t>pal_174</t>
        </is>
      </c>
      <c r="T175" s="38" t="inlineStr">
        <is>
          <t>焰狼将</t>
        </is>
      </c>
      <c r="U175" s="38" t="inlineStr">
        <is>
          <t>https://bazaar-builds.net/db/skills/first-flames.html</t>
        </is>
      </c>
      <c r="V175" s="38" t="inlineStr">
        <is>
          <t>the first time you use a large item each fight, burn 20 / 40 / 60.</t>
        </is>
      </c>
      <c r="W175" s="38" t="inlineStr">
        <is>
          <t>一对一确认来源对象。</t>
        </is>
      </c>
      <c r="X175" s="385" t="str"/>
      <c r="Y175" s="386" t="inlineStr">
        <is>
          <t>reference_reserved</t>
        </is>
      </c>
      <c r="Z175" s="386" t="str"/>
      <c r="AA175" s="386" t="str"/>
    </row>
    <row r="176">
      <c r="A176" s="38" t="inlineStr">
        <is>
          <t>bz_van_175</t>
        </is>
      </c>
      <c r="B176" s="38" t="n">
        <v>175</v>
      </c>
      <c r="C176" s="38" t="inlineStr">
        <is>
          <t>skill</t>
        </is>
      </c>
      <c r="D176" s="38" t="inlineStr">
        <is>
          <t>snapshot_vanessa_legacy_catalog_v1</t>
        </is>
      </c>
      <c r="E176" s="38" t="inlineStr">
        <is>
          <t>snapshot_the_bazaar_patch_18_0_boundary</t>
        </is>
      </c>
      <c r="F176" s="38" t="inlineStr">
        <is>
          <t>true</t>
        </is>
      </c>
      <c r="G176" s="38" t="inlineStr">
        <is>
          <t>false</t>
        </is>
      </c>
      <c r="H176" s="38" t="inlineStr">
        <is>
          <t>current_rule_match,structured_trigger,structured_effects,quality_values,owner_scope,trainer_availability</t>
        </is>
      </c>
      <c r="I176" s="38" t="inlineStr">
        <is>
          <t>first-strike</t>
        </is>
      </c>
      <c r="J176" s="38" t="inlineStr">
        <is>
          <t>First Strike</t>
        </is>
      </c>
      <c r="K176" s="38" t="inlineStr">
        <is>
          <t>gold</t>
        </is>
      </c>
      <c r="L176" s="38" t="inlineStr">
        <is>
          <t>medium</t>
        </is>
      </c>
      <c r="M176" s="38" t="inlineStr">
        <is>
          <t>crit</t>
        </is>
      </c>
      <c r="N176" s="38" t="n">
        <v>4</v>
      </c>
      <c r="O176" s="38" t="inlineStr">
        <is>
          <t>trainer_adira, trainer_nufu, trainer_orlin, trainer_vermir</t>
        </is>
      </c>
      <c r="P176" s="38" t="n">
        <v>4</v>
      </c>
      <c r="Q176" s="38" t="inlineStr">
        <is>
          <t>elem_水, elem_龙, elem_无, role_召唤</t>
        </is>
      </c>
      <c r="R176" s="38" t="inlineStr">
        <is>
          <t>Deadly</t>
        </is>
      </c>
      <c r="S176" s="38" t="inlineStr">
        <is>
          <t>pal_175</t>
        </is>
      </c>
      <c r="T176" s="38" t="inlineStr">
        <is>
          <t>电豹尊</t>
        </is>
      </c>
      <c r="U176" s="38" t="inlineStr">
        <is>
          <t>https://bazaar-builds.net/db/skills/first-strike.html</t>
        </is>
      </c>
      <c r="V176" s="38" t="inlineStr">
        <is>
          <t>your items have +75 → 100% crit chance. when you use an item, all your items lose 10% crit chance for the fight.</t>
        </is>
      </c>
      <c r="W176" s="38" t="inlineStr">
        <is>
          <t>一对一确认来源对象。</t>
        </is>
      </c>
      <c r="X176" s="385" t="str"/>
      <c r="Y176" s="386" t="inlineStr">
        <is>
          <t>reference_reserved</t>
        </is>
      </c>
      <c r="Z176" s="386" t="str"/>
      <c r="AA176" s="386" t="str"/>
    </row>
    <row r="177">
      <c r="A177" s="38" t="inlineStr">
        <is>
          <t>bz_van_176</t>
        </is>
      </c>
      <c r="B177" s="38" t="n">
        <v>176</v>
      </c>
      <c r="C177" s="38" t="inlineStr">
        <is>
          <t>skill</t>
        </is>
      </c>
      <c r="D177" s="38" t="inlineStr">
        <is>
          <t>snapshot_vanessa_legacy_catalog_v1</t>
        </is>
      </c>
      <c r="E177" s="38" t="inlineStr">
        <is>
          <t>snapshot_the_bazaar_patch_18_0_boundary</t>
        </is>
      </c>
      <c r="F177" s="38" t="inlineStr">
        <is>
          <t>true</t>
        </is>
      </c>
      <c r="G177" s="38" t="inlineStr">
        <is>
          <t>false</t>
        </is>
      </c>
      <c r="H177" s="38" t="inlineStr">
        <is>
          <t>current_rule_match,structured_trigger,structured_effects,quality_values,owner_scope,trainer_availability</t>
        </is>
      </c>
      <c r="I177" s="38" t="inlineStr">
        <is>
          <t>flanking-criticals</t>
        </is>
      </c>
      <c r="J177" s="38" t="inlineStr">
        <is>
          <t>Flanking Criticals</t>
        </is>
      </c>
      <c r="K177" s="38" t="inlineStr">
        <is>
          <t>silver</t>
        </is>
      </c>
      <c r="L177" s="38" t="inlineStr">
        <is>
          <t>medium</t>
        </is>
      </c>
      <c r="M177" s="38" t="inlineStr">
        <is>
          <t>crit</t>
        </is>
      </c>
      <c r="N177" s="38" t="n">
        <v>5</v>
      </c>
      <c r="O177" s="38" t="inlineStr">
        <is>
          <t>trainer_adira, trainer_argenta, trainer_nufu, trainer_orlin, trainer_vermir</t>
        </is>
      </c>
      <c r="P177" s="38" t="n">
        <v>5</v>
      </c>
      <c r="Q177" s="38" t="inlineStr">
        <is>
          <t>elem_水, elem_雷, elem_龙, elem_无, role_召唤</t>
        </is>
      </c>
      <c r="R177" s="38" t="inlineStr">
        <is>
          <t>Deadly</t>
        </is>
      </c>
      <c r="S177" s="38" t="inlineStr">
        <is>
          <t>pal_176</t>
        </is>
      </c>
      <c r="T177" s="38" t="inlineStr">
        <is>
          <t>电螳精</t>
        </is>
      </c>
      <c r="U177" s="38" t="inlineStr">
        <is>
          <t>https://bazaar-builds.net/db/skills/flanking-criticals.html</t>
        </is>
      </c>
      <c r="V177" s="38" t="inlineStr">
        <is>
          <t>the first time you use a large item each fight, adjacent items gain 20 / 40 / 60% crit chance for the fight.</t>
        </is>
      </c>
      <c r="W177" s="38" t="inlineStr">
        <is>
          <t>一对一确认来源对象。</t>
        </is>
      </c>
      <c r="X177" s="385" t="str"/>
      <c r="Y177" s="386" t="inlineStr">
        <is>
          <t>reference_reserved</t>
        </is>
      </c>
      <c r="Z177" s="386" t="str"/>
      <c r="AA177" s="386" t="str"/>
    </row>
    <row r="178">
      <c r="A178" s="38" t="inlineStr">
        <is>
          <t>bz_van_177</t>
        </is>
      </c>
      <c r="B178" s="38" t="n">
        <v>177</v>
      </c>
      <c r="C178" s="38" t="inlineStr">
        <is>
          <t>skill</t>
        </is>
      </c>
      <c r="D178" s="38" t="inlineStr">
        <is>
          <t>snapshot_vanessa_legacy_catalog_v1</t>
        </is>
      </c>
      <c r="E178" s="38" t="inlineStr">
        <is>
          <t>snapshot_the_bazaar_patch_18_0_boundary</t>
        </is>
      </c>
      <c r="F178" s="38" t="inlineStr">
        <is>
          <t>true</t>
        </is>
      </c>
      <c r="G178" s="38" t="inlineStr">
        <is>
          <t>false</t>
        </is>
      </c>
      <c r="H178" s="38" t="inlineStr">
        <is>
          <t>current_rule_match,structured_trigger,structured_effects,quality_values,owner_scope,trainer_availability</t>
        </is>
      </c>
      <c r="I178" s="38" t="inlineStr">
        <is>
          <t>flashy-mechanic</t>
        </is>
      </c>
      <c r="J178" s="38" t="inlineStr">
        <is>
          <t>Flashy Mechanic</t>
        </is>
      </c>
      <c r="K178" s="38" t="inlineStr">
        <is>
          <t>silver</t>
        </is>
      </c>
      <c r="L178" s="38" t="inlineStr">
        <is>
          <t>medium</t>
        </is>
      </c>
      <c r="M178" s="38" t="inlineStr">
        <is>
          <t>tool, crit</t>
        </is>
      </c>
      <c r="N178" s="38" t="n">
        <v>5</v>
      </c>
      <c r="O178" s="38" t="inlineStr">
        <is>
          <t>trainer_adira, trainer_argenta, trainer_nufu, trainer_orlin, trainer_vermir</t>
        </is>
      </c>
      <c r="P178" s="38" t="n">
        <v>5</v>
      </c>
      <c r="Q178" s="38" t="inlineStr">
        <is>
          <t>elem_水, elem_雷, elem_龙, elem_无, role_召唤</t>
        </is>
      </c>
      <c r="R178" s="38" t="inlineStr">
        <is>
          <t>Deadly</t>
        </is>
      </c>
      <c r="S178" s="38" t="inlineStr">
        <is>
          <t>pal_177</t>
        </is>
      </c>
      <c r="T178" s="38" t="inlineStr">
        <is>
          <t>霆狼卫</t>
        </is>
      </c>
      <c r="U178" s="38" t="inlineStr">
        <is>
          <t>https://bazaar-builds.net/db/skills/flashy-mechanic.html</t>
        </is>
      </c>
      <c r="V178" s="38" t="inlineStr">
        <is>
          <t>when you use a tool, items adjacent to it gain 3 / 6 / 9% crit chance.</t>
        </is>
      </c>
      <c r="W178" s="38" t="inlineStr">
        <is>
          <t>一对一确认来源对象。</t>
        </is>
      </c>
      <c r="X178" s="385" t="str"/>
      <c r="Y178" s="386" t="inlineStr">
        <is>
          <t>reference_reserved</t>
        </is>
      </c>
      <c r="Z178" s="386" t="str"/>
      <c r="AA178" s="386" t="str"/>
    </row>
    <row r="179">
      <c r="A179" s="38" t="inlineStr">
        <is>
          <t>bz_van_178</t>
        </is>
      </c>
      <c r="B179" s="38" t="n">
        <v>178</v>
      </c>
      <c r="C179" s="38" t="inlineStr">
        <is>
          <t>skill</t>
        </is>
      </c>
      <c r="D179" s="38" t="inlineStr">
        <is>
          <t>snapshot_vanessa_legacy_catalog_v1</t>
        </is>
      </c>
      <c r="E179" s="38" t="inlineStr">
        <is>
          <t>snapshot_the_bazaar_patch_18_0_boundary</t>
        </is>
      </c>
      <c r="F179" s="38" t="inlineStr">
        <is>
          <t>true</t>
        </is>
      </c>
      <c r="G179" s="38" t="inlineStr">
        <is>
          <t>false</t>
        </is>
      </c>
      <c r="H179" s="38" t="inlineStr">
        <is>
          <t>current_rule_match,structured_trigger,structured_effects,quality_values,owner_scope,trainer_availability</t>
        </is>
      </c>
      <c r="I179" s="38" t="inlineStr">
        <is>
          <t>flashy-pilot</t>
        </is>
      </c>
      <c r="J179" s="38" t="inlineStr">
        <is>
          <t>Flashy Pilot</t>
        </is>
      </c>
      <c r="K179" s="38" t="inlineStr">
        <is>
          <t>silver</t>
        </is>
      </c>
      <c r="L179" s="38" t="inlineStr">
        <is>
          <t>medium</t>
        </is>
      </c>
      <c r="M179" s="38" t="inlineStr">
        <is>
          <t>vehicle, crit</t>
        </is>
      </c>
      <c r="N179" s="38" t="n">
        <v>5</v>
      </c>
      <c r="O179" s="38" t="inlineStr">
        <is>
          <t>trainer_adira, trainer_argenta, trainer_nufu, trainer_orlin, trainer_vermir</t>
        </is>
      </c>
      <c r="P179" s="38" t="n">
        <v>5</v>
      </c>
      <c r="Q179" s="38" t="inlineStr">
        <is>
          <t>elem_水, elem_雷, elem_龙, elem_无, role_召唤</t>
        </is>
      </c>
      <c r="R179" s="38" t="inlineStr">
        <is>
          <t>Deadly</t>
        </is>
      </c>
      <c r="S179" s="38" t="inlineStr">
        <is>
          <t>pal_178</t>
        </is>
      </c>
      <c r="T179" s="38" t="inlineStr">
        <is>
          <t>闪鲲妖</t>
        </is>
      </c>
      <c r="U179" s="38" t="inlineStr">
        <is>
          <t>https://bazaar-builds.net/db/skills/flashy-pilot.html</t>
        </is>
      </c>
      <c r="V179" s="38" t="inlineStr">
        <is>
          <t>when you use a vehicle, your items gain 3 / 6 / 9% crit chance.</t>
        </is>
      </c>
      <c r="W179" s="38" t="inlineStr">
        <is>
          <t>一对一确认来源对象。</t>
        </is>
      </c>
      <c r="X179" s="385" t="str"/>
      <c r="Y179" s="386" t="inlineStr">
        <is>
          <t>reference_reserved</t>
        </is>
      </c>
      <c r="Z179" s="386" t="str"/>
      <c r="AA179" s="386" t="str"/>
    </row>
    <row r="180">
      <c r="A180" s="38" t="inlineStr">
        <is>
          <t>bz_van_179</t>
        </is>
      </c>
      <c r="B180" s="38" t="n">
        <v>179</v>
      </c>
      <c r="C180" s="38" t="inlineStr">
        <is>
          <t>skill</t>
        </is>
      </c>
      <c r="D180" s="38" t="inlineStr">
        <is>
          <t>snapshot_vanessa_legacy_catalog_v1</t>
        </is>
      </c>
      <c r="E180" s="38" t="inlineStr">
        <is>
          <t>snapshot_the_bazaar_patch_18_0_boundary</t>
        </is>
      </c>
      <c r="F180" s="38" t="inlineStr">
        <is>
          <t>true</t>
        </is>
      </c>
      <c r="G180" s="38" t="inlineStr">
        <is>
          <t>false</t>
        </is>
      </c>
      <c r="H180" s="38" t="inlineStr">
        <is>
          <t>current_rule_match,structured_trigger,structured_effects,quality_values,owner_scope,trainer_availability</t>
        </is>
      </c>
      <c r="I180" s="38" t="inlineStr">
        <is>
          <t>flashy-reload</t>
        </is>
      </c>
      <c r="J180" s="38" t="inlineStr">
        <is>
          <t>Flashy Reload</t>
        </is>
      </c>
      <c r="K180" s="38" t="inlineStr">
        <is>
          <t>gold</t>
        </is>
      </c>
      <c r="L180" s="38" t="inlineStr">
        <is>
          <t>medium</t>
        </is>
      </c>
      <c r="M180" s="38" t="inlineStr">
        <is>
          <t>ammo, critreference</t>
        </is>
      </c>
      <c r="N180" s="38" t="n">
        <v>5</v>
      </c>
      <c r="O180" s="38" t="inlineStr">
        <is>
          <t>trainer_adira, trainer_c4, trainer_nufu, trainer_orlin, trainer_vermir</t>
        </is>
      </c>
      <c r="P180" s="38" t="n">
        <v>5</v>
      </c>
      <c r="Q180" s="38" t="inlineStr">
        <is>
          <t>elem_水, elem_龙, elem_无, role_召唤, tier_pT1</t>
        </is>
      </c>
      <c r="R180" s="38" t="inlineStr">
        <is>
          <t>Deadly</t>
        </is>
      </c>
      <c r="S180" s="38" t="inlineStr">
        <is>
          <t>pal_179</t>
        </is>
      </c>
      <c r="T180" s="38" t="inlineStr">
        <is>
          <t>震鹰王</t>
        </is>
      </c>
      <c r="U180" s="38" t="inlineStr">
        <is>
          <t>https://bazaar-builds.net/db/skills/flashy-reload.html</t>
        </is>
      </c>
      <c r="V180" s="38" t="inlineStr">
        <is>
          <t>the first 3 → 6 times you crit each fight, reload another item.</t>
        </is>
      </c>
      <c r="W180" s="38" t="inlineStr">
        <is>
          <t>一对一确认来源对象。</t>
        </is>
      </c>
      <c r="X180" s="385" t="str"/>
      <c r="Y180" s="386" t="inlineStr">
        <is>
          <t>reference_reserved</t>
        </is>
      </c>
      <c r="Z180" s="386" t="str"/>
      <c r="AA180" s="386" t="str"/>
    </row>
    <row r="181">
      <c r="A181" s="38" t="inlineStr">
        <is>
          <t>bz_van_180</t>
        </is>
      </c>
      <c r="B181" s="38" t="n">
        <v>180</v>
      </c>
      <c r="C181" s="38" t="inlineStr">
        <is>
          <t>skill</t>
        </is>
      </c>
      <c r="D181" s="38" t="inlineStr">
        <is>
          <t>snapshot_vanessa_legacy_catalog_v1</t>
        </is>
      </c>
      <c r="E181" s="38" t="inlineStr">
        <is>
          <t>snapshot_the_bazaar_patch_18_0_boundary</t>
        </is>
      </c>
      <c r="F181" s="38" t="inlineStr">
        <is>
          <t>true</t>
        </is>
      </c>
      <c r="G181" s="38" t="inlineStr">
        <is>
          <t>false</t>
        </is>
      </c>
      <c r="H181" s="38" t="inlineStr">
        <is>
          <t>current_rule_match,structured_trigger,structured_effects,quality_values,owner_scope,trainer_availability</t>
        </is>
      </c>
      <c r="I181" s="38" t="inlineStr">
        <is>
          <t>flurry-of-blows</t>
        </is>
      </c>
      <c r="J181" s="38" t="inlineStr">
        <is>
          <t>Flurry of Blows</t>
        </is>
      </c>
      <c r="K181" s="38" t="inlineStr">
        <is>
          <t>gold</t>
        </is>
      </c>
      <c r="L181" s="38" t="inlineStr">
        <is>
          <t>medium</t>
        </is>
      </c>
      <c r="M181" s="38" t="inlineStr">
        <is>
          <t>weapon, charge, damagereference</t>
        </is>
      </c>
      <c r="N181" s="38" t="n">
        <v>6</v>
      </c>
      <c r="O181" s="38" t="inlineStr">
        <is>
          <t>trainer_adira, trainer_nufu, trainer_old-zane, trainer_orlin, trainer_ryukon, trainer_zara</t>
        </is>
      </c>
      <c r="P181" s="38" t="n">
        <v>6</v>
      </c>
      <c r="Q181" s="38" t="inlineStr">
        <is>
          <t>elem_水, elem_地, elem_龙, elem_无, role_坦克, special_merchant</t>
        </is>
      </c>
      <c r="R181" s="38" t="inlineStr">
        <is>
          <t>Turbo</t>
        </is>
      </c>
      <c r="S181" s="38" t="inlineStr">
        <is>
          <t>pal_180</t>
        </is>
      </c>
      <c r="T181" s="38" t="inlineStr">
        <is>
          <t>鸣马王</t>
        </is>
      </c>
      <c r="U181" s="38" t="inlineStr">
        <is>
          <t>https://bazaar-builds.net/db/skills/flurry-of-blows.html</t>
        </is>
      </c>
      <c r="V181" s="38" t="inlineStr">
        <is>
          <t>the first 4 → 8 times you use a weapon each fight, charge an item 1 second.</t>
        </is>
      </c>
      <c r="W181" s="38" t="inlineStr">
        <is>
          <t>一对一确认来源对象。</t>
        </is>
      </c>
      <c r="X181" s="385" t="str"/>
      <c r="Y181" s="386" t="inlineStr">
        <is>
          <t>reference_reserved</t>
        </is>
      </c>
      <c r="Z181" s="386" t="str"/>
      <c r="AA181" s="386" t="str"/>
    </row>
    <row r="182">
      <c r="A182" s="38" t="inlineStr">
        <is>
          <t>bz_van_181</t>
        </is>
      </c>
      <c r="B182" s="38" t="n">
        <v>181</v>
      </c>
      <c r="C182" s="38" t="inlineStr">
        <is>
          <t>skill</t>
        </is>
      </c>
      <c r="D182" s="38" t="inlineStr">
        <is>
          <t>snapshot_vanessa_legacy_catalog_v1</t>
        </is>
      </c>
      <c r="E182" s="38" t="inlineStr">
        <is>
          <t>snapshot_the_bazaar_patch_18_0_boundary</t>
        </is>
      </c>
      <c r="F182" s="38" t="inlineStr">
        <is>
          <t>true</t>
        </is>
      </c>
      <c r="G182" s="38" t="inlineStr">
        <is>
          <t>false</t>
        </is>
      </c>
      <c r="H182" s="38" t="inlineStr">
        <is>
          <t>current_rule_match,structured_trigger,structured_effects,quality_values,owner_scope,trainer_availability</t>
        </is>
      </c>
      <c r="I182" s="38" t="inlineStr">
        <is>
          <t>focused-rage</t>
        </is>
      </c>
      <c r="J182" s="38" t="inlineStr">
        <is>
          <t>Focused Rage</t>
        </is>
      </c>
      <c r="K182" s="38" t="inlineStr">
        <is>
          <t>diamond</t>
        </is>
      </c>
      <c r="L182" s="38" t="inlineStr">
        <is>
          <t>medium</t>
        </is>
      </c>
      <c r="M182" s="38" t="inlineStr">
        <is>
          <t>crit</t>
        </is>
      </c>
      <c r="N182" s="38" t="n">
        <v>4</v>
      </c>
      <c r="O182" s="38" t="inlineStr">
        <is>
          <t>trainer_adira, trainer_nufu, trainer_old-zane, trainer_vermir</t>
        </is>
      </c>
      <c r="P182" s="38" t="n">
        <v>4</v>
      </c>
      <c r="Q182" s="38" t="inlineStr">
        <is>
          <t>elem_水, elem_地, elem_龙, role_召唤</t>
        </is>
      </c>
      <c r="R182" s="38" t="inlineStr">
        <is>
          <t>Restorative</t>
        </is>
      </c>
      <c r="S182" s="38" t="inlineStr">
        <is>
          <t>pal_181</t>
        </is>
      </c>
      <c r="T182" s="38" t="inlineStr">
        <is>
          <t>碧兔神</t>
        </is>
      </c>
      <c r="U182" s="38" t="inlineStr">
        <is>
          <t>https://bazaar-builds.net/db/skills/focused-rage.html</t>
        </is>
      </c>
      <c r="V182" s="38" t="inlineStr">
        <is>
          <t>the first time you fall below half health each fight, your items gain +50% crit chance for the fight.</t>
        </is>
      </c>
      <c r="W182" s="38" t="inlineStr">
        <is>
          <t>一对一确认来源对象。</t>
        </is>
      </c>
      <c r="X182" s="385" t="str"/>
      <c r="Y182" s="386" t="inlineStr">
        <is>
          <t>reference_reserved</t>
        </is>
      </c>
      <c r="Z182" s="386" t="str"/>
      <c r="AA182" s="386" t="str"/>
    </row>
    <row r="183">
      <c r="A183" s="38" t="inlineStr">
        <is>
          <t>bz_van_182</t>
        </is>
      </c>
      <c r="B183" s="38" t="n">
        <v>182</v>
      </c>
      <c r="C183" s="38" t="inlineStr">
        <is>
          <t>skill</t>
        </is>
      </c>
      <c r="D183" s="38" t="inlineStr">
        <is>
          <t>snapshot_vanessa_legacy_catalog_v1</t>
        </is>
      </c>
      <c r="E183" s="38" t="inlineStr">
        <is>
          <t>snapshot_the_bazaar_patch_18_0_boundary</t>
        </is>
      </c>
      <c r="F183" s="38" t="inlineStr">
        <is>
          <t>true</t>
        </is>
      </c>
      <c r="G183" s="38" t="inlineStr">
        <is>
          <t>false</t>
        </is>
      </c>
      <c r="H183" s="38" t="inlineStr">
        <is>
          <t>current_rule_match,structured_trigger,structured_effects,quality_values,owner_scope,trainer_availability</t>
        </is>
      </c>
      <c r="I183" s="38" t="inlineStr">
        <is>
          <t>friend-of-the-sea</t>
        </is>
      </c>
      <c r="J183" s="38" t="inlineStr">
        <is>
          <t>Friend of the Sea</t>
        </is>
      </c>
      <c r="K183" s="38" t="inlineStr">
        <is>
          <t>diamond</t>
        </is>
      </c>
      <c r="L183" s="38" t="inlineStr">
        <is>
          <t>medium</t>
        </is>
      </c>
      <c r="M183" s="38" t="inlineStr">
        <is>
          <t>aquatic, friend</t>
        </is>
      </c>
      <c r="N183" s="38" t="n">
        <v>3</v>
      </c>
      <c r="O183" s="38" t="inlineStr">
        <is>
          <t>trainer_adira, trainer_nufu, trainer_old-zane</t>
        </is>
      </c>
      <c r="P183" s="38" t="n">
        <v>3</v>
      </c>
      <c r="Q183" s="38" t="inlineStr">
        <is>
          <t>elem_水, elem_地, elem_龙</t>
        </is>
      </c>
      <c r="R183" s="38" t="inlineStr">
        <is>
          <t>Radiant</t>
        </is>
      </c>
      <c r="S183" s="38" t="inlineStr">
        <is>
          <t>pal_182</t>
        </is>
      </c>
      <c r="T183" s="38" t="inlineStr">
        <is>
          <t>渊蚁皇</t>
        </is>
      </c>
      <c r="U183" s="38" t="inlineStr">
        <is>
          <t>https://bazaar-builds.net/db/skills/friend-of-the-sea.html</t>
        </is>
      </c>
      <c r="V183" s="38" t="inlineStr">
        <is>
          <t>your aquatic items are friends.</t>
        </is>
      </c>
      <c r="W183" s="38" t="inlineStr">
        <is>
          <t>一对一确认来源对象。</t>
        </is>
      </c>
      <c r="X183" s="385" t="str"/>
      <c r="Y183" s="386" t="inlineStr">
        <is>
          <t>reference_reserved</t>
        </is>
      </c>
      <c r="Z183" s="386" t="str"/>
      <c r="AA183" s="386" t="str"/>
    </row>
    <row r="184">
      <c r="A184" s="38" t="inlineStr">
        <is>
          <t>bz_van_183</t>
        </is>
      </c>
      <c r="B184" s="38" t="n">
        <v>183</v>
      </c>
      <c r="C184" s="38" t="inlineStr">
        <is>
          <t>skill</t>
        </is>
      </c>
      <c r="D184" s="38" t="inlineStr">
        <is>
          <t>snapshot_vanessa_legacy_catalog_v1</t>
        </is>
      </c>
      <c r="E184" s="38" t="inlineStr">
        <is>
          <t>snapshot_the_bazaar_patch_18_0_boundary</t>
        </is>
      </c>
      <c r="F184" s="38" t="inlineStr">
        <is>
          <t>true</t>
        </is>
      </c>
      <c r="G184" s="38" t="inlineStr">
        <is>
          <t>false</t>
        </is>
      </c>
      <c r="H184" s="38" t="inlineStr">
        <is>
          <t>current_rule_match,structured_trigger,structured_effects,quality_values,owner_scope,trainer_availability</t>
        </is>
      </c>
      <c r="I184" s="38" t="inlineStr">
        <is>
          <t>frontal-shielding</t>
        </is>
      </c>
      <c r="J184" s="38" t="inlineStr">
        <is>
          <t>Frontal Shielding</t>
        </is>
      </c>
      <c r="K184" s="38" t="inlineStr">
        <is>
          <t>bronze</t>
        </is>
      </c>
      <c r="L184" s="38" t="inlineStr">
        <is>
          <t>medium</t>
        </is>
      </c>
      <c r="M184" s="38" t="inlineStr">
        <is>
          <t>shieldreference</t>
        </is>
      </c>
      <c r="N184" s="38" t="n">
        <v>5</v>
      </c>
      <c r="O184" s="38" t="inlineStr">
        <is>
          <t>trainer_adira, trainer_argenta, trainer_fortis, trainer_nufu, trainer_orlin</t>
        </is>
      </c>
      <c r="P184" s="38" t="n">
        <v>5</v>
      </c>
      <c r="Q184" s="38" t="inlineStr">
        <is>
          <t>elem_水, elem_雷, elem_龙, elem_无, role_召唤铺场</t>
        </is>
      </c>
      <c r="R184" s="38" t="inlineStr">
        <is>
          <t>Shielded</t>
        </is>
      </c>
      <c r="S184" s="38" t="inlineStr">
        <is>
          <t>pal_183</t>
        </is>
      </c>
      <c r="T184" s="38" t="inlineStr">
        <is>
          <t>垒牦灵</t>
        </is>
      </c>
      <c r="U184" s="38" t="inlineStr">
        <is>
          <t>https://bazaar-builds.net/db/skills/frontal-shielding.html</t>
        </is>
      </c>
      <c r="V184" s="38" t="inlineStr">
        <is>
          <t>your leftmost shield item has +10 / 20 / 30 / 40 shield.</t>
        </is>
      </c>
      <c r="W184" s="38" t="inlineStr">
        <is>
          <t>一对一确认来源对象。</t>
        </is>
      </c>
      <c r="X184" s="385" t="str"/>
      <c r="Y184" s="386" t="inlineStr">
        <is>
          <t>reference_reserved</t>
        </is>
      </c>
      <c r="Z184" s="386" t="str"/>
      <c r="AA184" s="386" t="str"/>
    </row>
    <row r="185">
      <c r="A185" s="38" t="inlineStr">
        <is>
          <t>bz_van_184</t>
        </is>
      </c>
      <c r="B185" s="38" t="n">
        <v>184</v>
      </c>
      <c r="C185" s="38" t="inlineStr">
        <is>
          <t>skill</t>
        </is>
      </c>
      <c r="D185" s="38" t="inlineStr">
        <is>
          <t>snapshot_vanessa_legacy_catalog_v1</t>
        </is>
      </c>
      <c r="E185" s="38" t="inlineStr">
        <is>
          <t>snapshot_the_bazaar_patch_18_0_boundary</t>
        </is>
      </c>
      <c r="F185" s="38" t="inlineStr">
        <is>
          <t>true</t>
        </is>
      </c>
      <c r="G185" s="38" t="inlineStr">
        <is>
          <t>false</t>
        </is>
      </c>
      <c r="H185" s="38" t="inlineStr">
        <is>
          <t>current_rule_match,structured_trigger,structured_effects,quality_values,owner_scope,trainer_availability</t>
        </is>
      </c>
      <c r="I185" s="38" t="inlineStr">
        <is>
          <t>frontline-logistics</t>
        </is>
      </c>
      <c r="J185" s="38" t="inlineStr">
        <is>
          <t>Frontline Logistics</t>
        </is>
      </c>
      <c r="K185" s="38" t="inlineStr">
        <is>
          <t>silver</t>
        </is>
      </c>
      <c r="L185" s="38" t="inlineStr">
        <is>
          <t>medium</t>
        </is>
      </c>
      <c r="M185" s="38" t="inlineStr">
        <is>
          <t>weapon, ammoreference, damagereference</t>
        </is>
      </c>
      <c r="N185" s="38" t="n">
        <v>6</v>
      </c>
      <c r="O185" s="38" t="inlineStr">
        <is>
          <t>trainer_adira, trainer_argenta, trainer_c4, trainer_nufu, trainer_orlin, trainer_ryukon</t>
        </is>
      </c>
      <c r="P185" s="38" t="n">
        <v>6</v>
      </c>
      <c r="Q185" s="38" t="inlineStr">
        <is>
          <t>elem_水, elem_雷, elem_龙, elem_无, role_坦克, tier_pT1</t>
        </is>
      </c>
      <c r="R185" s="38" t="inlineStr">
        <is>
          <t>Deadly</t>
        </is>
      </c>
      <c r="S185" s="38" t="inlineStr">
        <is>
          <t>pal_184</t>
        </is>
      </c>
      <c r="T185" s="38" t="inlineStr">
        <is>
          <t>雷鹰将</t>
        </is>
      </c>
      <c r="U185" s="38" t="inlineStr">
        <is>
          <t>https://bazaar-builds.net/db/skills/frontline-logistics.html</t>
        </is>
      </c>
      <c r="V185" s="38" t="inlineStr">
        <is>
          <t>when you use an ammo item, your weapons gain +3 / 6 / 9 damage for the fight.</t>
        </is>
      </c>
      <c r="W185" s="38" t="inlineStr">
        <is>
          <t>一对一确认来源对象。</t>
        </is>
      </c>
      <c r="X185" s="385" t="str"/>
      <c r="Y185" s="386" t="inlineStr">
        <is>
          <t>reference_reserved</t>
        </is>
      </c>
      <c r="Z185" s="386" t="str"/>
      <c r="AA185" s="386" t="str"/>
    </row>
    <row r="186">
      <c r="A186" s="38" t="inlineStr">
        <is>
          <t>bz_van_185</t>
        </is>
      </c>
      <c r="B186" s="38" t="n">
        <v>185</v>
      </c>
      <c r="C186" s="38" t="inlineStr">
        <is>
          <t>skill</t>
        </is>
      </c>
      <c r="D186" s="38" t="inlineStr">
        <is>
          <t>snapshot_vanessa_legacy_catalog_v1</t>
        </is>
      </c>
      <c r="E186" s="38" t="inlineStr">
        <is>
          <t>snapshot_the_bazaar_patch_18_0_boundary</t>
        </is>
      </c>
      <c r="F186" s="38" t="inlineStr">
        <is>
          <t>true</t>
        </is>
      </c>
      <c r="G186" s="38" t="inlineStr">
        <is>
          <t>false</t>
        </is>
      </c>
      <c r="H186" s="38" t="inlineStr">
        <is>
          <t>current_rule_match,structured_trigger,structured_effects,quality_values,owner_scope,trainer_availability</t>
        </is>
      </c>
      <c r="I186" s="38" t="inlineStr">
        <is>
          <t>frostfire</t>
        </is>
      </c>
      <c r="J186" s="38" t="inlineStr">
        <is>
          <t>Frostfire</t>
        </is>
      </c>
      <c r="K186" s="38" t="inlineStr">
        <is>
          <t>silver</t>
        </is>
      </c>
      <c r="L186" s="38" t="inlineStr">
        <is>
          <t>medium</t>
        </is>
      </c>
      <c r="M186" s="38" t="inlineStr">
        <is>
          <t>burnreference, freeze</t>
        </is>
      </c>
      <c r="N186" s="38" t="n">
        <v>6</v>
      </c>
      <c r="O186" s="38" t="inlineStr">
        <is>
          <t>trainer_adira, trainer_argenta, trainer_bjorn, trainer_malafang, trainer_nufu, trainer_orlin</t>
        </is>
      </c>
      <c r="P186" s="38" t="n">
        <v>6</v>
      </c>
      <c r="Q186" s="38" t="inlineStr">
        <is>
          <t>elem_水, elem_雷, elem_龙, elem_无, role_控制, role_治疗</t>
        </is>
      </c>
      <c r="R186" s="38" t="inlineStr">
        <is>
          <t>Fiery</t>
        </is>
      </c>
      <c r="S186" s="38" t="inlineStr">
        <is>
          <t>pal_185</t>
        </is>
      </c>
      <c r="T186" s="38" t="inlineStr">
        <is>
          <t>烬鳗将</t>
        </is>
      </c>
      <c r="U186" s="38" t="inlineStr">
        <is>
          <t>https://bazaar-builds.net/db/skills/frostfire.html</t>
        </is>
      </c>
      <c r="V186" s="38" t="inlineStr">
        <is>
          <t>the first time you burn each fight, freeze an item for 2 / 3 / 4 seconds.</t>
        </is>
      </c>
      <c r="W186" s="38" t="inlineStr">
        <is>
          <t>一对一确认来源对象。</t>
        </is>
      </c>
      <c r="X186" s="385" t="str"/>
      <c r="Y186" s="386" t="inlineStr">
        <is>
          <t>reference_reserved</t>
        </is>
      </c>
      <c r="Z186" s="386" t="str"/>
      <c r="AA186" s="386" t="str"/>
    </row>
    <row r="187">
      <c r="A187" s="38" t="inlineStr">
        <is>
          <t>bz_van_186</t>
        </is>
      </c>
      <c r="B187" s="38" t="n">
        <v>186</v>
      </c>
      <c r="C187" s="38" t="inlineStr">
        <is>
          <t>skill</t>
        </is>
      </c>
      <c r="D187" s="38" t="inlineStr">
        <is>
          <t>snapshot_vanessa_legacy_catalog_v1</t>
        </is>
      </c>
      <c r="E187" s="38" t="inlineStr">
        <is>
          <t>snapshot_the_bazaar_patch_18_0_boundary</t>
        </is>
      </c>
      <c r="F187" s="38" t="inlineStr">
        <is>
          <t>true</t>
        </is>
      </c>
      <c r="G187" s="38" t="inlineStr">
        <is>
          <t>false</t>
        </is>
      </c>
      <c r="H187" s="38" t="inlineStr">
        <is>
          <t>current_rule_match,structured_trigger,structured_effects,quality_values,owner_scope,trainer_availability</t>
        </is>
      </c>
      <c r="I187" s="38" t="inlineStr">
        <is>
          <t>glass-cannon</t>
        </is>
      </c>
      <c r="J187" s="38" t="inlineStr">
        <is>
          <t>Glass Cannon</t>
        </is>
      </c>
      <c r="K187" s="38" t="inlineStr">
        <is>
          <t>diamond</t>
        </is>
      </c>
      <c r="L187" s="38" t="inlineStr">
        <is>
          <t>medium</t>
        </is>
      </c>
      <c r="M187" s="38" t="inlineStr">
        <is>
          <t>weapon, damagereference</t>
        </is>
      </c>
      <c r="N187" s="38" t="n">
        <v>4</v>
      </c>
      <c r="O187" s="38" t="inlineStr">
        <is>
          <t>trainer_adira, trainer_nufu, trainer_old-zane, trainer_ryukon</t>
        </is>
      </c>
      <c r="P187" s="38" t="n">
        <v>4</v>
      </c>
      <c r="Q187" s="38" t="inlineStr">
        <is>
          <t>elem_水, elem_地, elem_龙, role_坦克</t>
        </is>
      </c>
      <c r="R187" s="38" t="inlineStr">
        <is>
          <t>Deadly</t>
        </is>
      </c>
      <c r="S187" s="38" t="inlineStr">
        <is>
          <t>pal_186</t>
        </is>
      </c>
      <c r="T187" s="38" t="inlineStr">
        <is>
          <t>角豹神</t>
        </is>
      </c>
      <c r="U187" s="38" t="inlineStr">
        <is>
          <t>https://bazaar-builds.net/db/skills/glass-cannon.html</t>
        </is>
      </c>
      <c r="V187" s="38" t="inlineStr">
        <is>
          <t>all weapons have double damage.</t>
        </is>
      </c>
      <c r="W187" s="38" t="inlineStr">
        <is>
          <t>一对一确认来源对象。</t>
        </is>
      </c>
      <c r="X187" s="385" t="str"/>
      <c r="Y187" s="386" t="inlineStr">
        <is>
          <t>reference_reserved</t>
        </is>
      </c>
      <c r="Z187" s="386" t="str"/>
      <c r="AA187" s="386" t="str"/>
    </row>
    <row r="188">
      <c r="A188" s="38" t="inlineStr">
        <is>
          <t>bz_van_187</t>
        </is>
      </c>
      <c r="B188" s="38" t="n">
        <v>187</v>
      </c>
      <c r="C188" s="38" t="inlineStr">
        <is>
          <t>skill</t>
        </is>
      </c>
      <c r="D188" s="38" t="inlineStr">
        <is>
          <t>snapshot_vanessa_legacy_catalog_v1</t>
        </is>
      </c>
      <c r="E188" s="38" t="inlineStr">
        <is>
          <t>snapshot_the_bazaar_patch_18_0_boundary</t>
        </is>
      </c>
      <c r="F188" s="38" t="inlineStr">
        <is>
          <t>true</t>
        </is>
      </c>
      <c r="G188" s="38" t="inlineStr">
        <is>
          <t>false</t>
        </is>
      </c>
      <c r="H188" s="38" t="inlineStr">
        <is>
          <t>current_rule_match,structured_trigger,structured_effects,quality_values,owner_scope,trainer_availability</t>
        </is>
      </c>
      <c r="I188" s="38" t="inlineStr">
        <is>
          <t>gunner</t>
        </is>
      </c>
      <c r="J188" s="38" t="inlineStr">
        <is>
          <t>Gunner</t>
        </is>
      </c>
      <c r="K188" s="38" t="inlineStr">
        <is>
          <t>silver</t>
        </is>
      </c>
      <c r="L188" s="38" t="inlineStr">
        <is>
          <t>medium</t>
        </is>
      </c>
      <c r="M188" s="38" t="inlineStr">
        <is>
          <t>ammo</t>
        </is>
      </c>
      <c r="N188" s="38" t="n">
        <v>5</v>
      </c>
      <c r="O188" s="38" t="inlineStr">
        <is>
          <t>trainer_adira, trainer_argenta, trainer_c4, trainer_nufu, trainer_orlin</t>
        </is>
      </c>
      <c r="P188" s="38" t="n">
        <v>5</v>
      </c>
      <c r="Q188" s="38" t="inlineStr">
        <is>
          <t>elem_水, elem_雷, elem_龙, elem_无, tier_pT1</t>
        </is>
      </c>
      <c r="R188" s="38" t="inlineStr">
        <is>
          <t>Deadly</t>
        </is>
      </c>
      <c r="S188" s="38" t="inlineStr">
        <is>
          <t>pal_187</t>
        </is>
      </c>
      <c r="T188" s="38" t="inlineStr">
        <is>
          <t>雷鹰卫</t>
        </is>
      </c>
      <c r="U188" s="38" t="inlineStr">
        <is>
          <t>https://bazaar-builds.net/db/skills/gunner.html</t>
        </is>
      </c>
      <c r="V188" s="38" t="inlineStr">
        <is>
          <t>your items have +1 / 2 / 3 max ammo.</t>
        </is>
      </c>
      <c r="W188" s="38" t="inlineStr">
        <is>
          <t>一对一确认来源对象。</t>
        </is>
      </c>
      <c r="X188" s="385" t="str"/>
      <c r="Y188" s="386" t="inlineStr">
        <is>
          <t>reference_reserved</t>
        </is>
      </c>
      <c r="Z188" s="386" t="str"/>
      <c r="AA188" s="386" t="str"/>
    </row>
    <row r="189">
      <c r="A189" s="38" t="inlineStr">
        <is>
          <t>bz_van_188</t>
        </is>
      </c>
      <c r="B189" s="38" t="n">
        <v>188</v>
      </c>
      <c r="C189" s="38" t="inlineStr">
        <is>
          <t>skill</t>
        </is>
      </c>
      <c r="D189" s="38" t="inlineStr">
        <is>
          <t>snapshot_vanessa_legacy_catalog_v1</t>
        </is>
      </c>
      <c r="E189" s="38" t="inlineStr">
        <is>
          <t>snapshot_the_bazaar_patch_18_0_boundary</t>
        </is>
      </c>
      <c r="F189" s="38" t="inlineStr">
        <is>
          <t>true</t>
        </is>
      </c>
      <c r="G189" s="38" t="inlineStr">
        <is>
          <t>false</t>
        </is>
      </c>
      <c r="H189" s="38" t="inlineStr">
        <is>
          <t>current_rule_match,structured_trigger,structured_effects,quality_values,owner_scope,trainer_availability</t>
        </is>
      </c>
      <c r="I189" s="38" t="inlineStr">
        <is>
          <t>hardened-shield</t>
        </is>
      </c>
      <c r="J189" s="38" t="inlineStr">
        <is>
          <t>Hardened Shield</t>
        </is>
      </c>
      <c r="K189" s="38" t="inlineStr">
        <is>
          <t>silver</t>
        </is>
      </c>
      <c r="L189" s="38" t="inlineStr">
        <is>
          <t>medium</t>
        </is>
      </c>
      <c r="M189" s="38" t="inlineStr">
        <is>
          <t>shieldreference</t>
        </is>
      </c>
      <c r="N189" s="38" t="n">
        <v>5</v>
      </c>
      <c r="O189" s="38" t="inlineStr">
        <is>
          <t>trainer_adira, trainer_argenta, trainer_fortis, trainer_nufu, trainer_orlin</t>
        </is>
      </c>
      <c r="P189" s="38" t="n">
        <v>5</v>
      </c>
      <c r="Q189" s="38" t="inlineStr">
        <is>
          <t>elem_水, elem_雷, elem_龙, elem_无, role_召唤铺场</t>
        </is>
      </c>
      <c r="R189" s="38" t="inlineStr">
        <is>
          <t>Shielded</t>
        </is>
      </c>
      <c r="S189" s="38" t="inlineStr">
        <is>
          <t>pal_188</t>
        </is>
      </c>
      <c r="T189" s="38" t="inlineStr">
        <is>
          <t>岩獒精</t>
        </is>
      </c>
      <c r="U189" s="38" t="inlineStr">
        <is>
          <t>https://bazaar-builds.net/db/skills/hardened-shield.html</t>
        </is>
      </c>
      <c r="V189" s="38" t="inlineStr">
        <is>
          <t>your shield items have +10 / 20 / 30 shield for each weapon your enemy has.</t>
        </is>
      </c>
      <c r="W189" s="38" t="inlineStr">
        <is>
          <t>一对一确认来源对象。</t>
        </is>
      </c>
      <c r="X189" s="385" t="str"/>
      <c r="Y189" s="386" t="inlineStr">
        <is>
          <t>reference_reserved</t>
        </is>
      </c>
      <c r="Z189" s="386" t="str"/>
      <c r="AA189" s="386" t="str"/>
    </row>
    <row r="190">
      <c r="A190" s="38" t="inlineStr">
        <is>
          <t>bz_van_189</t>
        </is>
      </c>
      <c r="B190" s="38" t="n">
        <v>189</v>
      </c>
      <c r="C190" s="38" t="inlineStr">
        <is>
          <t>skill</t>
        </is>
      </c>
      <c r="D190" s="38" t="inlineStr">
        <is>
          <t>snapshot_vanessa_legacy_catalog_v1</t>
        </is>
      </c>
      <c r="E190" s="38" t="inlineStr">
        <is>
          <t>snapshot_the_bazaar_patch_18_0_boundary</t>
        </is>
      </c>
      <c r="F190" s="38" t="inlineStr">
        <is>
          <t>true</t>
        </is>
      </c>
      <c r="G190" s="38" t="inlineStr">
        <is>
          <t>false</t>
        </is>
      </c>
      <c r="H190" s="38" t="inlineStr">
        <is>
          <t>current_rule_match,structured_trigger,structured_effects,quality_values,owner_scope,trainer_availability</t>
        </is>
      </c>
      <c r="I190" s="38" t="inlineStr">
        <is>
          <t>healthy-heart</t>
        </is>
      </c>
      <c r="J190" s="38" t="inlineStr">
        <is>
          <t>Healthy Heart</t>
        </is>
      </c>
      <c r="K190" s="38" t="inlineStr">
        <is>
          <t>diamond</t>
        </is>
      </c>
      <c r="L190" s="38" t="inlineStr">
        <is>
          <t>medium</t>
        </is>
      </c>
      <c r="M190" s="38" t="inlineStr">
        <is>
          <t>health, heal</t>
        </is>
      </c>
      <c r="N190" s="38" t="n">
        <v>3</v>
      </c>
      <c r="O190" s="38" t="inlineStr">
        <is>
          <t>trainer_adira, trainer_nufu, trainer_regenald</t>
        </is>
      </c>
      <c r="P190" s="38" t="n">
        <v>3</v>
      </c>
      <c r="Q190" s="38" t="inlineStr">
        <is>
          <t>elem_水, elem_龙, tier_pT2</t>
        </is>
      </c>
      <c r="R190" s="38" t="inlineStr">
        <is>
          <t>Fiery</t>
        </is>
      </c>
      <c r="S190" s="38" t="inlineStr">
        <is>
          <t>pal_189</t>
        </is>
      </c>
      <c r="T190" s="38" t="inlineStr">
        <is>
          <t>烬鹿祖</t>
        </is>
      </c>
      <c r="U190" s="38" t="inlineStr">
        <is>
          <t>https://bazaar-builds.net/db/skills/healthy-heart.html</t>
        </is>
      </c>
      <c r="V190" s="38" t="inlineStr">
        <is>
          <t>the first time you fall below half health each fight, heal equal to 30% of your max health and cleanse half your burn and poison.</t>
        </is>
      </c>
      <c r="W190" s="38" t="inlineStr">
        <is>
          <t>一对一确认来源对象。</t>
        </is>
      </c>
      <c r="X190" s="385" t="str"/>
      <c r="Y190" s="386" t="inlineStr">
        <is>
          <t>reference_reserved</t>
        </is>
      </c>
      <c r="Z190" s="386" t="str"/>
      <c r="AA190" s="386" t="str"/>
    </row>
    <row r="191">
      <c r="A191" s="38" t="inlineStr">
        <is>
          <t>bz_van_190</t>
        </is>
      </c>
      <c r="B191" s="38" t="n">
        <v>190</v>
      </c>
      <c r="C191" s="38" t="inlineStr">
        <is>
          <t>skill</t>
        </is>
      </c>
      <c r="D191" s="38" t="inlineStr">
        <is>
          <t>snapshot_vanessa_legacy_catalog_v1</t>
        </is>
      </c>
      <c r="E191" s="38" t="inlineStr">
        <is>
          <t>snapshot_the_bazaar_patch_18_0_boundary</t>
        </is>
      </c>
      <c r="F191" s="38" t="inlineStr">
        <is>
          <t>true</t>
        </is>
      </c>
      <c r="G191" s="38" t="inlineStr">
        <is>
          <t>false</t>
        </is>
      </c>
      <c r="H191" s="38" t="inlineStr">
        <is>
          <t>current_rule_match,structured_trigger,structured_effects,quality_values,owner_scope,trainer_availability</t>
        </is>
      </c>
      <c r="I191" s="38" t="inlineStr">
        <is>
          <t>healthy-jolt</t>
        </is>
      </c>
      <c r="J191" s="38" t="inlineStr">
        <is>
          <t>Healthy Jolt</t>
        </is>
      </c>
      <c r="K191" s="38" t="inlineStr">
        <is>
          <t>silver</t>
        </is>
      </c>
      <c r="L191" s="38" t="inlineStr">
        <is>
          <t>medium</t>
        </is>
      </c>
      <c r="M191" s="38" t="inlineStr">
        <is>
          <t>healreference, haste</t>
        </is>
      </c>
      <c r="N191" s="38" t="n">
        <v>6</v>
      </c>
      <c r="O191" s="38" t="inlineStr">
        <is>
          <t>trainer_adira, trainer_argenta, trainer_nufu, trainer_orlin, trainer_regenald, trainer_zara</t>
        </is>
      </c>
      <c r="P191" s="38" t="n">
        <v>6</v>
      </c>
      <c r="Q191" s="38" t="inlineStr">
        <is>
          <t>elem_水, elem_雷, elem_龙, elem_无, special_merchant, tier_pT2</t>
        </is>
      </c>
      <c r="R191" s="38" t="inlineStr">
        <is>
          <t>Turbo</t>
        </is>
      </c>
      <c r="S191" s="38" t="inlineStr">
        <is>
          <t>pal_190</t>
        </is>
      </c>
      <c r="T191" s="38" t="inlineStr">
        <is>
          <t>潮鹤精</t>
        </is>
      </c>
      <c r="U191" s="38" t="inlineStr">
        <is>
          <t>https://bazaar-builds.net/db/skills/healthy-jolt.html</t>
        </is>
      </c>
      <c r="V191" s="38" t="inlineStr">
        <is>
          <t>the first time you over-heal each fight, haste your items for 1 / 2 / 3 seconds.</t>
        </is>
      </c>
      <c r="W191" s="38" t="inlineStr">
        <is>
          <t>一对一确认来源对象。</t>
        </is>
      </c>
      <c r="X191" s="385" t="str"/>
      <c r="Y191" s="386" t="inlineStr">
        <is>
          <t>reference_reserved</t>
        </is>
      </c>
      <c r="Z191" s="386" t="str"/>
      <c r="AA191" s="386" t="str"/>
    </row>
    <row r="192">
      <c r="A192" s="38" t="inlineStr">
        <is>
          <t>bz_van_191</t>
        </is>
      </c>
      <c r="B192" s="38" t="n">
        <v>191</v>
      </c>
      <c r="C192" s="38" t="inlineStr">
        <is>
          <t>skill</t>
        </is>
      </c>
      <c r="D192" s="38" t="inlineStr">
        <is>
          <t>snapshot_vanessa_legacy_catalog_v1</t>
        </is>
      </c>
      <c r="E192" s="38" t="inlineStr">
        <is>
          <t>snapshot_the_bazaar_patch_18_0_boundary</t>
        </is>
      </c>
      <c r="F192" s="38" t="inlineStr">
        <is>
          <t>true</t>
        </is>
      </c>
      <c r="G192" s="38" t="inlineStr">
        <is>
          <t>false</t>
        </is>
      </c>
      <c r="H192" s="38" t="inlineStr">
        <is>
          <t>current_rule_match,structured_trigger,structured_effects,quality_values,owner_scope,trainer_availability</t>
        </is>
      </c>
      <c r="I192" s="38" t="inlineStr">
        <is>
          <t>heated-shells</t>
        </is>
      </c>
      <c r="J192" s="38" t="inlineStr">
        <is>
          <t>Heated Shells</t>
        </is>
      </c>
      <c r="K192" s="38" t="inlineStr">
        <is>
          <t>silver</t>
        </is>
      </c>
      <c r="L192" s="38" t="inlineStr">
        <is>
          <t>medium</t>
        </is>
      </c>
      <c r="M192" s="38" t="inlineStr">
        <is>
          <t>burn, ammo</t>
        </is>
      </c>
      <c r="N192" s="38" t="n">
        <v>6</v>
      </c>
      <c r="O192" s="38" t="inlineStr">
        <is>
          <t>trainer_adira, trainer_argenta, trainer_c4, trainer_malafang, trainer_nufu, trainer_orlin</t>
        </is>
      </c>
      <c r="P192" s="38" t="n">
        <v>6</v>
      </c>
      <c r="Q192" s="38" t="inlineStr">
        <is>
          <t>elem_水, elem_雷, elem_龙, elem_无, role_治疗, tier_pT1</t>
        </is>
      </c>
      <c r="R192" s="38" t="inlineStr">
        <is>
          <t>Fiery</t>
        </is>
      </c>
      <c r="S192" s="38" t="inlineStr">
        <is>
          <t>pal_191</t>
        </is>
      </c>
      <c r="T192" s="38" t="inlineStr">
        <is>
          <t>焰豹将</t>
        </is>
      </c>
      <c r="U192" s="38" t="inlineStr">
        <is>
          <t>https://bazaar-builds.net/db/skills/heated-shells.html</t>
        </is>
      </c>
      <c r="V192" s="38" t="inlineStr">
        <is>
          <t>the first 4 / 8 / 12 times you use an ammo item each fight, burn 5.</t>
        </is>
      </c>
      <c r="W192" s="38" t="inlineStr">
        <is>
          <t>一对一确认来源对象。</t>
        </is>
      </c>
      <c r="X192" s="385" t="str"/>
      <c r="Y192" s="386" t="inlineStr">
        <is>
          <t>reference_reserved</t>
        </is>
      </c>
      <c r="Z192" s="386" t="str"/>
      <c r="AA192" s="386" t="str"/>
    </row>
    <row r="193">
      <c r="A193" s="38" t="inlineStr">
        <is>
          <t>bz_van_192</t>
        </is>
      </c>
      <c r="B193" s="38" t="n">
        <v>192</v>
      </c>
      <c r="C193" s="38" t="inlineStr">
        <is>
          <t>skill</t>
        </is>
      </c>
      <c r="D193" s="38" t="inlineStr">
        <is>
          <t>snapshot_vanessa_legacy_catalog_v1</t>
        </is>
      </c>
      <c r="E193" s="38" t="inlineStr">
        <is>
          <t>snapshot_the_bazaar_patch_18_0_boundary</t>
        </is>
      </c>
      <c r="F193" s="38" t="inlineStr">
        <is>
          <t>true</t>
        </is>
      </c>
      <c r="G193" s="38" t="inlineStr">
        <is>
          <t>false</t>
        </is>
      </c>
      <c r="H193" s="38" t="inlineStr">
        <is>
          <t>current_rule_match,structured_trigger,structured_effects,quality_values,owner_scope,trainer_availability</t>
        </is>
      </c>
      <c r="I193" s="38" t="inlineStr">
        <is>
          <t>heavy-firepower</t>
        </is>
      </c>
      <c r="J193" s="38" t="inlineStr">
        <is>
          <t>Heavy Firepower</t>
        </is>
      </c>
      <c r="K193" s="38" t="inlineStr">
        <is>
          <t>silver</t>
        </is>
      </c>
      <c r="L193" s="38" t="inlineStr">
        <is>
          <t>medium</t>
        </is>
      </c>
      <c r="M193" s="38" t="inlineStr">
        <is>
          <t>weapon, damagereference</t>
        </is>
      </c>
      <c r="N193" s="38" t="n">
        <v>5</v>
      </c>
      <c r="O193" s="38" t="inlineStr">
        <is>
          <t>trainer_adira, trainer_argenta, trainer_nufu, trainer_orlin, trainer_ryukon</t>
        </is>
      </c>
      <c r="P193" s="38" t="n">
        <v>5</v>
      </c>
      <c r="Q193" s="38" t="inlineStr">
        <is>
          <t>elem_水, elem_雷, elem_龙, elem_无, role_坦克</t>
        </is>
      </c>
      <c r="R193" s="38" t="inlineStr">
        <is>
          <t>Fiery</t>
        </is>
      </c>
      <c r="S193" s="38" t="inlineStr">
        <is>
          <t>pal_192</t>
        </is>
      </c>
      <c r="T193" s="38" t="inlineStr">
        <is>
          <t>赤鼋妖</t>
        </is>
      </c>
      <c r="U193" s="38" t="inlineStr">
        <is>
          <t>https://bazaar-builds.net/db/skills/heavy-firepower.html</t>
        </is>
      </c>
      <c r="V193" s="38" t="inlineStr">
        <is>
          <t>if you have 5 or fewer items, your weapons have +25 / 50 / 75 damage.</t>
        </is>
      </c>
      <c r="W193" s="38" t="inlineStr">
        <is>
          <t>一对一确认来源对象。</t>
        </is>
      </c>
      <c r="X193" s="385" t="str"/>
      <c r="Y193" s="386" t="inlineStr">
        <is>
          <t>reference_reserved</t>
        </is>
      </c>
      <c r="Z193" s="386" t="str"/>
      <c r="AA193" s="386" t="str"/>
    </row>
    <row r="194">
      <c r="A194" s="38" t="inlineStr">
        <is>
          <t>bz_van_193</t>
        </is>
      </c>
      <c r="B194" s="38" t="n">
        <v>193</v>
      </c>
      <c r="C194" s="38" t="inlineStr">
        <is>
          <t>skill</t>
        </is>
      </c>
      <c r="D194" s="38" t="inlineStr">
        <is>
          <t>snapshot_vanessa_legacy_catalog_v1</t>
        </is>
      </c>
      <c r="E194" s="38" t="inlineStr">
        <is>
          <t>snapshot_the_bazaar_patch_18_0_boundary</t>
        </is>
      </c>
      <c r="F194" s="38" t="inlineStr">
        <is>
          <t>true</t>
        </is>
      </c>
      <c r="G194" s="38" t="inlineStr">
        <is>
          <t>false</t>
        </is>
      </c>
      <c r="H194" s="38" t="inlineStr">
        <is>
          <t>current_rule_match,structured_trigger,structured_effects,quality_values,owner_scope,trainer_availability</t>
        </is>
      </c>
      <c r="I194" s="38" t="inlineStr">
        <is>
          <t>honed-arsenal</t>
        </is>
      </c>
      <c r="J194" s="38" t="inlineStr">
        <is>
          <t>Honed Arsenal</t>
        </is>
      </c>
      <c r="K194" s="38" t="inlineStr">
        <is>
          <t>silver</t>
        </is>
      </c>
      <c r="L194" s="38" t="inlineStr">
        <is>
          <t>medium</t>
        </is>
      </c>
      <c r="M194" s="38" t="inlineStr">
        <is>
          <t>weapon, crit</t>
        </is>
      </c>
      <c r="N194" s="38" t="n">
        <v>6</v>
      </c>
      <c r="O194" s="38" t="inlineStr">
        <is>
          <t>trainer_adira, trainer_argenta, trainer_nufu, trainer_orlin, trainer_ryukon, trainer_vermir</t>
        </is>
      </c>
      <c r="P194" s="38" t="n">
        <v>6</v>
      </c>
      <c r="Q194" s="38" t="inlineStr">
        <is>
          <t>elem_水, elem_雷, elem_龙, elem_无, role_召唤, role_坦克</t>
        </is>
      </c>
      <c r="R194" s="38" t="inlineStr">
        <is>
          <t>Deadly</t>
        </is>
      </c>
      <c r="S194" s="38" t="inlineStr">
        <is>
          <t>pal_193</t>
        </is>
      </c>
      <c r="T194" s="38" t="inlineStr">
        <is>
          <t>雷狼卫</t>
        </is>
      </c>
      <c r="U194" s="38" t="inlineStr">
        <is>
          <t>https://bazaar-builds.net/db/skills/honed-arsenal.html</t>
        </is>
      </c>
      <c r="V194" s="38" t="inlineStr">
        <is>
          <t>your items have +2 / 4 / 6% crit chance per weapon you have.</t>
        </is>
      </c>
      <c r="W194" s="38" t="inlineStr">
        <is>
          <t>一对一确认来源对象。</t>
        </is>
      </c>
      <c r="X194" s="385" t="str"/>
      <c r="Y194" s="386" t="inlineStr">
        <is>
          <t>reference_reserved</t>
        </is>
      </c>
      <c r="Z194" s="386" t="str"/>
      <c r="AA194" s="386" t="str"/>
    </row>
    <row r="195">
      <c r="A195" s="38" t="inlineStr">
        <is>
          <t>bz_van_194</t>
        </is>
      </c>
      <c r="B195" s="38" t="n">
        <v>194</v>
      </c>
      <c r="C195" s="38" t="inlineStr">
        <is>
          <t>skill</t>
        </is>
      </c>
      <c r="D195" s="38" t="inlineStr">
        <is>
          <t>snapshot_vanessa_legacy_catalog_v1</t>
        </is>
      </c>
      <c r="E195" s="38" t="inlineStr">
        <is>
          <t>snapshot_the_bazaar_patch_18_0_boundary</t>
        </is>
      </c>
      <c r="F195" s="38" t="inlineStr">
        <is>
          <t>true</t>
        </is>
      </c>
      <c r="G195" s="38" t="inlineStr">
        <is>
          <t>false</t>
        </is>
      </c>
      <c r="H195" s="38" t="inlineStr">
        <is>
          <t>current_rule_match,structured_trigger,structured_effects,quality_values,owner_scope,trainer_availability</t>
        </is>
      </c>
      <c r="I195" s="38" t="inlineStr">
        <is>
          <t>honed-strike</t>
        </is>
      </c>
      <c r="J195" s="38" t="inlineStr">
        <is>
          <t>Honed Strike</t>
        </is>
      </c>
      <c r="K195" s="38" t="inlineStr">
        <is>
          <t>gold</t>
        </is>
      </c>
      <c r="L195" s="38" t="inlineStr">
        <is>
          <t>medium</t>
        </is>
      </c>
      <c r="M195" s="38" t="inlineStr">
        <is>
          <t>crit</t>
        </is>
      </c>
      <c r="N195" s="38" t="n">
        <v>4</v>
      </c>
      <c r="O195" s="38" t="inlineStr">
        <is>
          <t>trainer_adira, trainer_nufu, trainer_orlin, trainer_vermir</t>
        </is>
      </c>
      <c r="P195" s="38" t="n">
        <v>4</v>
      </c>
      <c r="Q195" s="38" t="inlineStr">
        <is>
          <t>elem_水, elem_龙, elem_无, role_召唤</t>
        </is>
      </c>
      <c r="R195" s="38" t="inlineStr">
        <is>
          <t>Deadly</t>
        </is>
      </c>
      <c r="S195" s="38" t="inlineStr">
        <is>
          <t>pal_194</t>
        </is>
      </c>
      <c r="T195" s="38" t="inlineStr">
        <is>
          <t>电虎侯</t>
        </is>
      </c>
      <c r="U195" s="38" t="inlineStr">
        <is>
          <t>https://bazaar-builds.net/db/skills/honed-strike.html</t>
        </is>
      </c>
      <c r="V195" s="38" t="inlineStr">
        <is>
          <t>when you use an item, it gains +5 → 10% crit chance for the fight.</t>
        </is>
      </c>
      <c r="W195" s="38" t="inlineStr">
        <is>
          <t>一对一确认来源对象。</t>
        </is>
      </c>
      <c r="X195" s="385" t="str"/>
      <c r="Y195" s="386" t="inlineStr">
        <is>
          <t>reference_reserved</t>
        </is>
      </c>
      <c r="Z195" s="386" t="str"/>
      <c r="AA195" s="386" t="str"/>
    </row>
    <row r="196">
      <c r="A196" s="38" t="inlineStr">
        <is>
          <t>bz_van_195</t>
        </is>
      </c>
      <c r="B196" s="38" t="n">
        <v>195</v>
      </c>
      <c r="C196" s="38" t="inlineStr">
        <is>
          <t>skill</t>
        </is>
      </c>
      <c r="D196" s="38" t="inlineStr">
        <is>
          <t>snapshot_vanessa_legacy_catalog_v1</t>
        </is>
      </c>
      <c r="E196" s="38" t="inlineStr">
        <is>
          <t>snapshot_the_bazaar_patch_18_0_boundary</t>
        </is>
      </c>
      <c r="F196" s="38" t="inlineStr">
        <is>
          <t>true</t>
        </is>
      </c>
      <c r="G196" s="38" t="inlineStr">
        <is>
          <t>false</t>
        </is>
      </c>
      <c r="H196" s="38" t="inlineStr">
        <is>
          <t>current_rule_match,structured_trigger,structured_effects,quality_values,owner_scope,trainer_availability</t>
        </is>
      </c>
      <c r="I196" s="38" t="inlineStr">
        <is>
          <t>hot-spot</t>
        </is>
      </c>
      <c r="J196" s="38" t="inlineStr">
        <is>
          <t>Hot Spot</t>
        </is>
      </c>
      <c r="K196" s="38" t="inlineStr">
        <is>
          <t>silver</t>
        </is>
      </c>
      <c r="L196" s="38" t="inlineStr">
        <is>
          <t>medium</t>
        </is>
      </c>
      <c r="M196" s="38" t="inlineStr">
        <is>
          <t>burn</t>
        </is>
      </c>
      <c r="N196" s="38" t="n">
        <v>5</v>
      </c>
      <c r="O196" s="38" t="inlineStr">
        <is>
          <t>trainer_adira, trainer_argenta, trainer_malafang, trainer_nufu, trainer_orlin</t>
        </is>
      </c>
      <c r="P196" s="38" t="n">
        <v>5</v>
      </c>
      <c r="Q196" s="38" t="inlineStr">
        <is>
          <t>elem_水, elem_雷, elem_龙, elem_无, role_治疗</t>
        </is>
      </c>
      <c r="R196" s="38" t="inlineStr">
        <is>
          <t>Fiery</t>
        </is>
      </c>
      <c r="S196" s="38" t="inlineStr">
        <is>
          <t>pal_195</t>
        </is>
      </c>
      <c r="T196" s="38" t="inlineStr">
        <is>
          <t>燎狼将</t>
        </is>
      </c>
      <c r="U196" s="38" t="inlineStr">
        <is>
          <t>https://bazaar-builds.net/db/skills/hot-spot.html</t>
        </is>
      </c>
      <c r="V196" s="38" t="inlineStr">
        <is>
          <t>the first 4 / 8 / 12 times you use your leftmost item each fight, burn 5.</t>
        </is>
      </c>
      <c r="W196" s="38" t="inlineStr">
        <is>
          <t>一对一确认来源对象。</t>
        </is>
      </c>
      <c r="X196" s="385" t="str"/>
      <c r="Y196" s="386" t="inlineStr">
        <is>
          <t>reference_reserved</t>
        </is>
      </c>
      <c r="Z196" s="386" t="str"/>
      <c r="AA196" s="386" t="str"/>
    </row>
    <row r="197">
      <c r="A197" s="38" t="inlineStr">
        <is>
          <t>bz_van_196</t>
        </is>
      </c>
      <c r="B197" s="38" t="n">
        <v>196</v>
      </c>
      <c r="C197" s="38" t="inlineStr">
        <is>
          <t>skill</t>
        </is>
      </c>
      <c r="D197" s="38" t="inlineStr">
        <is>
          <t>snapshot_vanessa_legacy_catalog_v1</t>
        </is>
      </c>
      <c r="E197" s="38" t="inlineStr">
        <is>
          <t>snapshot_the_bazaar_patch_18_0_boundary</t>
        </is>
      </c>
      <c r="F197" s="38" t="inlineStr">
        <is>
          <t>true</t>
        </is>
      </c>
      <c r="G197" s="38" t="inlineStr">
        <is>
          <t>false</t>
        </is>
      </c>
      <c r="H197" s="38" t="inlineStr">
        <is>
          <t>current_rule_match,structured_trigger,structured_effects,quality_values,owner_scope,trainer_availability</t>
        </is>
      </c>
      <c r="I197" s="38" t="inlineStr">
        <is>
          <t>ice-bullets</t>
        </is>
      </c>
      <c r="J197" s="38" t="inlineStr">
        <is>
          <t>Ice Bullets</t>
        </is>
      </c>
      <c r="K197" s="38" t="inlineStr">
        <is>
          <t>gold</t>
        </is>
      </c>
      <c r="L197" s="38" t="inlineStr">
        <is>
          <t>medium</t>
        </is>
      </c>
      <c r="M197" s="38" t="inlineStr">
        <is>
          <t>freezereference, ammo, damagereference</t>
        </is>
      </c>
      <c r="N197" s="38" t="n">
        <v>6</v>
      </c>
      <c r="O197" s="38" t="inlineStr">
        <is>
          <t>trainer_adira, trainer_bjorn, trainer_c4, trainer_nufu, trainer_old-zane, trainer_orlin</t>
        </is>
      </c>
      <c r="P197" s="38" t="n">
        <v>6</v>
      </c>
      <c r="Q197" s="38" t="inlineStr">
        <is>
          <t>elem_水, elem_地, elem_龙, elem_无, role_控制, tier_pT1</t>
        </is>
      </c>
      <c r="R197" s="38" t="inlineStr">
        <is>
          <t>Icy</t>
        </is>
      </c>
      <c r="S197" s="38" t="inlineStr">
        <is>
          <t>pal_196</t>
        </is>
      </c>
      <c r="T197" s="38" t="inlineStr">
        <is>
          <t>凛鳗王</t>
        </is>
      </c>
      <c r="U197" s="38" t="inlineStr">
        <is>
          <t>https://bazaar-builds.net/db/skills/ice-bullets.html</t>
        </is>
      </c>
      <c r="V197" s="38" t="inlineStr">
        <is>
          <t>the first 3 → 6 times you freeze each fight, reload another item.</t>
        </is>
      </c>
      <c r="W197" s="38" t="inlineStr">
        <is>
          <t>一对一确认来源对象。</t>
        </is>
      </c>
      <c r="X197" s="385" t="str"/>
      <c r="Y197" s="386" t="inlineStr">
        <is>
          <t>reference_reserved</t>
        </is>
      </c>
      <c r="Z197" s="386" t="str"/>
      <c r="AA197" s="386" t="str"/>
    </row>
    <row r="198">
      <c r="A198" s="38" t="inlineStr">
        <is>
          <t>bz_van_197</t>
        </is>
      </c>
      <c r="B198" s="38" t="n">
        <v>197</v>
      </c>
      <c r="C198" s="38" t="inlineStr">
        <is>
          <t>skill</t>
        </is>
      </c>
      <c r="D198" s="38" t="inlineStr">
        <is>
          <t>snapshot_vanessa_legacy_catalog_v1</t>
        </is>
      </c>
      <c r="E198" s="38" t="inlineStr">
        <is>
          <t>snapshot_the_bazaar_patch_18_0_boundary</t>
        </is>
      </c>
      <c r="F198" s="38" t="inlineStr">
        <is>
          <t>true</t>
        </is>
      </c>
      <c r="G198" s="38" t="inlineStr">
        <is>
          <t>false</t>
        </is>
      </c>
      <c r="H198" s="38" t="inlineStr">
        <is>
          <t>current_rule_match,structured_trigger,structured_effects,quality_values,owner_scope,trainer_availability</t>
        </is>
      </c>
      <c r="I198" s="38" t="inlineStr">
        <is>
          <t>ice-smasher</t>
        </is>
      </c>
      <c r="J198" s="38" t="inlineStr">
        <is>
          <t>Ice Smasher</t>
        </is>
      </c>
      <c r="K198" s="38" t="inlineStr">
        <is>
          <t>diamond</t>
        </is>
      </c>
      <c r="L198" s="38" t="inlineStr">
        <is>
          <t>medium</t>
        </is>
      </c>
      <c r="M198" s="38" t="inlineStr">
        <is>
          <t>weapon, damagereference</t>
        </is>
      </c>
      <c r="N198" s="38" t="n">
        <v>3</v>
      </c>
      <c r="O198" s="38" t="inlineStr">
        <is>
          <t>trainer_adira, trainer_nufu, trainer_ryukon</t>
        </is>
      </c>
      <c r="P198" s="38" t="n">
        <v>3</v>
      </c>
      <c r="Q198" s="38" t="inlineStr">
        <is>
          <t>elem_水, elem_龙, role_坦克</t>
        </is>
      </c>
      <c r="R198" s="38" t="inlineStr">
        <is>
          <t>Icy</t>
        </is>
      </c>
      <c r="S198" s="38" t="inlineStr">
        <is>
          <t>pal_197</t>
        </is>
      </c>
      <c r="T198" s="38" t="inlineStr">
        <is>
          <t>寒狐祖</t>
        </is>
      </c>
      <c r="U198" s="38" t="inlineStr">
        <is>
          <t>https://bazaar-builds.net/db/skills/ice-smasher.html</t>
        </is>
      </c>
      <c r="V198" s="38" t="inlineStr">
        <is>
          <t>your leftmost item is affected by freeze for half as long. if you have exactly one weapon, all your items are affected by freeze for half as long instead.</t>
        </is>
      </c>
      <c r="W198" s="38" t="inlineStr">
        <is>
          <t>一对一确认来源对象。</t>
        </is>
      </c>
      <c r="X198" s="385" t="str"/>
      <c r="Y198" s="386" t="inlineStr">
        <is>
          <t>reference_reserved</t>
        </is>
      </c>
      <c r="Z198" s="386" t="str"/>
      <c r="AA198" s="386" t="str"/>
    </row>
    <row r="199">
      <c r="A199" s="38" t="inlineStr">
        <is>
          <t>bz_van_198</t>
        </is>
      </c>
      <c r="B199" s="38" t="n">
        <v>198</v>
      </c>
      <c r="C199" s="38" t="inlineStr">
        <is>
          <t>skill</t>
        </is>
      </c>
      <c r="D199" s="38" t="inlineStr">
        <is>
          <t>snapshot_vanessa_legacy_catalog_v1</t>
        </is>
      </c>
      <c r="E199" s="38" t="inlineStr">
        <is>
          <t>snapshot_the_bazaar_patch_18_0_boundary</t>
        </is>
      </c>
      <c r="F199" s="38" t="inlineStr">
        <is>
          <t>true</t>
        </is>
      </c>
      <c r="G199" s="38" t="inlineStr">
        <is>
          <t>false</t>
        </is>
      </c>
      <c r="H199" s="38" t="inlineStr">
        <is>
          <t>current_rule_match,structured_trigger,structured_effects,quality_values,owner_scope,trainer_availability</t>
        </is>
      </c>
      <c r="I199" s="38" t="inlineStr">
        <is>
          <t>immolating-spark</t>
        </is>
      </c>
      <c r="J199" s="38" t="inlineStr">
        <is>
          <t>Immolating Spark</t>
        </is>
      </c>
      <c r="K199" s="38" t="inlineStr">
        <is>
          <t>bronze</t>
        </is>
      </c>
      <c r="L199" s="38" t="inlineStr">
        <is>
          <t>medium</t>
        </is>
      </c>
      <c r="M199" s="38" t="inlineStr">
        <is>
          <t>burnreference</t>
        </is>
      </c>
      <c r="N199" s="38" t="n">
        <v>5</v>
      </c>
      <c r="O199" s="38" t="inlineStr">
        <is>
          <t>trainer_adira, trainer_argenta, trainer_malafang, trainer_nufu, trainer_orlin</t>
        </is>
      </c>
      <c r="P199" s="38" t="n">
        <v>5</v>
      </c>
      <c r="Q199" s="38" t="inlineStr">
        <is>
          <t>elem_水, elem_雷, elem_龙, elem_无, role_治疗</t>
        </is>
      </c>
      <c r="R199" s="38" t="inlineStr">
        <is>
          <t>Fiery</t>
        </is>
      </c>
      <c r="S199" s="38" t="inlineStr">
        <is>
          <t>pal_198</t>
        </is>
      </c>
      <c r="T199" s="38" t="inlineStr">
        <is>
          <t>赤虎仔</t>
        </is>
      </c>
      <c r="U199" s="38" t="inlineStr">
        <is>
          <t>https://bazaar-builds.net/db/skills/immolating-spark.html</t>
        </is>
      </c>
      <c r="V199" s="38" t="inlineStr">
        <is>
          <t>your leftmost burn item has +2 / 4 / 6 / 8 burn.</t>
        </is>
      </c>
      <c r="W199" s="38" t="inlineStr">
        <is>
          <t>一对一确认来源对象。</t>
        </is>
      </c>
      <c r="X199" s="385" t="str"/>
      <c r="Y199" s="386" t="inlineStr">
        <is>
          <t>reference_reserved</t>
        </is>
      </c>
      <c r="Z199" s="386" t="str"/>
      <c r="AA199" s="386" t="str"/>
    </row>
    <row r="200">
      <c r="A200" s="38" t="inlineStr">
        <is>
          <t>bz_van_199</t>
        </is>
      </c>
      <c r="B200" s="38" t="n">
        <v>199</v>
      </c>
      <c r="C200" s="38" t="inlineStr">
        <is>
          <t>skill</t>
        </is>
      </c>
      <c r="D200" s="38" t="inlineStr">
        <is>
          <t>snapshot_vanessa_legacy_catalog_v1</t>
        </is>
      </c>
      <c r="E200" s="38" t="inlineStr">
        <is>
          <t>snapshot_the_bazaar_patch_18_0_boundary</t>
        </is>
      </c>
      <c r="F200" s="38" t="inlineStr">
        <is>
          <t>true</t>
        </is>
      </c>
      <c r="G200" s="38" t="inlineStr">
        <is>
          <t>false</t>
        </is>
      </c>
      <c r="H200" s="38" t="inlineStr">
        <is>
          <t>current_rule_match,structured_trigger,structured_effects,quality_values,owner_scope,trainer_availability</t>
        </is>
      </c>
      <c r="I200" s="38" t="inlineStr">
        <is>
          <t>improved-toxins</t>
        </is>
      </c>
      <c r="J200" s="38" t="inlineStr">
        <is>
          <t>Improved Toxins</t>
        </is>
      </c>
      <c r="K200" s="38" t="inlineStr">
        <is>
          <t>bronze</t>
        </is>
      </c>
      <c r="L200" s="38" t="inlineStr">
        <is>
          <t>medium</t>
        </is>
      </c>
      <c r="M200" s="38" t="inlineStr">
        <is>
          <t>poisonreference</t>
        </is>
      </c>
      <c r="N200" s="38" t="n">
        <v>5</v>
      </c>
      <c r="O200" s="38" t="inlineStr">
        <is>
          <t>trainer_adira, trainer_argenta, trainer_nufu, trainer_orlin, trainer_professor-riggle</t>
        </is>
      </c>
      <c r="P200" s="38" t="n">
        <v>5</v>
      </c>
      <c r="Q200" s="38" t="inlineStr">
        <is>
          <t>elem_水, elem_雷, elem_龙, elem_无, role_输出</t>
        </is>
      </c>
      <c r="R200" s="38" t="inlineStr">
        <is>
          <t>Toxic</t>
        </is>
      </c>
      <c r="S200" s="38" t="inlineStr">
        <is>
          <t>pal_199</t>
        </is>
      </c>
      <c r="T200" s="38" t="inlineStr">
        <is>
          <t>藤貂仔</t>
        </is>
      </c>
      <c r="U200" s="38" t="inlineStr">
        <is>
          <t>https://bazaar-builds.net/db/skills/improved-toxins.html</t>
        </is>
      </c>
      <c r="V200" s="38" t="inlineStr">
        <is>
          <t>your poison items have +1 / 2 / 3 / 4 poison.</t>
        </is>
      </c>
      <c r="W200" s="38" t="inlineStr">
        <is>
          <t>一对一确认来源对象。</t>
        </is>
      </c>
      <c r="X200" s="385" t="str"/>
      <c r="Y200" s="386" t="inlineStr">
        <is>
          <t>reference_reserved</t>
        </is>
      </c>
      <c r="Z200" s="386" t="str"/>
      <c r="AA200" s="386" t="str"/>
    </row>
    <row r="201">
      <c r="A201" s="38" t="inlineStr">
        <is>
          <t>bz_van_200</t>
        </is>
      </c>
      <c r="B201" s="38" t="n">
        <v>200</v>
      </c>
      <c r="C201" s="38" t="inlineStr">
        <is>
          <t>skill</t>
        </is>
      </c>
      <c r="D201" s="38" t="inlineStr">
        <is>
          <t>snapshot_vanessa_legacy_catalog_v1</t>
        </is>
      </c>
      <c r="E201" s="38" t="inlineStr">
        <is>
          <t>snapshot_the_bazaar_patch_18_0_boundary</t>
        </is>
      </c>
      <c r="F201" s="38" t="inlineStr">
        <is>
          <t>true</t>
        </is>
      </c>
      <c r="G201" s="38" t="inlineStr">
        <is>
          <t>false</t>
        </is>
      </c>
      <c r="H201" s="38" t="inlineStr">
        <is>
          <t>current_rule_match,structured_trigger,structured_effects,quality_values,owner_scope,trainer_availability</t>
        </is>
      </c>
      <c r="I201" s="38" t="inlineStr">
        <is>
          <t>improvised-burn</t>
        </is>
      </c>
      <c r="J201" s="38" t="inlineStr">
        <is>
          <t>Improvised Burn</t>
        </is>
      </c>
      <c r="K201" s="38" t="inlineStr">
        <is>
          <t>gold</t>
        </is>
      </c>
      <c r="L201" s="38" t="inlineStr">
        <is>
          <t>medium</t>
        </is>
      </c>
      <c r="M201" s="38" t="inlineStr">
        <is>
          <t>burnreference, critreference</t>
        </is>
      </c>
      <c r="N201" s="38" t="n">
        <v>5</v>
      </c>
      <c r="O201" s="38" t="inlineStr">
        <is>
          <t>trainer_adira, trainer_malafang, trainer_nufu, trainer_orlin, trainer_vermir</t>
        </is>
      </c>
      <c r="P201" s="38" t="n">
        <v>5</v>
      </c>
      <c r="Q201" s="38" t="inlineStr">
        <is>
          <t>elem_水, elem_龙, elem_无, role_召唤, role_治疗</t>
        </is>
      </c>
      <c r="R201" s="38" t="inlineStr">
        <is>
          <t>Fiery</t>
        </is>
      </c>
      <c r="S201" s="38" t="inlineStr">
        <is>
          <t>pal_200</t>
        </is>
      </c>
      <c r="T201" s="38" t="inlineStr">
        <is>
          <t>烬豹侯</t>
        </is>
      </c>
      <c r="U201" s="38" t="inlineStr">
        <is>
          <t>https://bazaar-builds.net/db/skills/improvised-burn.html</t>
        </is>
      </c>
      <c r="V201" s="38" t="inlineStr">
        <is>
          <t>when you crit, your burn items gain 2 → 4 burn for the fight.</t>
        </is>
      </c>
      <c r="W201" s="38" t="inlineStr">
        <is>
          <t>一对一确认来源对象。</t>
        </is>
      </c>
      <c r="X201" s="385" t="str"/>
      <c r="Y201" s="386" t="inlineStr">
        <is>
          <t>reference_reserved</t>
        </is>
      </c>
      <c r="Z201" s="386" t="str"/>
      <c r="AA201" s="386" t="str"/>
    </row>
    <row r="202">
      <c r="A202" s="38" t="inlineStr">
        <is>
          <t>bz_van_201</t>
        </is>
      </c>
      <c r="B202" s="38" t="n">
        <v>201</v>
      </c>
      <c r="C202" s="38" t="inlineStr">
        <is>
          <t>skill</t>
        </is>
      </c>
      <c r="D202" s="38" t="inlineStr">
        <is>
          <t>snapshot_vanessa_legacy_catalog_v1</t>
        </is>
      </c>
      <c r="E202" s="38" t="inlineStr">
        <is>
          <t>snapshot_the_bazaar_patch_18_0_boundary</t>
        </is>
      </c>
      <c r="F202" s="38" t="inlineStr">
        <is>
          <t>true</t>
        </is>
      </c>
      <c r="G202" s="38" t="inlineStr">
        <is>
          <t>false</t>
        </is>
      </c>
      <c r="H202" s="38" t="inlineStr">
        <is>
          <t>current_rule_match,structured_trigger,structured_effects,quality_values,owner_scope,trainer_availability</t>
        </is>
      </c>
      <c r="I202" s="38" t="inlineStr">
        <is>
          <t>improvised-heal</t>
        </is>
      </c>
      <c r="J202" s="38" t="inlineStr">
        <is>
          <t>Improvised Heal</t>
        </is>
      </c>
      <c r="K202" s="38" t="inlineStr">
        <is>
          <t>silver</t>
        </is>
      </c>
      <c r="L202" s="38" t="inlineStr">
        <is>
          <t>medium</t>
        </is>
      </c>
      <c r="M202" s="38" t="inlineStr">
        <is>
          <t>healreference, critreference</t>
        </is>
      </c>
      <c r="N202" s="38" t="n">
        <v>7</v>
      </c>
      <c r="O202" s="38" t="inlineStr">
        <is>
          <t>trainer_adira, trainer_argenta, trainer_nufu, trainer_old-zane, trainer_orlin, trainer_regenald, trainer_vermir</t>
        </is>
      </c>
      <c r="P202" s="38" t="n">
        <v>7</v>
      </c>
      <c r="Q202" s="38" t="inlineStr">
        <is>
          <t>elem_水, elem_雷, elem_地, elem_龙, elem_无, role_召唤, tier_pT2</t>
        </is>
      </c>
      <c r="R202" s="38" t="inlineStr">
        <is>
          <t>Restorative</t>
        </is>
      </c>
      <c r="S202" s="38" t="inlineStr">
        <is>
          <t>pal_201</t>
        </is>
      </c>
      <c r="T202" s="38" t="inlineStr">
        <is>
          <t>潮鸾卫</t>
        </is>
      </c>
      <c r="U202" s="38" t="inlineStr">
        <is>
          <t>https://bazaar-builds.net/db/skills/improvised-heal.html</t>
        </is>
      </c>
      <c r="V202" s="38" t="inlineStr">
        <is>
          <t>when you crit, your heal items gain +10 / 20 / 30 heal for the fight.</t>
        </is>
      </c>
      <c r="W202" s="38" t="inlineStr">
        <is>
          <t>一对一确认来源对象。</t>
        </is>
      </c>
      <c r="X202" s="385" t="str"/>
      <c r="Y202" s="386" t="inlineStr">
        <is>
          <t>reference_reserved</t>
        </is>
      </c>
      <c r="Z202" s="386" t="str"/>
      <c r="AA202" s="386" t="str"/>
    </row>
    <row r="203">
      <c r="A203" s="38" t="inlineStr">
        <is>
          <t>bz_van_202</t>
        </is>
      </c>
      <c r="B203" s="38" t="n">
        <v>202</v>
      </c>
      <c r="C203" s="38" t="inlineStr">
        <is>
          <t>skill</t>
        </is>
      </c>
      <c r="D203" s="38" t="inlineStr">
        <is>
          <t>snapshot_vanessa_legacy_catalog_v1</t>
        </is>
      </c>
      <c r="E203" s="38" t="inlineStr">
        <is>
          <t>snapshot_the_bazaar_patch_18_0_boundary</t>
        </is>
      </c>
      <c r="F203" s="38" t="inlineStr">
        <is>
          <t>true</t>
        </is>
      </c>
      <c r="G203" s="38" t="inlineStr">
        <is>
          <t>false</t>
        </is>
      </c>
      <c r="H203" s="38" t="inlineStr">
        <is>
          <t>current_rule_match,structured_trigger,structured_effects,quality_values,owner_scope,trainer_availability</t>
        </is>
      </c>
      <c r="I203" s="38" t="inlineStr">
        <is>
          <t>improvised-poison</t>
        </is>
      </c>
      <c r="J203" s="38" t="inlineStr">
        <is>
          <t>Improvised Poison</t>
        </is>
      </c>
      <c r="K203" s="38" t="inlineStr">
        <is>
          <t>gold</t>
        </is>
      </c>
      <c r="L203" s="38" t="inlineStr">
        <is>
          <t>medium</t>
        </is>
      </c>
      <c r="M203" s="38" t="inlineStr">
        <is>
          <t>poisonreference, critreference</t>
        </is>
      </c>
      <c r="N203" s="38" t="n">
        <v>5</v>
      </c>
      <c r="O203" s="38" t="inlineStr">
        <is>
          <t>trainer_adira, trainer_nufu, trainer_orlin, trainer_professor-riggle, trainer_vermir</t>
        </is>
      </c>
      <c r="P203" s="38" t="n">
        <v>5</v>
      </c>
      <c r="Q203" s="38" t="inlineStr">
        <is>
          <t>elem_水, elem_龙, elem_无, role_召唤, role_输出</t>
        </is>
      </c>
      <c r="R203" s="38" t="inlineStr">
        <is>
          <t>Toxic</t>
        </is>
      </c>
      <c r="S203" s="38" t="inlineStr">
        <is>
          <t>pal_202</t>
        </is>
      </c>
      <c r="T203" s="38" t="inlineStr">
        <is>
          <t>苔狐侯</t>
        </is>
      </c>
      <c r="U203" s="38" t="inlineStr">
        <is>
          <t>https://bazaar-builds.net/db/skills/improvised-poison.html</t>
        </is>
      </c>
      <c r="V203" s="38" t="inlineStr">
        <is>
          <t>when you crit, your poison items gain 2 → 4 poison for the fight.</t>
        </is>
      </c>
      <c r="W203" s="38" t="inlineStr">
        <is>
          <t>一对一确认来源对象。</t>
        </is>
      </c>
      <c r="X203" s="385" t="str"/>
      <c r="Y203" s="386" t="inlineStr">
        <is>
          <t>reference_reserved</t>
        </is>
      </c>
      <c r="Z203" s="386" t="str"/>
      <c r="AA203" s="386" t="str"/>
    </row>
    <row r="204">
      <c r="A204" s="38" t="inlineStr">
        <is>
          <t>bz_van_203</t>
        </is>
      </c>
      <c r="B204" s="38" t="n">
        <v>203</v>
      </c>
      <c r="C204" s="38" t="inlineStr">
        <is>
          <t>skill</t>
        </is>
      </c>
      <c r="D204" s="38" t="inlineStr">
        <is>
          <t>snapshot_vanessa_legacy_catalog_v1</t>
        </is>
      </c>
      <c r="E204" s="38" t="inlineStr">
        <is>
          <t>snapshot_the_bazaar_patch_18_0_boundary</t>
        </is>
      </c>
      <c r="F204" s="38" t="inlineStr">
        <is>
          <t>true</t>
        </is>
      </c>
      <c r="G204" s="38" t="inlineStr">
        <is>
          <t>false</t>
        </is>
      </c>
      <c r="H204" s="38" t="inlineStr">
        <is>
          <t>current_rule_match,structured_trigger,structured_effects,quality_values,owner_scope,trainer_availability</t>
        </is>
      </c>
      <c r="I204" s="38" t="inlineStr">
        <is>
          <t>improvised-protection</t>
        </is>
      </c>
      <c r="J204" s="38" t="inlineStr">
        <is>
          <t>Improvised Protection</t>
        </is>
      </c>
      <c r="K204" s="38" t="inlineStr">
        <is>
          <t>silver</t>
        </is>
      </c>
      <c r="L204" s="38" t="inlineStr">
        <is>
          <t>medium</t>
        </is>
      </c>
      <c r="M204" s="38" t="inlineStr">
        <is>
          <t>shieldreference, critreference</t>
        </is>
      </c>
      <c r="N204" s="38" t="n">
        <v>6</v>
      </c>
      <c r="O204" s="38" t="inlineStr">
        <is>
          <t>trainer_adira, trainer_argenta, trainer_fortis, trainer_nufu, trainer_orlin, trainer_vermir</t>
        </is>
      </c>
      <c r="P204" s="38" t="n">
        <v>6</v>
      </c>
      <c r="Q204" s="38" t="inlineStr">
        <is>
          <t>elem_水, elem_雷, elem_龙, elem_无, role_召唤, role_召唤铺场</t>
        </is>
      </c>
      <c r="R204" s="38" t="inlineStr">
        <is>
          <t>Shielded</t>
        </is>
      </c>
      <c r="S204" s="38" t="inlineStr">
        <is>
          <t>pal_203</t>
        </is>
      </c>
      <c r="T204" s="38" t="inlineStr">
        <is>
          <t>霆熊卫</t>
        </is>
      </c>
      <c r="U204" s="38" t="inlineStr">
        <is>
          <t>https://bazaar-builds.net/db/skills/improvised-protection.html</t>
        </is>
      </c>
      <c r="V204" s="38" t="inlineStr">
        <is>
          <t>when you crit, your shield items gain 5 / 10 / 15 shield for the fight.</t>
        </is>
      </c>
      <c r="W204" s="38" t="inlineStr">
        <is>
          <t>一对一确认来源对象。</t>
        </is>
      </c>
      <c r="X204" s="385" t="str"/>
      <c r="Y204" s="386" t="inlineStr">
        <is>
          <t>reference_reserved</t>
        </is>
      </c>
      <c r="Z204" s="386" t="str"/>
      <c r="AA204" s="386" t="str"/>
    </row>
    <row r="205">
      <c r="A205" s="38" t="inlineStr">
        <is>
          <t>bz_van_204</t>
        </is>
      </c>
      <c r="B205" s="38" t="n">
        <v>204</v>
      </c>
      <c r="C205" s="38" t="inlineStr">
        <is>
          <t>skill</t>
        </is>
      </c>
      <c r="D205" s="38" t="inlineStr">
        <is>
          <t>snapshot_vanessa_legacy_catalog_v1</t>
        </is>
      </c>
      <c r="E205" s="38" t="inlineStr">
        <is>
          <t>snapshot_the_bazaar_patch_18_0_boundary</t>
        </is>
      </c>
      <c r="F205" s="38" t="inlineStr">
        <is>
          <t>true</t>
        </is>
      </c>
      <c r="G205" s="38" t="inlineStr">
        <is>
          <t>false</t>
        </is>
      </c>
      <c r="H205" s="38" t="inlineStr">
        <is>
          <t>current_rule_match,structured_trigger,structured_effects,quality_values,owner_scope,trainer_availability</t>
        </is>
      </c>
      <c r="I205" s="38" t="inlineStr">
        <is>
          <t>improvised-weaponry</t>
        </is>
      </c>
      <c r="J205" s="38" t="inlineStr">
        <is>
          <t>Improvised Weaponry</t>
        </is>
      </c>
      <c r="K205" s="38" t="inlineStr">
        <is>
          <t>silver</t>
        </is>
      </c>
      <c r="L205" s="38" t="inlineStr">
        <is>
          <t>medium</t>
        </is>
      </c>
      <c r="M205" s="38" t="inlineStr">
        <is>
          <t>weapon, damagereference, critreference</t>
        </is>
      </c>
      <c r="N205" s="38" t="n">
        <v>6</v>
      </c>
      <c r="O205" s="38" t="inlineStr">
        <is>
          <t>trainer_adira, trainer_argenta, trainer_nufu, trainer_orlin, trainer_ryukon, trainer_vermir</t>
        </is>
      </c>
      <c r="P205" s="38" t="n">
        <v>6</v>
      </c>
      <c r="Q205" s="38" t="inlineStr">
        <is>
          <t>elem_水, elem_雷, elem_龙, elem_无, role_召唤, role_坦克</t>
        </is>
      </c>
      <c r="R205" s="38" t="inlineStr">
        <is>
          <t>Deadly</t>
        </is>
      </c>
      <c r="S205" s="38" t="inlineStr">
        <is>
          <t>pal_204</t>
        </is>
      </c>
      <c r="T205" s="38" t="inlineStr">
        <is>
          <t>闪鲨将</t>
        </is>
      </c>
      <c r="U205" s="38" t="inlineStr">
        <is>
          <t>https://bazaar-builds.net/db/skills/improvised-weaponry.html</t>
        </is>
      </c>
      <c r="V205" s="38" t="inlineStr">
        <is>
          <t>when you crit, your weapons gain 5 / 10 / 15 damage for the fight.</t>
        </is>
      </c>
      <c r="W205" s="38" t="inlineStr">
        <is>
          <t>一对一确认来源对象。</t>
        </is>
      </c>
      <c r="X205" s="385" t="str"/>
      <c r="Y205" s="386" t="inlineStr">
        <is>
          <t>reference_reserved</t>
        </is>
      </c>
      <c r="Z205" s="386" t="str"/>
      <c r="AA205" s="386" t="str"/>
    </row>
    <row r="206">
      <c r="A206" s="38" t="inlineStr">
        <is>
          <t>bz_van_205</t>
        </is>
      </c>
      <c r="B206" s="38" t="n">
        <v>205</v>
      </c>
      <c r="C206" s="38" t="inlineStr">
        <is>
          <t>skill</t>
        </is>
      </c>
      <c r="D206" s="38" t="inlineStr">
        <is>
          <t>snapshot_vanessa_legacy_catalog_v1</t>
        </is>
      </c>
      <c r="E206" s="38" t="inlineStr">
        <is>
          <t>snapshot_the_bazaar_patch_18_0_boundary</t>
        </is>
      </c>
      <c r="F206" s="38" t="inlineStr">
        <is>
          <t>true</t>
        </is>
      </c>
      <c r="G206" s="38" t="inlineStr">
        <is>
          <t>false</t>
        </is>
      </c>
      <c r="H206" s="38" t="inlineStr">
        <is>
          <t>current_rule_match,structured_trigger,structured_effects,quality_values,owner_scope,trainer_availability</t>
        </is>
      </c>
      <c r="I206" s="38" t="inlineStr">
        <is>
          <t>inexorable</t>
        </is>
      </c>
      <c r="J206" s="38" t="inlineStr">
        <is>
          <t>Inexorable</t>
        </is>
      </c>
      <c r="K206" s="38" t="inlineStr">
        <is>
          <t>silver</t>
        </is>
      </c>
      <c r="L206" s="38" t="inlineStr">
        <is>
          <t>medium</t>
        </is>
      </c>
      <c r="M206" s="38" t="inlineStr">
        <is>
          <t>crit</t>
        </is>
      </c>
      <c r="N206" s="38" t="n">
        <v>6</v>
      </c>
      <c r="O206" s="38" t="inlineStr">
        <is>
          <t>trainer_adira, trainer_argenta, trainer_nufu, trainer_old-zane, trainer_orlin, trainer_vermir</t>
        </is>
      </c>
      <c r="P206" s="38" t="n">
        <v>6</v>
      </c>
      <c r="Q206" s="38" t="inlineStr">
        <is>
          <t>elem_水, elem_雷, elem_地, elem_龙, elem_无, role_召唤</t>
        </is>
      </c>
      <c r="R206" s="38" t="inlineStr">
        <is>
          <t>Deadly</t>
        </is>
      </c>
      <c r="S206" s="38" t="inlineStr">
        <is>
          <t>pal_205</t>
        </is>
      </c>
      <c r="T206" s="38" t="inlineStr">
        <is>
          <t>雷隼卫</t>
        </is>
      </c>
      <c r="U206" s="38" t="inlineStr">
        <is>
          <t>https://bazaar-builds.net/db/skills/inexorable.html</t>
        </is>
      </c>
      <c r="V206" s="38" t="inlineStr">
        <is>
          <t>your items have +2% crit chance. when you start a fight, this gains +2 / 3 / 4% crit chance bonus.</t>
        </is>
      </c>
      <c r="W206" s="38" t="inlineStr">
        <is>
          <t>一对一确认来源对象。</t>
        </is>
      </c>
      <c r="X206" s="385" t="str"/>
      <c r="Y206" s="386" t="inlineStr">
        <is>
          <t>reference_reserved</t>
        </is>
      </c>
      <c r="Z206" s="386" t="str"/>
      <c r="AA206" s="386" t="str"/>
    </row>
    <row r="207">
      <c r="A207" s="38" t="inlineStr">
        <is>
          <t>bz_van_206</t>
        </is>
      </c>
      <c r="B207" s="38" t="n">
        <v>206</v>
      </c>
      <c r="C207" s="38" t="inlineStr">
        <is>
          <t>skill</t>
        </is>
      </c>
      <c r="D207" s="38" t="inlineStr">
        <is>
          <t>snapshot_vanessa_legacy_catalog_v1</t>
        </is>
      </c>
      <c r="E207" s="38" t="inlineStr">
        <is>
          <t>snapshot_the_bazaar_patch_18_0_boundary</t>
        </is>
      </c>
      <c r="F207" s="38" t="inlineStr">
        <is>
          <t>true</t>
        </is>
      </c>
      <c r="G207" s="38" t="inlineStr">
        <is>
          <t>false</t>
        </is>
      </c>
      <c r="H207" s="38" t="inlineStr">
        <is>
          <t>current_rule_match,structured_trigger,structured_effects,quality_values,owner_scope,trainer_availability</t>
        </is>
      </c>
      <c r="I207" s="38" t="inlineStr">
        <is>
          <t>initial-chill</t>
        </is>
      </c>
      <c r="J207" s="38" t="inlineStr">
        <is>
          <t>Initial Chill</t>
        </is>
      </c>
      <c r="K207" s="38" t="inlineStr">
        <is>
          <t>silver</t>
        </is>
      </c>
      <c r="L207" s="38" t="inlineStr">
        <is>
          <t>medium</t>
        </is>
      </c>
      <c r="M207" s="38" t="inlineStr">
        <is>
          <t>freeze</t>
        </is>
      </c>
      <c r="N207" s="38" t="n">
        <v>5</v>
      </c>
      <c r="O207" s="38" t="inlineStr">
        <is>
          <t>trainer_adira, trainer_argenta, trainer_bjorn, trainer_nufu, trainer_orlin</t>
        </is>
      </c>
      <c r="P207" s="38" t="n">
        <v>5</v>
      </c>
      <c r="Q207" s="38" t="inlineStr">
        <is>
          <t>elem_水, elem_雷, elem_龙, elem_无, role_控制</t>
        </is>
      </c>
      <c r="R207" s="38" t="inlineStr">
        <is>
          <t>Icy</t>
        </is>
      </c>
      <c r="S207" s="38" t="inlineStr">
        <is>
          <t>pal_206</t>
        </is>
      </c>
      <c r="T207" s="38" t="inlineStr">
        <is>
          <t>霜狐卫</t>
        </is>
      </c>
      <c r="U207" s="38" t="inlineStr">
        <is>
          <t>https://bazaar-builds.net/db/skills/initial-chill.html</t>
        </is>
      </c>
      <c r="V207" s="38" t="inlineStr">
        <is>
          <t>the first time you use a large item each fight, freeze an item for 3 / 4 / 5 seconds.</t>
        </is>
      </c>
      <c r="W207" s="38" t="inlineStr">
        <is>
          <t>一对一确认来源对象。</t>
        </is>
      </c>
      <c r="X207" s="385" t="str"/>
      <c r="Y207" s="386" t="inlineStr">
        <is>
          <t>reference_reserved</t>
        </is>
      </c>
      <c r="Z207" s="386" t="str"/>
      <c r="AA207" s="386" t="str"/>
    </row>
    <row r="208">
      <c r="A208" s="38" t="inlineStr">
        <is>
          <t>bz_van_207</t>
        </is>
      </c>
      <c r="B208" s="38" t="n">
        <v>207</v>
      </c>
      <c r="C208" s="38" t="inlineStr">
        <is>
          <t>skill</t>
        </is>
      </c>
      <c r="D208" s="38" t="inlineStr">
        <is>
          <t>snapshot_vanessa_legacy_catalog_v1</t>
        </is>
      </c>
      <c r="E208" s="38" t="inlineStr">
        <is>
          <t>snapshot_the_bazaar_patch_18_0_boundary</t>
        </is>
      </c>
      <c r="F208" s="38" t="inlineStr">
        <is>
          <t>true</t>
        </is>
      </c>
      <c r="G208" s="38" t="inlineStr">
        <is>
          <t>false</t>
        </is>
      </c>
      <c r="H208" s="38" t="inlineStr">
        <is>
          <t>current_rule_match,structured_trigger,structured_effects,quality_values,owner_scope,trainer_availability</t>
        </is>
      </c>
      <c r="I208" s="38" t="inlineStr">
        <is>
          <t>initial-dose</t>
        </is>
      </c>
      <c r="J208" s="38" t="inlineStr">
        <is>
          <t>Initial Dose</t>
        </is>
      </c>
      <c r="K208" s="38" t="inlineStr">
        <is>
          <t>bronze</t>
        </is>
      </c>
      <c r="L208" s="38" t="inlineStr">
        <is>
          <t>medium</t>
        </is>
      </c>
      <c r="M208" s="38" t="inlineStr">
        <is>
          <t>poisonreference</t>
        </is>
      </c>
      <c r="N208" s="38" t="n">
        <v>5</v>
      </c>
      <c r="O208" s="38" t="inlineStr">
        <is>
          <t>trainer_adira, trainer_argenta, trainer_nufu, trainer_orlin, trainer_professor-riggle</t>
        </is>
      </c>
      <c r="P208" s="38" t="n">
        <v>5</v>
      </c>
      <c r="Q208" s="38" t="inlineStr">
        <is>
          <t>elem_水, elem_雷, elem_龙, elem_无, role_输出</t>
        </is>
      </c>
      <c r="R208" s="38" t="inlineStr">
        <is>
          <t>Toxic</t>
        </is>
      </c>
      <c r="S208" s="38" t="inlineStr">
        <is>
          <t>pal_207</t>
        </is>
      </c>
      <c r="T208" s="38" t="inlineStr">
        <is>
          <t>森蛇童</t>
        </is>
      </c>
      <c r="U208" s="38" t="inlineStr">
        <is>
          <t>https://bazaar-builds.net/db/skills/initial-dose.html</t>
        </is>
      </c>
      <c r="V208" s="38" t="inlineStr">
        <is>
          <t>your leftmost poison item has +2 / 4 / 6 / 8 poison.</t>
        </is>
      </c>
      <c r="W208" s="38" t="inlineStr">
        <is>
          <t>一对一确认来源对象。</t>
        </is>
      </c>
      <c r="X208" s="385" t="str"/>
      <c r="Y208" s="386" t="inlineStr">
        <is>
          <t>reference_reserved</t>
        </is>
      </c>
      <c r="Z208" s="386" t="str"/>
      <c r="AA208" s="386" t="str"/>
    </row>
    <row r="209">
      <c r="A209" s="38" t="inlineStr">
        <is>
          <t>bz_van_208</t>
        </is>
      </c>
      <c r="B209" s="38" t="n">
        <v>208</v>
      </c>
      <c r="C209" s="38" t="inlineStr">
        <is>
          <t>skill</t>
        </is>
      </c>
      <c r="D209" s="38" t="inlineStr">
        <is>
          <t>snapshot_vanessa_legacy_catalog_v1</t>
        </is>
      </c>
      <c r="E209" s="38" t="inlineStr">
        <is>
          <t>snapshot_the_bazaar_patch_18_0_boundary</t>
        </is>
      </c>
      <c r="F209" s="38" t="inlineStr">
        <is>
          <t>true</t>
        </is>
      </c>
      <c r="G209" s="38" t="inlineStr">
        <is>
          <t>false</t>
        </is>
      </c>
      <c r="H209" s="38" t="inlineStr">
        <is>
          <t>current_rule_match,structured_trigger,structured_effects,quality_values,owner_scope,trainer_availability</t>
        </is>
      </c>
      <c r="I209" s="38" t="inlineStr">
        <is>
          <t>invigorating-cold</t>
        </is>
      </c>
      <c r="J209" s="38" t="inlineStr">
        <is>
          <t>Invigorating Cold</t>
        </is>
      </c>
      <c r="K209" s="38" t="inlineStr">
        <is>
          <t>silver</t>
        </is>
      </c>
      <c r="L209" s="38" t="inlineStr">
        <is>
          <t>medium</t>
        </is>
      </c>
      <c r="M209" s="38" t="inlineStr">
        <is>
          <t>haste, freezereference</t>
        </is>
      </c>
      <c r="N209" s="38" t="n">
        <v>6</v>
      </c>
      <c r="O209" s="38" t="inlineStr">
        <is>
          <t>trainer_adira, trainer_argenta, trainer_bjorn, trainer_nufu, trainer_orlin, trainer_zara</t>
        </is>
      </c>
      <c r="P209" s="38" t="n">
        <v>6</v>
      </c>
      <c r="Q209" s="38" t="inlineStr">
        <is>
          <t>elem_水, elem_雷, elem_龙, elem_无, role_控制, special_merchant</t>
        </is>
      </c>
      <c r="R209" s="38" t="inlineStr">
        <is>
          <t>Icy</t>
        </is>
      </c>
      <c r="S209" s="38" t="inlineStr">
        <is>
          <t>pal_208</t>
        </is>
      </c>
      <c r="T209" s="38" t="inlineStr">
        <is>
          <t>冰蛙将</t>
        </is>
      </c>
      <c r="U209" s="38" t="inlineStr">
        <is>
          <t>https://bazaar-builds.net/db/skills/invigorating-cold.html</t>
        </is>
      </c>
      <c r="V209" s="38" t="inlineStr">
        <is>
          <t>the first time you freeze each fight, haste 1 / 2 / 3 item(s) for 2 seconds.</t>
        </is>
      </c>
      <c r="W209" s="38" t="inlineStr">
        <is>
          <t>一对一确认来源对象。</t>
        </is>
      </c>
      <c r="X209" s="385" t="str"/>
      <c r="Y209" s="386" t="inlineStr">
        <is>
          <t>reference_reserved</t>
        </is>
      </c>
      <c r="Z209" s="386" t="str"/>
      <c r="AA209" s="386" t="str"/>
    </row>
    <row r="210">
      <c r="A210" s="38" t="inlineStr">
        <is>
          <t>bz_van_209</t>
        </is>
      </c>
      <c r="B210" s="38" t="n">
        <v>209</v>
      </c>
      <c r="C210" s="38" t="inlineStr">
        <is>
          <t>skill</t>
        </is>
      </c>
      <c r="D210" s="38" t="inlineStr">
        <is>
          <t>snapshot_vanessa_legacy_catalog_v1</t>
        </is>
      </c>
      <c r="E210" s="38" t="inlineStr">
        <is>
          <t>snapshot_the_bazaar_patch_18_0_boundary</t>
        </is>
      </c>
      <c r="F210" s="38" t="inlineStr">
        <is>
          <t>true</t>
        </is>
      </c>
      <c r="G210" s="38" t="inlineStr">
        <is>
          <t>false</t>
        </is>
      </c>
      <c r="H210" s="38" t="inlineStr">
        <is>
          <t>current_rule_match,structured_trigger,structured_effects,quality_values,owner_scope,trainer_availability</t>
        </is>
      </c>
      <c r="I210" s="38" t="inlineStr">
        <is>
          <t>iron-sharpens-iron</t>
        </is>
      </c>
      <c r="J210" s="38" t="inlineStr">
        <is>
          <t>Iron Sharpens Iron</t>
        </is>
      </c>
      <c r="K210" s="38" t="inlineStr">
        <is>
          <t>silver</t>
        </is>
      </c>
      <c r="L210" s="38" t="inlineStr">
        <is>
          <t>medium</t>
        </is>
      </c>
      <c r="M210" s="38" t="inlineStr">
        <is>
          <t>weapon, damagereference</t>
        </is>
      </c>
      <c r="N210" s="38" t="n">
        <v>5</v>
      </c>
      <c r="O210" s="38" t="inlineStr">
        <is>
          <t>trainer_adira, trainer_argenta, trainer_nufu, trainer_orlin, trainer_ryukon</t>
        </is>
      </c>
      <c r="P210" s="38" t="n">
        <v>5</v>
      </c>
      <c r="Q210" s="38" t="inlineStr">
        <is>
          <t>elem_水, elem_雷, elem_龙, elem_无, role_坦克</t>
        </is>
      </c>
      <c r="R210" s="38" t="inlineStr">
        <is>
          <t>Golden</t>
        </is>
      </c>
      <c r="S210" s="38" t="inlineStr">
        <is>
          <t>pal_209</t>
        </is>
      </c>
      <c r="T210" s="38" t="inlineStr">
        <is>
          <t>夜貉精</t>
        </is>
      </c>
      <c r="U210" s="38" t="inlineStr">
        <is>
          <t>https://bazaar-builds.net/db/skills/iron-sharpens-iron.html</t>
        </is>
      </c>
      <c r="V210" s="38" t="inlineStr">
        <is>
          <t>your leftmost weapon has +8 damage. when you buy a weapon, this gains +1 / 2 / 3 damage bonus.</t>
        </is>
      </c>
      <c r="W210" s="38" t="inlineStr">
        <is>
          <t>一对一确认来源对象。</t>
        </is>
      </c>
      <c r="X210" s="385" t="str"/>
      <c r="Y210" s="386" t="inlineStr">
        <is>
          <t>reference_reserved</t>
        </is>
      </c>
      <c r="Z210" s="386" t="str"/>
      <c r="AA210" s="386" t="str"/>
    </row>
    <row r="211">
      <c r="A211" s="38" t="inlineStr">
        <is>
          <t>bz_van_210</t>
        </is>
      </c>
      <c r="B211" s="38" t="n">
        <v>210</v>
      </c>
      <c r="C211" s="38" t="inlineStr">
        <is>
          <t>skill</t>
        </is>
      </c>
      <c r="D211" s="38" t="inlineStr">
        <is>
          <t>snapshot_vanessa_legacy_catalog_v1</t>
        </is>
      </c>
      <c r="E211" s="38" t="inlineStr">
        <is>
          <t>snapshot_the_bazaar_patch_18_0_boundary</t>
        </is>
      </c>
      <c r="F211" s="38" t="inlineStr">
        <is>
          <t>true</t>
        </is>
      </c>
      <c r="G211" s="38" t="inlineStr">
        <is>
          <t>false</t>
        </is>
      </c>
      <c r="H211" s="38" t="inlineStr">
        <is>
          <t>current_rule_match,structured_trigger,structured_effects,quality_values,owner_scope,trainer_availability</t>
        </is>
      </c>
      <c r="I211" s="38" t="inlineStr">
        <is>
          <t>keen-eye</t>
        </is>
      </c>
      <c r="J211" s="38" t="inlineStr">
        <is>
          <t>Keen Eye</t>
        </is>
      </c>
      <c r="K211" s="38" t="inlineStr">
        <is>
          <t>bronze</t>
        </is>
      </c>
      <c r="L211" s="38" t="inlineStr">
        <is>
          <t>medium</t>
        </is>
      </c>
      <c r="M211" s="38" t="inlineStr">
        <is>
          <t>crit</t>
        </is>
      </c>
      <c r="N211" s="38" t="n">
        <v>5</v>
      </c>
      <c r="O211" s="38" t="inlineStr">
        <is>
          <t>trainer_adira, trainer_argenta, trainer_nufu, trainer_orlin, trainer_vermir</t>
        </is>
      </c>
      <c r="P211" s="38" t="n">
        <v>5</v>
      </c>
      <c r="Q211" s="38" t="inlineStr">
        <is>
          <t>elem_水, elem_雷, elem_龙, elem_无, role_召唤</t>
        </is>
      </c>
      <c r="R211" s="38" t="inlineStr">
        <is>
          <t>Deadly</t>
        </is>
      </c>
      <c r="S211" s="38" t="inlineStr">
        <is>
          <t>pal_210</t>
        </is>
      </c>
      <c r="T211" s="38" t="inlineStr">
        <is>
          <t>震豹童</t>
        </is>
      </c>
      <c r="U211" s="38" t="inlineStr">
        <is>
          <t>https://bazaar-builds.net/db/skills/keen-eye.html</t>
        </is>
      </c>
      <c r="V211" s="38" t="inlineStr">
        <is>
          <t>your items have +4 / 8 / 12 / 16% crit chance.</t>
        </is>
      </c>
      <c r="W211" s="38" t="inlineStr">
        <is>
          <t>一对一确认来源对象。</t>
        </is>
      </c>
      <c r="X211" s="385" t="str"/>
      <c r="Y211" s="386" t="inlineStr">
        <is>
          <t>reference_reserved</t>
        </is>
      </c>
      <c r="Z211" s="386" t="str"/>
      <c r="AA211" s="386" t="str"/>
    </row>
    <row r="212">
      <c r="A212" s="38" t="inlineStr">
        <is>
          <t>bz_van_211</t>
        </is>
      </c>
      <c r="B212" s="38" t="n">
        <v>211</v>
      </c>
      <c r="C212" s="38" t="inlineStr">
        <is>
          <t>skill</t>
        </is>
      </c>
      <c r="D212" s="38" t="inlineStr">
        <is>
          <t>snapshot_vanessa_legacy_catalog_v1</t>
        </is>
      </c>
      <c r="E212" s="38" t="inlineStr">
        <is>
          <t>snapshot_the_bazaar_patch_18_0_boundary</t>
        </is>
      </c>
      <c r="F212" s="38" t="inlineStr">
        <is>
          <t>true</t>
        </is>
      </c>
      <c r="G212" s="38" t="inlineStr">
        <is>
          <t>false</t>
        </is>
      </c>
      <c r="H212" s="38" t="inlineStr">
        <is>
          <t>current_rule_match,structured_trigger,structured_effects,quality_values,owner_scope,trainer_availability</t>
        </is>
      </c>
      <c r="I212" s="38" t="inlineStr">
        <is>
          <t>knife-tricks</t>
        </is>
      </c>
      <c r="J212" s="38" t="inlineStr">
        <is>
          <t>Knife Tricks</t>
        </is>
      </c>
      <c r="K212" s="38" t="inlineStr">
        <is>
          <t>diamond</t>
        </is>
      </c>
      <c r="L212" s="38" t="inlineStr">
        <is>
          <t>medium</t>
        </is>
      </c>
      <c r="M212" s="38" t="inlineStr">
        <is>
          <t>weapon, cooldown, damagereference</t>
        </is>
      </c>
      <c r="N212" s="38" t="n">
        <v>3</v>
      </c>
      <c r="O212" s="38" t="inlineStr">
        <is>
          <t>trainer_adira, trainer_nufu, trainer_ryukon</t>
        </is>
      </c>
      <c r="P212" s="38" t="n">
        <v>3</v>
      </c>
      <c r="Q212" s="38" t="inlineStr">
        <is>
          <t>elem_水, elem_龙, role_坦克</t>
        </is>
      </c>
      <c r="R212" s="38" t="inlineStr">
        <is>
          <t>Turbo</t>
        </is>
      </c>
      <c r="S212" s="38" t="inlineStr">
        <is>
          <t>pal_211</t>
        </is>
      </c>
      <c r="T212" s="38" t="inlineStr">
        <is>
          <t>夜雀皇</t>
        </is>
      </c>
      <c r="U212" s="38" t="inlineStr">
        <is>
          <t>https://bazaar-builds.net/db/skills/knife-tricks.html</t>
        </is>
      </c>
      <c r="V212" s="38" t="inlineStr">
        <is>
          <t>when you use a weapon, reduce its cooldown by 4% for the fight.</t>
        </is>
      </c>
      <c r="W212" s="38" t="inlineStr">
        <is>
          <t>一对一确认来源对象。</t>
        </is>
      </c>
      <c r="X212" s="385" t="str"/>
      <c r="Y212" s="386" t="inlineStr">
        <is>
          <t>reference_reserved</t>
        </is>
      </c>
      <c r="Z212" s="386" t="str"/>
      <c r="AA212" s="386" t="str"/>
    </row>
    <row r="213">
      <c r="A213" s="38" t="inlineStr">
        <is>
          <t>bz_van_212</t>
        </is>
      </c>
      <c r="B213" s="38" t="n">
        <v>212</v>
      </c>
      <c r="C213" s="38" t="inlineStr">
        <is>
          <t>skill</t>
        </is>
      </c>
      <c r="D213" s="38" t="inlineStr">
        <is>
          <t>snapshot_vanessa_legacy_catalog_v1</t>
        </is>
      </c>
      <c r="E213" s="38" t="inlineStr">
        <is>
          <t>snapshot_the_bazaar_patch_18_0_boundary</t>
        </is>
      </c>
      <c r="F213" s="38" t="inlineStr">
        <is>
          <t>true</t>
        </is>
      </c>
      <c r="G213" s="38" t="inlineStr">
        <is>
          <t>false</t>
        </is>
      </c>
      <c r="H213" s="38" t="inlineStr">
        <is>
          <t>current_rule_match,structured_trigger,structured_effects,quality_values,owner_scope,trainer_availability</t>
        </is>
      </c>
      <c r="I213" s="38" t="inlineStr">
        <is>
          <t>large-appetites</t>
        </is>
      </c>
      <c r="J213" s="38" t="inlineStr">
        <is>
          <t>Large Appetites</t>
        </is>
      </c>
      <c r="K213" s="38" t="inlineStr">
        <is>
          <t>silver</t>
        </is>
      </c>
      <c r="L213" s="38" t="inlineStr">
        <is>
          <t>medium</t>
        </is>
      </c>
      <c r="M213" s="38" t="inlineStr">
        <is>
          <t>health</t>
        </is>
      </c>
      <c r="N213" s="38" t="n">
        <v>5</v>
      </c>
      <c r="O213" s="38" t="inlineStr">
        <is>
          <t>trainer_adira, trainer_argenta, trainer_nufu, trainer_orlin, trainer_regenald</t>
        </is>
      </c>
      <c r="P213" s="38" t="n">
        <v>5</v>
      </c>
      <c r="Q213" s="38" t="inlineStr">
        <is>
          <t>elem_水, elem_雷, elem_龙, elem_无, tier_pT2</t>
        </is>
      </c>
      <c r="R213" s="38" t="inlineStr">
        <is>
          <t>Restorative</t>
        </is>
      </c>
      <c r="S213" s="38" t="inlineStr">
        <is>
          <t>pal_212</t>
        </is>
      </c>
      <c r="T213" s="38" t="inlineStr">
        <is>
          <t>沧鹤妖</t>
        </is>
      </c>
      <c r="U213" s="38" t="inlineStr">
        <is>
          <t>https://bazaar-builds.net/db/skills/large-appetites.html</t>
        </is>
      </c>
      <c r="V213" s="38" t="inlineStr">
        <is>
          <t>if you have 5 or fewer items, you have +500 / 1000 / 2000 max health.</t>
        </is>
      </c>
      <c r="W213" s="38" t="inlineStr">
        <is>
          <t>一对一确认来源对象。</t>
        </is>
      </c>
      <c r="X213" s="385" t="str"/>
      <c r="Y213" s="386" t="inlineStr">
        <is>
          <t>reference_reserved</t>
        </is>
      </c>
      <c r="Z213" s="386" t="str"/>
      <c r="AA213" s="386" t="str"/>
    </row>
    <row r="214">
      <c r="A214" s="38" t="inlineStr">
        <is>
          <t>bz_van_213</t>
        </is>
      </c>
      <c r="B214" s="38" t="n">
        <v>213</v>
      </c>
      <c r="C214" s="38" t="inlineStr">
        <is>
          <t>skill</t>
        </is>
      </c>
      <c r="D214" s="38" t="inlineStr">
        <is>
          <t>snapshot_vanessa_legacy_catalog_v1</t>
        </is>
      </c>
      <c r="E214" s="38" t="inlineStr">
        <is>
          <t>snapshot_the_bazaar_patch_18_0_boundary</t>
        </is>
      </c>
      <c r="F214" s="38" t="inlineStr">
        <is>
          <t>true</t>
        </is>
      </c>
      <c r="G214" s="38" t="inlineStr">
        <is>
          <t>false</t>
        </is>
      </c>
      <c r="H214" s="38" t="inlineStr">
        <is>
          <t>current_rule_match,structured_trigger,structured_effects,quality_values,owner_scope,trainer_availability</t>
        </is>
      </c>
      <c r="I214" s="38" t="inlineStr">
        <is>
          <t>left-eye</t>
        </is>
      </c>
      <c r="J214" s="38" t="inlineStr">
        <is>
          <t>Left Eye</t>
        </is>
      </c>
      <c r="K214" s="38" t="inlineStr">
        <is>
          <t>bronze</t>
        </is>
      </c>
      <c r="L214" s="38" t="inlineStr">
        <is>
          <t>medium</t>
        </is>
      </c>
      <c r="M214" s="38" t="inlineStr">
        <is>
          <t>crit</t>
        </is>
      </c>
      <c r="N214" s="38" t="n">
        <v>5</v>
      </c>
      <c r="O214" s="38" t="inlineStr">
        <is>
          <t>trainer_adira, trainer_argenta, trainer_nufu, trainer_orlin, trainer_vermir</t>
        </is>
      </c>
      <c r="P214" s="38" t="n">
        <v>5</v>
      </c>
      <c r="Q214" s="38" t="inlineStr">
        <is>
          <t>elem_水, elem_雷, elem_龙, elem_无, role_召唤</t>
        </is>
      </c>
      <c r="R214" s="38" t="inlineStr">
        <is>
          <t>Deadly</t>
        </is>
      </c>
      <c r="S214" s="38" t="inlineStr">
        <is>
          <t>pal_213</t>
        </is>
      </c>
      <c r="T214" s="38" t="inlineStr">
        <is>
          <t>震鹰童</t>
        </is>
      </c>
      <c r="U214" s="38" t="inlineStr">
        <is>
          <t>https://bazaar-builds.net/db/skills/left-eye.html</t>
        </is>
      </c>
      <c r="V214" s="38" t="inlineStr">
        <is>
          <t>your leftmost item has +8 / 16 / 24 / 32% crit chance.</t>
        </is>
      </c>
      <c r="W214" s="38" t="inlineStr">
        <is>
          <t>一对一确认来源对象。</t>
        </is>
      </c>
      <c r="X214" s="385" t="str"/>
      <c r="Y214" s="386" t="inlineStr">
        <is>
          <t>reference_reserved</t>
        </is>
      </c>
      <c r="Z214" s="386" t="str"/>
      <c r="AA214" s="386" t="str"/>
    </row>
    <row r="215">
      <c r="A215" s="38" t="inlineStr">
        <is>
          <t>bz_van_214</t>
        </is>
      </c>
      <c r="B215" s="38" t="n">
        <v>214</v>
      </c>
      <c r="C215" s="38" t="inlineStr">
        <is>
          <t>skill</t>
        </is>
      </c>
      <c r="D215" s="38" t="inlineStr">
        <is>
          <t>snapshot_vanessa_legacy_catalog_v1</t>
        </is>
      </c>
      <c r="E215" s="38" t="inlineStr">
        <is>
          <t>snapshot_the_bazaar_patch_18_0_boundary</t>
        </is>
      </c>
      <c r="F215" s="38" t="inlineStr">
        <is>
          <t>true</t>
        </is>
      </c>
      <c r="G215" s="38" t="inlineStr">
        <is>
          <t>false</t>
        </is>
      </c>
      <c r="H215" s="38" t="inlineStr">
        <is>
          <t>current_rule_match,structured_trigger,structured_effects,quality_values,owner_scope,trainer_availability</t>
        </is>
      </c>
      <c r="I215" s="38" t="inlineStr">
        <is>
          <t>left-handed</t>
        </is>
      </c>
      <c r="J215" s="38" t="inlineStr">
        <is>
          <t>Left-Handed</t>
        </is>
      </c>
      <c r="K215" s="38" t="inlineStr">
        <is>
          <t>bronze</t>
        </is>
      </c>
      <c r="L215" s="38" t="inlineStr">
        <is>
          <t>medium</t>
        </is>
      </c>
      <c r="M215" s="38" t="inlineStr">
        <is>
          <t>weapon, damagereference</t>
        </is>
      </c>
      <c r="N215" s="38" t="n">
        <v>5</v>
      </c>
      <c r="O215" s="38" t="inlineStr">
        <is>
          <t>trainer_adira, trainer_argenta, trainer_nufu, trainer_orlin, trainer_ryukon</t>
        </is>
      </c>
      <c r="P215" s="38" t="n">
        <v>5</v>
      </c>
      <c r="Q215" s="38" t="inlineStr">
        <is>
          <t>elem_水, elem_雷, elem_龙, elem_无, role_坦克</t>
        </is>
      </c>
      <c r="R215" s="38" t="inlineStr">
        <is>
          <t>Deadly</t>
        </is>
      </c>
      <c r="S215" s="38" t="inlineStr">
        <is>
          <t>pal_214</t>
        </is>
      </c>
      <c r="T215" s="38" t="inlineStr">
        <is>
          <t>角鲨兽</t>
        </is>
      </c>
      <c r="U215" s="38" t="inlineStr">
        <is>
          <t>https://bazaar-builds.net/db/skills/left-handed.html</t>
        </is>
      </c>
      <c r="V215" s="38" t="inlineStr">
        <is>
          <t>your leftmost weapon deals +10 / 20 / 30 / 40 damage.</t>
        </is>
      </c>
      <c r="W215" s="38" t="inlineStr">
        <is>
          <t>一对一确认来源对象。</t>
        </is>
      </c>
      <c r="X215" s="385" t="str"/>
      <c r="Y215" s="386" t="inlineStr">
        <is>
          <t>reference_reserved</t>
        </is>
      </c>
      <c r="Z215" s="386" t="str"/>
      <c r="AA215" s="386" t="str"/>
    </row>
    <row r="216">
      <c r="A216" s="38" t="inlineStr">
        <is>
          <t>bz_van_215</t>
        </is>
      </c>
      <c r="B216" s="38" t="n">
        <v>215</v>
      </c>
      <c r="C216" s="38" t="inlineStr">
        <is>
          <t>skill</t>
        </is>
      </c>
      <c r="D216" s="38" t="inlineStr">
        <is>
          <t>snapshot_vanessa_legacy_catalog_v1</t>
        </is>
      </c>
      <c r="E216" s="38" t="inlineStr">
        <is>
          <t>snapshot_the_bazaar_patch_18_0_boundary</t>
        </is>
      </c>
      <c r="F216" s="38" t="inlineStr">
        <is>
          <t>true</t>
        </is>
      </c>
      <c r="G216" s="38" t="inlineStr">
        <is>
          <t>false</t>
        </is>
      </c>
      <c r="H216" s="38" t="inlineStr">
        <is>
          <t>current_rule_match,structured_trigger,structured_effects,quality_values,owner_scope,trainer_availability</t>
        </is>
      </c>
      <c r="I216" s="38" t="inlineStr">
        <is>
          <t>lefty-loosey</t>
        </is>
      </c>
      <c r="J216" s="38" t="inlineStr">
        <is>
          <t>Lefty Loosey</t>
        </is>
      </c>
      <c r="K216" s="38" t="inlineStr">
        <is>
          <t>gold</t>
        </is>
      </c>
      <c r="L216" s="38" t="inlineStr">
        <is>
          <t>medium</t>
        </is>
      </c>
      <c r="M216" s="38" t="inlineStr">
        <is>
          <t>haste</t>
        </is>
      </c>
      <c r="N216" s="38" t="n">
        <v>4</v>
      </c>
      <c r="O216" s="38" t="inlineStr">
        <is>
          <t>trainer_adira, trainer_nufu, trainer_orlin, trainer_zara</t>
        </is>
      </c>
      <c r="P216" s="38" t="n">
        <v>4</v>
      </c>
      <c r="Q216" s="38" t="inlineStr">
        <is>
          <t>elem_水, elem_龙, elem_无, special_merchant</t>
        </is>
      </c>
      <c r="R216" s="38" t="inlineStr">
        <is>
          <t>Turbo</t>
        </is>
      </c>
      <c r="S216" s="38" t="inlineStr">
        <is>
          <t>pal_215</t>
        </is>
      </c>
      <c r="T216" s="38" t="inlineStr">
        <is>
          <t>角隼尊</t>
        </is>
      </c>
      <c r="U216" s="38" t="inlineStr">
        <is>
          <t>https://bazaar-builds.net/db/skills/lefty-loosey.html</t>
        </is>
      </c>
      <c r="V216" s="38" t="inlineStr">
        <is>
          <t>the first 5 → 10 times you use your leftmost item each fight, haste an item for 1 second.</t>
        </is>
      </c>
      <c r="W216" s="38" t="inlineStr">
        <is>
          <t>一对一确认来源对象。</t>
        </is>
      </c>
      <c r="X216" s="385" t="str"/>
      <c r="Y216" s="386" t="inlineStr">
        <is>
          <t>reference_reserved</t>
        </is>
      </c>
      <c r="Z216" s="386" t="str"/>
      <c r="AA216" s="386" t="str"/>
    </row>
    <row r="217">
      <c r="A217" s="38" t="inlineStr">
        <is>
          <t>bz_van_216</t>
        </is>
      </c>
      <c r="B217" s="38" t="n">
        <v>216</v>
      </c>
      <c r="C217" s="38" t="inlineStr">
        <is>
          <t>skill</t>
        </is>
      </c>
      <c r="D217" s="38" t="inlineStr">
        <is>
          <t>snapshot_vanessa_legacy_catalog_v1</t>
        </is>
      </c>
      <c r="E217" s="38" t="inlineStr">
        <is>
          <t>snapshot_the_bazaar_patch_18_0_boundary</t>
        </is>
      </c>
      <c r="F217" s="38" t="inlineStr">
        <is>
          <t>true</t>
        </is>
      </c>
      <c r="G217" s="38" t="inlineStr">
        <is>
          <t>false</t>
        </is>
      </c>
      <c r="H217" s="38" t="inlineStr">
        <is>
          <t>current_rule_match,structured_trigger,structured_effects,quality_values,owner_scope,trainer_availability</t>
        </is>
      </c>
      <c r="I217" s="38" t="inlineStr">
        <is>
          <t>lethargy</t>
        </is>
      </c>
      <c r="J217" s="38" t="inlineStr">
        <is>
          <t>Lethargy</t>
        </is>
      </c>
      <c r="K217" s="38" t="inlineStr">
        <is>
          <t>silver</t>
        </is>
      </c>
      <c r="L217" s="38" t="inlineStr">
        <is>
          <t>medium</t>
        </is>
      </c>
      <c r="M217" s="38" t="inlineStr">
        <is>
          <t>cooldown</t>
        </is>
      </c>
      <c r="N217" s="38" t="n">
        <v>4</v>
      </c>
      <c r="O217" s="38" t="inlineStr">
        <is>
          <t>trainer_adira, trainer_argenta, trainer_nufu, trainer_orlin</t>
        </is>
      </c>
      <c r="P217" s="38" t="n">
        <v>4</v>
      </c>
      <c r="Q217" s="38" t="inlineStr">
        <is>
          <t>elem_水, elem_雷, elem_龙, elem_无</t>
        </is>
      </c>
      <c r="R217" s="38" t="inlineStr">
        <is>
          <t>Turbo</t>
        </is>
      </c>
      <c r="S217" s="38" t="inlineStr">
        <is>
          <t>pal_216</t>
        </is>
      </c>
      <c r="T217" s="38" t="inlineStr">
        <is>
          <t>霆鲭将</t>
        </is>
      </c>
      <c r="U217" s="38" t="inlineStr">
        <is>
          <t>https://bazaar-builds.net/db/skills/lethargy.html</t>
        </is>
      </c>
      <c r="V217" s="38" t="inlineStr">
        <is>
          <t>all item cooldowns are increased by 1 / 2 / 3 seconds.</t>
        </is>
      </c>
      <c r="W217" s="38" t="inlineStr">
        <is>
          <t>一对一确认来源对象。</t>
        </is>
      </c>
      <c r="X217" s="385" t="str"/>
      <c r="Y217" s="386" t="inlineStr">
        <is>
          <t>reference_reserved</t>
        </is>
      </c>
      <c r="Z217" s="386" t="str"/>
      <c r="AA217" s="386" t="str"/>
    </row>
    <row r="218">
      <c r="A218" s="38" t="inlineStr">
        <is>
          <t>bz_van_217</t>
        </is>
      </c>
      <c r="B218" s="38" t="n">
        <v>217</v>
      </c>
      <c r="C218" s="38" t="inlineStr">
        <is>
          <t>skill</t>
        </is>
      </c>
      <c r="D218" s="38" t="inlineStr">
        <is>
          <t>snapshot_vanessa_legacy_catalog_v1</t>
        </is>
      </c>
      <c r="E218" s="38" t="inlineStr">
        <is>
          <t>snapshot_the_bazaar_patch_18_0_boundary</t>
        </is>
      </c>
      <c r="F218" s="38" t="inlineStr">
        <is>
          <t>true</t>
        </is>
      </c>
      <c r="G218" s="38" t="inlineStr">
        <is>
          <t>false</t>
        </is>
      </c>
      <c r="H218" s="38" t="inlineStr">
        <is>
          <t>current_rule_match,structured_trigger,structured_effects,quality_values,owner_scope,trainer_availability</t>
        </is>
      </c>
      <c r="I218" s="38" t="inlineStr">
        <is>
          <t>lifting</t>
        </is>
      </c>
      <c r="J218" s="38" t="inlineStr">
        <is>
          <t>Lifting</t>
        </is>
      </c>
      <c r="K218" s="38" t="inlineStr">
        <is>
          <t>silver</t>
        </is>
      </c>
      <c r="L218" s="38" t="inlineStr">
        <is>
          <t>medium</t>
        </is>
      </c>
      <c r="M218" s="38" t="inlineStr">
        <is>
          <t>weapon, damagereference</t>
        </is>
      </c>
      <c r="N218" s="38" t="n">
        <v>5</v>
      </c>
      <c r="O218" s="38" t="inlineStr">
        <is>
          <t>trainer_adira, trainer_argenta, trainer_nufu, trainer_orlin, trainer_ryukon</t>
        </is>
      </c>
      <c r="P218" s="38" t="n">
        <v>5</v>
      </c>
      <c r="Q218" s="38" t="inlineStr">
        <is>
          <t>elem_水, elem_雷, elem_龙, elem_无, role_坦克</t>
        </is>
      </c>
      <c r="R218" s="38" t="inlineStr">
        <is>
          <t>Golden</t>
        </is>
      </c>
      <c r="S218" s="38" t="inlineStr">
        <is>
          <t>pal_217</t>
        </is>
      </c>
      <c r="T218" s="38" t="inlineStr">
        <is>
          <t>震雀将</t>
        </is>
      </c>
      <c r="U218" s="38" t="inlineStr">
        <is>
          <t>https://bazaar-builds.net/db/skills/lifting.html</t>
        </is>
      </c>
      <c r="V218" s="38" t="inlineStr">
        <is>
          <t>your weapons have +1 damage. when you buy a weapon, this gains +1 / 2 / 3 damage bonus.</t>
        </is>
      </c>
      <c r="W218" s="38" t="inlineStr">
        <is>
          <t>一对一确认来源对象。</t>
        </is>
      </c>
      <c r="X218" s="385" t="str"/>
      <c r="Y218" s="386" t="inlineStr">
        <is>
          <t>reference_reserved</t>
        </is>
      </c>
      <c r="Z218" s="386" t="str"/>
      <c r="AA218" s="386" t="str"/>
    </row>
    <row r="219">
      <c r="A219" s="38" t="inlineStr">
        <is>
          <t>bz_van_218</t>
        </is>
      </c>
      <c r="B219" s="38" t="n">
        <v>218</v>
      </c>
      <c r="C219" s="38" t="inlineStr">
        <is>
          <t>skill</t>
        </is>
      </c>
      <c r="D219" s="38" t="inlineStr">
        <is>
          <t>snapshot_vanessa_legacy_catalog_v1</t>
        </is>
      </c>
      <c r="E219" s="38" t="inlineStr">
        <is>
          <t>snapshot_the_bazaar_patch_18_0_boundary</t>
        </is>
      </c>
      <c r="F219" s="38" t="inlineStr">
        <is>
          <t>true</t>
        </is>
      </c>
      <c r="G219" s="38" t="inlineStr">
        <is>
          <t>false</t>
        </is>
      </c>
      <c r="H219" s="38" t="inlineStr">
        <is>
          <t>current_rule_match,structured_trigger,structured_effects,quality_values,owner_scope,trainer_availability</t>
        </is>
      </c>
      <c r="I219" s="38" t="inlineStr">
        <is>
          <t>living-flame</t>
        </is>
      </c>
      <c r="J219" s="38" t="inlineStr">
        <is>
          <t>Living Flame</t>
        </is>
      </c>
      <c r="K219" s="38" t="inlineStr">
        <is>
          <t>diamond</t>
        </is>
      </c>
      <c r="L219" s="38" t="inlineStr">
        <is>
          <t>medium</t>
        </is>
      </c>
      <c r="M219" s="38" t="inlineStr">
        <is>
          <t>burnreference, cooldown</t>
        </is>
      </c>
      <c r="N219" s="38" t="n">
        <v>3</v>
      </c>
      <c r="O219" s="38" t="inlineStr">
        <is>
          <t>trainer_adira, trainer_malafang, trainer_nufu</t>
        </is>
      </c>
      <c r="P219" s="38" t="n">
        <v>3</v>
      </c>
      <c r="Q219" s="38" t="inlineStr">
        <is>
          <t>elem_水, elem_龙, role_治疗</t>
        </is>
      </c>
      <c r="R219" s="38" t="inlineStr">
        <is>
          <t>Fiery</t>
        </is>
      </c>
      <c r="S219" s="38" t="inlineStr">
        <is>
          <t>pal_218</t>
        </is>
      </c>
      <c r="T219" s="38" t="inlineStr">
        <is>
          <t>赤鹤皇</t>
        </is>
      </c>
      <c r="U219" s="38" t="inlineStr">
        <is>
          <t>https://bazaar-builds.net/db/skills/living-flame.html</t>
        </is>
      </c>
      <c r="V219" s="38" t="inlineStr">
        <is>
          <t>the first time you fall below half health each fight, your burn items' cooldowns are halved for the fight.</t>
        </is>
      </c>
      <c r="W219" s="38" t="inlineStr">
        <is>
          <t>一对一确认来源对象。</t>
        </is>
      </c>
      <c r="X219" s="385" t="str"/>
      <c r="Y219" s="386" t="inlineStr">
        <is>
          <t>reference_reserved</t>
        </is>
      </c>
      <c r="Z219" s="386" t="str"/>
      <c r="AA219" s="386" t="str"/>
    </row>
    <row r="220">
      <c r="A220" s="38" t="inlineStr">
        <is>
          <t>bz_van_219</t>
        </is>
      </c>
      <c r="B220" s="38" t="n">
        <v>219</v>
      </c>
      <c r="C220" s="38" t="inlineStr">
        <is>
          <t>skill</t>
        </is>
      </c>
      <c r="D220" s="38" t="inlineStr">
        <is>
          <t>snapshot_vanessa_legacy_catalog_v1</t>
        </is>
      </c>
      <c r="E220" s="38" t="inlineStr">
        <is>
          <t>snapshot_the_bazaar_patch_18_0_boundary</t>
        </is>
      </c>
      <c r="F220" s="38" t="inlineStr">
        <is>
          <t>true</t>
        </is>
      </c>
      <c r="G220" s="38" t="inlineStr">
        <is>
          <t>false</t>
        </is>
      </c>
      <c r="H220" s="38" t="inlineStr">
        <is>
          <t>current_rule_match,structured_trigger,structured_effects,quality_values,owner_scope,trainer_availability</t>
        </is>
      </c>
      <c r="I220" s="38" t="inlineStr">
        <is>
          <t>loaded-fury</t>
        </is>
      </c>
      <c r="J220" s="38" t="inlineStr">
        <is>
          <t>Loaded Fury</t>
        </is>
      </c>
      <c r="K220" s="38" t="inlineStr">
        <is>
          <t>silver</t>
        </is>
      </c>
      <c r="L220" s="38" t="inlineStr">
        <is>
          <t>medium</t>
        </is>
      </c>
      <c r="M220" s="38" t="inlineStr">
        <is>
          <t>ammo, damagereference</t>
        </is>
      </c>
      <c r="N220" s="38" t="n">
        <v>6</v>
      </c>
      <c r="O220" s="38" t="inlineStr">
        <is>
          <t>trainer_adira, trainer_argenta, trainer_c4, trainer_nufu, trainer_old-zane, trainer_orlin</t>
        </is>
      </c>
      <c r="P220" s="38" t="n">
        <v>6</v>
      </c>
      <c r="Q220" s="38" t="inlineStr">
        <is>
          <t>elem_水, elem_雷, elem_地, elem_龙, elem_无, tier_pT1</t>
        </is>
      </c>
      <c r="R220" s="38" t="inlineStr">
        <is>
          <t>Deadly</t>
        </is>
      </c>
      <c r="S220" s="38" t="inlineStr">
        <is>
          <t>pal_219</t>
        </is>
      </c>
      <c r="T220" s="38" t="inlineStr">
        <is>
          <t>霆狼妖</t>
        </is>
      </c>
      <c r="U220" s="38" t="inlineStr">
        <is>
          <t>https://bazaar-builds.net/db/skills/loaded-fury.html</t>
        </is>
      </c>
      <c r="V220" s="38" t="inlineStr">
        <is>
          <t>your weapons have +1 / 2 / 3 damage for each ammo on your items.</t>
        </is>
      </c>
      <c r="W220" s="38" t="inlineStr">
        <is>
          <t>一对一确认来源对象。</t>
        </is>
      </c>
      <c r="X220" s="385" t="str"/>
      <c r="Y220" s="386" t="inlineStr">
        <is>
          <t>reference_reserved</t>
        </is>
      </c>
      <c r="Z220" s="386" t="str"/>
      <c r="AA220" s="386" t="str"/>
    </row>
    <row r="221">
      <c r="A221" s="38" t="inlineStr">
        <is>
          <t>bz_van_220</t>
        </is>
      </c>
      <c r="B221" s="38" t="n">
        <v>220</v>
      </c>
      <c r="C221" s="38" t="inlineStr">
        <is>
          <t>skill</t>
        </is>
      </c>
      <c r="D221" s="38" t="inlineStr">
        <is>
          <t>snapshot_vanessa_legacy_catalog_v1</t>
        </is>
      </c>
      <c r="E221" s="38" t="inlineStr">
        <is>
          <t>snapshot_the_bazaar_patch_18_0_boundary</t>
        </is>
      </c>
      <c r="F221" s="38" t="inlineStr">
        <is>
          <t>true</t>
        </is>
      </c>
      <c r="G221" s="38" t="inlineStr">
        <is>
          <t>false</t>
        </is>
      </c>
      <c r="H221" s="38" t="inlineStr">
        <is>
          <t>current_rule_match,structured_trigger,structured_effects,quality_values,owner_scope,trainer_availability</t>
        </is>
      </c>
      <c r="I221" s="38" t="inlineStr">
        <is>
          <t>master-diver</t>
        </is>
      </c>
      <c r="J221" s="38" t="inlineStr">
        <is>
          <t>Master Diver</t>
        </is>
      </c>
      <c r="K221" s="38" t="inlineStr">
        <is>
          <t>gold</t>
        </is>
      </c>
      <c r="L221" s="38" t="inlineStr">
        <is>
          <t>medium</t>
        </is>
      </c>
      <c r="M221" s="38" t="inlineStr">
        <is>
          <t>aquatic</t>
        </is>
      </c>
      <c r="N221" s="38" t="n">
        <v>4</v>
      </c>
      <c r="O221" s="38" t="inlineStr">
        <is>
          <t>trainer_adira, trainer_nufu, trainer_old-zane, trainer_orlin</t>
        </is>
      </c>
      <c r="P221" s="38" t="n">
        <v>4</v>
      </c>
      <c r="Q221" s="38" t="inlineStr">
        <is>
          <t>elem_水, elem_地, elem_龙, elem_无</t>
        </is>
      </c>
      <c r="R221" s="38" t="inlineStr">
        <is>
          <t>Turbo</t>
        </is>
      </c>
      <c r="S221" s="38" t="inlineStr">
        <is>
          <t>pal_220</t>
        </is>
      </c>
      <c r="T221" s="38" t="inlineStr">
        <is>
          <t>碧雀君</t>
        </is>
      </c>
      <c r="U221" s="38" t="inlineStr">
        <is>
          <t>https://bazaar-builds.net/db/skills/master-diver.html</t>
        </is>
      </c>
      <c r="V221" s="38" t="inlineStr">
        <is>
          <t>your leftmost item is aquatic and has its cooldown reduced by 3 → 6%.</t>
        </is>
      </c>
      <c r="W221" s="38" t="inlineStr">
        <is>
          <t>一对一确认来源对象。</t>
        </is>
      </c>
      <c r="X221" s="385" t="str"/>
      <c r="Y221" s="386" t="inlineStr">
        <is>
          <t>reference_reserved</t>
        </is>
      </c>
      <c r="Z221" s="386" t="str"/>
      <c r="AA221" s="386" t="str"/>
    </row>
    <row r="222">
      <c r="A222" s="38" t="inlineStr">
        <is>
          <t>bz_van_221</t>
        </is>
      </c>
      <c r="B222" s="38" t="n">
        <v>221</v>
      </c>
      <c r="C222" s="38" t="inlineStr">
        <is>
          <t>skill</t>
        </is>
      </c>
      <c r="D222" s="38" t="inlineStr">
        <is>
          <t>snapshot_vanessa_legacy_catalog_v1</t>
        </is>
      </c>
      <c r="E222" s="38" t="inlineStr">
        <is>
          <t>snapshot_the_bazaar_patch_18_0_boundary</t>
        </is>
      </c>
      <c r="F222" s="38" t="inlineStr">
        <is>
          <t>true</t>
        </is>
      </c>
      <c r="G222" s="38" t="inlineStr">
        <is>
          <t>false</t>
        </is>
      </c>
      <c r="H222" s="38" t="inlineStr">
        <is>
          <t>current_rule_match,structured_trigger,structured_effects,quality_values,owner_scope,trainer_availability</t>
        </is>
      </c>
      <c r="I222" s="38" t="inlineStr">
        <is>
          <t>master-sniper</t>
        </is>
      </c>
      <c r="J222" s="38" t="inlineStr">
        <is>
          <t>Master Sniper</t>
        </is>
      </c>
      <c r="K222" s="38" t="inlineStr">
        <is>
          <t>diamond</t>
        </is>
      </c>
      <c r="L222" s="38" t="inlineStr">
        <is>
          <t>medium</t>
        </is>
      </c>
      <c r="M222" s="38" t="inlineStr">
        <is>
          <t>weapon, ammo, damagereference</t>
        </is>
      </c>
      <c r="N222" s="38" t="n">
        <v>5</v>
      </c>
      <c r="O222" s="38" t="inlineStr">
        <is>
          <t>trainer_adira, trainer_c4, trainer_nufu, trainer_old-zane, trainer_ryukon</t>
        </is>
      </c>
      <c r="P222" s="38" t="n">
        <v>5</v>
      </c>
      <c r="Q222" s="38" t="inlineStr">
        <is>
          <t>elem_水, elem_地, elem_龙, role_坦克, tier_pT1</t>
        </is>
      </c>
      <c r="R222" s="38" t="inlineStr">
        <is>
          <t>Deadly</t>
        </is>
      </c>
      <c r="S222" s="38" t="inlineStr">
        <is>
          <t>pal_221</t>
        </is>
      </c>
      <c r="T222" s="38" t="inlineStr">
        <is>
          <t>霆虎神</t>
        </is>
      </c>
      <c r="U222" s="38" t="inlineStr">
        <is>
          <t>https://bazaar-builds.net/db/skills/master-sniper.html</t>
        </is>
      </c>
      <c r="V222" s="38" t="inlineStr">
        <is>
          <t>your leftmost ammo weapon has double damage and +1 max ammo.</t>
        </is>
      </c>
      <c r="W222" s="38" t="inlineStr">
        <is>
          <t>一对一确认来源对象。</t>
        </is>
      </c>
      <c r="X222" s="385" t="str"/>
      <c r="Y222" s="386" t="inlineStr">
        <is>
          <t>reference_reserved</t>
        </is>
      </c>
      <c r="Z222" s="386" t="str"/>
      <c r="AA222" s="386" t="str"/>
    </row>
    <row r="223">
      <c r="A223" s="38" t="inlineStr">
        <is>
          <t>bz_van_222</t>
        </is>
      </c>
      <c r="B223" s="38" t="n">
        <v>222</v>
      </c>
      <c r="C223" s="38" t="inlineStr">
        <is>
          <t>skill</t>
        </is>
      </c>
      <c r="D223" s="38" t="inlineStr">
        <is>
          <t>snapshot_vanessa_legacy_catalog_v1</t>
        </is>
      </c>
      <c r="E223" s="38" t="inlineStr">
        <is>
          <t>snapshot_the_bazaar_patch_18_0_boundary</t>
        </is>
      </c>
      <c r="F223" s="38" t="inlineStr">
        <is>
          <t>true</t>
        </is>
      </c>
      <c r="G223" s="38" t="inlineStr">
        <is>
          <t>false</t>
        </is>
      </c>
      <c r="H223" s="38" t="inlineStr">
        <is>
          <t>current_rule_match,structured_trigger,structured_effects,quality_values,owner_scope,trainer_availability</t>
        </is>
      </c>
      <c r="I223" s="38" t="inlineStr">
        <is>
          <t>mixed-message</t>
        </is>
      </c>
      <c r="J223" s="38" t="inlineStr">
        <is>
          <t>Mixed Message</t>
        </is>
      </c>
      <c r="K223" s="38" t="inlineStr">
        <is>
          <t>gold</t>
        </is>
      </c>
      <c r="L223" s="38" t="inlineStr">
        <is>
          <t>medium</t>
        </is>
      </c>
      <c r="M223" s="38" t="inlineStr">
        <is>
          <t>weapon, charge, damagereference</t>
        </is>
      </c>
      <c r="N223" s="38" t="n">
        <v>5</v>
      </c>
      <c r="O223" s="38" t="inlineStr">
        <is>
          <t>trainer_adira, trainer_nufu, trainer_orlin, trainer_ryukon, trainer_zara</t>
        </is>
      </c>
      <c r="P223" s="38" t="n">
        <v>5</v>
      </c>
      <c r="Q223" s="38" t="inlineStr">
        <is>
          <t>elem_水, elem_龙, elem_无, role_坦克, special_merchant</t>
        </is>
      </c>
      <c r="R223" s="38" t="inlineStr">
        <is>
          <t>Turbo</t>
        </is>
      </c>
      <c r="S223" s="38" t="inlineStr">
        <is>
          <t>pal_222</t>
        </is>
      </c>
      <c r="T223" s="38" t="inlineStr">
        <is>
          <t>雷猿王</t>
        </is>
      </c>
      <c r="U223" s="38" t="inlineStr">
        <is>
          <t>https://bazaar-builds.net/db/skills/mixed-message.html</t>
        </is>
      </c>
      <c r="V223" s="38" t="inlineStr">
        <is>
          <t>the first 3 → 6 times you use a non-weapon item each fight, charge a weapon 1 second.</t>
        </is>
      </c>
      <c r="W223" s="38" t="inlineStr">
        <is>
          <t>一对一确认来源对象。</t>
        </is>
      </c>
      <c r="X223" s="385" t="str"/>
      <c r="Y223" s="386" t="inlineStr">
        <is>
          <t>reference_reserved</t>
        </is>
      </c>
      <c r="Z223" s="386" t="str"/>
      <c r="AA223" s="386" t="str"/>
    </row>
    <row r="224">
      <c r="A224" s="38" t="inlineStr">
        <is>
          <t>bz_van_223</t>
        </is>
      </c>
      <c r="B224" s="38" t="n">
        <v>223</v>
      </c>
      <c r="C224" s="38" t="inlineStr">
        <is>
          <t>skill</t>
        </is>
      </c>
      <c r="D224" s="38" t="inlineStr">
        <is>
          <t>snapshot_vanessa_legacy_catalog_v1</t>
        </is>
      </c>
      <c r="E224" s="38" t="inlineStr">
        <is>
          <t>snapshot_the_bazaar_patch_18_0_boundary</t>
        </is>
      </c>
      <c r="F224" s="38" t="inlineStr">
        <is>
          <t>true</t>
        </is>
      </c>
      <c r="G224" s="38" t="inlineStr">
        <is>
          <t>false</t>
        </is>
      </c>
      <c r="H224" s="38" t="inlineStr">
        <is>
          <t>current_rule_match,structured_trigger,structured_effects,quality_values,owner_scope,trainer_availability</t>
        </is>
      </c>
      <c r="I224" s="38" t="inlineStr">
        <is>
          <t>moth-to-a-flame</t>
        </is>
      </c>
      <c r="J224" s="38" t="inlineStr">
        <is>
          <t>Moth to a Flame</t>
        </is>
      </c>
      <c r="K224" s="38" t="inlineStr">
        <is>
          <t>diamond</t>
        </is>
      </c>
      <c r="L224" s="38" t="inlineStr">
        <is>
          <t>medium</t>
        </is>
      </c>
      <c r="M224" s="38" t="inlineStr">
        <is>
          <t>regen, burnreference</t>
        </is>
      </c>
      <c r="N224" s="38" t="n">
        <v>4</v>
      </c>
      <c r="O224" s="38" t="inlineStr">
        <is>
          <t>trainer_adira, trainer_malafang, trainer_nufu, trainer_regenald</t>
        </is>
      </c>
      <c r="P224" s="38" t="n">
        <v>4</v>
      </c>
      <c r="Q224" s="38" t="inlineStr">
        <is>
          <t>elem_水, elem_龙, role_治疗, tier_pT2</t>
        </is>
      </c>
      <c r="R224" s="38" t="inlineStr">
        <is>
          <t>Fiery</t>
        </is>
      </c>
      <c r="S224" s="38" t="inlineStr">
        <is>
          <t>pal_223</t>
        </is>
      </c>
      <c r="T224" s="38" t="inlineStr">
        <is>
          <t>燎蚌皇</t>
        </is>
      </c>
      <c r="U224" s="38" t="inlineStr">
        <is>
          <t>https://bazaar-builds.net/db/skills/moth-to-a-flame.html</t>
        </is>
      </c>
      <c r="V224" s="38" t="inlineStr">
        <is>
          <t>you have +regen equal to half the burn on an enemy.</t>
        </is>
      </c>
      <c r="W224" s="38" t="inlineStr">
        <is>
          <t>一对一确认来源对象。</t>
        </is>
      </c>
      <c r="X224" s="385" t="str"/>
      <c r="Y224" s="386" t="inlineStr">
        <is>
          <t>reference_reserved</t>
        </is>
      </c>
      <c r="Z224" s="386" t="str"/>
      <c r="AA224" s="386" t="str"/>
    </row>
    <row r="225">
      <c r="A225" s="38" t="inlineStr">
        <is>
          <t>bz_van_224</t>
        </is>
      </c>
      <c r="B225" s="38" t="n">
        <v>224</v>
      </c>
      <c r="C225" s="38" t="inlineStr">
        <is>
          <t>skill</t>
        </is>
      </c>
      <c r="D225" s="38" t="inlineStr">
        <is>
          <t>snapshot_vanessa_legacy_catalog_v1</t>
        </is>
      </c>
      <c r="E225" s="38" t="inlineStr">
        <is>
          <t>snapshot_the_bazaar_patch_18_0_boundary</t>
        </is>
      </c>
      <c r="F225" s="38" t="inlineStr">
        <is>
          <t>true</t>
        </is>
      </c>
      <c r="G225" s="38" t="inlineStr">
        <is>
          <t>false</t>
        </is>
      </c>
      <c r="H225" s="38" t="inlineStr">
        <is>
          <t>current_rule_match,structured_trigger,structured_effects,quality_values,owner_scope,trainer_availability</t>
        </is>
      </c>
      <c r="I225" s="38" t="inlineStr">
        <is>
          <t>net-launcher</t>
        </is>
      </c>
      <c r="J225" s="38" t="inlineStr">
        <is>
          <t>Net Launcher</t>
        </is>
      </c>
      <c r="K225" s="38" t="inlineStr">
        <is>
          <t>silver</t>
        </is>
      </c>
      <c r="L225" s="38" t="inlineStr">
        <is>
          <t>medium</t>
        </is>
      </c>
      <c r="M225" s="38" t="inlineStr">
        <is>
          <t>slow</t>
        </is>
      </c>
      <c r="N225" s="38" t="n">
        <v>5</v>
      </c>
      <c r="O225" s="38" t="inlineStr">
        <is>
          <t>trainer_adira, trainer_argenta, trainer_nufu, trainer_orlin, trainer_slohmor-lumbra</t>
        </is>
      </c>
      <c r="P225" s="38" t="n">
        <v>5</v>
      </c>
      <c r="Q225" s="38" t="inlineStr">
        <is>
          <t>elem_水, elem_雷, elem_龙, elem_无, role_经济</t>
        </is>
      </c>
      <c r="R225" s="38" t="inlineStr">
        <is>
          <t>Icy</t>
        </is>
      </c>
      <c r="S225" s="38" t="inlineStr">
        <is>
          <t>pal_224</t>
        </is>
      </c>
      <c r="T225" s="38" t="inlineStr">
        <is>
          <t>夜蝎卫</t>
        </is>
      </c>
      <c r="U225" s="38" t="inlineStr">
        <is>
          <t>https://bazaar-builds.net/db/skills/net-launcher.html</t>
        </is>
      </c>
      <c r="V225" s="38" t="inlineStr">
        <is>
          <t>the first time you use a large item each fight, slow 2 / 3 / 4 item(s) for 3 seconds.</t>
        </is>
      </c>
      <c r="W225" s="38" t="inlineStr">
        <is>
          <t>一对一确认来源对象。</t>
        </is>
      </c>
      <c r="X225" s="385" t="str"/>
      <c r="Y225" s="386" t="inlineStr">
        <is>
          <t>reference_reserved</t>
        </is>
      </c>
      <c r="Z225" s="386" t="str"/>
      <c r="AA225" s="386" t="str"/>
    </row>
    <row r="226">
      <c r="A226" s="38" t="inlineStr">
        <is>
          <t>bz_van_225</t>
        </is>
      </c>
      <c r="B226" s="38" t="n">
        <v>225</v>
      </c>
      <c r="C226" s="38" t="inlineStr">
        <is>
          <t>skill</t>
        </is>
      </c>
      <c r="D226" s="38" t="inlineStr">
        <is>
          <t>snapshot_vanessa_legacy_catalog_v1</t>
        </is>
      </c>
      <c r="E226" s="38" t="inlineStr">
        <is>
          <t>snapshot_the_bazaar_patch_18_0_boundary</t>
        </is>
      </c>
      <c r="F226" s="38" t="inlineStr">
        <is>
          <t>true</t>
        </is>
      </c>
      <c r="G226" s="38" t="inlineStr">
        <is>
          <t>false</t>
        </is>
      </c>
      <c r="H226" s="38" t="inlineStr">
        <is>
          <t>current_rule_match,structured_trigger,structured_effects,quality_values,owner_scope,trainer_availability</t>
        </is>
      </c>
      <c r="I226" s="38" t="inlineStr">
        <is>
          <t>noisy-cricket</t>
        </is>
      </c>
      <c r="J226" s="38" t="inlineStr">
        <is>
          <t>Noisy Cricket</t>
        </is>
      </c>
      <c r="K226" s="38" t="inlineStr">
        <is>
          <t>silver</t>
        </is>
      </c>
      <c r="L226" s="38" t="inlineStr">
        <is>
          <t>medium</t>
        </is>
      </c>
      <c r="M226" s="38" t="inlineStr">
        <is>
          <t>weapon, damagereference</t>
        </is>
      </c>
      <c r="N226" s="38" t="n">
        <v>5</v>
      </c>
      <c r="O226" s="38" t="inlineStr">
        <is>
          <t>trainer_adira, trainer_argenta, trainer_nufu, trainer_orlin, trainer_ryukon</t>
        </is>
      </c>
      <c r="P226" s="38" t="n">
        <v>5</v>
      </c>
      <c r="Q226" s="38" t="inlineStr">
        <is>
          <t>elem_水, elem_雷, elem_龙, elem_无, role_坦克</t>
        </is>
      </c>
      <c r="R226" s="38" t="inlineStr">
        <is>
          <t>Deadly</t>
        </is>
      </c>
      <c r="S226" s="38" t="inlineStr">
        <is>
          <t>pal_225</t>
        </is>
      </c>
      <c r="T226" s="38" t="inlineStr">
        <is>
          <t>星隼精</t>
        </is>
      </c>
      <c r="U226" s="38" t="inlineStr">
        <is>
          <t>https://bazaar-builds.net/db/skills/noisy-cricket.html</t>
        </is>
      </c>
      <c r="V226" s="38" t="inlineStr">
        <is>
          <t>if you have at least 7 items, your weapons deal +20 / 30 / 40 damage.</t>
        </is>
      </c>
      <c r="W226" s="38" t="inlineStr">
        <is>
          <t>一对一确认来源对象。</t>
        </is>
      </c>
      <c r="X226" s="385" t="str"/>
      <c r="Y226" s="386" t="inlineStr">
        <is>
          <t>reference_reserved</t>
        </is>
      </c>
      <c r="Z226" s="386" t="str"/>
      <c r="AA226" s="386" t="str"/>
    </row>
    <row r="227">
      <c r="A227" s="38" t="inlineStr">
        <is>
          <t>bz_van_226</t>
        </is>
      </c>
      <c r="B227" s="38" t="n">
        <v>226</v>
      </c>
      <c r="C227" s="38" t="inlineStr">
        <is>
          <t>skill</t>
        </is>
      </c>
      <c r="D227" s="38" t="inlineStr">
        <is>
          <t>snapshot_vanessa_legacy_catalog_v1</t>
        </is>
      </c>
      <c r="E227" s="38" t="inlineStr">
        <is>
          <t>snapshot_the_bazaar_patch_18_0_boundary</t>
        </is>
      </c>
      <c r="F227" s="38" t="inlineStr">
        <is>
          <t>true</t>
        </is>
      </c>
      <c r="G227" s="38" t="inlineStr">
        <is>
          <t>false</t>
        </is>
      </c>
      <c r="H227" s="38" t="inlineStr">
        <is>
          <t>current_rule_match,structured_trigger,structured_effects,quality_values,owner_scope,trainer_availability</t>
        </is>
      </c>
      <c r="I227" s="38" t="inlineStr">
        <is>
          <t>oceanic-rush</t>
        </is>
      </c>
      <c r="J227" s="38" t="inlineStr">
        <is>
          <t>Oceanic Rush</t>
        </is>
      </c>
      <c r="K227" s="38" t="inlineStr">
        <is>
          <t>silver</t>
        </is>
      </c>
      <c r="L227" s="38" t="inlineStr">
        <is>
          <t>medium</t>
        </is>
      </c>
      <c r="M227" s="38" t="inlineStr">
        <is>
          <t>aquatic, haste</t>
        </is>
      </c>
      <c r="N227" s="38" t="n">
        <v>6</v>
      </c>
      <c r="O227" s="38" t="inlineStr">
        <is>
          <t>trainer_adira, trainer_argenta, trainer_nufu, trainer_old-zane, trainer_orlin, trainer_zara</t>
        </is>
      </c>
      <c r="P227" s="38" t="n">
        <v>6</v>
      </c>
      <c r="Q227" s="38" t="inlineStr">
        <is>
          <t>elem_水, elem_雷, elem_地, elem_龙, elem_无, special_merchant</t>
        </is>
      </c>
      <c r="R227" s="38" t="inlineStr">
        <is>
          <t>Turbo</t>
        </is>
      </c>
      <c r="S227" s="38" t="inlineStr">
        <is>
          <t>pal_226</t>
        </is>
      </c>
      <c r="T227" s="38" t="inlineStr">
        <is>
          <t>潮雀妖</t>
        </is>
      </c>
      <c r="U227" s="38" t="inlineStr">
        <is>
          <t>https://bazaar-builds.net/db/skills/oceanic-rush.html</t>
        </is>
      </c>
      <c r="V227" s="38" t="inlineStr">
        <is>
          <t>the first time you use an item each fight, haste 1 / 2 / 3 aquatic item(s) for 2 seconds.</t>
        </is>
      </c>
      <c r="W227" s="38" t="inlineStr">
        <is>
          <t>一对一确认来源对象。</t>
        </is>
      </c>
      <c r="X227" s="385" t="str"/>
      <c r="Y227" s="386" t="inlineStr">
        <is>
          <t>reference_reserved</t>
        </is>
      </c>
      <c r="Z227" s="386" t="str"/>
      <c r="AA227" s="386" t="str"/>
    </row>
    <row r="228">
      <c r="A228" s="38" t="inlineStr">
        <is>
          <t>bz_van_227</t>
        </is>
      </c>
      <c r="B228" s="38" t="n">
        <v>227</v>
      </c>
      <c r="C228" s="38" t="inlineStr">
        <is>
          <t>skill</t>
        </is>
      </c>
      <c r="D228" s="38" t="inlineStr">
        <is>
          <t>snapshot_vanessa_legacy_catalog_v1</t>
        </is>
      </c>
      <c r="E228" s="38" t="inlineStr">
        <is>
          <t>snapshot_the_bazaar_patch_18_0_boundary</t>
        </is>
      </c>
      <c r="F228" s="38" t="inlineStr">
        <is>
          <t>true</t>
        </is>
      </c>
      <c r="G228" s="38" t="inlineStr">
        <is>
          <t>false</t>
        </is>
      </c>
      <c r="H228" s="38" t="inlineStr">
        <is>
          <t>current_rule_match,structured_trigger,structured_effects,quality_values,owner_scope,trainer_availability</t>
        </is>
      </c>
      <c r="I228" s="38" t="inlineStr">
        <is>
          <t>outmaneuver</t>
        </is>
      </c>
      <c r="J228" s="38" t="inlineStr">
        <is>
          <t>Outmaneuver</t>
        </is>
      </c>
      <c r="K228" s="38" t="inlineStr">
        <is>
          <t>gold</t>
        </is>
      </c>
      <c r="L228" s="38" t="inlineStr">
        <is>
          <t>medium</t>
        </is>
      </c>
      <c r="M228" s="38" t="inlineStr">
        <is>
          <t>vehicle, haste, slowreference</t>
        </is>
      </c>
      <c r="N228" s="38" t="n">
        <v>5</v>
      </c>
      <c r="O228" s="38" t="inlineStr">
        <is>
          <t>trainer_adira, trainer_nufu, trainer_orlin, trainer_slohmor-lumbra, trainer_zara</t>
        </is>
      </c>
      <c r="P228" s="38" t="n">
        <v>5</v>
      </c>
      <c r="Q228" s="38" t="inlineStr">
        <is>
          <t>elem_水, elem_龙, elem_无, role_经济, special_merchant</t>
        </is>
      </c>
      <c r="R228" s="38" t="inlineStr">
        <is>
          <t>Icy</t>
        </is>
      </c>
      <c r="S228" s="38" t="inlineStr">
        <is>
          <t>pal_227</t>
        </is>
      </c>
      <c r="T228" s="38" t="inlineStr">
        <is>
          <t>蛟蛙侯</t>
        </is>
      </c>
      <c r="U228" s="38" t="inlineStr">
        <is>
          <t>https://bazaar-builds.net/db/skills/outmaneuver.html</t>
        </is>
      </c>
      <c r="V228" s="38" t="inlineStr">
        <is>
          <t>the first 5 → 10 times you slow each fight, haste a vehicle for 2 seconds.</t>
        </is>
      </c>
      <c r="W228" s="38" t="inlineStr">
        <is>
          <t>一对一确认来源对象。</t>
        </is>
      </c>
      <c r="X228" s="385" t="str"/>
      <c r="Y228" s="386" t="inlineStr">
        <is>
          <t>reference_reserved</t>
        </is>
      </c>
      <c r="Z228" s="386" t="str"/>
      <c r="AA228" s="386" t="str"/>
    </row>
    <row r="229">
      <c r="A229" s="38" t="inlineStr">
        <is>
          <t>bz_van_228</t>
        </is>
      </c>
      <c r="B229" s="38" t="n">
        <v>228</v>
      </c>
      <c r="C229" s="38" t="inlineStr">
        <is>
          <t>skill</t>
        </is>
      </c>
      <c r="D229" s="38" t="inlineStr">
        <is>
          <t>snapshot_vanessa_legacy_catalog_v1</t>
        </is>
      </c>
      <c r="E229" s="38" t="inlineStr">
        <is>
          <t>snapshot_the_bazaar_patch_18_0_boundary</t>
        </is>
      </c>
      <c r="F229" s="38" t="inlineStr">
        <is>
          <t>true</t>
        </is>
      </c>
      <c r="G229" s="38" t="inlineStr">
        <is>
          <t>false</t>
        </is>
      </c>
      <c r="H229" s="38" t="inlineStr">
        <is>
          <t>current_rule_match,structured_trigger,structured_effects,quality_values,owner_scope,trainer_availability</t>
        </is>
      </c>
      <c r="I229" s="38" t="inlineStr">
        <is>
          <t>paralytic-poison</t>
        </is>
      </c>
      <c r="J229" s="38" t="inlineStr">
        <is>
          <t>Paralytic Poison</t>
        </is>
      </c>
      <c r="K229" s="38" t="inlineStr">
        <is>
          <t>silver</t>
        </is>
      </c>
      <c r="L229" s="38" t="inlineStr">
        <is>
          <t>medium</t>
        </is>
      </c>
      <c r="M229" s="38" t="inlineStr">
        <is>
          <t>poisonreference, freeze</t>
        </is>
      </c>
      <c r="N229" s="38" t="n">
        <v>6</v>
      </c>
      <c r="O229" s="38" t="inlineStr">
        <is>
          <t>trainer_adira, trainer_argenta, trainer_bjorn, trainer_nufu, trainer_orlin, trainer_professor-riggle</t>
        </is>
      </c>
      <c r="P229" s="38" t="n">
        <v>6</v>
      </c>
      <c r="Q229" s="38" t="inlineStr">
        <is>
          <t>elem_水, elem_雷, elem_龙, elem_无, role_控制, role_输出</t>
        </is>
      </c>
      <c r="R229" s="38" t="inlineStr">
        <is>
          <t>Icy</t>
        </is>
      </c>
      <c r="S229" s="38" t="inlineStr">
        <is>
          <t>pal_228</t>
        </is>
      </c>
      <c r="T229" s="38" t="inlineStr">
        <is>
          <t>凛蝎卫</t>
        </is>
      </c>
      <c r="U229" s="38" t="inlineStr">
        <is>
          <t>https://bazaar-builds.net/db/skills/paralytic-poison.html</t>
        </is>
      </c>
      <c r="V229" s="38" t="inlineStr">
        <is>
          <t>the first time you poison each fight, freeze an item for 2 / 3 / 4 seconds.</t>
        </is>
      </c>
      <c r="W229" s="38" t="inlineStr">
        <is>
          <t>一对一确认来源对象。</t>
        </is>
      </c>
      <c r="X229" s="385" t="str"/>
      <c r="Y229" s="386" t="inlineStr">
        <is>
          <t>reference_reserved</t>
        </is>
      </c>
      <c r="Z229" s="386" t="str"/>
      <c r="AA229" s="386" t="str"/>
    </row>
    <row r="230">
      <c r="A230" s="38" t="inlineStr">
        <is>
          <t>bz_van_229</t>
        </is>
      </c>
      <c r="B230" s="38" t="n">
        <v>229</v>
      </c>
      <c r="C230" s="38" t="inlineStr">
        <is>
          <t>skill</t>
        </is>
      </c>
      <c r="D230" s="38" t="inlineStr">
        <is>
          <t>snapshot_vanessa_legacy_catalog_v1</t>
        </is>
      </c>
      <c r="E230" s="38" t="inlineStr">
        <is>
          <t>snapshot_the_bazaar_patch_18_0_boundary</t>
        </is>
      </c>
      <c r="F230" s="38" t="inlineStr">
        <is>
          <t>true</t>
        </is>
      </c>
      <c r="G230" s="38" t="inlineStr">
        <is>
          <t>false</t>
        </is>
      </c>
      <c r="H230" s="38" t="inlineStr">
        <is>
          <t>current_rule_match,structured_trigger,structured_effects,quality_values,owner_scope,trainer_availability</t>
        </is>
      </c>
      <c r="I230" s="38" t="inlineStr">
        <is>
          <t>parting-shot</t>
        </is>
      </c>
      <c r="J230" s="38" t="inlineStr">
        <is>
          <t>Parting Shot</t>
        </is>
      </c>
      <c r="K230" s="38" t="inlineStr">
        <is>
          <t>gold</t>
        </is>
      </c>
      <c r="L230" s="38" t="inlineStr">
        <is>
          <t>medium</t>
        </is>
      </c>
      <c r="M230" s="38" t="inlineStr">
        <is>
          <t>crit, ammoreference</t>
        </is>
      </c>
      <c r="N230" s="38" t="n">
        <v>5</v>
      </c>
      <c r="O230" s="38" t="inlineStr">
        <is>
          <t>trainer_adira, trainer_c4, trainer_nufu, trainer_orlin, trainer_vermir</t>
        </is>
      </c>
      <c r="P230" s="38" t="n">
        <v>5</v>
      </c>
      <c r="Q230" s="38" t="inlineStr">
        <is>
          <t>elem_水, elem_龙, elem_无, role_召唤, tier_pT1</t>
        </is>
      </c>
      <c r="R230" s="38" t="inlineStr">
        <is>
          <t>Deadly</t>
        </is>
      </c>
      <c r="S230" s="38" t="inlineStr">
        <is>
          <t>pal_229</t>
        </is>
      </c>
      <c r="T230" s="38" t="inlineStr">
        <is>
          <t>闪狼侯</t>
        </is>
      </c>
      <c r="U230" s="38" t="inlineStr">
        <is>
          <t>https://bazaar-builds.net/db/skills/parting-shot.html</t>
        </is>
      </c>
      <c r="V230" s="38" t="inlineStr">
        <is>
          <t>when you use an item with ammo, it gains +10 → 15% crit chance for the fight.</t>
        </is>
      </c>
      <c r="W230" s="38" t="inlineStr">
        <is>
          <t>一对一确认来源对象。</t>
        </is>
      </c>
      <c r="X230" s="385" t="str"/>
      <c r="Y230" s="386" t="inlineStr">
        <is>
          <t>reference_reserved</t>
        </is>
      </c>
      <c r="Z230" s="386" t="str"/>
      <c r="AA230" s="386" t="str"/>
    </row>
    <row r="231">
      <c r="A231" s="38" t="inlineStr">
        <is>
          <t>bz_van_230</t>
        </is>
      </c>
      <c r="B231" s="38" t="n">
        <v>230</v>
      </c>
      <c r="C231" s="38" t="inlineStr">
        <is>
          <t>skill</t>
        </is>
      </c>
      <c r="D231" s="38" t="inlineStr">
        <is>
          <t>snapshot_vanessa_legacy_catalog_v1</t>
        </is>
      </c>
      <c r="E231" s="38" t="inlineStr">
        <is>
          <t>snapshot_the_bazaar_patch_18_0_boundary</t>
        </is>
      </c>
      <c r="F231" s="38" t="inlineStr">
        <is>
          <t>true</t>
        </is>
      </c>
      <c r="G231" s="38" t="inlineStr">
        <is>
          <t>false</t>
        </is>
      </c>
      <c r="H231" s="38" t="inlineStr">
        <is>
          <t>current_rule_match,structured_trigger,structured_effects,quality_values,owner_scope,trainer_availability</t>
        </is>
      </c>
      <c r="I231" s="38" t="inlineStr">
        <is>
          <t>peaceful-eye</t>
        </is>
      </c>
      <c r="J231" s="38" t="inlineStr">
        <is>
          <t>Peaceful Eye</t>
        </is>
      </c>
      <c r="K231" s="38" t="inlineStr">
        <is>
          <t>bronze</t>
        </is>
      </c>
      <c r="L231" s="38" t="inlineStr">
        <is>
          <t>medium</t>
        </is>
      </c>
      <c r="M231" s="38" t="inlineStr">
        <is>
          <t>crit</t>
        </is>
      </c>
      <c r="N231" s="38" t="n">
        <v>5</v>
      </c>
      <c r="O231" s="38" t="inlineStr">
        <is>
          <t>trainer_adira, trainer_argenta, trainer_nufu, trainer_orlin, trainer_vermir</t>
        </is>
      </c>
      <c r="P231" s="38" t="n">
        <v>5</v>
      </c>
      <c r="Q231" s="38" t="inlineStr">
        <is>
          <t>elem_水, elem_雷, elem_龙, elem_无, role_召唤</t>
        </is>
      </c>
      <c r="R231" s="38" t="inlineStr">
        <is>
          <t>Deadly</t>
        </is>
      </c>
      <c r="S231" s="38" t="inlineStr">
        <is>
          <t>pal_230</t>
        </is>
      </c>
      <c r="T231" s="38" t="inlineStr">
        <is>
          <t>震隼灵</t>
        </is>
      </c>
      <c r="U231" s="38" t="inlineStr">
        <is>
          <t>https://bazaar-builds.net/db/skills/peaceful-eye.html</t>
        </is>
      </c>
      <c r="V231" s="38" t="inlineStr">
        <is>
          <t>your non-weapon items have +5 / 10 / 15 / 20% crit chance.</t>
        </is>
      </c>
      <c r="W231" s="38" t="inlineStr">
        <is>
          <t>一对一确认来源对象。</t>
        </is>
      </c>
      <c r="X231" s="385" t="str"/>
      <c r="Y231" s="386" t="inlineStr">
        <is>
          <t>reference_reserved</t>
        </is>
      </c>
      <c r="Z231" s="386" t="str"/>
      <c r="AA231" s="386" t="str"/>
    </row>
    <row r="232">
      <c r="A232" s="38" t="inlineStr">
        <is>
          <t>bz_van_231</t>
        </is>
      </c>
      <c r="B232" s="38" t="n">
        <v>231</v>
      </c>
      <c r="C232" s="38" t="inlineStr">
        <is>
          <t>skill</t>
        </is>
      </c>
      <c r="D232" s="38" t="inlineStr">
        <is>
          <t>snapshot_vanessa_legacy_catalog_v1</t>
        </is>
      </c>
      <c r="E232" s="38" t="inlineStr">
        <is>
          <t>snapshot_the_bazaar_patch_18_0_boundary</t>
        </is>
      </c>
      <c r="F232" s="38" t="inlineStr">
        <is>
          <t>true</t>
        </is>
      </c>
      <c r="G232" s="38" t="inlineStr">
        <is>
          <t>false</t>
        </is>
      </c>
      <c r="H232" s="38" t="inlineStr">
        <is>
          <t>current_rule_match,structured_trigger,structured_effects,quality_values,owner_scope,trainer_availability</t>
        </is>
      </c>
      <c r="I232" s="38" t="inlineStr">
        <is>
          <t>poisonous-opener</t>
        </is>
      </c>
      <c r="J232" s="38" t="inlineStr">
        <is>
          <t>Poisonous Opener</t>
        </is>
      </c>
      <c r="K232" s="38" t="inlineStr">
        <is>
          <t>silver</t>
        </is>
      </c>
      <c r="L232" s="38" t="inlineStr">
        <is>
          <t>medium</t>
        </is>
      </c>
      <c r="M232" s="38" t="inlineStr">
        <is>
          <t>poison</t>
        </is>
      </c>
      <c r="N232" s="38" t="n">
        <v>5</v>
      </c>
      <c r="O232" s="38" t="inlineStr">
        <is>
          <t>trainer_adira, trainer_argenta, trainer_nufu, trainer_orlin, trainer_professor-riggle</t>
        </is>
      </c>
      <c r="P232" s="38" t="n">
        <v>5</v>
      </c>
      <c r="Q232" s="38" t="inlineStr">
        <is>
          <t>elem_水, elem_雷, elem_龙, elem_无, role_输出</t>
        </is>
      </c>
      <c r="R232" s="38" t="inlineStr">
        <is>
          <t>Toxic</t>
        </is>
      </c>
      <c r="S232" s="38" t="inlineStr">
        <is>
          <t>pal_231</t>
        </is>
      </c>
      <c r="T232" s="38" t="inlineStr">
        <is>
          <t>苔蛛将</t>
        </is>
      </c>
      <c r="U232" s="38" t="inlineStr">
        <is>
          <t>https://bazaar-builds.net/db/skills/poisonous-opener.html</t>
        </is>
      </c>
      <c r="V232" s="38" t="inlineStr">
        <is>
          <t>the first time you use a large item each fight, poison 20 / 40 / 60.</t>
        </is>
      </c>
      <c r="W232" s="38" t="inlineStr">
        <is>
          <t>一对一确认来源对象。</t>
        </is>
      </c>
      <c r="X232" s="385" t="str"/>
      <c r="Y232" s="386" t="inlineStr">
        <is>
          <t>reference_reserved</t>
        </is>
      </c>
      <c r="Z232" s="386" t="str"/>
      <c r="AA232" s="386" t="str"/>
    </row>
    <row r="233">
      <c r="A233" s="38" t="inlineStr">
        <is>
          <t>bz_van_232</t>
        </is>
      </c>
      <c r="B233" s="38" t="n">
        <v>232</v>
      </c>
      <c r="C233" s="38" t="inlineStr">
        <is>
          <t>skill</t>
        </is>
      </c>
      <c r="D233" s="38" t="inlineStr">
        <is>
          <t>snapshot_vanessa_legacy_catalog_v1</t>
        </is>
      </c>
      <c r="E233" s="38" t="inlineStr">
        <is>
          <t>snapshot_the_bazaar_patch_18_0_boundary</t>
        </is>
      </c>
      <c r="F233" s="38" t="inlineStr">
        <is>
          <t>true</t>
        </is>
      </c>
      <c r="G233" s="38" t="inlineStr">
        <is>
          <t>false</t>
        </is>
      </c>
      <c r="H233" s="38" t="inlineStr">
        <is>
          <t>current_rule_match,structured_trigger,structured_effects,quality_values,owner_scope,trainer_availability</t>
        </is>
      </c>
      <c r="I233" s="38" t="inlineStr">
        <is>
          <t>quality-over-quantity</t>
        </is>
      </c>
      <c r="J233" s="38" t="inlineStr">
        <is>
          <t>Quality over Quantity</t>
        </is>
      </c>
      <c r="K233" s="38" t="inlineStr">
        <is>
          <t>gold</t>
        </is>
      </c>
      <c r="L233" s="38" t="inlineStr">
        <is>
          <t>medium</t>
        </is>
      </c>
      <c r="M233" s="38" t="inlineStr">
        <is>
          <t>weapon, lifesteal, crit</t>
        </is>
      </c>
      <c r="N233" s="38" t="n">
        <v>5</v>
      </c>
      <c r="O233" s="38" t="inlineStr">
        <is>
          <t>trainer_adira, trainer_nufu, trainer_orlin, trainer_ryukon, trainer_vermir</t>
        </is>
      </c>
      <c r="P233" s="38" t="n">
        <v>5</v>
      </c>
      <c r="Q233" s="38" t="inlineStr">
        <is>
          <t>elem_水, elem_龙, elem_无, role_召唤, role_坦克</t>
        </is>
      </c>
      <c r="R233" s="38" t="inlineStr">
        <is>
          <t>Deadly</t>
        </is>
      </c>
      <c r="S233" s="38" t="inlineStr">
        <is>
          <t>pal_232</t>
        </is>
      </c>
      <c r="T233" s="38" t="inlineStr">
        <is>
          <t>汐羊王</t>
        </is>
      </c>
      <c r="U233" s="38" t="inlineStr">
        <is>
          <t>https://bazaar-builds.net/db/skills/quality-over-quantity.html</t>
        </is>
      </c>
      <c r="V233" s="38" t="inlineStr">
        <is>
          <t>if you have exactly one weapon, it has lifesteal and 5 → 10% crit chance.</t>
        </is>
      </c>
      <c r="W233" s="38" t="inlineStr">
        <is>
          <t>一对一确认来源对象。</t>
        </is>
      </c>
      <c r="X233" s="385" t="str"/>
      <c r="Y233" s="386" t="inlineStr">
        <is>
          <t>reference_reserved</t>
        </is>
      </c>
      <c r="Z233" s="386" t="str"/>
      <c r="AA233" s="386" t="str"/>
    </row>
    <row r="234">
      <c r="A234" s="38" t="inlineStr">
        <is>
          <t>bz_van_233</t>
        </is>
      </c>
      <c r="B234" s="38" t="n">
        <v>233</v>
      </c>
      <c r="C234" s="38" t="inlineStr">
        <is>
          <t>skill</t>
        </is>
      </c>
      <c r="D234" s="38" t="inlineStr">
        <is>
          <t>snapshot_vanessa_legacy_catalog_v1</t>
        </is>
      </c>
      <c r="E234" s="38" t="inlineStr">
        <is>
          <t>snapshot_the_bazaar_patch_18_0_boundary</t>
        </is>
      </c>
      <c r="F234" s="38" t="inlineStr">
        <is>
          <t>true</t>
        </is>
      </c>
      <c r="G234" s="38" t="inlineStr">
        <is>
          <t>false</t>
        </is>
      </c>
      <c r="H234" s="38" t="inlineStr">
        <is>
          <t>current_rule_match,structured_trigger,structured_effects,quality_values,owner_scope,trainer_availability</t>
        </is>
      </c>
      <c r="I234" s="38" t="inlineStr">
        <is>
          <t>quick-defenses</t>
        </is>
      </c>
      <c r="J234" s="38" t="inlineStr">
        <is>
          <t>Quick Defenses</t>
        </is>
      </c>
      <c r="K234" s="38" t="inlineStr">
        <is>
          <t>gold</t>
        </is>
      </c>
      <c r="L234" s="38" t="inlineStr">
        <is>
          <t>medium</t>
        </is>
      </c>
      <c r="M234" s="38" t="inlineStr">
        <is>
          <t>shieldreference, cooldown</t>
        </is>
      </c>
      <c r="N234" s="38" t="n">
        <v>4</v>
      </c>
      <c r="O234" s="38" t="inlineStr">
        <is>
          <t>trainer_adira, trainer_fortis, trainer_nufu, trainer_orlin</t>
        </is>
      </c>
      <c r="P234" s="38" t="n">
        <v>4</v>
      </c>
      <c r="Q234" s="38" t="inlineStr">
        <is>
          <t>elem_水, elem_龙, elem_无, role_召唤铺场</t>
        </is>
      </c>
      <c r="R234" s="38" t="inlineStr">
        <is>
          <t>Turbo</t>
        </is>
      </c>
      <c r="S234" s="38" t="inlineStr">
        <is>
          <t>pal_233</t>
        </is>
      </c>
      <c r="T234" s="38" t="inlineStr">
        <is>
          <t>山象王</t>
        </is>
      </c>
      <c r="U234" s="38" t="inlineStr">
        <is>
          <t>https://bazaar-builds.net/db/skills/quick-defenses.html</t>
        </is>
      </c>
      <c r="V234" s="38" t="inlineStr">
        <is>
          <t>your shield items' cooldowns are reduced by 5 → 10%.</t>
        </is>
      </c>
      <c r="W234" s="38" t="inlineStr">
        <is>
          <t>一对一确认来源对象。</t>
        </is>
      </c>
      <c r="X234" s="385" t="str"/>
      <c r="Y234" s="386" t="inlineStr">
        <is>
          <t>reference_reserved</t>
        </is>
      </c>
      <c r="Z234" s="386" t="str"/>
      <c r="AA234" s="386" t="str"/>
    </row>
    <row r="235">
      <c r="A235" s="38" t="inlineStr">
        <is>
          <t>bz_van_234</t>
        </is>
      </c>
      <c r="B235" s="38" t="n">
        <v>234</v>
      </c>
      <c r="C235" s="38" t="inlineStr">
        <is>
          <t>skill</t>
        </is>
      </c>
      <c r="D235" s="38" t="inlineStr">
        <is>
          <t>snapshot_vanessa_legacy_catalog_v1</t>
        </is>
      </c>
      <c r="E235" s="38" t="inlineStr">
        <is>
          <t>snapshot_the_bazaar_patch_18_0_boundary</t>
        </is>
      </c>
      <c r="F235" s="38" t="inlineStr">
        <is>
          <t>true</t>
        </is>
      </c>
      <c r="G235" s="38" t="inlineStr">
        <is>
          <t>false</t>
        </is>
      </c>
      <c r="H235" s="38" t="inlineStr">
        <is>
          <t>current_rule_match,structured_trigger,structured_effects,quality_values,owner_scope,trainer_availability</t>
        </is>
      </c>
      <c r="I235" s="38" t="inlineStr">
        <is>
          <t>quick-freeze</t>
        </is>
      </c>
      <c r="J235" s="38" t="inlineStr">
        <is>
          <t>Quick Freeze</t>
        </is>
      </c>
      <c r="K235" s="38" t="inlineStr">
        <is>
          <t>silver</t>
        </is>
      </c>
      <c r="L235" s="38" t="inlineStr">
        <is>
          <t>medium</t>
        </is>
      </c>
      <c r="M235" s="38" t="inlineStr">
        <is>
          <t>hastereference, freeze</t>
        </is>
      </c>
      <c r="N235" s="38" t="n">
        <v>6</v>
      </c>
      <c r="O235" s="38" t="inlineStr">
        <is>
          <t>trainer_adira, trainer_argenta, trainer_bjorn, trainer_nufu, trainer_orlin, trainer_zara</t>
        </is>
      </c>
      <c r="P235" s="38" t="n">
        <v>6</v>
      </c>
      <c r="Q235" s="38" t="inlineStr">
        <is>
          <t>elem_水, elem_雷, elem_龙, elem_无, role_控制, special_merchant</t>
        </is>
      </c>
      <c r="R235" s="38" t="inlineStr">
        <is>
          <t>Icy</t>
        </is>
      </c>
      <c r="S235" s="38" t="inlineStr">
        <is>
          <t>pal_234</t>
        </is>
      </c>
      <c r="T235" s="38" t="inlineStr">
        <is>
          <t>寒蟒卫</t>
        </is>
      </c>
      <c r="U235" s="38" t="inlineStr">
        <is>
          <t>https://bazaar-builds.net/db/skills/quick-freeze.html</t>
        </is>
      </c>
      <c r="V235" s="38" t="inlineStr">
        <is>
          <t>the first time you haste each fight, freeze an item for 2 / 3 / 4 seconds.</t>
        </is>
      </c>
      <c r="W235" s="38" t="inlineStr">
        <is>
          <t>一对一确认来源对象。</t>
        </is>
      </c>
      <c r="X235" s="385" t="str"/>
      <c r="Y235" s="386" t="inlineStr">
        <is>
          <t>reference_reserved</t>
        </is>
      </c>
      <c r="Z235" s="386" t="str"/>
      <c r="AA235" s="386" t="str"/>
    </row>
    <row r="236">
      <c r="A236" s="38" t="inlineStr">
        <is>
          <t>bz_van_235</t>
        </is>
      </c>
      <c r="B236" s="38" t="n">
        <v>235</v>
      </c>
      <c r="C236" s="38" t="inlineStr">
        <is>
          <t>skill</t>
        </is>
      </c>
      <c r="D236" s="38" t="inlineStr">
        <is>
          <t>snapshot_vanessa_legacy_catalog_v1</t>
        </is>
      </c>
      <c r="E236" s="38" t="inlineStr">
        <is>
          <t>snapshot_the_bazaar_patch_18_0_boundary</t>
        </is>
      </c>
      <c r="F236" s="38" t="inlineStr">
        <is>
          <t>true</t>
        </is>
      </c>
      <c r="G236" s="38" t="inlineStr">
        <is>
          <t>false</t>
        </is>
      </c>
      <c r="H236" s="38" t="inlineStr">
        <is>
          <t>current_rule_match,structured_trigger,structured_effects,quality_values,owner_scope,trainer_availability</t>
        </is>
      </c>
      <c r="I236" s="38" t="inlineStr">
        <is>
          <t>quick-ignition</t>
        </is>
      </c>
      <c r="J236" s="38" t="inlineStr">
        <is>
          <t>Quick Ignition</t>
        </is>
      </c>
      <c r="K236" s="38" t="inlineStr">
        <is>
          <t>silver</t>
        </is>
      </c>
      <c r="L236" s="38" t="inlineStr">
        <is>
          <t>medium</t>
        </is>
      </c>
      <c r="M236" s="38" t="inlineStr">
        <is>
          <t>burnreference, haste</t>
        </is>
      </c>
      <c r="N236" s="38" t="n">
        <v>6</v>
      </c>
      <c r="O236" s="38" t="inlineStr">
        <is>
          <t>trainer_adira, trainer_argenta, trainer_malafang, trainer_nufu, trainer_orlin, trainer_zara</t>
        </is>
      </c>
      <c r="P236" s="38" t="n">
        <v>6</v>
      </c>
      <c r="Q236" s="38" t="inlineStr">
        <is>
          <t>elem_水, elem_雷, elem_龙, elem_无, role_治疗, special_merchant</t>
        </is>
      </c>
      <c r="R236" s="38" t="inlineStr">
        <is>
          <t>Fiery</t>
        </is>
      </c>
      <c r="S236" s="38" t="inlineStr">
        <is>
          <t>pal_235</t>
        </is>
      </c>
      <c r="T236" s="38" t="inlineStr">
        <is>
          <t>朱鲭将</t>
        </is>
      </c>
      <c r="U236" s="38" t="inlineStr">
        <is>
          <t>https://bazaar-builds.net/db/skills/quick-ignition.html</t>
        </is>
      </c>
      <c r="V236" s="38" t="inlineStr">
        <is>
          <t>the first time you use an item each fight, haste 1 / 2 / 3 burn item(s) for 2 seconds.</t>
        </is>
      </c>
      <c r="W236" s="38" t="inlineStr">
        <is>
          <t>一对一确认来源对象。</t>
        </is>
      </c>
      <c r="X236" s="385" t="str"/>
      <c r="Y236" s="386" t="inlineStr">
        <is>
          <t>reference_reserved</t>
        </is>
      </c>
      <c r="Z236" s="386" t="str"/>
      <c r="AA236" s="386" t="str"/>
    </row>
    <row r="237">
      <c r="A237" s="38" t="inlineStr">
        <is>
          <t>bz_van_236</t>
        </is>
      </c>
      <c r="B237" s="38" t="n">
        <v>236</v>
      </c>
      <c r="C237" s="38" t="inlineStr">
        <is>
          <t>skill</t>
        </is>
      </c>
      <c r="D237" s="38" t="inlineStr">
        <is>
          <t>snapshot_vanessa_legacy_catalog_v1</t>
        </is>
      </c>
      <c r="E237" s="38" t="inlineStr">
        <is>
          <t>snapshot_the_bazaar_patch_18_0_boundary</t>
        </is>
      </c>
      <c r="F237" s="38" t="inlineStr">
        <is>
          <t>true</t>
        </is>
      </c>
      <c r="G237" s="38" t="inlineStr">
        <is>
          <t>false</t>
        </is>
      </c>
      <c r="H237" s="38" t="inlineStr">
        <is>
          <t>current_rule_match,structured_trigger,structured_effects,quality_values,owner_scope,trainer_availability</t>
        </is>
      </c>
      <c r="I237" s="38" t="inlineStr">
        <is>
          <t>re-tooled</t>
        </is>
      </c>
      <c r="J237" s="38" t="inlineStr">
        <is>
          <t>Re-Tooled</t>
        </is>
      </c>
      <c r="K237" s="38" t="inlineStr">
        <is>
          <t>diamond</t>
        </is>
      </c>
      <c r="L237" s="38" t="inlineStr">
        <is>
          <t>medium</t>
        </is>
      </c>
      <c r="M237" s="38" t="inlineStr">
        <is>
          <t>tool</t>
        </is>
      </c>
      <c r="N237" s="38" t="n">
        <v>2</v>
      </c>
      <c r="O237" s="38" t="inlineStr">
        <is>
          <t>trainer_adira, trainer_nufu</t>
        </is>
      </c>
      <c r="P237" s="38" t="n">
        <v>2</v>
      </c>
      <c r="Q237" s="38" t="inlineStr">
        <is>
          <t>elem_水, elem_龙</t>
        </is>
      </c>
      <c r="R237" s="38" t="inlineStr">
        <is>
          <t>Shiny</t>
        </is>
      </c>
      <c r="S237" s="38" t="inlineStr">
        <is>
          <t>pal_236</t>
        </is>
      </c>
      <c r="T237" s="38" t="inlineStr">
        <is>
          <t>寒鹰祖</t>
        </is>
      </c>
      <c r="U237" s="38" t="inlineStr">
        <is>
          <t>https://bazaar-builds.net/db/skills/re-tooled.html</t>
        </is>
      </c>
      <c r="V237" s="38" t="inlineStr">
        <is>
          <t>your leftmost tool has +1 multicast.</t>
        </is>
      </c>
      <c r="W237" s="38" t="inlineStr">
        <is>
          <t>一对一确认来源对象。</t>
        </is>
      </c>
      <c r="X237" s="385" t="str"/>
      <c r="Y237" s="386" t="inlineStr">
        <is>
          <t>reference_reserved</t>
        </is>
      </c>
      <c r="Z237" s="386" t="str"/>
      <c r="AA237" s="386" t="str"/>
    </row>
    <row r="238">
      <c r="A238" s="38" t="inlineStr">
        <is>
          <t>bz_van_237</t>
        </is>
      </c>
      <c r="B238" s="38" t="n">
        <v>237</v>
      </c>
      <c r="C238" s="38" t="inlineStr">
        <is>
          <t>skill</t>
        </is>
      </c>
      <c r="D238" s="38" t="inlineStr">
        <is>
          <t>snapshot_vanessa_legacy_catalog_v1</t>
        </is>
      </c>
      <c r="E238" s="38" t="inlineStr">
        <is>
          <t>snapshot_the_bazaar_patch_18_0_boundary</t>
        </is>
      </c>
      <c r="F238" s="38" t="inlineStr">
        <is>
          <t>true</t>
        </is>
      </c>
      <c r="G238" s="38" t="inlineStr">
        <is>
          <t>false</t>
        </is>
      </c>
      <c r="H238" s="38" t="inlineStr">
        <is>
          <t>current_rule_match,structured_trigger,structured_effects,quality_values,owner_scope,trainer_availability</t>
        </is>
      </c>
      <c r="I238" s="38" t="inlineStr">
        <is>
          <t>reaching-the-summit</t>
        </is>
      </c>
      <c r="J238" s="38" t="inlineStr">
        <is>
          <t>Reaching the Summit</t>
        </is>
      </c>
      <c r="K238" s="38" t="inlineStr">
        <is>
          <t>gold</t>
        </is>
      </c>
      <c r="L238" s="38" t="inlineStr">
        <is>
          <t>medium</t>
        </is>
      </c>
      <c r="M238" s="38" t="inlineStr">
        <is>
          <t>freezereference, crit</t>
        </is>
      </c>
      <c r="N238" s="38" t="n">
        <v>5</v>
      </c>
      <c r="O238" s="38" t="inlineStr">
        <is>
          <t>trainer_adira, trainer_bjorn, trainer_nufu, trainer_orlin, trainer_vermir</t>
        </is>
      </c>
      <c r="P238" s="38" t="n">
        <v>5</v>
      </c>
      <c r="Q238" s="38" t="inlineStr">
        <is>
          <t>elem_水, elem_龙, elem_无, role_召唤, role_控制</t>
        </is>
      </c>
      <c r="R238" s="38" t="inlineStr">
        <is>
          <t>Icy</t>
        </is>
      </c>
      <c r="S238" s="38" t="inlineStr">
        <is>
          <t>pal_237</t>
        </is>
      </c>
      <c r="T238" s="38" t="inlineStr">
        <is>
          <t>寒蝎尊</t>
        </is>
      </c>
      <c r="U238" s="38" t="inlineStr">
        <is>
          <t>https://bazaar-builds.net/db/skills/reaching-the-summit.html</t>
        </is>
      </c>
      <c r="V238" s="38" t="inlineStr">
        <is>
          <t>when you freeze, your items gain +3 → 6% crit chance for the fight.</t>
        </is>
      </c>
      <c r="W238" s="38" t="inlineStr">
        <is>
          <t>一对一确认来源对象。</t>
        </is>
      </c>
      <c r="X238" s="385" t="str"/>
      <c r="Y238" s="386" t="inlineStr">
        <is>
          <t>reference_reserved</t>
        </is>
      </c>
      <c r="Z238" s="386" t="str"/>
      <c r="AA238" s="386" t="str"/>
    </row>
    <row r="239">
      <c r="A239" s="38" t="inlineStr">
        <is>
          <t>bz_van_238</t>
        </is>
      </c>
      <c r="B239" s="38" t="n">
        <v>238</v>
      </c>
      <c r="C239" s="38" t="inlineStr">
        <is>
          <t>skill</t>
        </is>
      </c>
      <c r="D239" s="38" t="inlineStr">
        <is>
          <t>snapshot_vanessa_legacy_catalog_v1</t>
        </is>
      </c>
      <c r="E239" s="38" t="inlineStr">
        <is>
          <t>snapshot_the_bazaar_patch_18_0_boundary</t>
        </is>
      </c>
      <c r="F239" s="38" t="inlineStr">
        <is>
          <t>true</t>
        </is>
      </c>
      <c r="G239" s="38" t="inlineStr">
        <is>
          <t>false</t>
        </is>
      </c>
      <c r="H239" s="38" t="inlineStr">
        <is>
          <t>current_rule_match,structured_trigger,structured_effects,quality_values,owner_scope,trainer_availability</t>
        </is>
      </c>
      <c r="I239" s="38" t="inlineStr">
        <is>
          <t>rear-shielding</t>
        </is>
      </c>
      <c r="J239" s="38" t="inlineStr">
        <is>
          <t>Rear Shielding</t>
        </is>
      </c>
      <c r="K239" s="38" t="inlineStr">
        <is>
          <t>bronze</t>
        </is>
      </c>
      <c r="L239" s="38" t="inlineStr">
        <is>
          <t>medium</t>
        </is>
      </c>
      <c r="M239" s="38" t="inlineStr">
        <is>
          <t>shieldreference</t>
        </is>
      </c>
      <c r="N239" s="38" t="n">
        <v>5</v>
      </c>
      <c r="O239" s="38" t="inlineStr">
        <is>
          <t>trainer_adira, trainer_argenta, trainer_fortis, trainer_nufu, trainer_orlin</t>
        </is>
      </c>
      <c r="P239" s="38" t="n">
        <v>5</v>
      </c>
      <c r="Q239" s="38" t="inlineStr">
        <is>
          <t>elem_水, elem_雷, elem_龙, elem_无, role_召唤铺场</t>
        </is>
      </c>
      <c r="R239" s="38" t="inlineStr">
        <is>
          <t>Shielded</t>
        </is>
      </c>
      <c r="S239" s="38" t="inlineStr">
        <is>
          <t>pal_238</t>
        </is>
      </c>
      <c r="T239" s="38" t="inlineStr">
        <is>
          <t>石甲兽</t>
        </is>
      </c>
      <c r="U239" s="38" t="inlineStr">
        <is>
          <t>https://bazaar-builds.net/db/skills/rear-shielding.html</t>
        </is>
      </c>
      <c r="V239" s="38" t="inlineStr">
        <is>
          <t>your rightmost shield item has +10 / 20 / 30 / 40 shield.</t>
        </is>
      </c>
      <c r="W239" s="38" t="inlineStr">
        <is>
          <t>一对一确认来源对象。</t>
        </is>
      </c>
      <c r="X239" s="385" t="str"/>
      <c r="Y239" s="386" t="inlineStr">
        <is>
          <t>reference_reserved</t>
        </is>
      </c>
      <c r="Z239" s="386" t="str"/>
      <c r="AA239" s="386" t="str"/>
    </row>
    <row r="240">
      <c r="A240" s="38" t="inlineStr">
        <is>
          <t>bz_van_239</t>
        </is>
      </c>
      <c r="B240" s="38" t="n">
        <v>239</v>
      </c>
      <c r="C240" s="38" t="inlineStr">
        <is>
          <t>skill</t>
        </is>
      </c>
      <c r="D240" s="38" t="inlineStr">
        <is>
          <t>snapshot_vanessa_legacy_catalog_v1</t>
        </is>
      </c>
      <c r="E240" s="38" t="inlineStr">
        <is>
          <t>snapshot_the_bazaar_patch_18_0_boundary</t>
        </is>
      </c>
      <c r="F240" s="38" t="inlineStr">
        <is>
          <t>true</t>
        </is>
      </c>
      <c r="G240" s="38" t="inlineStr">
        <is>
          <t>false</t>
        </is>
      </c>
      <c r="H240" s="38" t="inlineStr">
        <is>
          <t>current_rule_match,structured_trigger,structured_effects,quality_values,owner_scope,trainer_availability</t>
        </is>
      </c>
      <c r="I240" s="38" t="inlineStr">
        <is>
          <t>reel-em-in</t>
        </is>
      </c>
      <c r="J240" s="38" t="inlineStr">
        <is>
          <t>Reel 'Em In</t>
        </is>
      </c>
      <c r="K240" s="38" t="inlineStr">
        <is>
          <t>diamond</t>
        </is>
      </c>
      <c r="L240" s="38" t="inlineStr">
        <is>
          <t>medium</t>
        </is>
      </c>
      <c r="M240" s="38" t="inlineStr">
        <is>
          <t>cooldown</t>
        </is>
      </c>
      <c r="N240" s="38" t="n">
        <v>3</v>
      </c>
      <c r="O240" s="38" t="inlineStr">
        <is>
          <t>trainer_adira, trainer_nufu, trainer_old-zane</t>
        </is>
      </c>
      <c r="P240" s="38" t="n">
        <v>3</v>
      </c>
      <c r="Q240" s="38" t="inlineStr">
        <is>
          <t>elem_水, elem_地, elem_龙</t>
        </is>
      </c>
      <c r="R240" s="38" t="inlineStr">
        <is>
          <t>Turbo</t>
        </is>
      </c>
      <c r="S240" s="38" t="inlineStr">
        <is>
          <t>pal_239</t>
        </is>
      </c>
      <c r="T240" s="38" t="inlineStr">
        <is>
          <t>沧鹤神</t>
        </is>
      </c>
      <c r="U240" s="38" t="inlineStr">
        <is>
          <t>https://bazaar-builds.net/db/skills/reel-em-in.html</t>
        </is>
      </c>
      <c r="V240" s="38" t="inlineStr">
        <is>
          <t>the first time an enemy falls below half health each fight, your items' cooldowns are halved for the fight.</t>
        </is>
      </c>
      <c r="W240" s="38" t="inlineStr">
        <is>
          <t>一对一确认来源对象。</t>
        </is>
      </c>
      <c r="X240" s="385" t="str"/>
      <c r="Y240" s="386" t="inlineStr">
        <is>
          <t>reference_reserved</t>
        </is>
      </c>
      <c r="Z240" s="386" t="str"/>
      <c r="AA240" s="386" t="str"/>
    </row>
    <row r="241">
      <c r="A241" s="38" t="inlineStr">
        <is>
          <t>bz_van_240</t>
        </is>
      </c>
      <c r="B241" s="38" t="n">
        <v>240</v>
      </c>
      <c r="C241" s="38" t="inlineStr">
        <is>
          <t>skill</t>
        </is>
      </c>
      <c r="D241" s="38" t="inlineStr">
        <is>
          <t>snapshot_vanessa_legacy_catalog_v1</t>
        </is>
      </c>
      <c r="E241" s="38" t="inlineStr">
        <is>
          <t>snapshot_the_bazaar_patch_18_0_boundary</t>
        </is>
      </c>
      <c r="F241" s="38" t="inlineStr">
        <is>
          <t>true</t>
        </is>
      </c>
      <c r="G241" s="38" t="inlineStr">
        <is>
          <t>false</t>
        </is>
      </c>
      <c r="H241" s="38" t="inlineStr">
        <is>
          <t>current_rule_match,structured_trigger,structured_effects,quality_values,owner_scope,trainer_availability</t>
        </is>
      </c>
      <c r="I241" s="38" t="inlineStr">
        <is>
          <t>regenerative</t>
        </is>
      </c>
      <c r="J241" s="38" t="inlineStr">
        <is>
          <t>Regenerative</t>
        </is>
      </c>
      <c r="K241" s="38" t="inlineStr">
        <is>
          <t>silver</t>
        </is>
      </c>
      <c r="L241" s="38" t="inlineStr">
        <is>
          <t>medium</t>
        </is>
      </c>
      <c r="M241" s="38" t="inlineStr">
        <is>
          <t>regen</t>
        </is>
      </c>
      <c r="N241" s="38" t="n">
        <v>5</v>
      </c>
      <c r="O241" s="38" t="inlineStr">
        <is>
          <t>trainer_adira, trainer_argenta, trainer_nufu, trainer_orlin, trainer_regenald</t>
        </is>
      </c>
      <c r="P241" s="38" t="n">
        <v>5</v>
      </c>
      <c r="Q241" s="38" t="inlineStr">
        <is>
          <t>elem_水, elem_雷, elem_龙, elem_无, tier_pT2</t>
        </is>
      </c>
      <c r="R241" s="38" t="inlineStr">
        <is>
          <t>Mossy</t>
        </is>
      </c>
      <c r="S241" s="38" t="inlineStr">
        <is>
          <t>pal_240</t>
        </is>
      </c>
      <c r="T241" s="38" t="inlineStr">
        <is>
          <t>碧蚌将</t>
        </is>
      </c>
      <c r="U241" s="38" t="inlineStr">
        <is>
          <t>https://bazaar-builds.net/db/skills/regenerative.html</t>
        </is>
      </c>
      <c r="V241" s="38" t="inlineStr">
        <is>
          <t>you have +10 / 20 / 30 regen.</t>
        </is>
      </c>
      <c r="W241" s="38" t="inlineStr">
        <is>
          <t>一对一确认来源对象。</t>
        </is>
      </c>
      <c r="X241" s="385" t="str"/>
      <c r="Y241" s="386" t="inlineStr">
        <is>
          <t>reference_reserved</t>
        </is>
      </c>
      <c r="Z241" s="386" t="str"/>
      <c r="AA241" s="386" t="str"/>
    </row>
    <row r="242">
      <c r="A242" s="38" t="inlineStr">
        <is>
          <t>bz_van_241</t>
        </is>
      </c>
      <c r="B242" s="38" t="n">
        <v>241</v>
      </c>
      <c r="C242" s="38" t="inlineStr">
        <is>
          <t>skill</t>
        </is>
      </c>
      <c r="D242" s="38" t="inlineStr">
        <is>
          <t>snapshot_vanessa_legacy_catalog_v1</t>
        </is>
      </c>
      <c r="E242" s="38" t="inlineStr">
        <is>
          <t>snapshot_the_bazaar_patch_18_0_boundary</t>
        </is>
      </c>
      <c r="F242" s="38" t="inlineStr">
        <is>
          <t>true</t>
        </is>
      </c>
      <c r="G242" s="38" t="inlineStr">
        <is>
          <t>false</t>
        </is>
      </c>
      <c r="H242" s="38" t="inlineStr">
        <is>
          <t>current_rule_match,structured_trigger,structured_effects,quality_values,owner_scope,trainer_availability</t>
        </is>
      </c>
      <c r="I242" s="38" t="inlineStr">
        <is>
          <t>repair-mechanic</t>
        </is>
      </c>
      <c r="J242" s="38" t="inlineStr">
        <is>
          <t>Repair Mechanic</t>
        </is>
      </c>
      <c r="K242" s="38" t="inlineStr">
        <is>
          <t>gold</t>
        </is>
      </c>
      <c r="L242" s="38" t="inlineStr">
        <is>
          <t>medium</t>
        </is>
      </c>
      <c r="M242" s="38" t="str"/>
      <c r="N242" s="38" t="n">
        <v>3</v>
      </c>
      <c r="O242" s="38" t="inlineStr">
        <is>
          <t>trainer_adira, trainer_nufu, trainer_orlin</t>
        </is>
      </c>
      <c r="P242" s="38" t="n">
        <v>3</v>
      </c>
      <c r="Q242" s="38" t="inlineStr">
        <is>
          <t>elem_水, elem_龙, elem_无</t>
        </is>
      </c>
      <c r="R242" s="38" t="inlineStr">
        <is>
          <t>Obsidian</t>
        </is>
      </c>
      <c r="S242" s="38" t="inlineStr">
        <is>
          <t>pal_241</t>
        </is>
      </c>
      <c r="T242" s="38" t="inlineStr">
        <is>
          <t>墨蝎王</t>
        </is>
      </c>
      <c r="U242" s="38" t="inlineStr">
        <is>
          <t>https://bazaar-builds.net/db/skills/repair-mechanic.html</t>
        </is>
      </c>
      <c r="V242" s="38" t="inlineStr">
        <is>
          <t>the first 1 → 2 times one of your items is destroyed each fight, repair it.</t>
        </is>
      </c>
      <c r="W242" s="38" t="inlineStr">
        <is>
          <t>一对一确认来源对象。</t>
        </is>
      </c>
      <c r="X242" s="385" t="str"/>
      <c r="Y242" s="386" t="inlineStr">
        <is>
          <t>reference_reserved</t>
        </is>
      </c>
      <c r="Z242" s="386" t="str"/>
      <c r="AA242" s="386" t="str"/>
    </row>
    <row r="243">
      <c r="A243" s="38" t="inlineStr">
        <is>
          <t>bz_van_242</t>
        </is>
      </c>
      <c r="B243" s="38" t="n">
        <v>242</v>
      </c>
      <c r="C243" s="38" t="inlineStr">
        <is>
          <t>skill</t>
        </is>
      </c>
      <c r="D243" s="38" t="inlineStr">
        <is>
          <t>snapshot_vanessa_legacy_catalog_v1</t>
        </is>
      </c>
      <c r="E243" s="38" t="inlineStr">
        <is>
          <t>snapshot_the_bazaar_patch_18_0_boundary</t>
        </is>
      </c>
      <c r="F243" s="38" t="inlineStr">
        <is>
          <t>true</t>
        </is>
      </c>
      <c r="G243" s="38" t="inlineStr">
        <is>
          <t>false</t>
        </is>
      </c>
      <c r="H243" s="38" t="inlineStr">
        <is>
          <t>current_rule_match,structured_trigger,structured_effects,quality_values,owner_scope,trainer_availability</t>
        </is>
      </c>
      <c r="I243" s="38" t="inlineStr">
        <is>
          <t>right-eye</t>
        </is>
      </c>
      <c r="J243" s="38" t="inlineStr">
        <is>
          <t>Right Eye</t>
        </is>
      </c>
      <c r="K243" s="38" t="inlineStr">
        <is>
          <t>bronze</t>
        </is>
      </c>
      <c r="L243" s="38" t="inlineStr">
        <is>
          <t>medium</t>
        </is>
      </c>
      <c r="M243" s="38" t="inlineStr">
        <is>
          <t>crit</t>
        </is>
      </c>
      <c r="N243" s="38" t="n">
        <v>5</v>
      </c>
      <c r="O243" s="38" t="inlineStr">
        <is>
          <t>trainer_adira, trainer_argenta, trainer_nufu, trainer_orlin, trainer_vermir</t>
        </is>
      </c>
      <c r="P243" s="38" t="n">
        <v>5</v>
      </c>
      <c r="Q243" s="38" t="inlineStr">
        <is>
          <t>elem_水, elem_雷, elem_龙, elem_无, role_召唤</t>
        </is>
      </c>
      <c r="R243" s="38" t="inlineStr">
        <is>
          <t>Deadly</t>
        </is>
      </c>
      <c r="S243" s="38" t="inlineStr">
        <is>
          <t>pal_242</t>
        </is>
      </c>
      <c r="T243" s="38" t="inlineStr">
        <is>
          <t>鸣螳仔</t>
        </is>
      </c>
      <c r="U243" s="38" t="inlineStr">
        <is>
          <t>https://bazaar-builds.net/db/skills/right-eye.html</t>
        </is>
      </c>
      <c r="V243" s="38" t="inlineStr">
        <is>
          <t>your rightmost item has +8 / 16 / 24 / 32% crit chance.</t>
        </is>
      </c>
      <c r="W243" s="38" t="inlineStr">
        <is>
          <t>一对一确认来源对象。</t>
        </is>
      </c>
      <c r="X243" s="385" t="str"/>
      <c r="Y243" s="386" t="inlineStr">
        <is>
          <t>reference_reserved</t>
        </is>
      </c>
      <c r="Z243" s="386" t="str"/>
      <c r="AA243" s="386" t="str"/>
    </row>
    <row r="244">
      <c r="A244" s="38" t="inlineStr">
        <is>
          <t>bz_van_243</t>
        </is>
      </c>
      <c r="B244" s="38" t="n">
        <v>243</v>
      </c>
      <c r="C244" s="38" t="inlineStr">
        <is>
          <t>skill</t>
        </is>
      </c>
      <c r="D244" s="38" t="inlineStr">
        <is>
          <t>snapshot_vanessa_legacy_catalog_v1</t>
        </is>
      </c>
      <c r="E244" s="38" t="inlineStr">
        <is>
          <t>snapshot_the_bazaar_patch_18_0_boundary</t>
        </is>
      </c>
      <c r="F244" s="38" t="inlineStr">
        <is>
          <t>true</t>
        </is>
      </c>
      <c r="G244" s="38" t="inlineStr">
        <is>
          <t>false</t>
        </is>
      </c>
      <c r="H244" s="38" t="inlineStr">
        <is>
          <t>current_rule_match,structured_trigger,structured_effects,quality_values,owner_scope,trainer_availability</t>
        </is>
      </c>
      <c r="I244" s="38" t="inlineStr">
        <is>
          <t>right-handed</t>
        </is>
      </c>
      <c r="J244" s="38" t="inlineStr">
        <is>
          <t>Right-Handed</t>
        </is>
      </c>
      <c r="K244" s="38" t="inlineStr">
        <is>
          <t>bronze</t>
        </is>
      </c>
      <c r="L244" s="38" t="inlineStr">
        <is>
          <t>medium</t>
        </is>
      </c>
      <c r="M244" s="38" t="inlineStr">
        <is>
          <t>weapon, damagereference</t>
        </is>
      </c>
      <c r="N244" s="38" t="n">
        <v>5</v>
      </c>
      <c r="O244" s="38" t="inlineStr">
        <is>
          <t>trainer_adira, trainer_argenta, trainer_nufu, trainer_orlin, trainer_ryukon</t>
        </is>
      </c>
      <c r="P244" s="38" t="n">
        <v>5</v>
      </c>
      <c r="Q244" s="38" t="inlineStr">
        <is>
          <t>elem_水, elem_雷, elem_龙, elem_无, role_坦克</t>
        </is>
      </c>
      <c r="R244" s="38" t="inlineStr">
        <is>
          <t>Deadly</t>
        </is>
      </c>
      <c r="S244" s="38" t="inlineStr">
        <is>
          <t>pal_243</t>
        </is>
      </c>
      <c r="T244" s="38" t="inlineStr">
        <is>
          <t>岩豹兽</t>
        </is>
      </c>
      <c r="U244" s="38" t="inlineStr">
        <is>
          <t>https://bazaar-builds.net/db/skills/right-handed.html</t>
        </is>
      </c>
      <c r="V244" s="38" t="inlineStr">
        <is>
          <t>your rightmost weapon has +10 / 20 / 30 / 40 damage.</t>
        </is>
      </c>
      <c r="W244" s="38" t="inlineStr">
        <is>
          <t>一对一确认来源对象。</t>
        </is>
      </c>
      <c r="X244" s="385" t="str"/>
      <c r="Y244" s="386" t="inlineStr">
        <is>
          <t>reference_reserved</t>
        </is>
      </c>
      <c r="Z244" s="386" t="str"/>
      <c r="AA244" s="386" t="str"/>
    </row>
    <row r="245">
      <c r="A245" s="38" t="inlineStr">
        <is>
          <t>bz_van_244</t>
        </is>
      </c>
      <c r="B245" s="38" t="n">
        <v>244</v>
      </c>
      <c r="C245" s="38" t="inlineStr">
        <is>
          <t>skill</t>
        </is>
      </c>
      <c r="D245" s="38" t="inlineStr">
        <is>
          <t>snapshot_vanessa_legacy_catalog_v1</t>
        </is>
      </c>
      <c r="E245" s="38" t="inlineStr">
        <is>
          <t>snapshot_the_bazaar_patch_18_0_boundary</t>
        </is>
      </c>
      <c r="F245" s="38" t="inlineStr">
        <is>
          <t>true</t>
        </is>
      </c>
      <c r="G245" s="38" t="inlineStr">
        <is>
          <t>false</t>
        </is>
      </c>
      <c r="H245" s="38" t="inlineStr">
        <is>
          <t>current_rule_match,structured_trigger,structured_effects,quality_values,owner_scope,trainer_availability</t>
        </is>
      </c>
      <c r="I245" s="38" t="inlineStr">
        <is>
          <t>righty-tighty</t>
        </is>
      </c>
      <c r="J245" s="38" t="inlineStr">
        <is>
          <t>Righty Tighty</t>
        </is>
      </c>
      <c r="K245" s="38" t="inlineStr">
        <is>
          <t>silver</t>
        </is>
      </c>
      <c r="L245" s="38" t="inlineStr">
        <is>
          <t>medium</t>
        </is>
      </c>
      <c r="M245" s="38" t="inlineStr">
        <is>
          <t>slowreference, charge</t>
        </is>
      </c>
      <c r="N245" s="38" t="n">
        <v>6</v>
      </c>
      <c r="O245" s="38" t="inlineStr">
        <is>
          <t>trainer_adira, trainer_argenta, trainer_nufu, trainer_orlin, trainer_slohmor-lumbra, trainer_zara</t>
        </is>
      </c>
      <c r="P245" s="38" t="n">
        <v>6</v>
      </c>
      <c r="Q245" s="38" t="inlineStr">
        <is>
          <t>elem_水, elem_雷, elem_龙, elem_无, role_经济, special_merchant</t>
        </is>
      </c>
      <c r="R245" s="38" t="inlineStr">
        <is>
          <t>Icy</t>
        </is>
      </c>
      <c r="S245" s="38" t="inlineStr">
        <is>
          <t>pal_244</t>
        </is>
      </c>
      <c r="T245" s="38" t="inlineStr">
        <is>
          <t>雷蛛妖</t>
        </is>
      </c>
      <c r="U245" s="38" t="inlineStr">
        <is>
          <t>https://bazaar-builds.net/db/skills/righty-tighty.html</t>
        </is>
      </c>
      <c r="V245" s="38" t="inlineStr">
        <is>
          <t>the first 3 / 6 / 9 times you use your rightmost item each fight, charge a slow item 1 second.</t>
        </is>
      </c>
      <c r="W245" s="38" t="inlineStr">
        <is>
          <t>一对一确认来源对象。</t>
        </is>
      </c>
      <c r="X245" s="385" t="str"/>
      <c r="Y245" s="386" t="inlineStr">
        <is>
          <t>reference_reserved</t>
        </is>
      </c>
      <c r="Z245" s="386" t="str"/>
      <c r="AA245" s="386" t="str"/>
    </row>
    <row r="246">
      <c r="A246" s="38" t="inlineStr">
        <is>
          <t>bz_van_245</t>
        </is>
      </c>
      <c r="B246" s="38" t="n">
        <v>245</v>
      </c>
      <c r="C246" s="38" t="inlineStr">
        <is>
          <t>skill</t>
        </is>
      </c>
      <c r="D246" s="38" t="inlineStr">
        <is>
          <t>snapshot_vanessa_legacy_catalog_v1</t>
        </is>
      </c>
      <c r="E246" s="38" t="inlineStr">
        <is>
          <t>snapshot_the_bazaar_patch_18_0_boundary</t>
        </is>
      </c>
      <c r="F246" s="38" t="inlineStr">
        <is>
          <t>true</t>
        </is>
      </c>
      <c r="G246" s="38" t="inlineStr">
        <is>
          <t>false</t>
        </is>
      </c>
      <c r="H246" s="38" t="inlineStr">
        <is>
          <t>current_rule_match,structured_trigger,structured_effects,quality_values,owner_scope,trainer_availability</t>
        </is>
      </c>
      <c r="I246" s="38" t="inlineStr">
        <is>
          <t>sabotage</t>
        </is>
      </c>
      <c r="J246" s="38" t="inlineStr">
        <is>
          <t>Sabotage</t>
        </is>
      </c>
      <c r="K246" s="38" t="inlineStr">
        <is>
          <t>gold</t>
        </is>
      </c>
      <c r="L246" s="38" t="inlineStr">
        <is>
          <t>medium</t>
        </is>
      </c>
      <c r="M246" s="38" t="inlineStr">
        <is>
          <t>tool, slow</t>
        </is>
      </c>
      <c r="N246" s="38" t="n">
        <v>4</v>
      </c>
      <c r="O246" s="38" t="inlineStr">
        <is>
          <t>trainer_adira, trainer_nufu, trainer_orlin, trainer_slohmor-lumbra</t>
        </is>
      </c>
      <c r="P246" s="38" t="n">
        <v>4</v>
      </c>
      <c r="Q246" s="38" t="inlineStr">
        <is>
          <t>elem_水, elem_龙, elem_无, role_经济</t>
        </is>
      </c>
      <c r="R246" s="38" t="inlineStr">
        <is>
          <t>Icy</t>
        </is>
      </c>
      <c r="S246" s="38" t="inlineStr">
        <is>
          <t>pal_245</t>
        </is>
      </c>
      <c r="T246" s="38" t="inlineStr">
        <is>
          <t>角蛙君</t>
        </is>
      </c>
      <c r="U246" s="38" t="inlineStr">
        <is>
          <t>https://bazaar-builds.net/db/skills/sabotage.html</t>
        </is>
      </c>
      <c r="V246" s="38" t="inlineStr">
        <is>
          <t>the first 5 → 10 times you use a tool each fight, slow an item for 1 second.</t>
        </is>
      </c>
      <c r="W246" s="38" t="inlineStr">
        <is>
          <t>一对一确认来源对象。</t>
        </is>
      </c>
      <c r="X246" s="385" t="str"/>
      <c r="Y246" s="386" t="inlineStr">
        <is>
          <t>reference_reserved</t>
        </is>
      </c>
      <c r="Z246" s="386" t="str"/>
      <c r="AA246" s="386" t="str"/>
    </row>
    <row r="247">
      <c r="A247" s="38" t="inlineStr">
        <is>
          <t>bz_van_246</t>
        </is>
      </c>
      <c r="B247" s="38" t="n">
        <v>246</v>
      </c>
      <c r="C247" s="38" t="inlineStr">
        <is>
          <t>skill</t>
        </is>
      </c>
      <c r="D247" s="38" t="inlineStr">
        <is>
          <t>snapshot_vanessa_legacy_catalog_v1</t>
        </is>
      </c>
      <c r="E247" s="38" t="inlineStr">
        <is>
          <t>snapshot_the_bazaar_patch_18_0_boundary</t>
        </is>
      </c>
      <c r="F247" s="38" t="inlineStr">
        <is>
          <t>true</t>
        </is>
      </c>
      <c r="G247" s="38" t="inlineStr">
        <is>
          <t>false</t>
        </is>
      </c>
      <c r="H247" s="38" t="inlineStr">
        <is>
          <t>current_rule_match,structured_trigger,structured_effects,quality_values,owner_scope,trainer_availability</t>
        </is>
      </c>
      <c r="I247" s="38" t="inlineStr">
        <is>
          <t>searing-flames</t>
        </is>
      </c>
      <c r="J247" s="38" t="inlineStr">
        <is>
          <t>Searing Flames</t>
        </is>
      </c>
      <c r="K247" s="38" t="inlineStr">
        <is>
          <t>silver</t>
        </is>
      </c>
      <c r="L247" s="38" t="inlineStr">
        <is>
          <t>medium</t>
        </is>
      </c>
      <c r="M247" s="38" t="inlineStr">
        <is>
          <t>burnreference, hastereference</t>
        </is>
      </c>
      <c r="N247" s="38" t="n">
        <v>6</v>
      </c>
      <c r="O247" s="38" t="inlineStr">
        <is>
          <t>trainer_adira, trainer_argenta, trainer_malafang, trainer_nufu, trainer_orlin, trainer_zara</t>
        </is>
      </c>
      <c r="P247" s="38" t="n">
        <v>6</v>
      </c>
      <c r="Q247" s="38" t="inlineStr">
        <is>
          <t>elem_水, elem_雷, elem_龙, elem_无, role_治疗, special_merchant</t>
        </is>
      </c>
      <c r="R247" s="38" t="inlineStr">
        <is>
          <t>Fiery</t>
        </is>
      </c>
      <c r="S247" s="38" t="inlineStr">
        <is>
          <t>pal_246</t>
        </is>
      </c>
      <c r="T247" s="38" t="inlineStr">
        <is>
          <t>燎隼精</t>
        </is>
      </c>
      <c r="U247" s="38" t="inlineStr">
        <is>
          <t>https://bazaar-builds.net/db/skills/searing-flames.html</t>
        </is>
      </c>
      <c r="V247" s="38" t="inlineStr">
        <is>
          <t>when one of your burn items is hasted, it gains 1 / 2 / 3 burn for the fight.</t>
        </is>
      </c>
      <c r="W247" s="38" t="inlineStr">
        <is>
          <t>一对一确认来源对象。</t>
        </is>
      </c>
      <c r="X247" s="385" t="str"/>
      <c r="Y247" s="386" t="inlineStr">
        <is>
          <t>reference_reserved</t>
        </is>
      </c>
      <c r="Z247" s="386" t="str"/>
      <c r="AA247" s="386" t="str"/>
    </row>
    <row r="248">
      <c r="A248" s="38" t="inlineStr">
        <is>
          <t>bz_van_247</t>
        </is>
      </c>
      <c r="B248" s="38" t="n">
        <v>247</v>
      </c>
      <c r="C248" s="38" t="inlineStr">
        <is>
          <t>skill</t>
        </is>
      </c>
      <c r="D248" s="38" t="inlineStr">
        <is>
          <t>snapshot_vanessa_legacy_catalog_v1</t>
        </is>
      </c>
      <c r="E248" s="38" t="inlineStr">
        <is>
          <t>snapshot_the_bazaar_patch_18_0_boundary</t>
        </is>
      </c>
      <c r="F248" s="38" t="inlineStr">
        <is>
          <t>true</t>
        </is>
      </c>
      <c r="G248" s="38" t="inlineStr">
        <is>
          <t>false</t>
        </is>
      </c>
      <c r="H248" s="38" t="inlineStr">
        <is>
          <t>current_rule_match,structured_trigger,structured_effects,quality_values,owner_scope,trainer_availability</t>
        </is>
      </c>
      <c r="I248" s="38" t="inlineStr">
        <is>
          <t>second-wind</t>
        </is>
      </c>
      <c r="J248" s="38" t="inlineStr">
        <is>
          <t>Second Wind</t>
        </is>
      </c>
      <c r="K248" s="38" t="inlineStr">
        <is>
          <t>silver</t>
        </is>
      </c>
      <c r="L248" s="38" t="inlineStr">
        <is>
          <t>medium</t>
        </is>
      </c>
      <c r="M248" s="38" t="inlineStr">
        <is>
          <t>heal, healthreference</t>
        </is>
      </c>
      <c r="N248" s="38" t="n">
        <v>5</v>
      </c>
      <c r="O248" s="38" t="inlineStr">
        <is>
          <t>trainer_adira, trainer_argenta, trainer_nufu, trainer_orlin, trainer_regenald</t>
        </is>
      </c>
      <c r="P248" s="38" t="n">
        <v>5</v>
      </c>
      <c r="Q248" s="38" t="inlineStr">
        <is>
          <t>elem_水, elem_雷, elem_龙, elem_无, tier_pT2</t>
        </is>
      </c>
      <c r="R248" s="38" t="inlineStr">
        <is>
          <t>Restorative</t>
        </is>
      </c>
      <c r="S248" s="38" t="inlineStr">
        <is>
          <t>pal_247</t>
        </is>
      </c>
      <c r="T248" s="38" t="inlineStr">
        <is>
          <t>潮羊卫</t>
        </is>
      </c>
      <c r="U248" s="38" t="inlineStr">
        <is>
          <t>https://bazaar-builds.net/db/skills/second-wind.html</t>
        </is>
      </c>
      <c r="V248" s="38" t="inlineStr">
        <is>
          <t>the first time you use a large item each fight, heal equal to 20 / 40 / 60% of your max health.</t>
        </is>
      </c>
      <c r="W248" s="38" t="inlineStr">
        <is>
          <t>一对一确认来源对象。</t>
        </is>
      </c>
      <c r="X248" s="385" t="str"/>
      <c r="Y248" s="386" t="inlineStr">
        <is>
          <t>reference_reserved</t>
        </is>
      </c>
      <c r="Z248" s="386" t="str"/>
      <c r="AA248" s="386" t="str"/>
    </row>
    <row r="249">
      <c r="A249" s="38" t="inlineStr">
        <is>
          <t>bz_van_248</t>
        </is>
      </c>
      <c r="B249" s="38" t="n">
        <v>248</v>
      </c>
      <c r="C249" s="38" t="inlineStr">
        <is>
          <t>skill</t>
        </is>
      </c>
      <c r="D249" s="38" t="inlineStr">
        <is>
          <t>snapshot_vanessa_legacy_catalog_v1</t>
        </is>
      </c>
      <c r="E249" s="38" t="inlineStr">
        <is>
          <t>snapshot_the_bazaar_patch_18_0_boundary</t>
        </is>
      </c>
      <c r="F249" s="38" t="inlineStr">
        <is>
          <t>true</t>
        </is>
      </c>
      <c r="G249" s="38" t="inlineStr">
        <is>
          <t>false</t>
        </is>
      </c>
      <c r="H249" s="38" t="inlineStr">
        <is>
          <t>current_rule_match,structured_trigger,structured_effects,quality_values,owner_scope,trainer_availability</t>
        </is>
      </c>
      <c r="I249" s="38" t="inlineStr">
        <is>
          <t>sharp-corners</t>
        </is>
      </c>
      <c r="J249" s="38" t="inlineStr">
        <is>
          <t>Sharp Corners</t>
        </is>
      </c>
      <c r="K249" s="38" t="inlineStr">
        <is>
          <t>silver</t>
        </is>
      </c>
      <c r="L249" s="38" t="inlineStr">
        <is>
          <t>medium</t>
        </is>
      </c>
      <c r="M249" s="38" t="inlineStr">
        <is>
          <t>weapon, shieldreference, damagereference</t>
        </is>
      </c>
      <c r="N249" s="38" t="n">
        <v>6</v>
      </c>
      <c r="O249" s="38" t="inlineStr">
        <is>
          <t>trainer_adira, trainer_argenta, trainer_fortis, trainer_nufu, trainer_orlin, trainer_ryukon</t>
        </is>
      </c>
      <c r="P249" s="38" t="n">
        <v>6</v>
      </c>
      <c r="Q249" s="38" t="inlineStr">
        <is>
          <t>elem_水, elem_雷, elem_龙, elem_无, role_坦克, role_召唤铺场</t>
        </is>
      </c>
      <c r="R249" s="38" t="inlineStr">
        <is>
          <t>Shielded</t>
        </is>
      </c>
      <c r="S249" s="38" t="inlineStr">
        <is>
          <t>pal_248</t>
        </is>
      </c>
      <c r="T249" s="38" t="inlineStr">
        <is>
          <t>岳熊精</t>
        </is>
      </c>
      <c r="U249" s="38" t="inlineStr">
        <is>
          <t>https://bazaar-builds.net/db/skills/sharp-corners.html</t>
        </is>
      </c>
      <c r="V249" s="38" t="inlineStr">
        <is>
          <t>when you shield, your weapons gain +2 / 4 / 6 damage for the fight.</t>
        </is>
      </c>
      <c r="W249" s="38" t="inlineStr">
        <is>
          <t>一对一确认来源对象。</t>
        </is>
      </c>
      <c r="X249" s="385" t="str"/>
      <c r="Y249" s="386" t="inlineStr">
        <is>
          <t>reference_reserved</t>
        </is>
      </c>
      <c r="Z249" s="386" t="str"/>
      <c r="AA249" s="386" t="str"/>
    </row>
    <row r="250">
      <c r="A250" s="38" t="inlineStr">
        <is>
          <t>bz_van_249</t>
        </is>
      </c>
      <c r="B250" s="38" t="n">
        <v>249</v>
      </c>
      <c r="C250" s="38" t="inlineStr">
        <is>
          <t>skill</t>
        </is>
      </c>
      <c r="D250" s="38" t="inlineStr">
        <is>
          <t>snapshot_vanessa_legacy_catalog_v1</t>
        </is>
      </c>
      <c r="E250" s="38" t="inlineStr">
        <is>
          <t>snapshot_the_bazaar_patch_18_0_boundary</t>
        </is>
      </c>
      <c r="F250" s="38" t="inlineStr">
        <is>
          <t>true</t>
        </is>
      </c>
      <c r="G250" s="38" t="inlineStr">
        <is>
          <t>false</t>
        </is>
      </c>
      <c r="H250" s="38" t="inlineStr">
        <is>
          <t>current_rule_match,structured_trigger,structured_effects,quality_values,owner_scope,trainer_availability</t>
        </is>
      </c>
      <c r="I250" s="38" t="inlineStr">
        <is>
          <t>sharpshooter</t>
        </is>
      </c>
      <c r="J250" s="38" t="inlineStr">
        <is>
          <t>Sharpshooter</t>
        </is>
      </c>
      <c r="K250" s="38" t="inlineStr">
        <is>
          <t>diamond</t>
        </is>
      </c>
      <c r="L250" s="38" t="inlineStr">
        <is>
          <t>medium</t>
        </is>
      </c>
      <c r="M250" s="38" t="inlineStr">
        <is>
          <t>weapon, damagereference, crit</t>
        </is>
      </c>
      <c r="N250" s="38" t="n">
        <v>4</v>
      </c>
      <c r="O250" s="38" t="inlineStr">
        <is>
          <t>trainer_adira, trainer_nufu, trainer_ryukon, trainer_vermir</t>
        </is>
      </c>
      <c r="P250" s="38" t="n">
        <v>4</v>
      </c>
      <c r="Q250" s="38" t="inlineStr">
        <is>
          <t>elem_水, elem_龙, role_召唤, role_坦克</t>
        </is>
      </c>
      <c r="R250" s="38" t="inlineStr">
        <is>
          <t>Deadly</t>
        </is>
      </c>
      <c r="S250" s="38" t="inlineStr">
        <is>
          <t>pal_249</t>
        </is>
      </c>
      <c r="T250" s="38" t="inlineStr">
        <is>
          <t>霆鲨皇</t>
        </is>
      </c>
      <c r="U250" s="38" t="inlineStr">
        <is>
          <t>https://bazaar-builds.net/db/skills/sharpshooter.html</t>
        </is>
      </c>
      <c r="V250" s="38" t="inlineStr">
        <is>
          <t>your leftmost and rightmost weapons have +10% crit chance. if you only have one weapon, it deals double crit damage.</t>
        </is>
      </c>
      <c r="W250" s="38" t="inlineStr">
        <is>
          <t>一对一确认来源对象。</t>
        </is>
      </c>
      <c r="X250" s="385" t="str"/>
      <c r="Y250" s="386" t="inlineStr">
        <is>
          <t>reference_reserved</t>
        </is>
      </c>
      <c r="Z250" s="386" t="str"/>
      <c r="AA250" s="386" t="str"/>
    </row>
    <row r="251">
      <c r="A251" s="38" t="inlineStr">
        <is>
          <t>bz_van_250</t>
        </is>
      </c>
      <c r="B251" s="38" t="n">
        <v>250</v>
      </c>
      <c r="C251" s="38" t="inlineStr">
        <is>
          <t>skill</t>
        </is>
      </c>
      <c r="D251" s="38" t="inlineStr">
        <is>
          <t>snapshot_vanessa_legacy_catalog_v1</t>
        </is>
      </c>
      <c r="E251" s="38" t="inlineStr">
        <is>
          <t>snapshot_the_bazaar_patch_18_0_boundary</t>
        </is>
      </c>
      <c r="F251" s="38" t="inlineStr">
        <is>
          <t>true</t>
        </is>
      </c>
      <c r="G251" s="38" t="inlineStr">
        <is>
          <t>false</t>
        </is>
      </c>
      <c r="H251" s="38" t="inlineStr">
        <is>
          <t>current_rule_match,structured_trigger,structured_effects,quality_values,owner_scope,trainer_availability</t>
        </is>
      </c>
      <c r="I251" s="38" t="inlineStr">
        <is>
          <t>shatter</t>
        </is>
      </c>
      <c r="J251" s="38" t="inlineStr">
        <is>
          <t>Shatter</t>
        </is>
      </c>
      <c r="K251" s="38" t="inlineStr">
        <is>
          <t>silver</t>
        </is>
      </c>
      <c r="L251" s="38" t="inlineStr">
        <is>
          <t>medium</t>
        </is>
      </c>
      <c r="M251" s="38" t="inlineStr">
        <is>
          <t>weapon, freezereference, damagereference</t>
        </is>
      </c>
      <c r="N251" s="38" t="n">
        <v>6</v>
      </c>
      <c r="O251" s="38" t="inlineStr">
        <is>
          <t>trainer_adira, trainer_argenta, trainer_bjorn, trainer_nufu, trainer_orlin, trainer_ryukon</t>
        </is>
      </c>
      <c r="P251" s="38" t="n">
        <v>6</v>
      </c>
      <c r="Q251" s="38" t="inlineStr">
        <is>
          <t>elem_水, elem_雷, elem_龙, elem_无, role_坦克, role_控制</t>
        </is>
      </c>
      <c r="R251" s="38" t="inlineStr">
        <is>
          <t>Icy</t>
        </is>
      </c>
      <c r="S251" s="38" t="inlineStr">
        <is>
          <t>pal_250</t>
        </is>
      </c>
      <c r="T251" s="38" t="inlineStr">
        <is>
          <t>霜貂卫</t>
        </is>
      </c>
      <c r="U251" s="38" t="inlineStr">
        <is>
          <t>https://bazaar-builds.net/db/skills/shatter.html</t>
        </is>
      </c>
      <c r="V251" s="38" t="inlineStr">
        <is>
          <t>when you freeze, your weapons gain +5 / 10 / 15 damage for the fight.</t>
        </is>
      </c>
      <c r="W251" s="38" t="inlineStr">
        <is>
          <t>一对一确认来源对象。</t>
        </is>
      </c>
      <c r="X251" s="385" t="str"/>
      <c r="Y251" s="386" t="inlineStr">
        <is>
          <t>reference_reserved</t>
        </is>
      </c>
      <c r="Z251" s="386" t="str"/>
      <c r="AA251" s="386" t="str"/>
    </row>
    <row r="252">
      <c r="A252" s="38" t="inlineStr">
        <is>
          <t>bz_van_251</t>
        </is>
      </c>
      <c r="B252" s="38" t="n">
        <v>251</v>
      </c>
      <c r="C252" s="38" t="inlineStr">
        <is>
          <t>skill</t>
        </is>
      </c>
      <c r="D252" s="38" t="inlineStr">
        <is>
          <t>snapshot_vanessa_legacy_catalog_v1</t>
        </is>
      </c>
      <c r="E252" s="38" t="inlineStr">
        <is>
          <t>snapshot_the_bazaar_patch_18_0_boundary</t>
        </is>
      </c>
      <c r="F252" s="38" t="inlineStr">
        <is>
          <t>true</t>
        </is>
      </c>
      <c r="G252" s="38" t="inlineStr">
        <is>
          <t>false</t>
        </is>
      </c>
      <c r="H252" s="38" t="inlineStr">
        <is>
          <t>current_rule_match,structured_trigger,structured_effects,quality_values,owner_scope,trainer_availability</t>
        </is>
      </c>
      <c r="I252" s="38" t="inlineStr">
        <is>
          <t>shield-bash</t>
        </is>
      </c>
      <c r="J252" s="38" t="inlineStr">
        <is>
          <t>Shield Bash</t>
        </is>
      </c>
      <c r="K252" s="38" t="inlineStr">
        <is>
          <t>gold</t>
        </is>
      </c>
      <c r="L252" s="38" t="inlineStr">
        <is>
          <t>medium</t>
        </is>
      </c>
      <c r="M252" s="38" t="inlineStr">
        <is>
          <t>weapon, charge, damagereference</t>
        </is>
      </c>
      <c r="N252" s="38" t="n">
        <v>5</v>
      </c>
      <c r="O252" s="38" t="inlineStr">
        <is>
          <t>trainer_adira, trainer_nufu, trainer_orlin, trainer_ryukon, trainer_zara</t>
        </is>
      </c>
      <c r="P252" s="38" t="n">
        <v>5</v>
      </c>
      <c r="Q252" s="38" t="inlineStr">
        <is>
          <t>elem_水, elem_龙, elem_无, role_坦克, special_merchant</t>
        </is>
      </c>
      <c r="R252" s="38" t="inlineStr">
        <is>
          <t>Turbo</t>
        </is>
      </c>
      <c r="S252" s="38" t="inlineStr">
        <is>
          <t>pal_251</t>
        </is>
      </c>
      <c r="T252" s="38" t="inlineStr">
        <is>
          <t>霆牦王</t>
        </is>
      </c>
      <c r="U252" s="38" t="inlineStr">
        <is>
          <t>https://bazaar-builds.net/db/skills/shield-bash.html</t>
        </is>
      </c>
      <c r="V252" s="38" t="inlineStr">
        <is>
          <t>the first 4 → 8 times an enemy uses a non-weapon item each fight, charge a weapon 1 second.</t>
        </is>
      </c>
      <c r="W252" s="38" t="inlineStr">
        <is>
          <t>一对一确认来源对象。</t>
        </is>
      </c>
      <c r="X252" s="385" t="str"/>
      <c r="Y252" s="386" t="inlineStr">
        <is>
          <t>reference_reserved</t>
        </is>
      </c>
      <c r="Z252" s="386" t="str"/>
      <c r="AA252" s="386" t="str"/>
    </row>
    <row r="253">
      <c r="A253" s="38" t="inlineStr">
        <is>
          <t>bz_van_252</t>
        </is>
      </c>
      <c r="B253" s="38" t="n">
        <v>252</v>
      </c>
      <c r="C253" s="38" t="inlineStr">
        <is>
          <t>skill</t>
        </is>
      </c>
      <c r="D253" s="38" t="inlineStr">
        <is>
          <t>snapshot_vanessa_legacy_catalog_v1</t>
        </is>
      </c>
      <c r="E253" s="38" t="inlineStr">
        <is>
          <t>snapshot_the_bazaar_patch_18_0_boundary</t>
        </is>
      </c>
      <c r="F253" s="38" t="inlineStr">
        <is>
          <t>true</t>
        </is>
      </c>
      <c r="G253" s="38" t="inlineStr">
        <is>
          <t>false</t>
        </is>
      </c>
      <c r="H253" s="38" t="inlineStr">
        <is>
          <t>current_rule_match,structured_trigger,structured_effects,quality_values,owner_scope,trainer_availability</t>
        </is>
      </c>
      <c r="I253" s="38" t="inlineStr">
        <is>
          <t>sick-burn</t>
        </is>
      </c>
      <c r="J253" s="38" t="inlineStr">
        <is>
          <t>Sick Burn</t>
        </is>
      </c>
      <c r="K253" s="38" t="inlineStr">
        <is>
          <t>gold</t>
        </is>
      </c>
      <c r="L253" s="38" t="inlineStr">
        <is>
          <t>medium</t>
        </is>
      </c>
      <c r="M253" s="38" t="inlineStr">
        <is>
          <t>charge, poisonreference, burnreference</t>
        </is>
      </c>
      <c r="N253" s="38" t="n">
        <v>6</v>
      </c>
      <c r="O253" s="38" t="inlineStr">
        <is>
          <t>trainer_adira, trainer_malafang, trainer_nufu, trainer_orlin, trainer_professor-riggle, trainer_zara</t>
        </is>
      </c>
      <c r="P253" s="38" t="n">
        <v>6</v>
      </c>
      <c r="Q253" s="38" t="inlineStr">
        <is>
          <t>elem_水, elem_龙, elem_无, role_治疗, role_输出, special_merchant</t>
        </is>
      </c>
      <c r="R253" s="38" t="inlineStr">
        <is>
          <t>Fiery</t>
        </is>
      </c>
      <c r="S253" s="38" t="inlineStr">
        <is>
          <t>pal_252</t>
        </is>
      </c>
      <c r="T253" s="38" t="inlineStr">
        <is>
          <t>炎蛛尊</t>
        </is>
      </c>
      <c r="U253" s="38" t="inlineStr">
        <is>
          <t>https://bazaar-builds.net/db/skills/sick-burn.html</t>
        </is>
      </c>
      <c r="V253" s="38" t="inlineStr">
        <is>
          <t>the first 4 → 8 times you poison each fight, charge a burn item 1 second.</t>
        </is>
      </c>
      <c r="W253" s="38" t="inlineStr">
        <is>
          <t>一对一确认来源对象。</t>
        </is>
      </c>
      <c r="X253" s="385" t="str"/>
      <c r="Y253" s="386" t="inlineStr">
        <is>
          <t>reference_reserved</t>
        </is>
      </c>
      <c r="Z253" s="386" t="str"/>
      <c r="AA253" s="386" t="str"/>
    </row>
    <row r="254">
      <c r="A254" s="38" t="inlineStr">
        <is>
          <t>bz_van_253</t>
        </is>
      </c>
      <c r="B254" s="38" t="n">
        <v>253</v>
      </c>
      <c r="C254" s="38" t="inlineStr">
        <is>
          <t>skill</t>
        </is>
      </c>
      <c r="D254" s="38" t="inlineStr">
        <is>
          <t>snapshot_vanessa_legacy_catalog_v1</t>
        </is>
      </c>
      <c r="E254" s="38" t="inlineStr">
        <is>
          <t>snapshot_the_bazaar_patch_18_0_boundary</t>
        </is>
      </c>
      <c r="F254" s="38" t="inlineStr">
        <is>
          <t>true</t>
        </is>
      </c>
      <c r="G254" s="38" t="inlineStr">
        <is>
          <t>false</t>
        </is>
      </c>
      <c r="H254" s="38" t="inlineStr">
        <is>
          <t>current_rule_match,structured_trigger,structured_effects,quality_values,owner_scope,trainer_availability</t>
        </is>
      </c>
      <c r="I254" s="38" t="inlineStr">
        <is>
          <t>slow-and-steady</t>
        </is>
      </c>
      <c r="J254" s="38" t="inlineStr">
        <is>
          <t>Slow and Steady</t>
        </is>
      </c>
      <c r="K254" s="38" t="inlineStr">
        <is>
          <t>silver</t>
        </is>
      </c>
      <c r="L254" s="38" t="inlineStr">
        <is>
          <t>medium</t>
        </is>
      </c>
      <c r="M254" s="38" t="inlineStr">
        <is>
          <t>weapon, damagereference, slowreference</t>
        </is>
      </c>
      <c r="N254" s="38" t="n">
        <v>6</v>
      </c>
      <c r="O254" s="38" t="inlineStr">
        <is>
          <t>trainer_adira, trainer_argenta, trainer_nufu, trainer_orlin, trainer_ryukon, trainer_slohmor-lumbra</t>
        </is>
      </c>
      <c r="P254" s="38" t="n">
        <v>6</v>
      </c>
      <c r="Q254" s="38" t="inlineStr">
        <is>
          <t>elem_水, elem_雷, elem_龙, elem_无, role_坦克, role_经济</t>
        </is>
      </c>
      <c r="R254" s="38" t="inlineStr">
        <is>
          <t>Icy</t>
        </is>
      </c>
      <c r="S254" s="38" t="inlineStr">
        <is>
          <t>pal_253</t>
        </is>
      </c>
      <c r="T254" s="38" t="inlineStr">
        <is>
          <t>炎鳗精</t>
        </is>
      </c>
      <c r="U254" s="38" t="inlineStr">
        <is>
          <t>https://bazaar-builds.net/db/skills/slow-and-steady.html</t>
        </is>
      </c>
      <c r="V254" s="38" t="inlineStr">
        <is>
          <t>when you slow, your weapons gain 2 / 4 / 6 damage for the fight.</t>
        </is>
      </c>
      <c r="W254" s="38" t="inlineStr">
        <is>
          <t>一对一确认来源对象。</t>
        </is>
      </c>
      <c r="X254" s="385" t="str"/>
      <c r="Y254" s="386" t="inlineStr">
        <is>
          <t>reference_reserved</t>
        </is>
      </c>
      <c r="Z254" s="386" t="str"/>
      <c r="AA254" s="386" t="str"/>
    </row>
    <row r="255">
      <c r="A255" s="38" t="inlineStr">
        <is>
          <t>bz_van_254</t>
        </is>
      </c>
      <c r="B255" s="38" t="n">
        <v>254</v>
      </c>
      <c r="C255" s="38" t="inlineStr">
        <is>
          <t>skill</t>
        </is>
      </c>
      <c r="D255" s="38" t="inlineStr">
        <is>
          <t>snapshot_vanessa_legacy_catalog_v1</t>
        </is>
      </c>
      <c r="E255" s="38" t="inlineStr">
        <is>
          <t>snapshot_the_bazaar_patch_18_0_boundary</t>
        </is>
      </c>
      <c r="F255" s="38" t="inlineStr">
        <is>
          <t>true</t>
        </is>
      </c>
      <c r="G255" s="38" t="inlineStr">
        <is>
          <t>false</t>
        </is>
      </c>
      <c r="H255" s="38" t="inlineStr">
        <is>
          <t>current_rule_match,structured_trigger,structured_effects,quality_values,owner_scope,trainer_availability</t>
        </is>
      </c>
      <c r="I255" s="38" t="inlineStr">
        <is>
          <t>slow-burn</t>
        </is>
      </c>
      <c r="J255" s="38" t="inlineStr">
        <is>
          <t>Slow Burn</t>
        </is>
      </c>
      <c r="K255" s="38" t="inlineStr">
        <is>
          <t>gold</t>
        </is>
      </c>
      <c r="L255" s="38" t="inlineStr">
        <is>
          <t>medium</t>
        </is>
      </c>
      <c r="M255" s="38" t="inlineStr">
        <is>
          <t>charge, burnreference, slowreference</t>
        </is>
      </c>
      <c r="N255" s="38" t="n">
        <v>6</v>
      </c>
      <c r="O255" s="38" t="inlineStr">
        <is>
          <t>trainer_adira, trainer_malafang, trainer_nufu, trainer_orlin, trainer_slohmor-lumbra, trainer_zara</t>
        </is>
      </c>
      <c r="P255" s="38" t="n">
        <v>6</v>
      </c>
      <c r="Q255" s="38" t="inlineStr">
        <is>
          <t>elem_水, elem_龙, elem_无, role_治疗, role_经济, special_merchant</t>
        </is>
      </c>
      <c r="R255" s="38" t="inlineStr">
        <is>
          <t>Fiery</t>
        </is>
      </c>
      <c r="S255" s="38" t="inlineStr">
        <is>
          <t>pal_254</t>
        </is>
      </c>
      <c r="T255" s="38" t="inlineStr">
        <is>
          <t>赤蟒王</t>
        </is>
      </c>
      <c r="U255" s="38" t="inlineStr">
        <is>
          <t>https://bazaar-builds.net/db/skills/slow-burn.html</t>
        </is>
      </c>
      <c r="V255" s="38" t="inlineStr">
        <is>
          <t>the first 4 → 8 times you slow each fight, charge a burn item 1 second.</t>
        </is>
      </c>
      <c r="W255" s="38" t="inlineStr">
        <is>
          <t>一对一确认来源对象。</t>
        </is>
      </c>
      <c r="X255" s="385" t="str"/>
      <c r="Y255" s="386" t="inlineStr">
        <is>
          <t>reference_reserved</t>
        </is>
      </c>
      <c r="Z255" s="386" t="str"/>
      <c r="AA255" s="386" t="str"/>
    </row>
    <row r="256">
      <c r="A256" s="38" t="inlineStr">
        <is>
          <t>bz_van_255</t>
        </is>
      </c>
      <c r="B256" s="38" t="n">
        <v>255</v>
      </c>
      <c r="C256" s="38" t="inlineStr">
        <is>
          <t>skill</t>
        </is>
      </c>
      <c r="D256" s="38" t="inlineStr">
        <is>
          <t>snapshot_vanessa_legacy_catalog_v1</t>
        </is>
      </c>
      <c r="E256" s="38" t="inlineStr">
        <is>
          <t>snapshot_the_bazaar_patch_18_0_boundary</t>
        </is>
      </c>
      <c r="F256" s="38" t="inlineStr">
        <is>
          <t>true</t>
        </is>
      </c>
      <c r="G256" s="38" t="inlineStr">
        <is>
          <t>false</t>
        </is>
      </c>
      <c r="H256" s="38" t="inlineStr">
        <is>
          <t>current_rule_match,structured_trigger,structured_effects,quality_values,owner_scope,trainer_availability</t>
        </is>
      </c>
      <c r="I256" s="38" t="inlineStr">
        <is>
          <t>slowed-targets</t>
        </is>
      </c>
      <c r="J256" s="38" t="inlineStr">
        <is>
          <t>Slowed Targets</t>
        </is>
      </c>
      <c r="K256" s="38" t="inlineStr">
        <is>
          <t>silver</t>
        </is>
      </c>
      <c r="L256" s="38" t="inlineStr">
        <is>
          <t>medium</t>
        </is>
      </c>
      <c r="M256" s="38" t="inlineStr">
        <is>
          <t>slowreference, crit</t>
        </is>
      </c>
      <c r="N256" s="38" t="n">
        <v>6</v>
      </c>
      <c r="O256" s="38" t="inlineStr">
        <is>
          <t>trainer_adira, trainer_argenta, trainer_nufu, trainer_orlin, trainer_slohmor-lumbra, trainer_vermir</t>
        </is>
      </c>
      <c r="P256" s="38" t="n">
        <v>6</v>
      </c>
      <c r="Q256" s="38" t="inlineStr">
        <is>
          <t>elem_水, elem_雷, elem_龙, elem_无, role_召唤, role_经济</t>
        </is>
      </c>
      <c r="R256" s="38" t="inlineStr">
        <is>
          <t>Icy</t>
        </is>
      </c>
      <c r="S256" s="38" t="inlineStr">
        <is>
          <t>pal_255</t>
        </is>
      </c>
      <c r="T256" s="38" t="inlineStr">
        <is>
          <t>电蟒精</t>
        </is>
      </c>
      <c r="U256" s="38" t="inlineStr">
        <is>
          <t>https://bazaar-builds.net/db/skills/slowed-targets.html</t>
        </is>
      </c>
      <c r="V256" s="38" t="inlineStr">
        <is>
          <t>when you slow, your items gain +1 / 2 / 3% crit chance for the fight.</t>
        </is>
      </c>
      <c r="W256" s="38" t="inlineStr">
        <is>
          <t>一对一确认来源对象。</t>
        </is>
      </c>
      <c r="X256" s="385" t="str"/>
      <c r="Y256" s="386" t="inlineStr">
        <is>
          <t>reference_reserved</t>
        </is>
      </c>
      <c r="Z256" s="386" t="str"/>
      <c r="AA256" s="386" t="str"/>
    </row>
    <row r="257">
      <c r="A257" s="38" t="inlineStr">
        <is>
          <t>bz_van_256</t>
        </is>
      </c>
      <c r="B257" s="38" t="n">
        <v>256</v>
      </c>
      <c r="C257" s="38" t="inlineStr">
        <is>
          <t>skill</t>
        </is>
      </c>
      <c r="D257" s="38" t="inlineStr">
        <is>
          <t>snapshot_vanessa_legacy_catalog_v1</t>
        </is>
      </c>
      <c r="E257" s="38" t="inlineStr">
        <is>
          <t>snapshot_the_bazaar_patch_18_0_boundary</t>
        </is>
      </c>
      <c r="F257" s="38" t="inlineStr">
        <is>
          <t>true</t>
        </is>
      </c>
      <c r="G257" s="38" t="inlineStr">
        <is>
          <t>false</t>
        </is>
      </c>
      <c r="H257" s="38" t="inlineStr">
        <is>
          <t>current_rule_match,structured_trigger,structured_effects,quality_values,owner_scope,trainer_availability</t>
        </is>
      </c>
      <c r="I257" s="38" t="inlineStr">
        <is>
          <t>static-acceleration</t>
        </is>
      </c>
      <c r="J257" s="38" t="inlineStr">
        <is>
          <t>Static Acceleration</t>
        </is>
      </c>
      <c r="K257" s="38" t="inlineStr">
        <is>
          <t>silver</t>
        </is>
      </c>
      <c r="L257" s="38" t="inlineStr">
        <is>
          <t>medium</t>
        </is>
      </c>
      <c r="M257" s="38" t="inlineStr">
        <is>
          <t>hastereference, crit</t>
        </is>
      </c>
      <c r="N257" s="38" t="n">
        <v>6</v>
      </c>
      <c r="O257" s="38" t="inlineStr">
        <is>
          <t>trainer_adira, trainer_argenta, trainer_nufu, trainer_orlin, trainer_vermir, trainer_zara</t>
        </is>
      </c>
      <c r="P257" s="38" t="n">
        <v>6</v>
      </c>
      <c r="Q257" s="38" t="inlineStr">
        <is>
          <t>elem_水, elem_雷, elem_龙, elem_无, role_召唤, special_merchant</t>
        </is>
      </c>
      <c r="R257" s="38" t="inlineStr">
        <is>
          <t>Turbo</t>
        </is>
      </c>
      <c r="S257" s="38" t="inlineStr">
        <is>
          <t>pal_256</t>
        </is>
      </c>
      <c r="T257" s="38" t="inlineStr">
        <is>
          <t>震隼将</t>
        </is>
      </c>
      <c r="U257" s="38" t="inlineStr">
        <is>
          <t>https://bazaar-builds.net/db/skills/static-acceleration.html</t>
        </is>
      </c>
      <c r="V257" s="38" t="inlineStr">
        <is>
          <t>when you haste, your items gain +1 / 2 / 3% crit chance for the fight.</t>
        </is>
      </c>
      <c r="W257" s="38" t="inlineStr">
        <is>
          <t>一对一确认来源对象。</t>
        </is>
      </c>
      <c r="X257" s="385" t="str"/>
      <c r="Y257" s="386" t="inlineStr">
        <is>
          <t>reference_reserved</t>
        </is>
      </c>
      <c r="Z257" s="386" t="str"/>
      <c r="AA257" s="386" t="str"/>
    </row>
    <row r="258">
      <c r="A258" s="38" t="inlineStr">
        <is>
          <t>bz_van_257</t>
        </is>
      </c>
      <c r="B258" s="38" t="n">
        <v>257</v>
      </c>
      <c r="C258" s="38" t="inlineStr">
        <is>
          <t>skill</t>
        </is>
      </c>
      <c r="D258" s="38" t="inlineStr">
        <is>
          <t>snapshot_vanessa_legacy_catalog_v1</t>
        </is>
      </c>
      <c r="E258" s="38" t="inlineStr">
        <is>
          <t>snapshot_the_bazaar_patch_18_0_boundary</t>
        </is>
      </c>
      <c r="F258" s="38" t="inlineStr">
        <is>
          <t>true</t>
        </is>
      </c>
      <c r="G258" s="38" t="inlineStr">
        <is>
          <t>false</t>
        </is>
      </c>
      <c r="H258" s="38" t="inlineStr">
        <is>
          <t>current_rule_match,structured_trigger,structured_effects,quality_values,owner_scope,trainer_availability</t>
        </is>
      </c>
      <c r="I258" s="38" t="inlineStr">
        <is>
          <t>steelstorm</t>
        </is>
      </c>
      <c r="J258" s="38" t="inlineStr">
        <is>
          <t>Steelstorm</t>
        </is>
      </c>
      <c r="K258" s="38" t="inlineStr">
        <is>
          <t>silver</t>
        </is>
      </c>
      <c r="L258" s="38" t="inlineStr">
        <is>
          <t>medium</t>
        </is>
      </c>
      <c r="M258" s="38" t="inlineStr">
        <is>
          <t>weapon, damagereference</t>
        </is>
      </c>
      <c r="N258" s="38" t="n">
        <v>6</v>
      </c>
      <c r="O258" s="38" t="inlineStr">
        <is>
          <t>trainer_adira, trainer_argenta, trainer_nufu, trainer_old-zane, trainer_orlin, trainer_ryukon</t>
        </is>
      </c>
      <c r="P258" s="38" t="n">
        <v>6</v>
      </c>
      <c r="Q258" s="38" t="inlineStr">
        <is>
          <t>elem_水, elem_雷, elem_地, elem_龙, elem_无, role_坦克</t>
        </is>
      </c>
      <c r="R258" s="38" t="inlineStr">
        <is>
          <t>Deadly</t>
        </is>
      </c>
      <c r="S258" s="38" t="inlineStr">
        <is>
          <t>pal_257</t>
        </is>
      </c>
      <c r="T258" s="38" t="inlineStr">
        <is>
          <t>翠隼将</t>
        </is>
      </c>
      <c r="U258" s="38" t="inlineStr">
        <is>
          <t>https://bazaar-builds.net/db/skills/steelstorm.html</t>
        </is>
      </c>
      <c r="V258" s="38" t="inlineStr">
        <is>
          <t>your weapons have +4 / 6 / 8 damage for each weapon you have.</t>
        </is>
      </c>
      <c r="W258" s="38" t="inlineStr">
        <is>
          <t>一对一确认来源对象。</t>
        </is>
      </c>
      <c r="X258" s="385" t="str"/>
      <c r="Y258" s="386" t="inlineStr">
        <is>
          <t>reference_reserved</t>
        </is>
      </c>
      <c r="Z258" s="386" t="str"/>
      <c r="AA258" s="386" t="str"/>
    </row>
    <row r="259">
      <c r="A259" s="38" t="inlineStr">
        <is>
          <t>bz_van_258</t>
        </is>
      </c>
      <c r="B259" s="38" t="n">
        <v>258</v>
      </c>
      <c r="C259" s="38" t="inlineStr">
        <is>
          <t>skill</t>
        </is>
      </c>
      <c r="D259" s="38" t="inlineStr">
        <is>
          <t>snapshot_vanessa_legacy_catalog_v1</t>
        </is>
      </c>
      <c r="E259" s="38" t="inlineStr">
        <is>
          <t>snapshot_the_bazaar_patch_18_0_boundary</t>
        </is>
      </c>
      <c r="F259" s="38" t="inlineStr">
        <is>
          <t>true</t>
        </is>
      </c>
      <c r="G259" s="38" t="inlineStr">
        <is>
          <t>false</t>
        </is>
      </c>
      <c r="H259" s="38" t="inlineStr">
        <is>
          <t>current_rule_match,structured_trigger,structured_effects,quality_values,owner_scope,trainer_availability</t>
        </is>
      </c>
      <c r="I259" s="38" t="inlineStr">
        <is>
          <t>stop-that</t>
        </is>
      </c>
      <c r="J259" s="38" t="inlineStr">
        <is>
          <t>Stop That!</t>
        </is>
      </c>
      <c r="K259" s="38" t="inlineStr">
        <is>
          <t>silver</t>
        </is>
      </c>
      <c r="L259" s="38" t="inlineStr">
        <is>
          <t>medium</t>
        </is>
      </c>
      <c r="M259" s="38" t="inlineStr">
        <is>
          <t>slow</t>
        </is>
      </c>
      <c r="N259" s="38" t="n">
        <v>5</v>
      </c>
      <c r="O259" s="38" t="inlineStr">
        <is>
          <t>trainer_adira, trainer_argenta, trainer_nufu, trainer_orlin, trainer_slohmor-lumbra</t>
        </is>
      </c>
      <c r="P259" s="38" t="n">
        <v>5</v>
      </c>
      <c r="Q259" s="38" t="inlineStr">
        <is>
          <t>elem_水, elem_雷, elem_龙, elem_无, role_经济</t>
        </is>
      </c>
      <c r="R259" s="38" t="inlineStr">
        <is>
          <t>Icy</t>
        </is>
      </c>
      <c r="S259" s="38" t="inlineStr">
        <is>
          <t>pal_258</t>
        </is>
      </c>
      <c r="T259" s="38" t="inlineStr">
        <is>
          <t>汐蝶精</t>
        </is>
      </c>
      <c r="U259" s="38" t="inlineStr">
        <is>
          <t>https://bazaar-builds.net/db/skills/stop-that.html</t>
        </is>
      </c>
      <c r="V259" s="38" t="inlineStr">
        <is>
          <t>the first time you fall below half health each fight, slow all enemy items for 1 / 2 / 3 seconds.</t>
        </is>
      </c>
      <c r="W259" s="38" t="inlineStr">
        <is>
          <t>一对一确认来源对象。</t>
        </is>
      </c>
      <c r="X259" s="385" t="str"/>
      <c r="Y259" s="386" t="inlineStr">
        <is>
          <t>reference_reserved</t>
        </is>
      </c>
      <c r="Z259" s="386" t="str"/>
      <c r="AA259" s="386" t="str"/>
    </row>
    <row r="260">
      <c r="A260" s="38" t="inlineStr">
        <is>
          <t>bz_van_259</t>
        </is>
      </c>
      <c r="B260" s="38" t="n">
        <v>259</v>
      </c>
      <c r="C260" s="38" t="inlineStr">
        <is>
          <t>skill</t>
        </is>
      </c>
      <c r="D260" s="38" t="inlineStr">
        <is>
          <t>snapshot_vanessa_legacy_catalog_v1</t>
        </is>
      </c>
      <c r="E260" s="38" t="inlineStr">
        <is>
          <t>snapshot_the_bazaar_patch_18_0_boundary</t>
        </is>
      </c>
      <c r="F260" s="38" t="inlineStr">
        <is>
          <t>true</t>
        </is>
      </c>
      <c r="G260" s="38" t="inlineStr">
        <is>
          <t>false</t>
        </is>
      </c>
      <c r="H260" s="38" t="inlineStr">
        <is>
          <t>current_rule_match,structured_trigger,structured_effects,quality_values,owner_scope,trainer_availability</t>
        </is>
      </c>
      <c r="I260" s="38" t="inlineStr">
        <is>
          <t>streamline-weapon</t>
        </is>
      </c>
      <c r="J260" s="38" t="inlineStr">
        <is>
          <t>Streamline Weapon</t>
        </is>
      </c>
      <c r="K260" s="38" t="inlineStr">
        <is>
          <t>silver</t>
        </is>
      </c>
      <c r="L260" s="38" t="inlineStr">
        <is>
          <t>medium</t>
        </is>
      </c>
      <c r="M260" s="38" t="inlineStr">
        <is>
          <t>weapon, damagereference, hastereference</t>
        </is>
      </c>
      <c r="N260" s="38" t="n">
        <v>6</v>
      </c>
      <c r="O260" s="38" t="inlineStr">
        <is>
          <t>trainer_adira, trainer_argenta, trainer_nufu, trainer_orlin, trainer_ryukon, trainer_zara</t>
        </is>
      </c>
      <c r="P260" s="38" t="n">
        <v>6</v>
      </c>
      <c r="Q260" s="38" t="inlineStr">
        <is>
          <t>elem_水, elem_雷, elem_龙, elem_无, role_坦克, special_merchant</t>
        </is>
      </c>
      <c r="R260" s="38" t="inlineStr">
        <is>
          <t>Turbo</t>
        </is>
      </c>
      <c r="S260" s="38" t="inlineStr">
        <is>
          <t>pal_259</t>
        </is>
      </c>
      <c r="T260" s="38" t="inlineStr">
        <is>
          <t>朱雀妖</t>
        </is>
      </c>
      <c r="U260" s="38" t="inlineStr">
        <is>
          <t>https://bazaar-builds.net/db/skills/streamline-weapon.html</t>
        </is>
      </c>
      <c r="V260" s="38" t="inlineStr">
        <is>
          <t>when one of your weapons is hasted, it gains +5 / 10 / 15 damage.</t>
        </is>
      </c>
      <c r="W260" s="38" t="inlineStr">
        <is>
          <t>一对一确认来源对象。</t>
        </is>
      </c>
      <c r="X260" s="385" t="str"/>
      <c r="Y260" s="386" t="inlineStr">
        <is>
          <t>reference_reserved</t>
        </is>
      </c>
      <c r="Z260" s="386" t="str"/>
      <c r="AA260" s="386" t="str"/>
    </row>
    <row r="261">
      <c r="A261" s="38" t="inlineStr">
        <is>
          <t>bz_van_260</t>
        </is>
      </c>
      <c r="B261" s="38" t="n">
        <v>260</v>
      </c>
      <c r="C261" s="38" t="inlineStr">
        <is>
          <t>skill</t>
        </is>
      </c>
      <c r="D261" s="38" t="inlineStr">
        <is>
          <t>snapshot_vanessa_legacy_catalog_v1</t>
        </is>
      </c>
      <c r="E261" s="38" t="inlineStr">
        <is>
          <t>snapshot_the_bazaar_patch_18_0_boundary</t>
        </is>
      </c>
      <c r="F261" s="38" t="inlineStr">
        <is>
          <t>true</t>
        </is>
      </c>
      <c r="G261" s="38" t="inlineStr">
        <is>
          <t>false</t>
        </is>
      </c>
      <c r="H261" s="38" t="inlineStr">
        <is>
          <t>current_rule_match,structured_trigger,structured_effects,quality_values,owner_scope,trainer_availability</t>
        </is>
      </c>
      <c r="I261" s="38" t="inlineStr">
        <is>
          <t>strength</t>
        </is>
      </c>
      <c r="J261" s="38" t="inlineStr">
        <is>
          <t>Strength</t>
        </is>
      </c>
      <c r="K261" s="38" t="inlineStr">
        <is>
          <t>bronze</t>
        </is>
      </c>
      <c r="L261" s="38" t="inlineStr">
        <is>
          <t>medium</t>
        </is>
      </c>
      <c r="M261" s="38" t="inlineStr">
        <is>
          <t>weapon, damagereference</t>
        </is>
      </c>
      <c r="N261" s="38" t="n">
        <v>5</v>
      </c>
      <c r="O261" s="38" t="inlineStr">
        <is>
          <t>trainer_adira, trainer_argenta, trainer_nufu, trainer_orlin, trainer_ryukon</t>
        </is>
      </c>
      <c r="P261" s="38" t="n">
        <v>5</v>
      </c>
      <c r="Q261" s="38" t="inlineStr">
        <is>
          <t>elem_水, elem_雷, elem_龙, elem_无, role_坦克</t>
        </is>
      </c>
      <c r="R261" s="38" t="inlineStr">
        <is>
          <t>Deadly</t>
        </is>
      </c>
      <c r="S261" s="38" t="inlineStr">
        <is>
          <t>pal_260</t>
        </is>
      </c>
      <c r="T261" s="38" t="inlineStr">
        <is>
          <t>云隼兽</t>
        </is>
      </c>
      <c r="U261" s="38" t="inlineStr">
        <is>
          <t>https://bazaar-builds.net/db/skills/strength.html</t>
        </is>
      </c>
      <c r="V261" s="38" t="inlineStr">
        <is>
          <t>your weapons deal +5 / 10 / 15 / 20 damage.</t>
        </is>
      </c>
      <c r="W261" s="38" t="inlineStr">
        <is>
          <t>一对一确认来源对象。</t>
        </is>
      </c>
      <c r="X261" s="385" t="str"/>
      <c r="Y261" s="386" t="inlineStr">
        <is>
          <t>reference_reserved</t>
        </is>
      </c>
      <c r="Z261" s="386" t="str"/>
      <c r="AA261" s="386" t="str"/>
    </row>
    <row r="262">
      <c r="A262" s="38" t="inlineStr">
        <is>
          <t>bz_van_261</t>
        </is>
      </c>
      <c r="B262" s="38" t="n">
        <v>261</v>
      </c>
      <c r="C262" s="38" t="inlineStr">
        <is>
          <t>skill</t>
        </is>
      </c>
      <c r="D262" s="38" t="inlineStr">
        <is>
          <t>snapshot_vanessa_legacy_catalog_v1</t>
        </is>
      </c>
      <c r="E262" s="38" t="inlineStr">
        <is>
          <t>snapshot_the_bazaar_patch_18_0_boundary</t>
        </is>
      </c>
      <c r="F262" s="38" t="inlineStr">
        <is>
          <t>true</t>
        </is>
      </c>
      <c r="G262" s="38" t="inlineStr">
        <is>
          <t>false</t>
        </is>
      </c>
      <c r="H262" s="38" t="inlineStr">
        <is>
          <t>current_rule_match,structured_trigger,structured_effects,quality_values,owner_scope,trainer_availability</t>
        </is>
      </c>
      <c r="I262" s="38" t="inlineStr">
        <is>
          <t>stunning-strike</t>
        </is>
      </c>
      <c r="J262" s="38" t="inlineStr">
        <is>
          <t>Stunning Strike</t>
        </is>
      </c>
      <c r="K262" s="38" t="inlineStr">
        <is>
          <t>silver</t>
        </is>
      </c>
      <c r="L262" s="38" t="inlineStr">
        <is>
          <t>medium</t>
        </is>
      </c>
      <c r="M262" s="38" t="inlineStr">
        <is>
          <t>critreference, freeze</t>
        </is>
      </c>
      <c r="N262" s="38" t="n">
        <v>6</v>
      </c>
      <c r="O262" s="38" t="inlineStr">
        <is>
          <t>trainer_adira, trainer_argenta, trainer_bjorn, trainer_nufu, trainer_orlin, trainer_vermir</t>
        </is>
      </c>
      <c r="P262" s="38" t="n">
        <v>6</v>
      </c>
      <c r="Q262" s="38" t="inlineStr">
        <is>
          <t>elem_水, elem_雷, elem_龙, elem_无, role_召唤, role_控制</t>
        </is>
      </c>
      <c r="R262" s="38" t="inlineStr">
        <is>
          <t>Icy</t>
        </is>
      </c>
      <c r="S262" s="38" t="inlineStr">
        <is>
          <t>pal_261</t>
        </is>
      </c>
      <c r="T262" s="38" t="inlineStr">
        <is>
          <t>寒貂卫</t>
        </is>
      </c>
      <c r="U262" s="38" t="inlineStr">
        <is>
          <t>https://bazaar-builds.net/db/skills/stunning-strike.html</t>
        </is>
      </c>
      <c r="V262" s="38" t="inlineStr">
        <is>
          <t>the first time you crit each fight, freeze an item for 3 / 4 / 5 seconds.</t>
        </is>
      </c>
      <c r="W262" s="38" t="inlineStr">
        <is>
          <t>一对一确认来源对象。</t>
        </is>
      </c>
      <c r="X262" s="385" t="str"/>
      <c r="Y262" s="386" t="inlineStr">
        <is>
          <t>reference_reserved</t>
        </is>
      </c>
      <c r="Z262" s="386" t="str"/>
      <c r="AA262" s="386" t="str"/>
    </row>
    <row r="263">
      <c r="A263" s="38" t="inlineStr">
        <is>
          <t>bz_van_262</t>
        </is>
      </c>
      <c r="B263" s="38" t="n">
        <v>262</v>
      </c>
      <c r="C263" s="38" t="inlineStr">
        <is>
          <t>skill</t>
        </is>
      </c>
      <c r="D263" s="38" t="inlineStr">
        <is>
          <t>snapshot_vanessa_legacy_catalog_v1</t>
        </is>
      </c>
      <c r="E263" s="38" t="inlineStr">
        <is>
          <t>snapshot_the_bazaar_patch_18_0_boundary</t>
        </is>
      </c>
      <c r="F263" s="38" t="inlineStr">
        <is>
          <t>true</t>
        </is>
      </c>
      <c r="G263" s="38" t="inlineStr">
        <is>
          <t>false</t>
        </is>
      </c>
      <c r="H263" s="38" t="inlineStr">
        <is>
          <t>current_rule_match,structured_trigger,structured_effects,quality_values,owner_scope,trainer_availability</t>
        </is>
      </c>
      <c r="I263" s="38" t="inlineStr">
        <is>
          <t>submerged</t>
        </is>
      </c>
      <c r="J263" s="38" t="inlineStr">
        <is>
          <t>Submerged</t>
        </is>
      </c>
      <c r="K263" s="38" t="inlineStr">
        <is>
          <t>silver</t>
        </is>
      </c>
      <c r="L263" s="38" t="inlineStr">
        <is>
          <t>medium</t>
        </is>
      </c>
      <c r="M263" s="38" t="inlineStr">
        <is>
          <t>weapon, aquatic, damagereference, shieldreference</t>
        </is>
      </c>
      <c r="N263" s="38" t="n">
        <v>7</v>
      </c>
      <c r="O263" s="38" t="inlineStr">
        <is>
          <t>trainer_adira, trainer_argenta, trainer_fortis, trainer_nufu, trainer_old-zane, trainer_orlin, trainer_ryukon</t>
        </is>
      </c>
      <c r="P263" s="38" t="n">
        <v>7</v>
      </c>
      <c r="Q263" s="38" t="inlineStr">
        <is>
          <t>elem_水, elem_雷, elem_地, elem_龙, elem_无, role_坦克, role_召唤铺场</t>
        </is>
      </c>
      <c r="R263" s="38" t="inlineStr">
        <is>
          <t>Shielded</t>
        </is>
      </c>
      <c r="S263" s="38" t="inlineStr">
        <is>
          <t>pal_262</t>
        </is>
      </c>
      <c r="T263" s="38" t="inlineStr">
        <is>
          <t>澜象将</t>
        </is>
      </c>
      <c r="U263" s="38" t="inlineStr">
        <is>
          <t>https://bazaar-builds.net/db/skills/submerged.html</t>
        </is>
      </c>
      <c r="V263" s="38" t="inlineStr">
        <is>
          <t>your weapons have +3 / 6 / 9 damage for each aquatic item you have. your shield items have +3 / 6 / 9 shield for each aquatic item you have.</t>
        </is>
      </c>
      <c r="W263" s="38" t="inlineStr">
        <is>
          <t>一对一确认来源对象。</t>
        </is>
      </c>
      <c r="X263" s="385" t="str"/>
      <c r="Y263" s="386" t="inlineStr">
        <is>
          <t>reference_reserved</t>
        </is>
      </c>
      <c r="Z263" s="386" t="str"/>
      <c r="AA263" s="386" t="str"/>
    </row>
    <row r="264">
      <c r="A264" s="38" t="inlineStr">
        <is>
          <t>bz_van_263</t>
        </is>
      </c>
      <c r="B264" s="38" t="n">
        <v>263</v>
      </c>
      <c r="C264" s="38" t="inlineStr">
        <is>
          <t>skill</t>
        </is>
      </c>
      <c r="D264" s="38" t="inlineStr">
        <is>
          <t>snapshot_vanessa_legacy_catalog_v1</t>
        </is>
      </c>
      <c r="E264" s="38" t="inlineStr">
        <is>
          <t>snapshot_the_bazaar_patch_18_0_boundary</t>
        </is>
      </c>
      <c r="F264" s="38" t="inlineStr">
        <is>
          <t>true</t>
        </is>
      </c>
      <c r="G264" s="38" t="inlineStr">
        <is>
          <t>false</t>
        </is>
      </c>
      <c r="H264" s="38" t="inlineStr">
        <is>
          <t>current_rule_match,structured_trigger,structured_effects,quality_values,owner_scope,trainer_availability</t>
        </is>
      </c>
      <c r="I264" s="38" t="inlineStr">
        <is>
          <t>supply-cache</t>
        </is>
      </c>
      <c r="J264" s="38" t="inlineStr">
        <is>
          <t>Supply Cache</t>
        </is>
      </c>
      <c r="K264" s="38" t="inlineStr">
        <is>
          <t>bronze</t>
        </is>
      </c>
      <c r="L264" s="38" t="inlineStr">
        <is>
          <t>medium</t>
        </is>
      </c>
      <c r="M264" s="38" t="str"/>
      <c r="N264" s="38" t="n">
        <v>4</v>
      </c>
      <c r="O264" s="38" t="inlineStr">
        <is>
          <t>trainer_adira, trainer_argenta, trainer_nufu, trainer_orlin</t>
        </is>
      </c>
      <c r="P264" s="38" t="n">
        <v>4</v>
      </c>
      <c r="Q264" s="38" t="inlineStr">
        <is>
          <t>elem_水, elem_雷, elem_龙, elem_无</t>
        </is>
      </c>
      <c r="R264" s="38" t="inlineStr">
        <is>
          <t>Heavy</t>
        </is>
      </c>
      <c r="S264" s="38" t="inlineStr">
        <is>
          <t>pal_263</t>
        </is>
      </c>
      <c r="T264" s="38" t="inlineStr">
        <is>
          <t>沙鹰仔</t>
        </is>
      </c>
      <c r="U264" s="38" t="inlineStr">
        <is>
          <t>https://bazaar-builds.net/db/skills/supply-cache.html</t>
        </is>
      </c>
      <c r="V264" s="38" t="inlineStr">
        <is>
          <t>at the start of each day, get a loot item.</t>
        </is>
      </c>
      <c r="W264" s="38" t="inlineStr">
        <is>
          <t>一对一确认来源对象。</t>
        </is>
      </c>
      <c r="X264" s="385" t="str"/>
      <c r="Y264" s="386" t="inlineStr">
        <is>
          <t>reference_reserved</t>
        </is>
      </c>
      <c r="Z264" s="386" t="str"/>
      <c r="AA264" s="386" t="str"/>
    </row>
    <row r="265">
      <c r="A265" s="38" t="inlineStr">
        <is>
          <t>bz_van_264</t>
        </is>
      </c>
      <c r="B265" s="38" t="n">
        <v>264</v>
      </c>
      <c r="C265" s="38" t="inlineStr">
        <is>
          <t>skill</t>
        </is>
      </c>
      <c r="D265" s="38" t="inlineStr">
        <is>
          <t>snapshot_vanessa_legacy_catalog_v1</t>
        </is>
      </c>
      <c r="E265" s="38" t="inlineStr">
        <is>
          <t>snapshot_the_bazaar_patch_18_0_boundary</t>
        </is>
      </c>
      <c r="F265" s="38" t="inlineStr">
        <is>
          <t>true</t>
        </is>
      </c>
      <c r="G265" s="38" t="inlineStr">
        <is>
          <t>false</t>
        </is>
      </c>
      <c r="H265" s="38" t="inlineStr">
        <is>
          <t>current_rule_match,structured_trigger,structured_effects,quality_values,owner_scope,trainer_availability</t>
        </is>
      </c>
      <c r="I265" s="38" t="inlineStr">
        <is>
          <t>tempering</t>
        </is>
      </c>
      <c r="J265" s="38" t="inlineStr">
        <is>
          <t>Tempering</t>
        </is>
      </c>
      <c r="K265" s="38" t="inlineStr">
        <is>
          <t>silver</t>
        </is>
      </c>
      <c r="L265" s="38" t="inlineStr">
        <is>
          <t>medium</t>
        </is>
      </c>
      <c r="M265" s="38" t="inlineStr">
        <is>
          <t>weapon, damagereference</t>
        </is>
      </c>
      <c r="N265" s="38" t="n">
        <v>5</v>
      </c>
      <c r="O265" s="38" t="inlineStr">
        <is>
          <t>trainer_adira, trainer_argenta, trainer_nufu, trainer_orlin, trainer_ryukon</t>
        </is>
      </c>
      <c r="P265" s="38" t="n">
        <v>5</v>
      </c>
      <c r="Q265" s="38" t="inlineStr">
        <is>
          <t>elem_水, elem_雷, elem_龙, elem_无, role_坦克</t>
        </is>
      </c>
      <c r="R265" s="38" t="inlineStr">
        <is>
          <t>Deadly</t>
        </is>
      </c>
      <c r="S265" s="38" t="inlineStr">
        <is>
          <t>pal_264</t>
        </is>
      </c>
      <c r="T265" s="38" t="inlineStr">
        <is>
          <t>蛟鲨精</t>
        </is>
      </c>
      <c r="U265" s="38" t="inlineStr">
        <is>
          <t>https://bazaar-builds.net/db/skills/tempering.html</t>
        </is>
      </c>
      <c r="V265" s="38" t="inlineStr">
        <is>
          <t>when you use a weapon, it gains +3 / 6 / 9 damage for the fight.</t>
        </is>
      </c>
      <c r="W265" s="38" t="inlineStr">
        <is>
          <t>一对一确认来源对象。</t>
        </is>
      </c>
      <c r="X265" s="385" t="str"/>
      <c r="Y265" s="386" t="inlineStr">
        <is>
          <t>reference_reserved</t>
        </is>
      </c>
      <c r="Z265" s="386" t="str"/>
      <c r="AA265" s="386" t="str"/>
    </row>
    <row r="266">
      <c r="A266" s="38" t="inlineStr">
        <is>
          <t>bz_van_265</t>
        </is>
      </c>
      <c r="B266" s="38" t="n">
        <v>265</v>
      </c>
      <c r="C266" s="38" t="inlineStr">
        <is>
          <t>skill</t>
        </is>
      </c>
      <c r="D266" s="38" t="inlineStr">
        <is>
          <t>snapshot_vanessa_legacy_catalog_v1</t>
        </is>
      </c>
      <c r="E266" s="38" t="inlineStr">
        <is>
          <t>snapshot_the_bazaar_patch_18_0_boundary</t>
        </is>
      </c>
      <c r="F266" s="38" t="inlineStr">
        <is>
          <t>true</t>
        </is>
      </c>
      <c r="G266" s="38" t="inlineStr">
        <is>
          <t>false</t>
        </is>
      </c>
      <c r="H266" s="38" t="inlineStr">
        <is>
          <t>current_rule_match,structured_trigger,structured_effects,quality_values,owner_scope,trainer_availability</t>
        </is>
      </c>
      <c r="I266" s="38" t="inlineStr">
        <is>
          <t>temporal-strike</t>
        </is>
      </c>
      <c r="J266" s="38" t="inlineStr">
        <is>
          <t>Temporal Strike</t>
        </is>
      </c>
      <c r="K266" s="38" t="inlineStr">
        <is>
          <t>gold</t>
        </is>
      </c>
      <c r="L266" s="38" t="inlineStr">
        <is>
          <t>medium</t>
        </is>
      </c>
      <c r="M266" s="38" t="inlineStr">
        <is>
          <t>weapon, slowreference, charge</t>
        </is>
      </c>
      <c r="N266" s="38" t="n">
        <v>6</v>
      </c>
      <c r="O266" s="38" t="inlineStr">
        <is>
          <t>trainer_adira, trainer_nufu, trainer_orlin, trainer_ryukon, trainer_slohmor-lumbra, trainer_zara</t>
        </is>
      </c>
      <c r="P266" s="38" t="n">
        <v>6</v>
      </c>
      <c r="Q266" s="38" t="inlineStr">
        <is>
          <t>elem_水, elem_龙, elem_无, role_坦克, role_经济, special_merchant</t>
        </is>
      </c>
      <c r="R266" s="38" t="inlineStr">
        <is>
          <t>Icy</t>
        </is>
      </c>
      <c r="S266" s="38" t="inlineStr">
        <is>
          <t>pal_265</t>
        </is>
      </c>
      <c r="T266" s="38" t="inlineStr">
        <is>
          <t>电狐王</t>
        </is>
      </c>
      <c r="U266" s="38" t="inlineStr">
        <is>
          <t>https://bazaar-builds.net/db/skills/temporal-strike.html</t>
        </is>
      </c>
      <c r="V266" s="38" t="inlineStr">
        <is>
          <t>the first 4 → 8 times you slow each fight, charge a weapon 1 second.</t>
        </is>
      </c>
      <c r="W266" s="38" t="inlineStr">
        <is>
          <t>一对一确认来源对象。</t>
        </is>
      </c>
      <c r="X266" s="385" t="str"/>
      <c r="Y266" s="386" t="inlineStr">
        <is>
          <t>reference_reserved</t>
        </is>
      </c>
      <c r="Z266" s="386" t="str"/>
      <c r="AA266" s="386" t="str"/>
    </row>
    <row r="267">
      <c r="A267" s="38" t="inlineStr">
        <is>
          <t>bz_van_266</t>
        </is>
      </c>
      <c r="B267" s="38" t="n">
        <v>266</v>
      </c>
      <c r="C267" s="38" t="inlineStr">
        <is>
          <t>skill</t>
        </is>
      </c>
      <c r="D267" s="38" t="inlineStr">
        <is>
          <t>snapshot_vanessa_legacy_catalog_v1</t>
        </is>
      </c>
      <c r="E267" s="38" t="inlineStr">
        <is>
          <t>snapshot_the_bazaar_patch_18_0_boundary</t>
        </is>
      </c>
      <c r="F267" s="38" t="inlineStr">
        <is>
          <t>true</t>
        </is>
      </c>
      <c r="G267" s="38" t="inlineStr">
        <is>
          <t>false</t>
        </is>
      </c>
      <c r="H267" s="38" t="inlineStr">
        <is>
          <t>current_rule_match,structured_trigger,structured_effects,quality_values,owner_scope,trainer_availability</t>
        </is>
      </c>
      <c r="I267" s="38" t="inlineStr">
        <is>
          <t>the-best-defense</t>
        </is>
      </c>
      <c r="J267" s="38" t="inlineStr">
        <is>
          <t>The Best Defense</t>
        </is>
      </c>
      <c r="K267" s="38" t="inlineStr">
        <is>
          <t>silver</t>
        </is>
      </c>
      <c r="L267" s="38" t="inlineStr">
        <is>
          <t>medium</t>
        </is>
      </c>
      <c r="M267" s="38" t="inlineStr">
        <is>
          <t>weapon, damagereference</t>
        </is>
      </c>
      <c r="N267" s="38" t="n">
        <v>6</v>
      </c>
      <c r="O267" s="38" t="inlineStr">
        <is>
          <t>trainer_adira, trainer_argenta, trainer_nufu, trainer_old-zane, trainer_orlin, trainer_ryukon</t>
        </is>
      </c>
      <c r="P267" s="38" t="n">
        <v>6</v>
      </c>
      <c r="Q267" s="38" t="inlineStr">
        <is>
          <t>elem_水, elem_雷, elem_地, elem_龙, elem_无, role_坦克</t>
        </is>
      </c>
      <c r="R267" s="38" t="inlineStr">
        <is>
          <t>Deadly</t>
        </is>
      </c>
      <c r="S267" s="38" t="inlineStr">
        <is>
          <t>pal_266</t>
        </is>
      </c>
      <c r="T267" s="38" t="inlineStr">
        <is>
          <t>沧狮将</t>
        </is>
      </c>
      <c r="U267" s="38" t="inlineStr">
        <is>
          <t>https://bazaar-builds.net/db/skills/the-best-defense.html</t>
        </is>
      </c>
      <c r="V267" s="38" t="inlineStr">
        <is>
          <t>when you use a weapon, weapons adjacent to it gain +3 / 6 / 9 damage for the fight.</t>
        </is>
      </c>
      <c r="W267" s="38" t="inlineStr">
        <is>
          <t>一对一确认来源对象。</t>
        </is>
      </c>
      <c r="X267" s="385" t="str"/>
      <c r="Y267" s="386" t="inlineStr">
        <is>
          <t>reference_reserved</t>
        </is>
      </c>
      <c r="Z267" s="386" t="str"/>
      <c r="AA267" s="386" t="str"/>
    </row>
    <row r="268">
      <c r="A268" s="38" t="inlineStr">
        <is>
          <t>bz_van_267</t>
        </is>
      </c>
      <c r="B268" s="38" t="n">
        <v>267</v>
      </c>
      <c r="C268" s="38" t="inlineStr">
        <is>
          <t>skill</t>
        </is>
      </c>
      <c r="D268" s="38" t="inlineStr">
        <is>
          <t>snapshot_vanessa_legacy_catalog_v1</t>
        </is>
      </c>
      <c r="E268" s="38" t="inlineStr">
        <is>
          <t>snapshot_the_bazaar_patch_18_0_boundary</t>
        </is>
      </c>
      <c r="F268" s="38" t="inlineStr">
        <is>
          <t>true</t>
        </is>
      </c>
      <c r="G268" s="38" t="inlineStr">
        <is>
          <t>false</t>
        </is>
      </c>
      <c r="H268" s="38" t="inlineStr">
        <is>
          <t>current_rule_match,structured_trigger,structured_effects,quality_values,owner_scope,trainer_availability</t>
        </is>
      </c>
      <c r="I268" s="38" t="inlineStr">
        <is>
          <t>tiny-dancer</t>
        </is>
      </c>
      <c r="J268" s="38" t="inlineStr">
        <is>
          <t>Tiny Dancer</t>
        </is>
      </c>
      <c r="K268" s="38" t="inlineStr">
        <is>
          <t>gold</t>
        </is>
      </c>
      <c r="L268" s="38" t="inlineStr">
        <is>
          <t>medium</t>
        </is>
      </c>
      <c r="M268" s="38" t="inlineStr">
        <is>
          <t>cooldown</t>
        </is>
      </c>
      <c r="N268" s="38" t="n">
        <v>3</v>
      </c>
      <c r="O268" s="38" t="inlineStr">
        <is>
          <t>trainer_adira, trainer_nufu, trainer_orlin</t>
        </is>
      </c>
      <c r="P268" s="38" t="n">
        <v>3</v>
      </c>
      <c r="Q268" s="38" t="inlineStr">
        <is>
          <t>elem_水, elem_龙, elem_无</t>
        </is>
      </c>
      <c r="R268" s="38" t="inlineStr">
        <is>
          <t>Turbo</t>
        </is>
      </c>
      <c r="S268" s="38" t="inlineStr">
        <is>
          <t>pal_267</t>
        </is>
      </c>
      <c r="T268" s="38" t="inlineStr">
        <is>
          <t>炎鲭侯</t>
        </is>
      </c>
      <c r="U268" s="38" t="inlineStr">
        <is>
          <t>https://bazaar-builds.net/db/skills/tiny-dancer.html</t>
        </is>
      </c>
      <c r="V268" s="38" t="inlineStr">
        <is>
          <t>if you have at least 7 items, your items' cooldowns are reduced by 5 → 10%.</t>
        </is>
      </c>
      <c r="W268" s="38" t="inlineStr">
        <is>
          <t>一对一确认来源对象。</t>
        </is>
      </c>
      <c r="X268" s="385" t="str"/>
      <c r="Y268" s="386" t="inlineStr">
        <is>
          <t>reference_reserved</t>
        </is>
      </c>
      <c r="Z268" s="386" t="str"/>
      <c r="AA268" s="386" t="str"/>
    </row>
    <row r="269">
      <c r="A269" s="38" t="inlineStr">
        <is>
          <t>bz_van_268</t>
        </is>
      </c>
      <c r="B269" s="38" t="n">
        <v>268</v>
      </c>
      <c r="C269" s="38" t="inlineStr">
        <is>
          <t>skill</t>
        </is>
      </c>
      <c r="D269" s="38" t="inlineStr">
        <is>
          <t>snapshot_vanessa_legacy_catalog_v1</t>
        </is>
      </c>
      <c r="E269" s="38" t="inlineStr">
        <is>
          <t>snapshot_the_bazaar_patch_18_0_boundary</t>
        </is>
      </c>
      <c r="F269" s="38" t="inlineStr">
        <is>
          <t>true</t>
        </is>
      </c>
      <c r="G269" s="38" t="inlineStr">
        <is>
          <t>false</t>
        </is>
      </c>
      <c r="H269" s="38" t="inlineStr">
        <is>
          <t>current_rule_match,structured_trigger,structured_effects,quality_values,owner_scope,trainer_availability</t>
        </is>
      </c>
      <c r="I269" s="38" t="inlineStr">
        <is>
          <t>toughness</t>
        </is>
      </c>
      <c r="J269" s="38" t="inlineStr">
        <is>
          <t>Toughness</t>
        </is>
      </c>
      <c r="K269" s="38" t="inlineStr">
        <is>
          <t>bronze</t>
        </is>
      </c>
      <c r="L269" s="38" t="inlineStr">
        <is>
          <t>medium</t>
        </is>
      </c>
      <c r="M269" s="38" t="inlineStr">
        <is>
          <t>shieldreference</t>
        </is>
      </c>
      <c r="N269" s="38" t="n">
        <v>5</v>
      </c>
      <c r="O269" s="38" t="inlineStr">
        <is>
          <t>trainer_adira, trainer_argenta, trainer_fortis, trainer_nufu, trainer_orlin</t>
        </is>
      </c>
      <c r="P269" s="38" t="n">
        <v>5</v>
      </c>
      <c r="Q269" s="38" t="inlineStr">
        <is>
          <t>elem_水, elem_雷, elem_龙, elem_无, role_召唤铺场</t>
        </is>
      </c>
      <c r="R269" s="38" t="inlineStr">
        <is>
          <t>Shielded</t>
        </is>
      </c>
      <c r="S269" s="38" t="inlineStr">
        <is>
          <t>pal_268</t>
        </is>
      </c>
      <c r="T269" s="38" t="inlineStr">
        <is>
          <t>石牦灵</t>
        </is>
      </c>
      <c r="U269" s="38" t="inlineStr">
        <is>
          <t>https://bazaar-builds.net/db/skills/toughness.html</t>
        </is>
      </c>
      <c r="V269" s="38" t="inlineStr">
        <is>
          <t>your shield items have +5 / 10 / 15 / 20 shield.</t>
        </is>
      </c>
      <c r="W269" s="38" t="inlineStr">
        <is>
          <t>一对一确认来源对象。</t>
        </is>
      </c>
      <c r="X269" s="385" t="str"/>
      <c r="Y269" s="386" t="inlineStr">
        <is>
          <t>reference_reserved</t>
        </is>
      </c>
      <c r="Z269" s="386" t="str"/>
      <c r="AA269" s="386" t="str"/>
    </row>
    <row r="270">
      <c r="A270" s="38" t="inlineStr">
        <is>
          <t>bz_van_269</t>
        </is>
      </c>
      <c r="B270" s="38" t="n">
        <v>269</v>
      </c>
      <c r="C270" s="38" t="inlineStr">
        <is>
          <t>skill</t>
        </is>
      </c>
      <c r="D270" s="38" t="inlineStr">
        <is>
          <t>snapshot_vanessa_legacy_catalog_v1</t>
        </is>
      </c>
      <c r="E270" s="38" t="inlineStr">
        <is>
          <t>snapshot_the_bazaar_patch_18_0_boundary</t>
        </is>
      </c>
      <c r="F270" s="38" t="inlineStr">
        <is>
          <t>true</t>
        </is>
      </c>
      <c r="G270" s="38" t="inlineStr">
        <is>
          <t>false</t>
        </is>
      </c>
      <c r="H270" s="38" t="inlineStr">
        <is>
          <t>current_rule_match,structured_trigger,structured_effects,quality_values,owner_scope,trainer_availability</t>
        </is>
      </c>
      <c r="I270" s="38" t="inlineStr">
        <is>
          <t>toxic-flame</t>
        </is>
      </c>
      <c r="J270" s="38" t="inlineStr">
        <is>
          <t>Toxic Flame</t>
        </is>
      </c>
      <c r="K270" s="38" t="inlineStr">
        <is>
          <t>silver</t>
        </is>
      </c>
      <c r="L270" s="38" t="inlineStr">
        <is>
          <t>medium</t>
        </is>
      </c>
      <c r="M270" s="38" t="inlineStr">
        <is>
          <t>poisonreference, burnreference</t>
        </is>
      </c>
      <c r="N270" s="38" t="n">
        <v>6</v>
      </c>
      <c r="O270" s="38" t="inlineStr">
        <is>
          <t>trainer_adira, trainer_argenta, trainer_malafang, trainer_nufu, trainer_orlin, trainer_professor-riggle</t>
        </is>
      </c>
      <c r="P270" s="38" t="n">
        <v>6</v>
      </c>
      <c r="Q270" s="38" t="inlineStr">
        <is>
          <t>elem_水, elem_雷, elem_龙, elem_无, role_治疗, role_输出</t>
        </is>
      </c>
      <c r="R270" s="38" t="inlineStr">
        <is>
          <t>Fiery</t>
        </is>
      </c>
      <c r="S270" s="38" t="inlineStr">
        <is>
          <t>pal_269</t>
        </is>
      </c>
      <c r="T270" s="38" t="inlineStr">
        <is>
          <t>焰蝎妖</t>
        </is>
      </c>
      <c r="U270" s="38" t="inlineStr">
        <is>
          <t>https://bazaar-builds.net/db/skills/toxic-flame.html</t>
        </is>
      </c>
      <c r="V270" s="38" t="inlineStr">
        <is>
          <t>when you burn, your poison items gain +1 / 2 / 3 poison for the fight.</t>
        </is>
      </c>
      <c r="W270" s="38" t="inlineStr">
        <is>
          <t>一对一确认来源对象。</t>
        </is>
      </c>
      <c r="X270" s="385" t="str"/>
      <c r="Y270" s="386" t="inlineStr">
        <is>
          <t>reference_reserved</t>
        </is>
      </c>
      <c r="Z270" s="386" t="str"/>
      <c r="AA270" s="386" t="str"/>
    </row>
    <row r="271">
      <c r="A271" s="38" t="inlineStr">
        <is>
          <t>bz_van_270</t>
        </is>
      </c>
      <c r="B271" s="38" t="n">
        <v>270</v>
      </c>
      <c r="C271" s="38" t="inlineStr">
        <is>
          <t>skill</t>
        </is>
      </c>
      <c r="D271" s="38" t="inlineStr">
        <is>
          <t>snapshot_vanessa_legacy_catalog_v1</t>
        </is>
      </c>
      <c r="E271" s="38" t="inlineStr">
        <is>
          <t>snapshot_the_bazaar_patch_18_0_boundary</t>
        </is>
      </c>
      <c r="F271" s="38" t="inlineStr">
        <is>
          <t>true</t>
        </is>
      </c>
      <c r="G271" s="38" t="inlineStr">
        <is>
          <t>false</t>
        </is>
      </c>
      <c r="H271" s="38" t="inlineStr">
        <is>
          <t>current_rule_match,structured_trigger,structured_effects,quality_values,owner_scope,trainer_availability</t>
        </is>
      </c>
      <c r="I271" s="38" t="inlineStr">
        <is>
          <t>toxic-weapons</t>
        </is>
      </c>
      <c r="J271" s="38" t="inlineStr">
        <is>
          <t>Toxic Weapons</t>
        </is>
      </c>
      <c r="K271" s="38" t="inlineStr">
        <is>
          <t>silver</t>
        </is>
      </c>
      <c r="L271" s="38" t="inlineStr">
        <is>
          <t>medium</t>
        </is>
      </c>
      <c r="M271" s="38" t="inlineStr">
        <is>
          <t>weapon, poisonreference</t>
        </is>
      </c>
      <c r="N271" s="38" t="n">
        <v>6</v>
      </c>
      <c r="O271" s="38" t="inlineStr">
        <is>
          <t>trainer_adira, trainer_argenta, trainer_nufu, trainer_orlin, trainer_professor-riggle, trainer_ryukon</t>
        </is>
      </c>
      <c r="P271" s="38" t="n">
        <v>6</v>
      </c>
      <c r="Q271" s="38" t="inlineStr">
        <is>
          <t>elem_水, elem_雷, elem_龙, elem_无, role_坦克, role_输出</t>
        </is>
      </c>
      <c r="R271" s="38" t="inlineStr">
        <is>
          <t>Toxic</t>
        </is>
      </c>
      <c r="S271" s="38" t="inlineStr">
        <is>
          <t>pal_270</t>
        </is>
      </c>
      <c r="T271" s="38" t="inlineStr">
        <is>
          <t>芽蛛将</t>
        </is>
      </c>
      <c r="U271" s="38" t="inlineStr">
        <is>
          <t>https://bazaar-builds.net/db/skills/toxic-weapons.html</t>
        </is>
      </c>
      <c r="V271" s="38" t="inlineStr">
        <is>
          <t>your poison items have +2 / 3 / 4 poison for each weapon you have.</t>
        </is>
      </c>
      <c r="W271" s="38" t="inlineStr">
        <is>
          <t>一对一确认来源对象。</t>
        </is>
      </c>
      <c r="X271" s="385" t="str"/>
      <c r="Y271" s="386" t="inlineStr">
        <is>
          <t>reference_reserved</t>
        </is>
      </c>
      <c r="Z271" s="386" t="str"/>
      <c r="AA271" s="386" t="str"/>
    </row>
    <row r="272">
      <c r="A272" s="38" t="inlineStr">
        <is>
          <t>bz_van_271</t>
        </is>
      </c>
      <c r="B272" s="38" t="n">
        <v>271</v>
      </c>
      <c r="C272" s="38" t="inlineStr">
        <is>
          <t>skill</t>
        </is>
      </c>
      <c r="D272" s="38" t="inlineStr">
        <is>
          <t>snapshot_vanessa_legacy_catalog_v1</t>
        </is>
      </c>
      <c r="E272" s="38" t="inlineStr">
        <is>
          <t>snapshot_the_bazaar_patch_18_0_boundary</t>
        </is>
      </c>
      <c r="F272" s="38" t="inlineStr">
        <is>
          <t>true</t>
        </is>
      </c>
      <c r="G272" s="38" t="inlineStr">
        <is>
          <t>false</t>
        </is>
      </c>
      <c r="H272" s="38" t="inlineStr">
        <is>
          <t>current_rule_match,structured_trigger,structured_effects,quality_values,owner_scope,trainer_availability</t>
        </is>
      </c>
      <c r="I272" s="38" t="inlineStr">
        <is>
          <t>toxicity</t>
        </is>
      </c>
      <c r="J272" s="38" t="inlineStr">
        <is>
          <t>Toxicity</t>
        </is>
      </c>
      <c r="K272" s="38" t="inlineStr">
        <is>
          <t>silver</t>
        </is>
      </c>
      <c r="L272" s="38" t="inlineStr">
        <is>
          <t>medium</t>
        </is>
      </c>
      <c r="M272" s="38" t="inlineStr">
        <is>
          <t>damagereference, poisonreference</t>
        </is>
      </c>
      <c r="N272" s="38" t="n">
        <v>5</v>
      </c>
      <c r="O272" s="38" t="inlineStr">
        <is>
          <t>trainer_adira, trainer_argenta, trainer_nufu, trainer_orlin, trainer_professor-riggle</t>
        </is>
      </c>
      <c r="P272" s="38" t="n">
        <v>5</v>
      </c>
      <c r="Q272" s="38" t="inlineStr">
        <is>
          <t>elem_水, elem_雷, elem_龙, elem_无, role_输出</t>
        </is>
      </c>
      <c r="R272" s="38" t="inlineStr">
        <is>
          <t>Toxic</t>
        </is>
      </c>
      <c r="S272" s="38" t="inlineStr">
        <is>
          <t>pal_271</t>
        </is>
      </c>
      <c r="T272" s="38" t="inlineStr">
        <is>
          <t>青蛇将</t>
        </is>
      </c>
      <c r="U272" s="38" t="inlineStr">
        <is>
          <t>https://bazaar-builds.net/db/skills/toxicity.html</t>
        </is>
      </c>
      <c r="V272" s="38" t="inlineStr">
        <is>
          <t>when you poison, your weapons gain 2 / 4 / 6 damage for the fight.</t>
        </is>
      </c>
      <c r="W272" s="38" t="inlineStr">
        <is>
          <t>一对一确认来源对象。</t>
        </is>
      </c>
      <c r="X272" s="385" t="str"/>
      <c r="Y272" s="386" t="inlineStr">
        <is>
          <t>reference_reserved</t>
        </is>
      </c>
      <c r="Z272" s="386" t="str"/>
      <c r="AA272" s="386" t="str"/>
    </row>
    <row r="273">
      <c r="A273" s="38" t="inlineStr">
        <is>
          <t>bz_van_272</t>
        </is>
      </c>
      <c r="B273" s="38" t="n">
        <v>272</v>
      </c>
      <c r="C273" s="38" t="inlineStr">
        <is>
          <t>skill</t>
        </is>
      </c>
      <c r="D273" s="38" t="inlineStr">
        <is>
          <t>snapshot_vanessa_legacy_catalog_v1</t>
        </is>
      </c>
      <c r="E273" s="38" t="inlineStr">
        <is>
          <t>snapshot_the_bazaar_patch_18_0_boundary</t>
        </is>
      </c>
      <c r="F273" s="38" t="inlineStr">
        <is>
          <t>true</t>
        </is>
      </c>
      <c r="G273" s="38" t="inlineStr">
        <is>
          <t>false</t>
        </is>
      </c>
      <c r="H273" s="38" t="inlineStr">
        <is>
          <t>current_rule_match,structured_trigger,structured_effects,quality_values,owner_scope,trainer_availability</t>
        </is>
      </c>
      <c r="I273" s="38" t="inlineStr">
        <is>
          <t>toxin-injector</t>
        </is>
      </c>
      <c r="J273" s="38" t="inlineStr">
        <is>
          <t>Toxin Injector</t>
        </is>
      </c>
      <c r="K273" s="38" t="inlineStr">
        <is>
          <t>silver</t>
        </is>
      </c>
      <c r="L273" s="38" t="inlineStr">
        <is>
          <t>medium</t>
        </is>
      </c>
      <c r="M273" s="38" t="inlineStr">
        <is>
          <t>poisonreference, haste</t>
        </is>
      </c>
      <c r="N273" s="38" t="n">
        <v>6</v>
      </c>
      <c r="O273" s="38" t="inlineStr">
        <is>
          <t>trainer_adira, trainer_argenta, trainer_nufu, trainer_orlin, trainer_professor-riggle, trainer_zara</t>
        </is>
      </c>
      <c r="P273" s="38" t="n">
        <v>6</v>
      </c>
      <c r="Q273" s="38" t="inlineStr">
        <is>
          <t>elem_水, elem_雷, elem_龙, elem_无, role_输出, special_merchant</t>
        </is>
      </c>
      <c r="R273" s="38" t="inlineStr">
        <is>
          <t>Toxic</t>
        </is>
      </c>
      <c r="S273" s="38" t="inlineStr">
        <is>
          <t>pal_272</t>
        </is>
      </c>
      <c r="T273" s="38" t="inlineStr">
        <is>
          <t>芽貂卫</t>
        </is>
      </c>
      <c r="U273" s="38" t="inlineStr">
        <is>
          <t>https://bazaar-builds.net/db/skills/toxin-injector.html</t>
        </is>
      </c>
      <c r="V273" s="38" t="inlineStr">
        <is>
          <t>the first time you use an item each fight, haste 1 / 2 / 3 poison item(s) for 2 seconds.</t>
        </is>
      </c>
      <c r="W273" s="38" t="inlineStr">
        <is>
          <t>一对一确认来源对象。</t>
        </is>
      </c>
      <c r="X273" s="385" t="str"/>
      <c r="Y273" s="386" t="inlineStr">
        <is>
          <t>reference_reserved</t>
        </is>
      </c>
      <c r="Z273" s="386" t="str"/>
      <c r="AA273" s="386" t="str"/>
    </row>
    <row r="274">
      <c r="A274" s="38" t="inlineStr">
        <is>
          <t>bz_van_273</t>
        </is>
      </c>
      <c r="B274" s="38" t="n">
        <v>273</v>
      </c>
      <c r="C274" s="38" t="inlineStr">
        <is>
          <t>skill</t>
        </is>
      </c>
      <c r="D274" s="38" t="inlineStr">
        <is>
          <t>snapshot_vanessa_legacy_catalog_v1</t>
        </is>
      </c>
      <c r="E274" s="38" t="inlineStr">
        <is>
          <t>snapshot_the_bazaar_patch_18_0_boundary</t>
        </is>
      </c>
      <c r="F274" s="38" t="inlineStr">
        <is>
          <t>true</t>
        </is>
      </c>
      <c r="G274" s="38" t="inlineStr">
        <is>
          <t>false</t>
        </is>
      </c>
      <c r="H274" s="38" t="inlineStr">
        <is>
          <t>current_rule_match,structured_trigger,structured_effects,quality_values,owner_scope,trainer_availability</t>
        </is>
      </c>
      <c r="I274" s="38" t="inlineStr">
        <is>
          <t>tracer-fire</t>
        </is>
      </c>
      <c r="J274" s="38" t="inlineStr">
        <is>
          <t>Tracer Fire</t>
        </is>
      </c>
      <c r="K274" s="38" t="inlineStr">
        <is>
          <t>silver</t>
        </is>
      </c>
      <c r="L274" s="38" t="inlineStr">
        <is>
          <t>medium</t>
        </is>
      </c>
      <c r="M274" s="38" t="inlineStr">
        <is>
          <t>burnreference, crit</t>
        </is>
      </c>
      <c r="N274" s="38" t="n">
        <v>6</v>
      </c>
      <c r="O274" s="38" t="inlineStr">
        <is>
          <t>trainer_adira, trainer_argenta, trainer_malafang, trainer_nufu, trainer_orlin, trainer_vermir</t>
        </is>
      </c>
      <c r="P274" s="38" t="n">
        <v>6</v>
      </c>
      <c r="Q274" s="38" t="inlineStr">
        <is>
          <t>elem_水, elem_雷, elem_龙, elem_无, role_召唤, role_治疗</t>
        </is>
      </c>
      <c r="R274" s="38" t="inlineStr">
        <is>
          <t>Fiery</t>
        </is>
      </c>
      <c r="S274" s="38" t="inlineStr">
        <is>
          <t>pal_273</t>
        </is>
      </c>
      <c r="T274" s="38" t="inlineStr">
        <is>
          <t>燎鹰卫</t>
        </is>
      </c>
      <c r="U274" s="38" t="inlineStr">
        <is>
          <t>https://bazaar-builds.net/db/skills/tracer-fire.html</t>
        </is>
      </c>
      <c r="V274" s="38" t="inlineStr">
        <is>
          <t>when you burn, your items gain +1 / 2 / 3% crit chance for the fight.</t>
        </is>
      </c>
      <c r="W274" s="38" t="inlineStr">
        <is>
          <t>一对一确认来源对象。</t>
        </is>
      </c>
      <c r="X274" s="385" t="str"/>
      <c r="Y274" s="386" t="inlineStr">
        <is>
          <t>reference_reserved</t>
        </is>
      </c>
      <c r="Z274" s="386" t="str"/>
      <c r="AA274" s="386" t="str"/>
    </row>
    <row r="275">
      <c r="A275" s="38" t="inlineStr">
        <is>
          <t>bz_van_274</t>
        </is>
      </c>
      <c r="B275" s="38" t="n">
        <v>274</v>
      </c>
      <c r="C275" s="38" t="inlineStr">
        <is>
          <t>skill</t>
        </is>
      </c>
      <c r="D275" s="38" t="inlineStr">
        <is>
          <t>snapshot_vanessa_legacy_catalog_v1</t>
        </is>
      </c>
      <c r="E275" s="38" t="inlineStr">
        <is>
          <t>snapshot_the_bazaar_patch_18_0_boundary</t>
        </is>
      </c>
      <c r="F275" s="38" t="inlineStr">
        <is>
          <t>true</t>
        </is>
      </c>
      <c r="G275" s="38" t="inlineStr">
        <is>
          <t>false</t>
        </is>
      </c>
      <c r="H275" s="38" t="inlineStr">
        <is>
          <t>current_rule_match,structured_trigger,structured_effects,quality_values,owner_scope,trainer_availability</t>
        </is>
      </c>
      <c r="I275" s="38" t="inlineStr">
        <is>
          <t>venomous-blade</t>
        </is>
      </c>
      <c r="J275" s="38" t="inlineStr">
        <is>
          <t>Venomous Blade</t>
        </is>
      </c>
      <c r="K275" s="38" t="inlineStr">
        <is>
          <t>gold</t>
        </is>
      </c>
      <c r="L275" s="38" t="inlineStr">
        <is>
          <t>medium</t>
        </is>
      </c>
      <c r="M275" s="38" t="inlineStr">
        <is>
          <t>weapon, charge, poisonreference, damagereference</t>
        </is>
      </c>
      <c r="N275" s="38" t="n">
        <v>6</v>
      </c>
      <c r="O275" s="38" t="inlineStr">
        <is>
          <t>trainer_adira, trainer_nufu, trainer_orlin, trainer_professor-riggle, trainer_ryukon, trainer_zara</t>
        </is>
      </c>
      <c r="P275" s="38" t="n">
        <v>6</v>
      </c>
      <c r="Q275" s="38" t="inlineStr">
        <is>
          <t>elem_水, elem_龙, elem_无, role_坦克, role_输出, special_merchant</t>
        </is>
      </c>
      <c r="R275" s="38" t="inlineStr">
        <is>
          <t>Toxic</t>
        </is>
      </c>
      <c r="S275" s="38" t="inlineStr">
        <is>
          <t>pal_274</t>
        </is>
      </c>
      <c r="T275" s="38" t="inlineStr">
        <is>
          <t>苔貂王</t>
        </is>
      </c>
      <c r="U275" s="38" t="inlineStr">
        <is>
          <t>https://bazaar-builds.net/db/skills/venomous-blade.html</t>
        </is>
      </c>
      <c r="V275" s="38" t="inlineStr">
        <is>
          <t>the first 4 → 8 times you use a weapon each fight, charge a poison item 1 second.</t>
        </is>
      </c>
      <c r="W275" s="38" t="inlineStr">
        <is>
          <t>一对一确认来源对象。</t>
        </is>
      </c>
      <c r="X275" s="385" t="str"/>
      <c r="Y275" s="386" t="inlineStr">
        <is>
          <t>reference_reserved</t>
        </is>
      </c>
      <c r="Z275" s="386" t="str"/>
      <c r="AA275" s="386" t="str"/>
    </row>
    <row r="276">
      <c r="A276" s="38" t="inlineStr">
        <is>
          <t>bz_van_275</t>
        </is>
      </c>
      <c r="B276" s="38" t="n">
        <v>275</v>
      </c>
      <c r="C276" s="38" t="inlineStr">
        <is>
          <t>skill</t>
        </is>
      </c>
      <c r="D276" s="38" t="inlineStr">
        <is>
          <t>snapshot_vanessa_legacy_catalog_v1</t>
        </is>
      </c>
      <c r="E276" s="38" t="inlineStr">
        <is>
          <t>snapshot_the_bazaar_patch_18_0_boundary</t>
        </is>
      </c>
      <c r="F276" s="38" t="inlineStr">
        <is>
          <t>true</t>
        </is>
      </c>
      <c r="G276" s="38" t="inlineStr">
        <is>
          <t>false</t>
        </is>
      </c>
      <c r="H276" s="38" t="inlineStr">
        <is>
          <t>current_rule_match,structured_trigger,structured_effects,quality_values,owner_scope,trainer_availability</t>
        </is>
      </c>
      <c r="I276" s="38" t="inlineStr">
        <is>
          <t>venomous-vitality</t>
        </is>
      </c>
      <c r="J276" s="38" t="inlineStr">
        <is>
          <t>Venomous Vitality</t>
        </is>
      </c>
      <c r="K276" s="38" t="inlineStr">
        <is>
          <t>diamond</t>
        </is>
      </c>
      <c r="L276" s="38" t="inlineStr">
        <is>
          <t>medium</t>
        </is>
      </c>
      <c r="M276" s="38" t="inlineStr">
        <is>
          <t>regen, poisonreference</t>
        </is>
      </c>
      <c r="N276" s="38" t="n">
        <v>4</v>
      </c>
      <c r="O276" s="38" t="inlineStr">
        <is>
          <t>trainer_adira, trainer_nufu, trainer_professor-riggle, trainer_regenald</t>
        </is>
      </c>
      <c r="P276" s="38" t="n">
        <v>4</v>
      </c>
      <c r="Q276" s="38" t="inlineStr">
        <is>
          <t>elem_水, elem_龙, role_输出, tier_pT2</t>
        </is>
      </c>
      <c r="R276" s="38" t="inlineStr">
        <is>
          <t>Toxic</t>
        </is>
      </c>
      <c r="S276" s="38" t="inlineStr">
        <is>
          <t>pal_275</t>
        </is>
      </c>
      <c r="T276" s="38" t="inlineStr">
        <is>
          <t>青鹿祖</t>
        </is>
      </c>
      <c r="U276" s="38" t="inlineStr">
        <is>
          <t>https://bazaar-builds.net/db/skills/venomous-vitality.html</t>
        </is>
      </c>
      <c r="V276" s="38" t="inlineStr">
        <is>
          <t>you have +regen equal to half the poison on an enemy.</t>
        </is>
      </c>
      <c r="W276" s="38" t="inlineStr">
        <is>
          <t>一对一确认来源对象。</t>
        </is>
      </c>
      <c r="X276" s="385" t="str"/>
      <c r="Y276" s="386" t="inlineStr">
        <is>
          <t>reference_reserved</t>
        </is>
      </c>
      <c r="Z276" s="386" t="str"/>
      <c r="AA276" s="386" t="str"/>
    </row>
    <row r="277">
      <c r="A277" s="38" t="inlineStr">
        <is>
          <t>bz_van_276</t>
        </is>
      </c>
      <c r="B277" s="38" t="n">
        <v>276</v>
      </c>
      <c r="C277" s="38" t="inlineStr">
        <is>
          <t>skill</t>
        </is>
      </c>
      <c r="D277" s="38" t="inlineStr">
        <is>
          <t>snapshot_vanessa_legacy_catalog_v1</t>
        </is>
      </c>
      <c r="E277" s="38" t="inlineStr">
        <is>
          <t>snapshot_the_bazaar_patch_18_0_boundary</t>
        </is>
      </c>
      <c r="F277" s="38" t="inlineStr">
        <is>
          <t>true</t>
        </is>
      </c>
      <c r="G277" s="38" t="inlineStr">
        <is>
          <t>false</t>
        </is>
      </c>
      <c r="H277" s="38" t="inlineStr">
        <is>
          <t>current_rule_match,structured_trigger,structured_effects,quality_values,owner_scope,trainer_availability</t>
        </is>
      </c>
      <c r="I277" s="38" t="inlineStr">
        <is>
          <t>warm-hugs</t>
        </is>
      </c>
      <c r="J277" s="38" t="inlineStr">
        <is>
          <t>Warm Hugs</t>
        </is>
      </c>
      <c r="K277" s="38" t="inlineStr">
        <is>
          <t>silver</t>
        </is>
      </c>
      <c r="L277" s="38" t="inlineStr">
        <is>
          <t>medium</t>
        </is>
      </c>
      <c r="M277" s="38" t="inlineStr">
        <is>
          <t>friend, burn</t>
        </is>
      </c>
      <c r="N277" s="38" t="n">
        <v>5</v>
      </c>
      <c r="O277" s="38" t="inlineStr">
        <is>
          <t>trainer_adira, trainer_argenta, trainer_malafang, trainer_nufu, trainer_orlin</t>
        </is>
      </c>
      <c r="P277" s="38" t="n">
        <v>5</v>
      </c>
      <c r="Q277" s="38" t="inlineStr">
        <is>
          <t>elem_水, elem_雷, elem_龙, elem_无, role_治疗</t>
        </is>
      </c>
      <c r="R277" s="38" t="inlineStr">
        <is>
          <t>Fiery</t>
        </is>
      </c>
      <c r="S277" s="38" t="inlineStr">
        <is>
          <t>pal_276</t>
        </is>
      </c>
      <c r="T277" s="38" t="inlineStr">
        <is>
          <t>焰蟾卫</t>
        </is>
      </c>
      <c r="U277" s="38" t="inlineStr">
        <is>
          <t>https://bazaar-builds.net/db/skills/warm-hugs.html</t>
        </is>
      </c>
      <c r="V277" s="38" t="inlineStr">
        <is>
          <t>the first 4 / 8 / 12 times you use a friend each fight, burn 5.</t>
        </is>
      </c>
      <c r="W277" s="38" t="inlineStr">
        <is>
          <t>一对一确认来源对象。</t>
        </is>
      </c>
      <c r="X277" s="385" t="str"/>
      <c r="Y277" s="386" t="inlineStr">
        <is>
          <t>reference_reserved</t>
        </is>
      </c>
      <c r="Z277" s="386" t="str"/>
      <c r="AA277" s="386" t="str"/>
    </row>
    <row r="278">
      <c r="A278" s="38" t="inlineStr">
        <is>
          <t>bz_van_277</t>
        </is>
      </c>
      <c r="B278" s="38" t="n">
        <v>277</v>
      </c>
      <c r="C278" s="38" t="inlineStr">
        <is>
          <t>merchant_package</t>
        </is>
      </c>
      <c r="D278" s="38" t="inlineStr">
        <is>
          <t>snapshot_vanessa_legacy_catalog_v1</t>
        </is>
      </c>
      <c r="E278" s="38" t="inlineStr">
        <is>
          <t>snapshot_the_bazaar_patch_18_0_boundary</t>
        </is>
      </c>
      <c r="F278" s="38" t="inlineStr">
        <is>
          <t>true</t>
        </is>
      </c>
      <c r="G278" s="38" t="inlineStr">
        <is>
          <t>false</t>
        </is>
      </c>
      <c r="H278" s="38" t="inlineStr">
        <is>
          <t>current_rule_match,structured_effects,reward_payload,sell_target,availability</t>
        </is>
      </c>
      <c r="I278" s="38" t="inlineStr">
        <is>
          <t>package-f218t3kc5j6h9jfksw0pwqlwhp</t>
        </is>
      </c>
      <c r="J278" s="38" t="inlineStr">
        <is>
          <t>Chronos' Package</t>
        </is>
      </c>
      <c r="K278" s="38" t="inlineStr">
        <is>
          <t>silver</t>
        </is>
      </c>
      <c r="L278" s="38" t="inlineStr">
        <is>
          <t>Large</t>
        </is>
      </c>
      <c r="M278" s="38" t="inlineStr">
        <is>
          <t>package, large, silver, chronos</t>
        </is>
      </c>
      <c r="N278" s="38" t="n">
        <v>2</v>
      </c>
      <c r="O278" s="38" t="inlineStr">
        <is>
          <t>merchant_chronos, merchant_silvia</t>
        </is>
      </c>
      <c r="P278" s="38" t="n">
        <v>2</v>
      </c>
      <c r="Q278" s="38" t="inlineStr">
        <is>
          <t>role_经济, elite_high</t>
        </is>
      </c>
      <c r="R278" s="38" t="inlineStr">
        <is>
          <t>Turbo</t>
        </is>
      </c>
      <c r="S278" s="38" t="inlineStr">
        <is>
          <t>pal_277</t>
        </is>
      </c>
      <c r="T278" s="38" t="inlineStr">
        <is>
          <t>克诺大兽</t>
        </is>
      </c>
      <c r="U278" s="38" t="inlineStr">
        <is>
          <t>https://bazaardb.gg/card/f218t3kc5j6h9jfksw0pwqlwhp/Chronos'-Package</t>
        </is>
      </c>
      <c r="V278" s="38" t="inlineStr">
        <is>
          <t>When you sell this to Chronos, get an Enchanted large Haste item and 3 XP</t>
        </is>
      </c>
      <c r="W278" s="38" t="inlineStr">
        <is>
          <t>BazaarDB Patch 16.2 商人包卡；归属 Chronos，品质 白银，占格 Large。</t>
        </is>
      </c>
      <c r="X278" s="385" t="str"/>
      <c r="Y278" s="386" t="inlineStr">
        <is>
          <t>reference_reserved</t>
        </is>
      </c>
      <c r="Z278" s="386" t="str"/>
      <c r="AA278" s="386" t="str"/>
    </row>
    <row r="279">
      <c r="A279" s="38" t="inlineStr">
        <is>
          <t>bz_van_278</t>
        </is>
      </c>
      <c r="B279" s="38" t="n">
        <v>278</v>
      </c>
      <c r="C279" s="38" t="inlineStr">
        <is>
          <t>merchant_package</t>
        </is>
      </c>
      <c r="D279" s="38" t="inlineStr">
        <is>
          <t>snapshot_vanessa_legacy_catalog_v1</t>
        </is>
      </c>
      <c r="E279" s="38" t="inlineStr">
        <is>
          <t>snapshot_the_bazaar_patch_18_0_boundary</t>
        </is>
      </c>
      <c r="F279" s="38" t="inlineStr">
        <is>
          <t>true</t>
        </is>
      </c>
      <c r="G279" s="38" t="inlineStr">
        <is>
          <t>false</t>
        </is>
      </c>
      <c r="H279" s="38" t="inlineStr">
        <is>
          <t>current_rule_match,structured_effects,reward_payload,sell_target,availability</t>
        </is>
      </c>
      <c r="I279" s="38" t="inlineStr">
        <is>
          <t>package-ncgf4n4q63560gx7hxcfn9c505</t>
        </is>
      </c>
      <c r="J279" s="38" t="inlineStr">
        <is>
          <t>Chronos' Package</t>
        </is>
      </c>
      <c r="K279" s="38" t="inlineStr">
        <is>
          <t>gold</t>
        </is>
      </c>
      <c r="L279" s="38" t="inlineStr">
        <is>
          <t>Medium</t>
        </is>
      </c>
      <c r="M279" s="38" t="inlineStr">
        <is>
          <t>package, medium, gold, chronos</t>
        </is>
      </c>
      <c r="N279" s="38" t="n">
        <v>2</v>
      </c>
      <c r="O279" s="38" t="inlineStr">
        <is>
          <t>merchant_chronos, merchant_goldie</t>
        </is>
      </c>
      <c r="P279" s="38" t="n">
        <v>2</v>
      </c>
      <c r="Q279" s="38" t="inlineStr">
        <is>
          <t>role_坦克, elite_high</t>
        </is>
      </c>
      <c r="R279" s="38" t="inlineStr">
        <is>
          <t>Turbo</t>
        </is>
      </c>
      <c r="S279" s="38" t="inlineStr">
        <is>
          <t>pal_278</t>
        </is>
      </c>
      <c r="T279" s="38" t="inlineStr">
        <is>
          <t>克诺中兽</t>
        </is>
      </c>
      <c r="U279" s="38" t="inlineStr">
        <is>
          <t>https://bazaardb.gg/card/ncgf4n4q63560gx7hxcfn9c505/Chronos'-Package</t>
        </is>
      </c>
      <c r="V279" s="38" t="inlineStr">
        <is>
          <t>When you sell this to Chronos, get an Enchanted medium Haste item and 3 XP</t>
        </is>
      </c>
      <c r="W279" s="38" t="inlineStr">
        <is>
          <t>BazaarDB Patch 16.2 商人包卡；归属 Chronos，品质 黄金，占格 Medium。</t>
        </is>
      </c>
      <c r="X279" s="385" t="str"/>
      <c r="Y279" s="386" t="inlineStr">
        <is>
          <t>reference_reserved</t>
        </is>
      </c>
      <c r="Z279" s="386" t="str"/>
      <c r="AA279" s="386" t="str"/>
    </row>
    <row r="280">
      <c r="A280" s="38" t="inlineStr">
        <is>
          <t>bz_van_279</t>
        </is>
      </c>
      <c r="B280" s="38" t="n">
        <v>279</v>
      </c>
      <c r="C280" s="38" t="inlineStr">
        <is>
          <t>merchant_package</t>
        </is>
      </c>
      <c r="D280" s="38" t="inlineStr">
        <is>
          <t>snapshot_vanessa_legacy_catalog_v1</t>
        </is>
      </c>
      <c r="E280" s="38" t="inlineStr">
        <is>
          <t>snapshot_the_bazaar_patch_18_0_boundary</t>
        </is>
      </c>
      <c r="F280" s="38" t="inlineStr">
        <is>
          <t>true</t>
        </is>
      </c>
      <c r="G280" s="38" t="inlineStr">
        <is>
          <t>false</t>
        </is>
      </c>
      <c r="H280" s="38" t="inlineStr">
        <is>
          <t>current_rule_match,structured_effects,reward_payload,sell_target,availability</t>
        </is>
      </c>
      <c r="I280" s="38" t="inlineStr">
        <is>
          <t>package-1830w2cgyw37txgy21hdzb83p8d</t>
        </is>
      </c>
      <c r="J280" s="38" t="inlineStr">
        <is>
          <t>Chronos' Package</t>
        </is>
      </c>
      <c r="K280" s="38" t="inlineStr">
        <is>
          <t>gold</t>
        </is>
      </c>
      <c r="L280" s="38" t="inlineStr">
        <is>
          <t>Small</t>
        </is>
      </c>
      <c r="M280" s="38" t="inlineStr">
        <is>
          <t>package, small, gold, chronos</t>
        </is>
      </c>
      <c r="N280" s="38" t="n">
        <v>2</v>
      </c>
      <c r="O280" s="38" t="inlineStr">
        <is>
          <t>merchant_chronos, merchant_goldie</t>
        </is>
      </c>
      <c r="P280" s="38" t="n">
        <v>2</v>
      </c>
      <c r="Q280" s="38" t="inlineStr">
        <is>
          <t>role_坦克, elite_high</t>
        </is>
      </c>
      <c r="R280" s="38" t="inlineStr">
        <is>
          <t>Turbo</t>
        </is>
      </c>
      <c r="S280" s="38" t="inlineStr">
        <is>
          <t>pal_279</t>
        </is>
      </c>
      <c r="T280" s="38" t="inlineStr">
        <is>
          <t>克诺小兽</t>
        </is>
      </c>
      <c r="U280" s="38" t="inlineStr">
        <is>
          <t>https://bazaardb.gg/card/1830w2cgyw37txgy21hdzb83p8d/Chronos'-Package</t>
        </is>
      </c>
      <c r="V280" s="38" t="inlineStr">
        <is>
          <t>When you sell this to Chronos, get an Enchanted small Haste item and 3 XP</t>
        </is>
      </c>
      <c r="W280" s="38" t="inlineStr">
        <is>
          <t>BazaarDB Patch 16.2 商人包卡；归属 Chronos，品质 黄金，占格 Small。</t>
        </is>
      </c>
      <c r="X280" s="385" t="str"/>
      <c r="Y280" s="386" t="inlineStr">
        <is>
          <t>reference_reserved</t>
        </is>
      </c>
      <c r="Z280" s="386" t="str"/>
      <c r="AA280" s="386" t="str"/>
    </row>
    <row r="281">
      <c r="A281" s="38" t="inlineStr">
        <is>
          <t>bz_van_280</t>
        </is>
      </c>
      <c r="B281" s="38" t="n">
        <v>280</v>
      </c>
      <c r="C281" s="38" t="inlineStr">
        <is>
          <t>merchant_package</t>
        </is>
      </c>
      <c r="D281" s="38" t="inlineStr">
        <is>
          <t>snapshot_vanessa_legacy_catalog_v1</t>
        </is>
      </c>
      <c r="E281" s="38" t="inlineStr">
        <is>
          <t>snapshot_the_bazaar_patch_18_0_boundary</t>
        </is>
      </c>
      <c r="F281" s="38" t="inlineStr">
        <is>
          <t>true</t>
        </is>
      </c>
      <c r="G281" s="38" t="inlineStr">
        <is>
          <t>false</t>
        </is>
      </c>
      <c r="H281" s="38" t="inlineStr">
        <is>
          <t>current_rule_match,structured_effects,reward_payload,sell_target,availability</t>
        </is>
      </c>
      <c r="I281" s="38" t="inlineStr">
        <is>
          <t>package-wfcd4scmx9j3pkbmlz6pc03370</t>
        </is>
      </c>
      <c r="J281" s="38" t="inlineStr">
        <is>
          <t>Cobweb's Package</t>
        </is>
      </c>
      <c r="K281" s="38" t="inlineStr">
        <is>
          <t>gold</t>
        </is>
      </c>
      <c r="L281" s="38" t="inlineStr">
        <is>
          <t>Small</t>
        </is>
      </c>
      <c r="M281" s="38" t="inlineStr">
        <is>
          <t>package, small, gold, cobweb</t>
        </is>
      </c>
      <c r="N281" s="38" t="n">
        <v>2</v>
      </c>
      <c r="O281" s="38" t="inlineStr">
        <is>
          <t>merchant_cobweb, merchant_goldie</t>
        </is>
      </c>
      <c r="P281" s="38" t="n">
        <v>2</v>
      </c>
      <c r="Q281" s="38" t="inlineStr">
        <is>
          <t>role_坦克, role_召唤铺场</t>
        </is>
      </c>
      <c r="R281" s="38" t="inlineStr">
        <is>
          <t>Icy</t>
        </is>
      </c>
      <c r="S281" s="38" t="inlineStr">
        <is>
          <t>pal_280</t>
        </is>
      </c>
      <c r="T281" s="38" t="inlineStr">
        <is>
          <t>蛛婆小兽</t>
        </is>
      </c>
      <c r="U281" s="38" t="inlineStr">
        <is>
          <t>https://bazaardb.gg/card/wfcd4scmx9j3pkbmlz6pc03370/Cobweb's-Package</t>
        </is>
      </c>
      <c r="V281" s="38" t="inlineStr">
        <is>
          <t>When you sell this to Cobweb, get an Enchanted small Slow item and 3 XP</t>
        </is>
      </c>
      <c r="W281" s="38" t="inlineStr">
        <is>
          <t>BazaarDB Patch 16.2 商人包卡；归属 Cobweb，品质 黄金，占格 Small。</t>
        </is>
      </c>
      <c r="X281" s="385" t="str"/>
      <c r="Y281" s="386" t="inlineStr">
        <is>
          <t>reference_reserved</t>
        </is>
      </c>
      <c r="Z281" s="386" t="str"/>
      <c r="AA281" s="386" t="str"/>
    </row>
    <row r="282">
      <c r="A282" s="38" t="inlineStr">
        <is>
          <t>bz_van_281</t>
        </is>
      </c>
      <c r="B282" s="38" t="n">
        <v>281</v>
      </c>
      <c r="C282" s="38" t="inlineStr">
        <is>
          <t>merchant_package</t>
        </is>
      </c>
      <c r="D282" s="38" t="inlineStr">
        <is>
          <t>snapshot_vanessa_legacy_catalog_v1</t>
        </is>
      </c>
      <c r="E282" s="38" t="inlineStr">
        <is>
          <t>snapshot_the_bazaar_patch_18_0_boundary</t>
        </is>
      </c>
      <c r="F282" s="38" t="inlineStr">
        <is>
          <t>true</t>
        </is>
      </c>
      <c r="G282" s="38" t="inlineStr">
        <is>
          <t>false</t>
        </is>
      </c>
      <c r="H282" s="38" t="inlineStr">
        <is>
          <t>current_rule_match,structured_effects,reward_payload,sell_target,availability</t>
        </is>
      </c>
      <c r="I282" s="38" t="inlineStr">
        <is>
          <t>package-159tfz2f4t0mdw54lfcj7x055dm</t>
        </is>
      </c>
      <c r="J282" s="38" t="inlineStr">
        <is>
          <t>Cobweb's Package</t>
        </is>
      </c>
      <c r="K282" s="38" t="inlineStr">
        <is>
          <t>silver</t>
        </is>
      </c>
      <c r="L282" s="38" t="inlineStr">
        <is>
          <t>Large</t>
        </is>
      </c>
      <c r="M282" s="38" t="inlineStr">
        <is>
          <t>package, large, silver, cobweb</t>
        </is>
      </c>
      <c r="N282" s="38" t="n">
        <v>2</v>
      </c>
      <c r="O282" s="38" t="inlineStr">
        <is>
          <t>merchant_cobweb, merchant_silvia</t>
        </is>
      </c>
      <c r="P282" s="38" t="n">
        <v>2</v>
      </c>
      <c r="Q282" s="38" t="inlineStr">
        <is>
          <t>role_经济, role_召唤铺场</t>
        </is>
      </c>
      <c r="R282" s="38" t="inlineStr">
        <is>
          <t>Icy</t>
        </is>
      </c>
      <c r="S282" s="38" t="inlineStr">
        <is>
          <t>pal_281</t>
        </is>
      </c>
      <c r="T282" s="38" t="inlineStr">
        <is>
          <t>蛛婆大兽</t>
        </is>
      </c>
      <c r="U282" s="38" t="inlineStr">
        <is>
          <t>https://bazaardb.gg/card/159tfz2f4t0mdw54lfcj7x055dm/Cobweb's-Package</t>
        </is>
      </c>
      <c r="V282" s="38" t="inlineStr">
        <is>
          <t>When you sell this to Cobweb, get an Enchanted large Slow item and 3 XP</t>
        </is>
      </c>
      <c r="W282" s="38" t="inlineStr">
        <is>
          <t>BazaarDB Patch 16.2 商人包卡；归属 Cobweb，品质 白银，占格 Large。</t>
        </is>
      </c>
      <c r="X282" s="385" t="str"/>
      <c r="Y282" s="386" t="inlineStr">
        <is>
          <t>reference_reserved</t>
        </is>
      </c>
      <c r="Z282" s="386" t="str"/>
      <c r="AA282" s="386" t="str"/>
    </row>
    <row r="283">
      <c r="A283" s="38" t="inlineStr">
        <is>
          <t>bz_van_282</t>
        </is>
      </c>
      <c r="B283" s="38" t="n">
        <v>282</v>
      </c>
      <c r="C283" s="38" t="inlineStr">
        <is>
          <t>merchant_package</t>
        </is>
      </c>
      <c r="D283" s="38" t="inlineStr">
        <is>
          <t>snapshot_vanessa_legacy_catalog_v1</t>
        </is>
      </c>
      <c r="E283" s="38" t="inlineStr">
        <is>
          <t>snapshot_the_bazaar_patch_18_0_boundary</t>
        </is>
      </c>
      <c r="F283" s="38" t="inlineStr">
        <is>
          <t>true</t>
        </is>
      </c>
      <c r="G283" s="38" t="inlineStr">
        <is>
          <t>false</t>
        </is>
      </c>
      <c r="H283" s="38" t="inlineStr">
        <is>
          <t>current_rule_match,structured_effects,reward_payload,sell_target,availability</t>
        </is>
      </c>
      <c r="I283" s="38" t="inlineStr">
        <is>
          <t>package-163g8y2315csbbykvsbtl7sf0nc</t>
        </is>
      </c>
      <c r="J283" s="38" t="inlineStr">
        <is>
          <t>Cobweb's Package</t>
        </is>
      </c>
      <c r="K283" s="38" t="inlineStr">
        <is>
          <t>gold</t>
        </is>
      </c>
      <c r="L283" s="38" t="inlineStr">
        <is>
          <t>Medium</t>
        </is>
      </c>
      <c r="M283" s="38" t="inlineStr">
        <is>
          <t>package, medium, gold, cobweb</t>
        </is>
      </c>
      <c r="N283" s="38" t="n">
        <v>2</v>
      </c>
      <c r="O283" s="38" t="inlineStr">
        <is>
          <t>merchant_cobweb, merchant_goldie</t>
        </is>
      </c>
      <c r="P283" s="38" t="n">
        <v>2</v>
      </c>
      <c r="Q283" s="38" t="inlineStr">
        <is>
          <t>role_坦克, role_召唤铺场</t>
        </is>
      </c>
      <c r="R283" s="38" t="inlineStr">
        <is>
          <t>Icy</t>
        </is>
      </c>
      <c r="S283" s="38" t="inlineStr">
        <is>
          <t>pal_282</t>
        </is>
      </c>
      <c r="T283" s="38" t="inlineStr">
        <is>
          <t>蛛婆中兽</t>
        </is>
      </c>
      <c r="U283" s="38" t="inlineStr">
        <is>
          <t>https://bazaardb.gg/card/163g8y2315csbbykvsbtl7sf0nc/Cobweb's-Package</t>
        </is>
      </c>
      <c r="V283" s="38" t="inlineStr">
        <is>
          <t>When you sell this to Cobweb, get an Enchanted medium Slow item and 3 XP</t>
        </is>
      </c>
      <c r="W283" s="38" t="inlineStr">
        <is>
          <t>BazaarDB Patch 16.2 商人包卡；归属 Cobweb，品质 黄金，占格 Medium。</t>
        </is>
      </c>
      <c r="X283" s="385" t="str"/>
      <c r="Y283" s="386" t="inlineStr">
        <is>
          <t>reference_reserved</t>
        </is>
      </c>
      <c r="Z283" s="386" t="str"/>
      <c r="AA283" s="386" t="str"/>
    </row>
    <row r="284">
      <c r="A284" s="38" t="inlineStr">
        <is>
          <t>bz_van_283</t>
        </is>
      </c>
      <c r="B284" s="38" t="n">
        <v>283</v>
      </c>
      <c r="C284" s="38" t="inlineStr">
        <is>
          <t>merchant_package</t>
        </is>
      </c>
      <c r="D284" s="38" t="inlineStr">
        <is>
          <t>snapshot_vanessa_legacy_catalog_v1</t>
        </is>
      </c>
      <c r="E284" s="38" t="inlineStr">
        <is>
          <t>snapshot_the_bazaar_patch_18_0_boundary</t>
        </is>
      </c>
      <c r="F284" s="38" t="inlineStr">
        <is>
          <t>true</t>
        </is>
      </c>
      <c r="G284" s="38" t="inlineStr">
        <is>
          <t>false</t>
        </is>
      </c>
      <c r="H284" s="38" t="inlineStr">
        <is>
          <t>current_rule_match,structured_effects,reward_payload,sell_target,availability</t>
        </is>
      </c>
      <c r="I284" s="38" t="inlineStr">
        <is>
          <t>package-7m1snlcjqqvcxj06vmy1f7l8s</t>
        </is>
      </c>
      <c r="J284" s="38" t="inlineStr">
        <is>
          <t>Freiya's Package</t>
        </is>
      </c>
      <c r="K284" s="38" t="inlineStr">
        <is>
          <t>gold</t>
        </is>
      </c>
      <c r="L284" s="38" t="inlineStr">
        <is>
          <t>Small</t>
        </is>
      </c>
      <c r="M284" s="38" t="inlineStr">
        <is>
          <t>package, small, gold, freiya</t>
        </is>
      </c>
      <c r="N284" s="38" t="n">
        <v>2</v>
      </c>
      <c r="O284" s="38" t="inlineStr">
        <is>
          <t>merchant_freiya, merchant_goldie</t>
        </is>
      </c>
      <c r="P284" s="38" t="n">
        <v>2</v>
      </c>
      <c r="Q284" s="38" t="inlineStr">
        <is>
          <t>role_坦克, role_风系牵制</t>
        </is>
      </c>
      <c r="R284" s="38" t="inlineStr">
        <is>
          <t>Icy</t>
        </is>
      </c>
      <c r="S284" s="38" t="inlineStr">
        <is>
          <t>pal_283</t>
        </is>
      </c>
      <c r="T284" s="38" t="inlineStr">
        <is>
          <t>芙蕾小兽</t>
        </is>
      </c>
      <c r="U284" s="38" t="inlineStr">
        <is>
          <t>https://bazaardb.gg/card/7m1snlcjqqvcxj06vmy1f7l8s/Freiya's-Package</t>
        </is>
      </c>
      <c r="V284" s="38" t="inlineStr">
        <is>
          <t>When you sell this to Freiya, get an Enchanted small Freeze item and 3 XP</t>
        </is>
      </c>
      <c r="W284" s="38" t="inlineStr">
        <is>
          <t>BazaarDB Patch 16.2 商人包卡；归属 Freiya，品质 黄金，占格 Small。</t>
        </is>
      </c>
      <c r="X284" s="385" t="str"/>
      <c r="Y284" s="386" t="inlineStr">
        <is>
          <t>reference_reserved</t>
        </is>
      </c>
      <c r="Z284" s="386" t="str"/>
      <c r="AA284" s="386" t="str"/>
    </row>
    <row r="285">
      <c r="A285" s="38" t="inlineStr">
        <is>
          <t>bz_van_284</t>
        </is>
      </c>
      <c r="B285" s="38" t="n">
        <v>284</v>
      </c>
      <c r="C285" s="38" t="inlineStr">
        <is>
          <t>merchant_package</t>
        </is>
      </c>
      <c r="D285" s="38" t="inlineStr">
        <is>
          <t>snapshot_vanessa_legacy_catalog_v1</t>
        </is>
      </c>
      <c r="E285" s="38" t="inlineStr">
        <is>
          <t>snapshot_the_bazaar_patch_18_0_boundary</t>
        </is>
      </c>
      <c r="F285" s="38" t="inlineStr">
        <is>
          <t>true</t>
        </is>
      </c>
      <c r="G285" s="38" t="inlineStr">
        <is>
          <t>false</t>
        </is>
      </c>
      <c r="H285" s="38" t="inlineStr">
        <is>
          <t>current_rule_match,structured_effects,reward_payload,sell_target,availability</t>
        </is>
      </c>
      <c r="I285" s="38" t="inlineStr">
        <is>
          <t>package-131c1qvbbsys7vfkd0f02mdgs2v</t>
        </is>
      </c>
      <c r="J285" s="38" t="inlineStr">
        <is>
          <t>Freiya's Package</t>
        </is>
      </c>
      <c r="K285" s="38" t="inlineStr">
        <is>
          <t>silver</t>
        </is>
      </c>
      <c r="L285" s="38" t="inlineStr">
        <is>
          <t>Large</t>
        </is>
      </c>
      <c r="M285" s="38" t="inlineStr">
        <is>
          <t>package, large, silver, freiya</t>
        </is>
      </c>
      <c r="N285" s="38" t="n">
        <v>2</v>
      </c>
      <c r="O285" s="38" t="inlineStr">
        <is>
          <t>merchant_freiya, merchant_silvia</t>
        </is>
      </c>
      <c r="P285" s="38" t="n">
        <v>2</v>
      </c>
      <c r="Q285" s="38" t="inlineStr">
        <is>
          <t>role_经济, role_风系牵制</t>
        </is>
      </c>
      <c r="R285" s="38" t="inlineStr">
        <is>
          <t>Icy</t>
        </is>
      </c>
      <c r="S285" s="38" t="inlineStr">
        <is>
          <t>pal_284</t>
        </is>
      </c>
      <c r="T285" s="38" t="inlineStr">
        <is>
          <t>芙蕾大兽</t>
        </is>
      </c>
      <c r="U285" s="38" t="inlineStr">
        <is>
          <t>https://bazaardb.gg/card/131c1qvbbsys7vfkd0f02mdgs2v/Freiya's-Package</t>
        </is>
      </c>
      <c r="V285" s="38" t="inlineStr">
        <is>
          <t>When you sell this to Freiya, get an Enchanted large Freeze item and 3 XP</t>
        </is>
      </c>
      <c r="W285" s="38" t="inlineStr">
        <is>
          <t>BazaarDB Patch 16.2 商人包卡；归属 Freiya，品质 白银，占格 Large。</t>
        </is>
      </c>
      <c r="X285" s="385" t="str"/>
      <c r="Y285" s="386" t="inlineStr">
        <is>
          <t>reference_reserved</t>
        </is>
      </c>
      <c r="Z285" s="386" t="str"/>
      <c r="AA285" s="386" t="str"/>
    </row>
    <row r="286">
      <c r="A286" s="38" t="inlineStr">
        <is>
          <t>bz_van_285</t>
        </is>
      </c>
      <c r="B286" s="38" t="n">
        <v>285</v>
      </c>
      <c r="C286" s="38" t="inlineStr">
        <is>
          <t>merchant_package</t>
        </is>
      </c>
      <c r="D286" s="38" t="inlineStr">
        <is>
          <t>snapshot_vanessa_legacy_catalog_v1</t>
        </is>
      </c>
      <c r="E286" s="38" t="inlineStr">
        <is>
          <t>snapshot_the_bazaar_patch_18_0_boundary</t>
        </is>
      </c>
      <c r="F286" s="38" t="inlineStr">
        <is>
          <t>true</t>
        </is>
      </c>
      <c r="G286" s="38" t="inlineStr">
        <is>
          <t>false</t>
        </is>
      </c>
      <c r="H286" s="38" t="inlineStr">
        <is>
          <t>current_rule_match,structured_effects,reward_payload,sell_target,availability</t>
        </is>
      </c>
      <c r="I286" s="38" t="inlineStr">
        <is>
          <t>package-173tq0djxk84lwtsnmhmgf5shv4</t>
        </is>
      </c>
      <c r="J286" s="38" t="inlineStr">
        <is>
          <t>Freiya's Package</t>
        </is>
      </c>
      <c r="K286" s="38" t="inlineStr">
        <is>
          <t>gold</t>
        </is>
      </c>
      <c r="L286" s="38" t="inlineStr">
        <is>
          <t>Medium</t>
        </is>
      </c>
      <c r="M286" s="38" t="inlineStr">
        <is>
          <t>package, medium, gold, freiya</t>
        </is>
      </c>
      <c r="N286" s="38" t="n">
        <v>2</v>
      </c>
      <c r="O286" s="38" t="inlineStr">
        <is>
          <t>merchant_freiya, merchant_goldie</t>
        </is>
      </c>
      <c r="P286" s="38" t="n">
        <v>2</v>
      </c>
      <c r="Q286" s="38" t="inlineStr">
        <is>
          <t>role_坦克, role_风系牵制</t>
        </is>
      </c>
      <c r="R286" s="38" t="inlineStr">
        <is>
          <t>Icy</t>
        </is>
      </c>
      <c r="S286" s="38" t="inlineStr">
        <is>
          <t>pal_285</t>
        </is>
      </c>
      <c r="T286" s="38" t="inlineStr">
        <is>
          <t>芙蕾中兽</t>
        </is>
      </c>
      <c r="U286" s="38" t="inlineStr">
        <is>
          <t>https://bazaardb.gg/card/173tq0djxk84lwtsnmhmgf5shv4/Freiya's-Package</t>
        </is>
      </c>
      <c r="V286" s="38" t="inlineStr">
        <is>
          <t>When you sell this to Freiya, get an Enchanted medium Freeze item and 3 XP</t>
        </is>
      </c>
      <c r="W286" s="38" t="inlineStr">
        <is>
          <t>BazaarDB Patch 16.2 商人包卡；归属 Freiya，品质 黄金，占格 Medium。</t>
        </is>
      </c>
      <c r="X286" s="385" t="str"/>
      <c r="Y286" s="386" t="inlineStr">
        <is>
          <t>reference_reserved</t>
        </is>
      </c>
      <c r="Z286" s="386" t="str"/>
      <c r="AA286" s="386" t="str"/>
    </row>
    <row r="287">
      <c r="A287" s="38" t="inlineStr">
        <is>
          <t>bz_van_286</t>
        </is>
      </c>
      <c r="B287" s="38" t="n">
        <v>286</v>
      </c>
      <c r="C287" s="38" t="inlineStr">
        <is>
          <t>merchant_package</t>
        </is>
      </c>
      <c r="D287" s="38" t="inlineStr">
        <is>
          <t>snapshot_vanessa_legacy_catalog_v1</t>
        </is>
      </c>
      <c r="E287" s="38" t="inlineStr">
        <is>
          <t>snapshot_the_bazaar_patch_18_0_boundary</t>
        </is>
      </c>
      <c r="F287" s="38" t="inlineStr">
        <is>
          <t>true</t>
        </is>
      </c>
      <c r="G287" s="38" t="inlineStr">
        <is>
          <t>false</t>
        </is>
      </c>
      <c r="H287" s="38" t="inlineStr">
        <is>
          <t>current_rule_match,structured_effects,reward_payload,sell_target,availability</t>
        </is>
      </c>
      <c r="I287" s="38" t="inlineStr">
        <is>
          <t>package-h712blm38cpyypfd2vz1h41033</t>
        </is>
      </c>
      <c r="J287" s="38" t="inlineStr">
        <is>
          <t>Hef's Package</t>
        </is>
      </c>
      <c r="K287" s="38" t="inlineStr">
        <is>
          <t>gold</t>
        </is>
      </c>
      <c r="L287" s="38" t="inlineStr">
        <is>
          <t>Small</t>
        </is>
      </c>
      <c r="M287" s="38" t="inlineStr">
        <is>
          <t>package, small, gold, hef</t>
        </is>
      </c>
      <c r="N287" s="38" t="n">
        <v>2</v>
      </c>
      <c r="O287" s="38" t="inlineStr">
        <is>
          <t>merchant_hef, merchant_goldie</t>
        </is>
      </c>
      <c r="P287" s="38" t="n">
        <v>2</v>
      </c>
      <c r="Q287" s="38" t="inlineStr">
        <is>
          <t>role_坦克, tier_pT2</t>
        </is>
      </c>
      <c r="R287" s="38" t="inlineStr">
        <is>
          <t>Fiery</t>
        </is>
      </c>
      <c r="S287" s="38" t="inlineStr">
        <is>
          <t>pal_286</t>
        </is>
      </c>
      <c r="T287" s="38" t="inlineStr">
        <is>
          <t>赫夫小兽</t>
        </is>
      </c>
      <c r="U287" s="38" t="inlineStr">
        <is>
          <t>https://bazaardb.gg/card/h712blm38cpyypfd2vz1h41033/Hef's-Package</t>
        </is>
      </c>
      <c r="V287" s="38" t="inlineStr">
        <is>
          <t>When you sell this to Hef, get an Enchanted small Burn item and 3 XP</t>
        </is>
      </c>
      <c r="W287" s="38" t="inlineStr">
        <is>
          <t>BazaarDB Patch 16.2 商人包卡；归属 Hef，品质 黄金，占格 Small。</t>
        </is>
      </c>
      <c r="X287" s="385" t="str"/>
      <c r="Y287" s="386" t="inlineStr">
        <is>
          <t>reference_reserved</t>
        </is>
      </c>
      <c r="Z287" s="386" t="str"/>
      <c r="AA287" s="386" t="str"/>
    </row>
    <row r="288">
      <c r="A288" s="38" t="inlineStr">
        <is>
          <t>bz_van_287</t>
        </is>
      </c>
      <c r="B288" s="38" t="n">
        <v>287</v>
      </c>
      <c r="C288" s="38" t="inlineStr">
        <is>
          <t>merchant_package</t>
        </is>
      </c>
      <c r="D288" s="38" t="inlineStr">
        <is>
          <t>snapshot_vanessa_legacy_catalog_v1</t>
        </is>
      </c>
      <c r="E288" s="38" t="inlineStr">
        <is>
          <t>snapshot_the_bazaar_patch_18_0_boundary</t>
        </is>
      </c>
      <c r="F288" s="38" t="inlineStr">
        <is>
          <t>true</t>
        </is>
      </c>
      <c r="G288" s="38" t="inlineStr">
        <is>
          <t>false</t>
        </is>
      </c>
      <c r="H288" s="38" t="inlineStr">
        <is>
          <t>current_rule_match,structured_effects,reward_payload,sell_target,availability</t>
        </is>
      </c>
      <c r="I288" s="38" t="inlineStr">
        <is>
          <t>package-sv9f3flz5w0n52y0vsc0wh9wng</t>
        </is>
      </c>
      <c r="J288" s="38" t="inlineStr">
        <is>
          <t>Hef's Package</t>
        </is>
      </c>
      <c r="K288" s="38" t="inlineStr">
        <is>
          <t>gold</t>
        </is>
      </c>
      <c r="L288" s="38" t="inlineStr">
        <is>
          <t>Medium</t>
        </is>
      </c>
      <c r="M288" s="38" t="inlineStr">
        <is>
          <t>package, medium, gold, hef</t>
        </is>
      </c>
      <c r="N288" s="38" t="n">
        <v>2</v>
      </c>
      <c r="O288" s="38" t="inlineStr">
        <is>
          <t>merchant_hef, merchant_goldie</t>
        </is>
      </c>
      <c r="P288" s="38" t="n">
        <v>2</v>
      </c>
      <c r="Q288" s="38" t="inlineStr">
        <is>
          <t>role_坦克, tier_pT2</t>
        </is>
      </c>
      <c r="R288" s="38" t="inlineStr">
        <is>
          <t>Fiery</t>
        </is>
      </c>
      <c r="S288" s="38" t="inlineStr">
        <is>
          <t>pal_287</t>
        </is>
      </c>
      <c r="T288" s="38" t="inlineStr">
        <is>
          <t>赫夫中兽</t>
        </is>
      </c>
      <c r="U288" s="38" t="inlineStr">
        <is>
          <t>https://bazaardb.gg/card/sv9f3flz5w0n52y0vsc0wh9wng/Hef's-Package</t>
        </is>
      </c>
      <c r="V288" s="38" t="inlineStr">
        <is>
          <t>When you sell this to Hef, get an Enchanted medium Burn item and 3 XP</t>
        </is>
      </c>
      <c r="W288" s="38" t="inlineStr">
        <is>
          <t>BazaarDB Patch 16.2 商人包卡；归属 Hef，品质 黄金，占格 Medium。</t>
        </is>
      </c>
      <c r="X288" s="385" t="str"/>
      <c r="Y288" s="386" t="inlineStr">
        <is>
          <t>reference_reserved</t>
        </is>
      </c>
      <c r="Z288" s="386" t="str"/>
      <c r="AA288" s="386" t="str"/>
    </row>
    <row r="289">
      <c r="A289" s="38" t="inlineStr">
        <is>
          <t>bz_van_288</t>
        </is>
      </c>
      <c r="B289" s="38" t="n">
        <v>288</v>
      </c>
      <c r="C289" s="38" t="inlineStr">
        <is>
          <t>merchant_package</t>
        </is>
      </c>
      <c r="D289" s="38" t="inlineStr">
        <is>
          <t>snapshot_vanessa_legacy_catalog_v1</t>
        </is>
      </c>
      <c r="E289" s="38" t="inlineStr">
        <is>
          <t>snapshot_the_bazaar_patch_18_0_boundary</t>
        </is>
      </c>
      <c r="F289" s="38" t="inlineStr">
        <is>
          <t>true</t>
        </is>
      </c>
      <c r="G289" s="38" t="inlineStr">
        <is>
          <t>false</t>
        </is>
      </c>
      <c r="H289" s="38" t="inlineStr">
        <is>
          <t>current_rule_match,structured_effects,reward_payload,sell_target,availability</t>
        </is>
      </c>
      <c r="I289" s="38" t="inlineStr">
        <is>
          <t>package-1248d5kqswqgq2vl3508qtb008m</t>
        </is>
      </c>
      <c r="J289" s="38" t="inlineStr">
        <is>
          <t>Hef's Package</t>
        </is>
      </c>
      <c r="K289" s="38" t="inlineStr">
        <is>
          <t>silver</t>
        </is>
      </c>
      <c r="L289" s="38" t="inlineStr">
        <is>
          <t>Large</t>
        </is>
      </c>
      <c r="M289" s="38" t="inlineStr">
        <is>
          <t>package, large, silver, hef</t>
        </is>
      </c>
      <c r="N289" s="38" t="n">
        <v>2</v>
      </c>
      <c r="O289" s="38" t="inlineStr">
        <is>
          <t>merchant_hef, merchant_silvia</t>
        </is>
      </c>
      <c r="P289" s="38" t="n">
        <v>2</v>
      </c>
      <c r="Q289" s="38" t="inlineStr">
        <is>
          <t>role_经济, tier_pT2</t>
        </is>
      </c>
      <c r="R289" s="38" t="inlineStr">
        <is>
          <t>Fiery</t>
        </is>
      </c>
      <c r="S289" s="38" t="inlineStr">
        <is>
          <t>pal_288</t>
        </is>
      </c>
      <c r="T289" s="38" t="inlineStr">
        <is>
          <t>赫夫大兽</t>
        </is>
      </c>
      <c r="U289" s="38" t="inlineStr">
        <is>
          <t>https://bazaardb.gg/card/1248d5kqswqgq2vl3508qtb008m/Hef's-Package</t>
        </is>
      </c>
      <c r="V289" s="38" t="inlineStr">
        <is>
          <t>When you sell this to Hef, get an Enchanted large Burn item and 3 XP</t>
        </is>
      </c>
      <c r="W289" s="38" t="inlineStr">
        <is>
          <t>BazaarDB Patch 16.2 商人包卡；归属 Hef，品质 白银，占格 Large。</t>
        </is>
      </c>
      <c r="X289" s="385" t="str"/>
      <c r="Y289" s="386" t="inlineStr">
        <is>
          <t>reference_reserved</t>
        </is>
      </c>
      <c r="Z289" s="386" t="str"/>
      <c r="AA289" s="386" t="str"/>
    </row>
    <row r="290">
      <c r="A290" s="38" t="inlineStr">
        <is>
          <t>bz_van_289</t>
        </is>
      </c>
      <c r="B290" s="38" t="n">
        <v>289</v>
      </c>
      <c r="C290" s="38" t="inlineStr">
        <is>
          <t>merchant_package</t>
        </is>
      </c>
      <c r="D290" s="38" t="inlineStr">
        <is>
          <t>snapshot_vanessa_legacy_catalog_v1</t>
        </is>
      </c>
      <c r="E290" s="38" t="inlineStr">
        <is>
          <t>snapshot_the_bazaar_patch_18_0_boundary</t>
        </is>
      </c>
      <c r="F290" s="38" t="inlineStr">
        <is>
          <t>true</t>
        </is>
      </c>
      <c r="G290" s="38" t="inlineStr">
        <is>
          <t>false</t>
        </is>
      </c>
      <c r="H290" s="38" t="inlineStr">
        <is>
          <t>current_rule_match,structured_effects,reward_payload,sell_target,availability</t>
        </is>
      </c>
      <c r="I290" s="38" t="inlineStr">
        <is>
          <t>package-j6qx837pfswxzqc4ww2dc8cn26</t>
        </is>
      </c>
      <c r="J290" s="38" t="inlineStr">
        <is>
          <t>Knightshade's Package</t>
        </is>
      </c>
      <c r="K290" s="38" t="inlineStr">
        <is>
          <t>silver</t>
        </is>
      </c>
      <c r="L290" s="38" t="inlineStr">
        <is>
          <t>Large</t>
        </is>
      </c>
      <c r="M290" s="38" t="inlineStr">
        <is>
          <t>package, large, silver, knightshade</t>
        </is>
      </c>
      <c r="N290" s="38" t="n">
        <v>2</v>
      </c>
      <c r="O290" s="38" t="inlineStr">
        <is>
          <t>merchant_knightshade, merchant_silvia</t>
        </is>
      </c>
      <c r="P290" s="38" t="n">
        <v>2</v>
      </c>
      <c r="Q290" s="38" t="inlineStr">
        <is>
          <t>role_经济, role_火系压制</t>
        </is>
      </c>
      <c r="R290" s="38" t="inlineStr">
        <is>
          <t>Toxic</t>
        </is>
      </c>
      <c r="S290" s="38" t="inlineStr">
        <is>
          <t>pal_289</t>
        </is>
      </c>
      <c r="T290" s="38" t="inlineStr">
        <is>
          <t>夜爵大兽</t>
        </is>
      </c>
      <c r="U290" s="38" t="inlineStr">
        <is>
          <t>https://bazaardb.gg/card/j6qx837pfswxzqc4ww2dc8cn26/Knightshade's-Package</t>
        </is>
      </c>
      <c r="V290" s="38" t="inlineStr">
        <is>
          <t>When you sell this to Knightshade, get an Enchanted large Poison item and 3 XP</t>
        </is>
      </c>
      <c r="W290" s="38" t="inlineStr">
        <is>
          <t>BazaarDB Patch 16.2 商人包卡；归属 Knightshade，品质 白银，占格 Large。</t>
        </is>
      </c>
      <c r="X290" s="385" t="str"/>
      <c r="Y290" s="386" t="inlineStr">
        <is>
          <t>reference_reserved</t>
        </is>
      </c>
      <c r="Z290" s="386" t="str"/>
      <c r="AA290" s="386" t="str"/>
    </row>
    <row r="291">
      <c r="A291" s="38" t="inlineStr">
        <is>
          <t>bz_van_290</t>
        </is>
      </c>
      <c r="B291" s="38" t="n">
        <v>290</v>
      </c>
      <c r="C291" s="38" t="inlineStr">
        <is>
          <t>merchant_package</t>
        </is>
      </c>
      <c r="D291" s="38" t="inlineStr">
        <is>
          <t>snapshot_vanessa_legacy_catalog_v1</t>
        </is>
      </c>
      <c r="E291" s="38" t="inlineStr">
        <is>
          <t>snapshot_the_bazaar_patch_18_0_boundary</t>
        </is>
      </c>
      <c r="F291" s="38" t="inlineStr">
        <is>
          <t>true</t>
        </is>
      </c>
      <c r="G291" s="38" t="inlineStr">
        <is>
          <t>false</t>
        </is>
      </c>
      <c r="H291" s="38" t="inlineStr">
        <is>
          <t>current_rule_match,structured_effects,reward_payload,sell_target,availability</t>
        </is>
      </c>
      <c r="I291" s="38" t="inlineStr">
        <is>
          <t>package-12nhmjmcp091f2ygsldzhmhz98s</t>
        </is>
      </c>
      <c r="J291" s="38" t="inlineStr">
        <is>
          <t>Knightshade's Package</t>
        </is>
      </c>
      <c r="K291" s="38" t="inlineStr">
        <is>
          <t>gold</t>
        </is>
      </c>
      <c r="L291" s="38" t="inlineStr">
        <is>
          <t>Small</t>
        </is>
      </c>
      <c r="M291" s="38" t="inlineStr">
        <is>
          <t>package, small, gold, knightshade</t>
        </is>
      </c>
      <c r="N291" s="38" t="n">
        <v>2</v>
      </c>
      <c r="O291" s="38" t="inlineStr">
        <is>
          <t>merchant_knightshade, merchant_goldie</t>
        </is>
      </c>
      <c r="P291" s="38" t="n">
        <v>2</v>
      </c>
      <c r="Q291" s="38" t="inlineStr">
        <is>
          <t>role_坦克, role_火系压制</t>
        </is>
      </c>
      <c r="R291" s="38" t="inlineStr">
        <is>
          <t>Toxic</t>
        </is>
      </c>
      <c r="S291" s="38" t="inlineStr">
        <is>
          <t>pal_290</t>
        </is>
      </c>
      <c r="T291" s="38" t="inlineStr">
        <is>
          <t>夜爵小兽</t>
        </is>
      </c>
      <c r="U291" s="38" t="inlineStr">
        <is>
          <t>https://bazaardb.gg/card/12nhmjmcp091f2ygsldzhmhz98s/Knightshade's-Package</t>
        </is>
      </c>
      <c r="V291" s="38" t="inlineStr">
        <is>
          <t>When you sell this to Knightshade, get an Enchanted small Poison item and 3 XP</t>
        </is>
      </c>
      <c r="W291" s="38" t="inlineStr">
        <is>
          <t>BazaarDB Patch 16.2 商人包卡；归属 Knightshade，品质 黄金，占格 Small。</t>
        </is>
      </c>
      <c r="X291" s="385" t="str"/>
      <c r="Y291" s="386" t="inlineStr">
        <is>
          <t>reference_reserved</t>
        </is>
      </c>
      <c r="Z291" s="386" t="str"/>
      <c r="AA291" s="386" t="str"/>
    </row>
    <row r="292">
      <c r="A292" s="38" t="inlineStr">
        <is>
          <t>bz_van_291</t>
        </is>
      </c>
      <c r="B292" s="38" t="n">
        <v>291</v>
      </c>
      <c r="C292" s="38" t="inlineStr">
        <is>
          <t>merchant_package</t>
        </is>
      </c>
      <c r="D292" s="38" t="inlineStr">
        <is>
          <t>snapshot_vanessa_legacy_catalog_v1</t>
        </is>
      </c>
      <c r="E292" s="38" t="inlineStr">
        <is>
          <t>snapshot_the_bazaar_patch_18_0_boundary</t>
        </is>
      </c>
      <c r="F292" s="38" t="inlineStr">
        <is>
          <t>true</t>
        </is>
      </c>
      <c r="G292" s="38" t="inlineStr">
        <is>
          <t>false</t>
        </is>
      </c>
      <c r="H292" s="38" t="inlineStr">
        <is>
          <t>current_rule_match,structured_effects,reward_payload,sell_target,availability</t>
        </is>
      </c>
      <c r="I292" s="38" t="inlineStr">
        <is>
          <t>package-16thw896fbtb1bbcgxdvdvyfjxj</t>
        </is>
      </c>
      <c r="J292" s="38" t="inlineStr">
        <is>
          <t>Knightshade's Package</t>
        </is>
      </c>
      <c r="K292" s="38" t="inlineStr">
        <is>
          <t>gold</t>
        </is>
      </c>
      <c r="L292" s="38" t="inlineStr">
        <is>
          <t>Medium</t>
        </is>
      </c>
      <c r="M292" s="38" t="inlineStr">
        <is>
          <t>package, medium, gold, knightshade</t>
        </is>
      </c>
      <c r="N292" s="38" t="n">
        <v>2</v>
      </c>
      <c r="O292" s="38" t="inlineStr">
        <is>
          <t>merchant_knightshade, merchant_goldie</t>
        </is>
      </c>
      <c r="P292" s="38" t="n">
        <v>2</v>
      </c>
      <c r="Q292" s="38" t="inlineStr">
        <is>
          <t>role_坦克, role_火系压制</t>
        </is>
      </c>
      <c r="R292" s="38" t="inlineStr">
        <is>
          <t>Toxic</t>
        </is>
      </c>
      <c r="S292" s="38" t="inlineStr">
        <is>
          <t>pal_291</t>
        </is>
      </c>
      <c r="T292" s="38" t="inlineStr">
        <is>
          <t>夜爵中兽</t>
        </is>
      </c>
      <c r="U292" s="38" t="inlineStr">
        <is>
          <t>https://bazaardb.gg/card/16thw896fbtb1bbcgxdvdvyfjxj/Knightshade's-Package</t>
        </is>
      </c>
      <c r="V292" s="38" t="inlineStr">
        <is>
          <t>When you sell this to Knightshade, get an Enchanted medium Poison item and 3 XP</t>
        </is>
      </c>
      <c r="W292" s="38" t="inlineStr">
        <is>
          <t>BazaarDB Patch 16.2 商人包卡；归属 Knightshade，品质 黄金，占格 Medium。</t>
        </is>
      </c>
      <c r="X292" s="385" t="str"/>
      <c r="Y292" s="386" t="inlineStr">
        <is>
          <t>reference_reserved</t>
        </is>
      </c>
      <c r="Z292" s="386" t="str"/>
      <c r="AA292" s="386" t="str"/>
    </row>
    <row r="293">
      <c r="A293" s="38" t="inlineStr">
        <is>
          <t>bz_van_292</t>
        </is>
      </c>
      <c r="B293" s="38" t="n">
        <v>292</v>
      </c>
      <c r="C293" s="38" t="inlineStr">
        <is>
          <t>merchant_package</t>
        </is>
      </c>
      <c r="D293" s="38" t="inlineStr">
        <is>
          <t>snapshot_vanessa_legacy_catalog_v1</t>
        </is>
      </c>
      <c r="E293" s="38" t="inlineStr">
        <is>
          <t>snapshot_the_bazaar_patch_18_0_boundary</t>
        </is>
      </c>
      <c r="F293" s="38" t="inlineStr">
        <is>
          <t>true</t>
        </is>
      </c>
      <c r="G293" s="38" t="inlineStr">
        <is>
          <t>false</t>
        </is>
      </c>
      <c r="H293" s="38" t="inlineStr">
        <is>
          <t>current_rule_match,structured_effects,reward_payload,sell_target,availability</t>
        </is>
      </c>
      <c r="I293" s="38" t="inlineStr">
        <is>
          <t>package-50gcjjwth8xgyj90vt55mkmgqd</t>
        </is>
      </c>
      <c r="J293" s="38" t="inlineStr">
        <is>
          <t>Serafina's Package</t>
        </is>
      </c>
      <c r="K293" s="38" t="inlineStr">
        <is>
          <t>gold</t>
        </is>
      </c>
      <c r="L293" s="38" t="inlineStr">
        <is>
          <t>Small</t>
        </is>
      </c>
      <c r="M293" s="38" t="inlineStr">
        <is>
          <t>package, small, gold, serafina</t>
        </is>
      </c>
      <c r="N293" s="38" t="n">
        <v>2</v>
      </c>
      <c r="O293" s="38" t="inlineStr">
        <is>
          <t>merchant_serafina, merchant_goldie</t>
        </is>
      </c>
      <c r="P293" s="38" t="n">
        <v>2</v>
      </c>
      <c r="Q293" s="38" t="inlineStr">
        <is>
          <t>role_坦克, role_治疗</t>
        </is>
      </c>
      <c r="R293" s="38" t="inlineStr">
        <is>
          <t>Golden</t>
        </is>
      </c>
      <c r="S293" s="38" t="inlineStr">
        <is>
          <t>pal_292</t>
        </is>
      </c>
      <c r="T293" s="38" t="inlineStr">
        <is>
          <t>瑟菲小兽</t>
        </is>
      </c>
      <c r="U293" s="38" t="inlineStr">
        <is>
          <t>https://bazaardb.gg/card/50gcjjwth8xgyj90vt55mkmgqd/Serafina's-Package</t>
        </is>
      </c>
      <c r="V293" s="38" t="inlineStr">
        <is>
          <t>When you sell this to Serafina, get an Enchanted small Enchanted item and 3 XP</t>
        </is>
      </c>
      <c r="W293" s="38" t="inlineStr">
        <is>
          <t>BazaarDB Patch 16.2 商人包卡；归属 Serafina，品质 黄金，占格 Small。</t>
        </is>
      </c>
      <c r="X293" s="385" t="str"/>
      <c r="Y293" s="386" t="inlineStr">
        <is>
          <t>reference_reserved</t>
        </is>
      </c>
      <c r="Z293" s="386" t="str"/>
      <c r="AA293" s="386" t="str"/>
    </row>
    <row r="294">
      <c r="A294" s="38" t="inlineStr">
        <is>
          <t>bz_van_293</t>
        </is>
      </c>
      <c r="B294" s="38" t="n">
        <v>293</v>
      </c>
      <c r="C294" s="38" t="inlineStr">
        <is>
          <t>merchant_package</t>
        </is>
      </c>
      <c r="D294" s="38" t="inlineStr">
        <is>
          <t>snapshot_vanessa_legacy_catalog_v1</t>
        </is>
      </c>
      <c r="E294" s="38" t="inlineStr">
        <is>
          <t>snapshot_the_bazaar_patch_18_0_boundary</t>
        </is>
      </c>
      <c r="F294" s="38" t="inlineStr">
        <is>
          <t>true</t>
        </is>
      </c>
      <c r="G294" s="38" t="inlineStr">
        <is>
          <t>false</t>
        </is>
      </c>
      <c r="H294" s="38" t="inlineStr">
        <is>
          <t>current_rule_match,structured_effects,reward_payload,sell_target,availability</t>
        </is>
      </c>
      <c r="I294" s="38" t="inlineStr">
        <is>
          <t>package-cy4hpgy1y2xnym63yvwg071mzw</t>
        </is>
      </c>
      <c r="J294" s="38" t="inlineStr">
        <is>
          <t>Serafina's Package</t>
        </is>
      </c>
      <c r="K294" s="38" t="inlineStr">
        <is>
          <t>silver</t>
        </is>
      </c>
      <c r="L294" s="38" t="inlineStr">
        <is>
          <t>Large</t>
        </is>
      </c>
      <c r="M294" s="38" t="inlineStr">
        <is>
          <t>package, large, silver, serafina</t>
        </is>
      </c>
      <c r="N294" s="38" t="n">
        <v>2</v>
      </c>
      <c r="O294" s="38" t="inlineStr">
        <is>
          <t>merchant_serafina, merchant_silvia</t>
        </is>
      </c>
      <c r="P294" s="38" t="n">
        <v>2</v>
      </c>
      <c r="Q294" s="38" t="inlineStr">
        <is>
          <t>role_治疗, role_经济</t>
        </is>
      </c>
      <c r="R294" s="38" t="inlineStr">
        <is>
          <t>Golden</t>
        </is>
      </c>
      <c r="S294" s="38" t="inlineStr">
        <is>
          <t>pal_293</t>
        </is>
      </c>
      <c r="T294" s="38" t="inlineStr">
        <is>
          <t>瑟菲大兽</t>
        </is>
      </c>
      <c r="U294" s="38" t="inlineStr">
        <is>
          <t>https://bazaardb.gg/card/cy4hpgy1y2xnym63yvwg071mzw/Serafina's-Package</t>
        </is>
      </c>
      <c r="V294" s="38" t="inlineStr">
        <is>
          <t>When you sell this to Serafina, get an Enchanted large Enchanted item and 3 XP</t>
        </is>
      </c>
      <c r="W294" s="38" t="inlineStr">
        <is>
          <t>BazaarDB Patch 16.2 商人包卡；归属 Serafina，品质 白银，占格 Large。</t>
        </is>
      </c>
      <c r="X294" s="385" t="str"/>
      <c r="Y294" s="386" t="inlineStr">
        <is>
          <t>reference_reserved</t>
        </is>
      </c>
      <c r="Z294" s="386" t="str"/>
      <c r="AA294" s="386" t="str"/>
    </row>
    <row r="295">
      <c r="A295" s="38" t="inlineStr">
        <is>
          <t>bz_van_294</t>
        </is>
      </c>
      <c r="B295" s="38" t="n">
        <v>294</v>
      </c>
      <c r="C295" s="38" t="inlineStr">
        <is>
          <t>merchant_package</t>
        </is>
      </c>
      <c r="D295" s="38" t="inlineStr">
        <is>
          <t>snapshot_vanessa_legacy_catalog_v1</t>
        </is>
      </c>
      <c r="E295" s="38" t="inlineStr">
        <is>
          <t>snapshot_the_bazaar_patch_18_0_boundary</t>
        </is>
      </c>
      <c r="F295" s="38" t="inlineStr">
        <is>
          <t>true</t>
        </is>
      </c>
      <c r="G295" s="38" t="inlineStr">
        <is>
          <t>false</t>
        </is>
      </c>
      <c r="H295" s="38" t="inlineStr">
        <is>
          <t>current_rule_match,structured_effects,reward_payload,sell_target,availability</t>
        </is>
      </c>
      <c r="I295" s="38" t="inlineStr">
        <is>
          <t>package-f6lwwcfwd4xqcvjv5px15lhq13</t>
        </is>
      </c>
      <c r="J295" s="38" t="inlineStr">
        <is>
          <t>Serafina's Package</t>
        </is>
      </c>
      <c r="K295" s="38" t="inlineStr">
        <is>
          <t>gold</t>
        </is>
      </c>
      <c r="L295" s="38" t="inlineStr">
        <is>
          <t>Medium</t>
        </is>
      </c>
      <c r="M295" s="38" t="inlineStr">
        <is>
          <t>package, medium, gold, serafina</t>
        </is>
      </c>
      <c r="N295" s="38" t="n">
        <v>2</v>
      </c>
      <c r="O295" s="38" t="inlineStr">
        <is>
          <t>merchant_serafina, merchant_goldie</t>
        </is>
      </c>
      <c r="P295" s="38" t="n">
        <v>2</v>
      </c>
      <c r="Q295" s="38" t="inlineStr">
        <is>
          <t>role_坦克, role_治疗</t>
        </is>
      </c>
      <c r="R295" s="38" t="inlineStr">
        <is>
          <t>Golden</t>
        </is>
      </c>
      <c r="S295" s="38" t="inlineStr">
        <is>
          <t>pal_294</t>
        </is>
      </c>
      <c r="T295" s="38" t="inlineStr">
        <is>
          <t>瑟菲中兽</t>
        </is>
      </c>
      <c r="U295" s="38" t="inlineStr">
        <is>
          <t>https://bazaardb.gg/card/f6lwwcfwd4xqcvjv5px15lhq13/Serafina's-Package</t>
        </is>
      </c>
      <c r="V295" s="38" t="inlineStr">
        <is>
          <t>When you sell this to Serafina, get an Enchanted medium Enchanted item and 3 XP</t>
        </is>
      </c>
      <c r="W295" s="38" t="inlineStr">
        <is>
          <t>BazaarDB Patch 16.2 商人包卡；归属 Serafina，品质 黄金，占格 Medium。</t>
        </is>
      </c>
      <c r="X295" s="385" t="str"/>
      <c r="Y295" s="386" t="inlineStr">
        <is>
          <t>reference_reserved</t>
        </is>
      </c>
      <c r="Z295" s="386" t="str"/>
      <c r="AA295" s="386" t="str"/>
    </row>
    <row r="296">
      <c r="A296" s="38" t="inlineStr">
        <is>
          <t>bz_van_295</t>
        </is>
      </c>
      <c r="B296" s="38" t="n">
        <v>295</v>
      </c>
      <c r="C296" s="38" t="inlineStr">
        <is>
          <t>merchant_package</t>
        </is>
      </c>
      <c r="D296" s="38" t="inlineStr">
        <is>
          <t>snapshot_vanessa_legacy_catalog_v1</t>
        </is>
      </c>
      <c r="E296" s="38" t="inlineStr">
        <is>
          <t>snapshot_the_bazaar_patch_18_0_boundary</t>
        </is>
      </c>
      <c r="F296" s="38" t="inlineStr">
        <is>
          <t>true</t>
        </is>
      </c>
      <c r="G296" s="38" t="inlineStr">
        <is>
          <t>false</t>
        </is>
      </c>
      <c r="H296" s="38" t="inlineStr">
        <is>
          <t>current_rule_match,structured_effects,reward_payload,sell_target,availability</t>
        </is>
      </c>
      <c r="I296" s="38" t="inlineStr">
        <is>
          <t>package-426bb3vg2yty1v7mymfp2ghb6m</t>
        </is>
      </c>
      <c r="J296" s="38" t="inlineStr">
        <is>
          <t>凯夫军械库的包裹</t>
        </is>
      </c>
      <c r="K296" s="38" t="inlineStr">
        <is>
          <t>bronze</t>
        </is>
      </c>
      <c r="L296" s="38" t="inlineStr">
        <is>
          <t>Medium</t>
        </is>
      </c>
      <c r="M296" s="38" t="inlineStr">
        <is>
          <t>package, medium, bronze, kev-s-armory</t>
        </is>
      </c>
      <c r="N296" s="38" t="n">
        <v>2</v>
      </c>
      <c r="O296" s="38" t="inlineStr">
        <is>
          <t>merchant_kev-s-armory, merchant_curio</t>
        </is>
      </c>
      <c r="P296" s="38" t="n">
        <v>2</v>
      </c>
      <c r="Q296" s="38" t="inlineStr">
        <is>
          <t>elem_草, tier_pT3</t>
        </is>
      </c>
      <c r="R296" s="38" t="inlineStr">
        <is>
          <t>Shielded</t>
        </is>
      </c>
      <c r="S296" s="38" t="inlineStr">
        <is>
          <t>pal_295</t>
        </is>
      </c>
      <c r="T296" s="38" t="inlineStr">
        <is>
          <t>凯夫中兽</t>
        </is>
      </c>
      <c r="U296" s="38" t="inlineStr">
        <is>
          <t>https://bazaardb.gg/card/426bb3vg2yty1v7mymfp2ghb6m/%E5%87%AF%E5%A4%AB%E5%86%9B%E6%A2%B0%E5%BA%93%E7%9A%84%E5%8C%85%E8%A3%B9</t>
        </is>
      </c>
      <c r="V296" s="38" t="inlineStr">
        <is>
          <t>当你将此物品出售给凯夫军械库时，获得一件附魔的中型生命值或护盾物品和1经验值</t>
        </is>
      </c>
      <c r="W296" s="38" t="inlineStr">
        <is>
          <t>BazaarDB Patch 16.2 商人包卡；归属 Kev's Armory，品质 青铜，占格 Medium。</t>
        </is>
      </c>
      <c r="X296" s="385" t="str"/>
      <c r="Y296" s="386" t="inlineStr">
        <is>
          <t>reference_reserved</t>
        </is>
      </c>
      <c r="Z296" s="386" t="str"/>
      <c r="AA296" s="386" t="str"/>
    </row>
    <row r="297">
      <c r="A297" s="38" t="inlineStr">
        <is>
          <t>bz_van_296</t>
        </is>
      </c>
      <c r="B297" s="38" t="n">
        <v>296</v>
      </c>
      <c r="C297" s="38" t="inlineStr">
        <is>
          <t>merchant_package</t>
        </is>
      </c>
      <c r="D297" s="38" t="inlineStr">
        <is>
          <t>snapshot_vanessa_legacy_catalog_v1</t>
        </is>
      </c>
      <c r="E297" s="38" t="inlineStr">
        <is>
          <t>snapshot_the_bazaar_patch_18_0_boundary</t>
        </is>
      </c>
      <c r="F297" s="38" t="inlineStr">
        <is>
          <t>true</t>
        </is>
      </c>
      <c r="G297" s="38" t="inlineStr">
        <is>
          <t>false</t>
        </is>
      </c>
      <c r="H297" s="38" t="inlineStr">
        <is>
          <t>current_rule_match,structured_effects,reward_payload,sell_target,availability</t>
        </is>
      </c>
      <c r="I297" s="38" t="inlineStr">
        <is>
          <t>package-w2ycn8hnjgst53zfv551lxg43c</t>
        </is>
      </c>
      <c r="J297" s="38" t="inlineStr">
        <is>
          <t>凯夫军械库的包裹</t>
        </is>
      </c>
      <c r="K297" s="38" t="inlineStr">
        <is>
          <t>bronze</t>
        </is>
      </c>
      <c r="L297" s="38" t="inlineStr">
        <is>
          <t>Small</t>
        </is>
      </c>
      <c r="M297" s="38" t="inlineStr">
        <is>
          <t>package, small, bronze, kev-s-armory</t>
        </is>
      </c>
      <c r="N297" s="38" t="n">
        <v>2</v>
      </c>
      <c r="O297" s="38" t="inlineStr">
        <is>
          <t>merchant_kev-s-armory, merchant_curio</t>
        </is>
      </c>
      <c r="P297" s="38" t="n">
        <v>2</v>
      </c>
      <c r="Q297" s="38" t="inlineStr">
        <is>
          <t>elem_草, tier_pT3</t>
        </is>
      </c>
      <c r="R297" s="38" t="inlineStr">
        <is>
          <t>Shielded</t>
        </is>
      </c>
      <c r="S297" s="38" t="inlineStr">
        <is>
          <t>pal_296</t>
        </is>
      </c>
      <c r="T297" s="38" t="inlineStr">
        <is>
          <t>凯夫小兽</t>
        </is>
      </c>
      <c r="U297" s="38" t="inlineStr">
        <is>
          <t>https://bazaardb.gg/card/w2ycn8hnjgst53zfv551lxg43c/%E5%87%AF%E5%A4%AB%E5%86%9B%E6%A2%B0%E5%BA%93%E7%9A%84%E5%8C%85%E8%A3%B9</t>
        </is>
      </c>
      <c r="V297" s="38" t="inlineStr">
        <is>
          <t>当你将此物品出售给凯夫军械库时，获得一件附魔小型生命值或护盾物品和1经验值</t>
        </is>
      </c>
      <c r="W297" s="38" t="inlineStr">
        <is>
          <t>BazaarDB Patch 16.2 商人包卡；归属 Kev's Armory，品质 青铜，占格 Small。</t>
        </is>
      </c>
      <c r="X297" s="385" t="str"/>
      <c r="Y297" s="386" t="inlineStr">
        <is>
          <t>reference_reserved</t>
        </is>
      </c>
      <c r="Z297" s="386" t="str"/>
      <c r="AA297" s="386" t="str"/>
    </row>
    <row r="298">
      <c r="A298" s="38" t="inlineStr">
        <is>
          <t>bz_van_297</t>
        </is>
      </c>
      <c r="B298" s="38" t="n">
        <v>297</v>
      </c>
      <c r="C298" s="38" t="inlineStr">
        <is>
          <t>merchant_package</t>
        </is>
      </c>
      <c r="D298" s="38" t="inlineStr">
        <is>
          <t>snapshot_vanessa_legacy_catalog_v1</t>
        </is>
      </c>
      <c r="E298" s="38" t="inlineStr">
        <is>
          <t>snapshot_the_bazaar_patch_18_0_boundary</t>
        </is>
      </c>
      <c r="F298" s="38" t="inlineStr">
        <is>
          <t>true</t>
        </is>
      </c>
      <c r="G298" s="38" t="inlineStr">
        <is>
          <t>false</t>
        </is>
      </c>
      <c r="H298" s="38" t="inlineStr">
        <is>
          <t>current_rule_match,structured_effects,reward_payload,sell_target,availability</t>
        </is>
      </c>
      <c r="I298" s="38" t="inlineStr">
        <is>
          <t>package-d0nwqszdh6pcpm8qgglzkdjd6t</t>
        </is>
      </c>
      <c r="J298" s="38" t="inlineStr">
        <is>
          <t>加瑟欧的包裹</t>
        </is>
      </c>
      <c r="K298" s="38" t="inlineStr">
        <is>
          <t>silver</t>
        </is>
      </c>
      <c r="L298" s="38" t="inlineStr">
        <is>
          <t>Medium</t>
        </is>
      </c>
      <c r="M298" s="38" t="inlineStr">
        <is>
          <t>package, medium, silver, gaseo</t>
        </is>
      </c>
      <c r="N298" s="38" t="n">
        <v>2</v>
      </c>
      <c r="O298" s="38" t="inlineStr">
        <is>
          <t>merchant_gaseo, merchant_silvia</t>
        </is>
      </c>
      <c r="P298" s="38" t="n">
        <v>2</v>
      </c>
      <c r="Q298" s="38" t="inlineStr">
        <is>
          <t>role_经济, role_重甲抗压</t>
        </is>
      </c>
      <c r="R298" s="38" t="inlineStr">
        <is>
          <t>Heavy</t>
        </is>
      </c>
      <c r="S298" s="38" t="inlineStr">
        <is>
          <t>pal_297</t>
        </is>
      </c>
      <c r="T298" s="38" t="inlineStr">
        <is>
          <t>加瑟中兽</t>
        </is>
      </c>
      <c r="U298" s="38" t="inlineStr">
        <is>
          <t>https://bazaardb.gg/card/d0nwqszdh6pcpm8qgglzkdjd6t/%E5%8A%A0%E7%91%9F%E6%AC%A7%E7%9A%84%E5%8C%85%E8%A3%B9</t>
        </is>
      </c>
      <c r="V298" s="38" t="inlineStr">
        <is>
          <t>当你将此物品出售给加瑟奥时，获得一件来自任意英雄的附魔中型服饰物品和2经验值</t>
        </is>
      </c>
      <c r="W298" s="38" t="inlineStr">
        <is>
          <t>BazaarDB Patch 16.2 商人包卡；归属 Gaseo，品质 白银，占格 Medium。</t>
        </is>
      </c>
      <c r="X298" s="385" t="str"/>
      <c r="Y298" s="386" t="inlineStr">
        <is>
          <t>reference_reserved</t>
        </is>
      </c>
      <c r="Z298" s="386" t="str"/>
      <c r="AA298" s="386" t="str"/>
    </row>
    <row r="299">
      <c r="A299" s="38" t="inlineStr">
        <is>
          <t>bz_van_298</t>
        </is>
      </c>
      <c r="B299" s="38" t="n">
        <v>298</v>
      </c>
      <c r="C299" s="38" t="inlineStr">
        <is>
          <t>merchant_package</t>
        </is>
      </c>
      <c r="D299" s="38" t="inlineStr">
        <is>
          <t>snapshot_vanessa_legacy_catalog_v1</t>
        </is>
      </c>
      <c r="E299" s="38" t="inlineStr">
        <is>
          <t>snapshot_the_bazaar_patch_18_0_boundary</t>
        </is>
      </c>
      <c r="F299" s="38" t="inlineStr">
        <is>
          <t>true</t>
        </is>
      </c>
      <c r="G299" s="38" t="inlineStr">
        <is>
          <t>false</t>
        </is>
      </c>
      <c r="H299" s="38" t="inlineStr">
        <is>
          <t>current_rule_match,structured_effects,reward_payload,sell_target,availability</t>
        </is>
      </c>
      <c r="I299" s="38" t="inlineStr">
        <is>
          <t>package-hqx14lgbby55nl3hfq0vtbw0s1</t>
        </is>
      </c>
      <c r="J299" s="38" t="inlineStr">
        <is>
          <t>加瑟欧的包裹</t>
        </is>
      </c>
      <c r="K299" s="38" t="inlineStr">
        <is>
          <t>silver</t>
        </is>
      </c>
      <c r="L299" s="38" t="inlineStr">
        <is>
          <t>Large</t>
        </is>
      </c>
      <c r="M299" s="38" t="inlineStr">
        <is>
          <t>package, large, silver, gaseo</t>
        </is>
      </c>
      <c r="N299" s="38" t="n">
        <v>2</v>
      </c>
      <c r="O299" s="38" t="inlineStr">
        <is>
          <t>merchant_gaseo, merchant_silvia</t>
        </is>
      </c>
      <c r="P299" s="38" t="n">
        <v>2</v>
      </c>
      <c r="Q299" s="38" t="inlineStr">
        <is>
          <t>role_经济, role_重甲抗压</t>
        </is>
      </c>
      <c r="R299" s="38" t="inlineStr">
        <is>
          <t>Golden</t>
        </is>
      </c>
      <c r="S299" s="38" t="inlineStr">
        <is>
          <t>pal_298</t>
        </is>
      </c>
      <c r="T299" s="38" t="inlineStr">
        <is>
          <t>加瑟大兽</t>
        </is>
      </c>
      <c r="U299" s="38" t="inlineStr">
        <is>
          <t>https://bazaardb.gg/card/hqx14lgbby55nl3hfq0vtbw0s1/%E5%8A%A0%E7%91%9F%E6%AC%A7%E7%9A%84%E5%8C%85%E8%A3%B9</t>
        </is>
      </c>
      <c r="V299" s="38" t="inlineStr">
        <is>
          <t>When you sell this to Gaseo, get an Enchanted large Apparel from any Hero item and 2 XP</t>
        </is>
      </c>
      <c r="W299" s="38" t="inlineStr">
        <is>
          <t>BazaarDB Patch 16.2 商人包卡；归属 Gaseo，品质 白银，占格 Large。</t>
        </is>
      </c>
      <c r="X299" s="385" t="str"/>
      <c r="Y299" s="386" t="inlineStr">
        <is>
          <t>reference_reserved</t>
        </is>
      </c>
      <c r="Z299" s="386" t="str"/>
      <c r="AA299" s="386" t="str"/>
    </row>
    <row r="300">
      <c r="A300" s="38" t="inlineStr">
        <is>
          <t>bz_van_299</t>
        </is>
      </c>
      <c r="B300" s="38" t="n">
        <v>299</v>
      </c>
      <c r="C300" s="38" t="inlineStr">
        <is>
          <t>merchant_package</t>
        </is>
      </c>
      <c r="D300" s="38" t="inlineStr">
        <is>
          <t>snapshot_vanessa_legacy_catalog_v1</t>
        </is>
      </c>
      <c r="E300" s="38" t="inlineStr">
        <is>
          <t>snapshot_the_bazaar_patch_18_0_boundary</t>
        </is>
      </c>
      <c r="F300" s="38" t="inlineStr">
        <is>
          <t>true</t>
        </is>
      </c>
      <c r="G300" s="38" t="inlineStr">
        <is>
          <t>false</t>
        </is>
      </c>
      <c r="H300" s="38" t="inlineStr">
        <is>
          <t>current_rule_match,structured_effects,reward_payload,sell_target,availability</t>
        </is>
      </c>
      <c r="I300" s="38" t="inlineStr">
        <is>
          <t>package-xlqj7p0yz2jqk3zmpzfcynlngv</t>
        </is>
      </c>
      <c r="J300" s="38" t="inlineStr">
        <is>
          <t>加瑟欧的包裹</t>
        </is>
      </c>
      <c r="K300" s="38" t="inlineStr">
        <is>
          <t>silver</t>
        </is>
      </c>
      <c r="L300" s="38" t="inlineStr">
        <is>
          <t>Small</t>
        </is>
      </c>
      <c r="M300" s="38" t="inlineStr">
        <is>
          <t>package, small, silver, gaseo</t>
        </is>
      </c>
      <c r="N300" s="38" t="n">
        <v>2</v>
      </c>
      <c r="O300" s="38" t="inlineStr">
        <is>
          <t>merchant_gaseo, merchant_silvia</t>
        </is>
      </c>
      <c r="P300" s="38" t="n">
        <v>2</v>
      </c>
      <c r="Q300" s="38" t="inlineStr">
        <is>
          <t>role_经济, role_重甲抗压</t>
        </is>
      </c>
      <c r="R300" s="38" t="inlineStr">
        <is>
          <t>Shiny</t>
        </is>
      </c>
      <c r="S300" s="38" t="inlineStr">
        <is>
          <t>pal_299</t>
        </is>
      </c>
      <c r="T300" s="38" t="inlineStr">
        <is>
          <t>加瑟小兽</t>
        </is>
      </c>
      <c r="U300" s="38" t="inlineStr">
        <is>
          <t>https://bazaardb.gg/card/xlqj7p0yz2jqk3zmpzfcynlngv/%E5%8A%A0%E7%91%9F%E6%AC%A7%E7%9A%84%E5%8C%85%E8%A3%B9</t>
        </is>
      </c>
      <c r="V300" s="38" t="inlineStr">
        <is>
          <t>当你将此物品出售给加瑟奥时，获得一件来自任意英雄的附魔小型服饰物品和2经验值</t>
        </is>
      </c>
      <c r="W300" s="38" t="inlineStr">
        <is>
          <t>BazaarDB Patch 16.2 商人包卡；归属 Gaseo，品质 白银，占格 Small。</t>
        </is>
      </c>
      <c r="X300" s="385" t="str"/>
      <c r="Y300" s="386" t="inlineStr">
        <is>
          <t>reference_reserved</t>
        </is>
      </c>
      <c r="Z300" s="386" t="str"/>
      <c r="AA300" s="386" t="str"/>
    </row>
    <row r="301">
      <c r="A301" s="38" t="inlineStr">
        <is>
          <t>bz_van_300</t>
        </is>
      </c>
      <c r="B301" s="38" t="n">
        <v>300</v>
      </c>
      <c r="C301" s="38" t="inlineStr">
        <is>
          <t>merchant_package</t>
        </is>
      </c>
      <c r="D301" s="38" t="inlineStr">
        <is>
          <t>snapshot_vanessa_legacy_catalog_v1</t>
        </is>
      </c>
      <c r="E301" s="38" t="inlineStr">
        <is>
          <t>snapshot_the_bazaar_patch_18_0_boundary</t>
        </is>
      </c>
      <c r="F301" s="38" t="inlineStr">
        <is>
          <t>true</t>
        </is>
      </c>
      <c r="G301" s="38" t="inlineStr">
        <is>
          <t>false</t>
        </is>
      </c>
      <c r="H301" s="38" t="inlineStr">
        <is>
          <t>current_rule_match,structured_effects,reward_payload,sell_target,availability</t>
        </is>
      </c>
      <c r="I301" s="38" t="inlineStr">
        <is>
          <t>package-9n0mmw727gx0lqxwc106vc3d56</t>
        </is>
      </c>
      <c r="J301" s="38" t="inlineStr">
        <is>
          <t>古董商的包裹</t>
        </is>
      </c>
      <c r="K301" s="38" t="inlineStr">
        <is>
          <t>silver</t>
        </is>
      </c>
      <c r="L301" s="38" t="inlineStr">
        <is>
          <t>Large</t>
        </is>
      </c>
      <c r="M301" s="38" t="inlineStr">
        <is>
          <t>package, large, silver, the-antiquarian</t>
        </is>
      </c>
      <c r="N301" s="38" t="n">
        <v>2</v>
      </c>
      <c r="O301" s="38" t="inlineStr">
        <is>
          <t>merchant_the-antiquarian, merchant_silvia</t>
        </is>
      </c>
      <c r="P301" s="38" t="n">
        <v>2</v>
      </c>
      <c r="Q301" s="38" t="inlineStr">
        <is>
          <t>elem_冰, role_经济</t>
        </is>
      </c>
      <c r="R301" s="38" t="inlineStr">
        <is>
          <t>Shiny</t>
        </is>
      </c>
      <c r="S301" s="38" t="inlineStr">
        <is>
          <t>pal_300</t>
        </is>
      </c>
      <c r="T301" s="38" t="inlineStr">
        <is>
          <t>古董大兽</t>
        </is>
      </c>
      <c r="U301" s="38" t="inlineStr">
        <is>
          <t>https://bazaardb.gg/card/9n0mmw727gx0lqxwc106vc3d56/%E5%8F%A4%E8%91%A3%E5%95%86%E7%9A%84%E5%8C%85%E8%A3%B9</t>
        </is>
      </c>
      <c r="V301" s="38" t="inlineStr">
        <is>
          <t>当你将此物品出售给古董商时，获得一件附魔的来自任意英雄的大型遗物物品和2经验值</t>
        </is>
      </c>
      <c r="W301" s="38" t="inlineStr">
        <is>
          <t>BazaarDB Patch 16.2 商人包卡；归属 The Antiquarian，品质 白银，占格 Large。</t>
        </is>
      </c>
      <c r="X301" s="385" t="str"/>
      <c r="Y301" s="386" t="inlineStr">
        <is>
          <t>reference_reserved</t>
        </is>
      </c>
      <c r="Z301" s="386" t="str"/>
      <c r="AA301" s="386" t="str"/>
    </row>
    <row r="302">
      <c r="A302" s="38" t="inlineStr">
        <is>
          <t>bz_van_301</t>
        </is>
      </c>
      <c r="B302" s="38" t="n">
        <v>301</v>
      </c>
      <c r="C302" s="38" t="inlineStr">
        <is>
          <t>merchant_package</t>
        </is>
      </c>
      <c r="D302" s="38" t="inlineStr">
        <is>
          <t>snapshot_vanessa_legacy_catalog_v1</t>
        </is>
      </c>
      <c r="E302" s="38" t="inlineStr">
        <is>
          <t>snapshot_the_bazaar_patch_18_0_boundary</t>
        </is>
      </c>
      <c r="F302" s="38" t="inlineStr">
        <is>
          <t>true</t>
        </is>
      </c>
      <c r="G302" s="38" t="inlineStr">
        <is>
          <t>false</t>
        </is>
      </c>
      <c r="H302" s="38" t="inlineStr">
        <is>
          <t>current_rule_match,structured_effects,reward_payload,sell_target,availability</t>
        </is>
      </c>
      <c r="I302" s="38" t="inlineStr">
        <is>
          <t>package-g4vvkglpx9tb8bsjpyf6bwv8wz</t>
        </is>
      </c>
      <c r="J302" s="38" t="inlineStr">
        <is>
          <t>古董商的包裹</t>
        </is>
      </c>
      <c r="K302" s="38" t="inlineStr">
        <is>
          <t>silver</t>
        </is>
      </c>
      <c r="L302" s="38" t="inlineStr">
        <is>
          <t>Medium</t>
        </is>
      </c>
      <c r="M302" s="38" t="inlineStr">
        <is>
          <t>package, medium, silver, the-antiquarian</t>
        </is>
      </c>
      <c r="N302" s="38" t="n">
        <v>2</v>
      </c>
      <c r="O302" s="38" t="inlineStr">
        <is>
          <t>merchant_the-antiquarian, merchant_silvia</t>
        </is>
      </c>
      <c r="P302" s="38" t="n">
        <v>2</v>
      </c>
      <c r="Q302" s="38" t="inlineStr">
        <is>
          <t>elem_冰, role_经济</t>
        </is>
      </c>
      <c r="R302" s="38" t="inlineStr">
        <is>
          <t>Shiny</t>
        </is>
      </c>
      <c r="S302" s="38" t="inlineStr">
        <is>
          <t>pal_301</t>
        </is>
      </c>
      <c r="T302" s="38" t="inlineStr">
        <is>
          <t>古董中兽</t>
        </is>
      </c>
      <c r="U302" s="38" t="inlineStr">
        <is>
          <t>https://bazaardb.gg/card/g4vvkglpx9tb8bsjpyf6bwv8wz/%E5%8F%A4%E8%91%A3%E5%95%86%E7%9A%84%E5%8C%85%E8%A3%B9</t>
        </is>
      </c>
      <c r="V302" s="38" t="inlineStr">
        <is>
          <t>当你将此物品出售给古董商时，获得一件附魔的来自任意英雄的中型遗物物品和2经验值</t>
        </is>
      </c>
      <c r="W302" s="38" t="inlineStr">
        <is>
          <t>BazaarDB Patch 16.2 商人包卡；归属 The Antiquarian，品质 白银，占格 Medium。</t>
        </is>
      </c>
      <c r="X302" s="385" t="str"/>
      <c r="Y302" s="386" t="inlineStr">
        <is>
          <t>reference_reserved</t>
        </is>
      </c>
      <c r="Z302" s="386" t="str"/>
      <c r="AA302" s="386" t="str"/>
    </row>
    <row r="303">
      <c r="A303" s="38" t="inlineStr">
        <is>
          <t>bz_van_302</t>
        </is>
      </c>
      <c r="B303" s="38" t="n">
        <v>302</v>
      </c>
      <c r="C303" s="38" t="inlineStr">
        <is>
          <t>merchant_package</t>
        </is>
      </c>
      <c r="D303" s="38" t="inlineStr">
        <is>
          <t>snapshot_vanessa_legacy_catalog_v1</t>
        </is>
      </c>
      <c r="E303" s="38" t="inlineStr">
        <is>
          <t>snapshot_the_bazaar_patch_18_0_boundary</t>
        </is>
      </c>
      <c r="F303" s="38" t="inlineStr">
        <is>
          <t>true</t>
        </is>
      </c>
      <c r="G303" s="38" t="inlineStr">
        <is>
          <t>false</t>
        </is>
      </c>
      <c r="H303" s="38" t="inlineStr">
        <is>
          <t>current_rule_match,structured_effects,reward_payload,sell_target,availability</t>
        </is>
      </c>
      <c r="I303" s="38" t="inlineStr">
        <is>
          <t>package-189qq1qtqht3wfq4c127lhxl7kl</t>
        </is>
      </c>
      <c r="J303" s="38" t="inlineStr">
        <is>
          <t>古董商的包裹</t>
        </is>
      </c>
      <c r="K303" s="38" t="inlineStr">
        <is>
          <t>silver</t>
        </is>
      </c>
      <c r="L303" s="38" t="inlineStr">
        <is>
          <t>Small</t>
        </is>
      </c>
      <c r="M303" s="38" t="inlineStr">
        <is>
          <t>package, small, silver, the-antiquarian</t>
        </is>
      </c>
      <c r="N303" s="38" t="n">
        <v>2</v>
      </c>
      <c r="O303" s="38" t="inlineStr">
        <is>
          <t>merchant_the-antiquarian, merchant_silvia</t>
        </is>
      </c>
      <c r="P303" s="38" t="n">
        <v>2</v>
      </c>
      <c r="Q303" s="38" t="inlineStr">
        <is>
          <t>elem_冰, role_经济</t>
        </is>
      </c>
      <c r="R303" s="38" t="inlineStr">
        <is>
          <t>Heavy</t>
        </is>
      </c>
      <c r="S303" s="38" t="inlineStr">
        <is>
          <t>pal_302</t>
        </is>
      </c>
      <c r="T303" s="38" t="inlineStr">
        <is>
          <t>古董小兽</t>
        </is>
      </c>
      <c r="U303" s="38" t="inlineStr">
        <is>
          <t>https://bazaardb.gg/card/189qq1qtqht3wfq4c127lhxl7kl/%E5%8F%A4%E8%91%A3%E5%95%86%E7%9A%84%E5%8C%85%E8%A3%B9</t>
        </is>
      </c>
      <c r="V303" s="38" t="inlineStr">
        <is>
          <t>当你将此物品出售给古董商时，获得一件来自任意英雄的附魔小型遗物物品和2经验值</t>
        </is>
      </c>
      <c r="W303" s="38" t="inlineStr">
        <is>
          <t>BazaarDB Patch 16.2 商人包卡；归属 The Antiquarian，品质 白银，占格 Small。</t>
        </is>
      </c>
      <c r="X303" s="385" t="str"/>
      <c r="Y303" s="386" t="inlineStr">
        <is>
          <t>reference_reserved</t>
        </is>
      </c>
      <c r="Z303" s="386" t="str"/>
      <c r="AA303" s="386" t="str"/>
    </row>
    <row r="304">
      <c r="A304" s="38" t="inlineStr">
        <is>
          <t>bz_van_303</t>
        </is>
      </c>
      <c r="B304" s="38" t="n">
        <v>303</v>
      </c>
      <c r="C304" s="38" t="inlineStr">
        <is>
          <t>merchant_package</t>
        </is>
      </c>
      <c r="D304" s="38" t="inlineStr">
        <is>
          <t>snapshot_vanessa_legacy_catalog_v1</t>
        </is>
      </c>
      <c r="E304" s="38" t="inlineStr">
        <is>
          <t>snapshot_the_bazaar_patch_18_0_boundary</t>
        </is>
      </c>
      <c r="F304" s="38" t="inlineStr">
        <is>
          <t>true</t>
        </is>
      </c>
      <c r="G304" s="38" t="inlineStr">
        <is>
          <t>false</t>
        </is>
      </c>
      <c r="H304" s="38" t="inlineStr">
        <is>
          <t>current_rule_match,structured_effects,reward_payload,sell_target,availability</t>
        </is>
      </c>
      <c r="I304" s="38" t="inlineStr">
        <is>
          <t>package-33g6mpvd8hzb4q8v9pl2mykw5b</t>
        </is>
      </c>
      <c r="J304" s="38" t="inlineStr">
        <is>
          <t>吉娜的包裹</t>
        </is>
      </c>
      <c r="K304" s="38" t="inlineStr">
        <is>
          <t>bronze</t>
        </is>
      </c>
      <c r="L304" s="38" t="inlineStr">
        <is>
          <t>Small</t>
        </is>
      </c>
      <c r="M304" s="38" t="inlineStr">
        <is>
          <t>package, small, bronze, kina</t>
        </is>
      </c>
      <c r="N304" s="38" t="n">
        <v>2</v>
      </c>
      <c r="O304" s="38" t="inlineStr">
        <is>
          <t>merchant_kina, merchant_curio</t>
        </is>
      </c>
      <c r="P304" s="38" t="n">
        <v>2</v>
      </c>
      <c r="Q304" s="38" t="inlineStr">
        <is>
          <t>elem_草, elem_冰</t>
        </is>
      </c>
      <c r="R304" s="38" t="inlineStr">
        <is>
          <t>Heavy</t>
        </is>
      </c>
      <c r="S304" s="38" t="inlineStr">
        <is>
          <t>pal_303</t>
        </is>
      </c>
      <c r="T304" s="38" t="inlineStr">
        <is>
          <t>吉娜小兽</t>
        </is>
      </c>
      <c r="U304" s="38" t="inlineStr">
        <is>
          <t>https://bazaardb.gg/card/33g6mpvd8hzb4q8v9pl2mykw5b/%E5%90%89%E5%A8%9C%E7%9A%84%E5%8C%85%E8%A3%B9</t>
        </is>
      </c>
      <c r="V304" s="38" t="inlineStr">
        <is>
          <t>当你将此物品出售给吉娜时，获得一件附魔的小型非武器物品和1经验值</t>
        </is>
      </c>
      <c r="W304" s="38" t="inlineStr">
        <is>
          <t>BazaarDB Patch 16.2 商人包卡；归属 Kina，品质 青铜，占格 Small。</t>
        </is>
      </c>
      <c r="X304" s="385" t="str"/>
      <c r="Y304" s="386" t="inlineStr">
        <is>
          <t>reference_reserved</t>
        </is>
      </c>
      <c r="Z304" s="386" t="str"/>
      <c r="AA304" s="386" t="str"/>
    </row>
    <row r="305">
      <c r="A305" s="38" t="inlineStr">
        <is>
          <t>bz_van_304</t>
        </is>
      </c>
      <c r="B305" s="38" t="n">
        <v>304</v>
      </c>
      <c r="C305" s="38" t="inlineStr">
        <is>
          <t>merchant_package</t>
        </is>
      </c>
      <c r="D305" s="38" t="inlineStr">
        <is>
          <t>snapshot_vanessa_legacy_catalog_v1</t>
        </is>
      </c>
      <c r="E305" s="38" t="inlineStr">
        <is>
          <t>snapshot_the_bazaar_patch_18_0_boundary</t>
        </is>
      </c>
      <c r="F305" s="38" t="inlineStr">
        <is>
          <t>true</t>
        </is>
      </c>
      <c r="G305" s="38" t="inlineStr">
        <is>
          <t>false</t>
        </is>
      </c>
      <c r="H305" s="38" t="inlineStr">
        <is>
          <t>current_rule_match,structured_effects,reward_payload,sell_target,availability</t>
        </is>
      </c>
      <c r="I305" s="38" t="inlineStr">
        <is>
          <t>package-fg7hq22jf8x8kxv1v4v45v2cbb</t>
        </is>
      </c>
      <c r="J305" s="38" t="inlineStr">
        <is>
          <t>吉娜的包裹</t>
        </is>
      </c>
      <c r="K305" s="38" t="inlineStr">
        <is>
          <t>silver</t>
        </is>
      </c>
      <c r="L305" s="38" t="inlineStr">
        <is>
          <t>Large</t>
        </is>
      </c>
      <c r="M305" s="38" t="inlineStr">
        <is>
          <t>package, large, silver, kina</t>
        </is>
      </c>
      <c r="N305" s="38" t="n">
        <v>2</v>
      </c>
      <c r="O305" s="38" t="inlineStr">
        <is>
          <t>merchant_kina, merchant_silvia</t>
        </is>
      </c>
      <c r="P305" s="38" t="n">
        <v>2</v>
      </c>
      <c r="Q305" s="38" t="inlineStr">
        <is>
          <t>elem_冰, role_经济</t>
        </is>
      </c>
      <c r="R305" s="38" t="inlineStr">
        <is>
          <t>Heavy</t>
        </is>
      </c>
      <c r="S305" s="38" t="inlineStr">
        <is>
          <t>pal_304</t>
        </is>
      </c>
      <c r="T305" s="38" t="inlineStr">
        <is>
          <t>吉娜大兽</t>
        </is>
      </c>
      <c r="U305" s="38" t="inlineStr">
        <is>
          <t>https://bazaardb.gg/card/fg7hq22jf8x8kxv1v4v45v2cbb/%E5%90%89%E5%A8%9C%E7%9A%84%E5%8C%85%E8%A3%B9</t>
        </is>
      </c>
      <c r="V305" s="38" t="inlineStr">
        <is>
          <t>当你将此物品出售给吉娜时，获得一件附魔大型非武器物品和1经验值</t>
        </is>
      </c>
      <c r="W305" s="38" t="inlineStr">
        <is>
          <t>BazaarDB Patch 16.2 商人包卡；归属 Kina，品质 白银，占格 Large。</t>
        </is>
      </c>
      <c r="X305" s="385" t="str"/>
      <c r="Y305" s="386" t="inlineStr">
        <is>
          <t>reference_reserved</t>
        </is>
      </c>
      <c r="Z305" s="386" t="str"/>
      <c r="AA305" s="386" t="str"/>
    </row>
    <row r="306">
      <c r="A306" s="38" t="inlineStr">
        <is>
          <t>bz_van_305</t>
        </is>
      </c>
      <c r="B306" s="38" t="n">
        <v>305</v>
      </c>
      <c r="C306" s="38" t="inlineStr">
        <is>
          <t>merchant_package</t>
        </is>
      </c>
      <c r="D306" s="38" t="inlineStr">
        <is>
          <t>snapshot_vanessa_legacy_catalog_v1</t>
        </is>
      </c>
      <c r="E306" s="38" t="inlineStr">
        <is>
          <t>snapshot_the_bazaar_patch_18_0_boundary</t>
        </is>
      </c>
      <c r="F306" s="38" t="inlineStr">
        <is>
          <t>true</t>
        </is>
      </c>
      <c r="G306" s="38" t="inlineStr">
        <is>
          <t>false</t>
        </is>
      </c>
      <c r="H306" s="38" t="inlineStr">
        <is>
          <t>current_rule_match,structured_effects,reward_payload,sell_target,availability</t>
        </is>
      </c>
      <c r="I306" s="38" t="inlineStr">
        <is>
          <t>package-zkvfkgt2s0lm5lnyv374g6g2zf</t>
        </is>
      </c>
      <c r="J306" s="38" t="inlineStr">
        <is>
          <t>吉娜的包裹</t>
        </is>
      </c>
      <c r="K306" s="38" t="inlineStr">
        <is>
          <t>bronze</t>
        </is>
      </c>
      <c r="L306" s="38" t="inlineStr">
        <is>
          <t>Medium</t>
        </is>
      </c>
      <c r="M306" s="38" t="inlineStr">
        <is>
          <t>package, medium, bronze, kina</t>
        </is>
      </c>
      <c r="N306" s="38" t="n">
        <v>2</v>
      </c>
      <c r="O306" s="38" t="inlineStr">
        <is>
          <t>merchant_kina, merchant_curio</t>
        </is>
      </c>
      <c r="P306" s="38" t="n">
        <v>2</v>
      </c>
      <c r="Q306" s="38" t="inlineStr">
        <is>
          <t>elem_草, elem_冰</t>
        </is>
      </c>
      <c r="R306" s="38" t="inlineStr">
        <is>
          <t>Heavy</t>
        </is>
      </c>
      <c r="S306" s="38" t="inlineStr">
        <is>
          <t>pal_305</t>
        </is>
      </c>
      <c r="T306" s="38" t="inlineStr">
        <is>
          <t>吉娜中兽</t>
        </is>
      </c>
      <c r="U306" s="38" t="inlineStr">
        <is>
          <t>https://bazaardb.gg/card/zkvfkgt2s0lm5lnyv374g6g2zf/%E5%90%89%E5%A8%9C%E7%9A%84%E5%8C%85%E8%A3%B9</t>
        </is>
      </c>
      <c r="V306" s="38" t="inlineStr">
        <is>
          <t>当你将此物品出售给吉娜时，获得一件附魔中型非武器物品和1经验值</t>
        </is>
      </c>
      <c r="W306" s="38" t="inlineStr">
        <is>
          <t>BazaarDB Patch 16.2 商人包卡；归属 Kina，品质 青铜，占格 Medium。</t>
        </is>
      </c>
      <c r="X306" s="385" t="str"/>
      <c r="Y306" s="386" t="inlineStr">
        <is>
          <t>reference_reserved</t>
        </is>
      </c>
      <c r="Z306" s="386" t="str"/>
      <c r="AA306" s="386" t="str"/>
    </row>
    <row r="307">
      <c r="A307" s="38" t="inlineStr">
        <is>
          <t>bz_van_306</t>
        </is>
      </c>
      <c r="B307" s="38" t="n">
        <v>306</v>
      </c>
      <c r="C307" s="38" t="inlineStr">
        <is>
          <t>merchant_package</t>
        </is>
      </c>
      <c r="D307" s="38" t="inlineStr">
        <is>
          <t>snapshot_vanessa_legacy_catalog_v1</t>
        </is>
      </c>
      <c r="E307" s="38" t="inlineStr">
        <is>
          <t>snapshot_the_bazaar_patch_18_0_boundary</t>
        </is>
      </c>
      <c r="F307" s="38" t="inlineStr">
        <is>
          <t>true</t>
        </is>
      </c>
      <c r="G307" s="38" t="inlineStr">
        <is>
          <t>false</t>
        </is>
      </c>
      <c r="H307" s="38" t="inlineStr">
        <is>
          <t>current_rule_match,structured_effects,reward_payload,sell_target,availability</t>
        </is>
      </c>
      <c r="I307" s="38" t="inlineStr">
        <is>
          <t>package-dkw1847l39701nps9b3t1kygvj</t>
        </is>
      </c>
      <c r="J307" s="38" t="inlineStr">
        <is>
          <t>塔季扬娜的包裹</t>
        </is>
      </c>
      <c r="K307" s="38" t="inlineStr">
        <is>
          <t>silver</t>
        </is>
      </c>
      <c r="L307" s="38" t="inlineStr">
        <is>
          <t>Medium</t>
        </is>
      </c>
      <c r="M307" s="38" t="inlineStr">
        <is>
          <t>package, medium, silver, tatiana</t>
        </is>
      </c>
      <c r="N307" s="38" t="n">
        <v>2</v>
      </c>
      <c r="O307" s="38" t="inlineStr">
        <is>
          <t>merchant_tatiana, merchant_silvia</t>
        </is>
      </c>
      <c r="P307" s="38" t="n">
        <v>2</v>
      </c>
      <c r="Q307" s="38" t="inlineStr">
        <is>
          <t>role_经济, role_重甲抗压</t>
        </is>
      </c>
      <c r="R307" s="38" t="inlineStr">
        <is>
          <t>Heavy</t>
        </is>
      </c>
      <c r="S307" s="38" t="inlineStr">
        <is>
          <t>pal_306</t>
        </is>
      </c>
      <c r="T307" s="38" t="inlineStr">
        <is>
          <t>塔季中兽</t>
        </is>
      </c>
      <c r="U307" s="38" t="inlineStr">
        <is>
          <t>https://bazaardb.gg/card/dkw1847l39701nps9b3t1kygvj/%E5%A1%94%E5%AD%A3%E6%89%AC%E5%A8%9C%E7%9A%84%E5%8C%85%E8%A3%B9</t>
        </is>
      </c>
      <c r="V307" s="38" t="inlineStr">
        <is>
          <t>当你将此物品出售给塔季扬娜时，获得一件来自任意英雄的附魔中型玩具物品和2经验值</t>
        </is>
      </c>
      <c r="W307" s="38" t="inlineStr">
        <is>
          <t>BazaarDB Patch 16.2 商人包卡；归属 Tatiana，品质 白银，占格 Medium。</t>
        </is>
      </c>
      <c r="X307" s="385" t="str"/>
      <c r="Y307" s="386" t="inlineStr">
        <is>
          <t>reference_reserved</t>
        </is>
      </c>
      <c r="Z307" s="386" t="str"/>
      <c r="AA307" s="386" t="str"/>
    </row>
    <row r="308">
      <c r="A308" s="38" t="inlineStr">
        <is>
          <t>bz_van_307</t>
        </is>
      </c>
      <c r="B308" s="38" t="n">
        <v>307</v>
      </c>
      <c r="C308" s="38" t="inlineStr">
        <is>
          <t>merchant_package</t>
        </is>
      </c>
      <c r="D308" s="38" t="inlineStr">
        <is>
          <t>snapshot_vanessa_legacy_catalog_v1</t>
        </is>
      </c>
      <c r="E308" s="38" t="inlineStr">
        <is>
          <t>snapshot_the_bazaar_patch_18_0_boundary</t>
        </is>
      </c>
      <c r="F308" s="38" t="inlineStr">
        <is>
          <t>true</t>
        </is>
      </c>
      <c r="G308" s="38" t="inlineStr">
        <is>
          <t>false</t>
        </is>
      </c>
      <c r="H308" s="38" t="inlineStr">
        <is>
          <t>current_rule_match,structured_effects,reward_payload,sell_target,availability</t>
        </is>
      </c>
      <c r="I308" s="38" t="inlineStr">
        <is>
          <t>package-nbv09z89wvw2883h5x77pljfgp</t>
        </is>
      </c>
      <c r="J308" s="38" t="inlineStr">
        <is>
          <t>塔季扬娜的包裹</t>
        </is>
      </c>
      <c r="K308" s="38" t="inlineStr">
        <is>
          <t>silver</t>
        </is>
      </c>
      <c r="L308" s="38" t="inlineStr">
        <is>
          <t>Large</t>
        </is>
      </c>
      <c r="M308" s="38" t="inlineStr">
        <is>
          <t>package, large, silver, tatiana</t>
        </is>
      </c>
      <c r="N308" s="38" t="n">
        <v>2</v>
      </c>
      <c r="O308" s="38" t="inlineStr">
        <is>
          <t>merchant_tatiana, merchant_silvia</t>
        </is>
      </c>
      <c r="P308" s="38" t="n">
        <v>2</v>
      </c>
      <c r="Q308" s="38" t="inlineStr">
        <is>
          <t>role_经济, role_重甲抗压</t>
        </is>
      </c>
      <c r="R308" s="38" t="inlineStr">
        <is>
          <t>Golden</t>
        </is>
      </c>
      <c r="S308" s="38" t="inlineStr">
        <is>
          <t>pal_307</t>
        </is>
      </c>
      <c r="T308" s="38" t="inlineStr">
        <is>
          <t>塔季大兽</t>
        </is>
      </c>
      <c r="U308" s="38" t="inlineStr">
        <is>
          <t>https://bazaardb.gg/card/nbv09z89wvw2883h5x77pljfgp/%E5%A1%94%E5%AD%A3%E6%89%AC%E5%A8%9C%E7%9A%84%E5%8C%85%E8%A3%B9</t>
        </is>
      </c>
      <c r="V308" s="38" t="inlineStr">
        <is>
          <t>When you sell this to Tatiana, get an Enchanted large Toy from any Hero item and 2 XP</t>
        </is>
      </c>
      <c r="W308" s="38" t="inlineStr">
        <is>
          <t>BazaarDB Patch 16.2 商人包卡；归属 Tatiana，品质 白银，占格 Large。</t>
        </is>
      </c>
      <c r="X308" s="385" t="str"/>
      <c r="Y308" s="386" t="inlineStr">
        <is>
          <t>reference_reserved</t>
        </is>
      </c>
      <c r="Z308" s="386" t="str"/>
      <c r="AA308" s="386" t="str"/>
    </row>
    <row r="309">
      <c r="A309" s="38" t="inlineStr">
        <is>
          <t>bz_van_308</t>
        </is>
      </c>
      <c r="B309" s="38" t="n">
        <v>308</v>
      </c>
      <c r="C309" s="38" t="inlineStr">
        <is>
          <t>merchant_package</t>
        </is>
      </c>
      <c r="D309" s="38" t="inlineStr">
        <is>
          <t>snapshot_vanessa_legacy_catalog_v1</t>
        </is>
      </c>
      <c r="E309" s="38" t="inlineStr">
        <is>
          <t>snapshot_the_bazaar_patch_18_0_boundary</t>
        </is>
      </c>
      <c r="F309" s="38" t="inlineStr">
        <is>
          <t>true</t>
        </is>
      </c>
      <c r="G309" s="38" t="inlineStr">
        <is>
          <t>false</t>
        </is>
      </c>
      <c r="H309" s="38" t="inlineStr">
        <is>
          <t>current_rule_match,structured_effects,reward_payload,sell_target,availability</t>
        </is>
      </c>
      <c r="I309" s="38" t="inlineStr">
        <is>
          <t>package-qkm34wg75xdg06cw6zy6bd0gxq</t>
        </is>
      </c>
      <c r="J309" s="38" t="inlineStr">
        <is>
          <t>塔季扬娜的包裹</t>
        </is>
      </c>
      <c r="K309" s="38" t="inlineStr">
        <is>
          <t>silver</t>
        </is>
      </c>
      <c r="L309" s="38" t="inlineStr">
        <is>
          <t>Small</t>
        </is>
      </c>
      <c r="M309" s="38" t="inlineStr">
        <is>
          <t>package, small, silver, tatiana</t>
        </is>
      </c>
      <c r="N309" s="38" t="n">
        <v>2</v>
      </c>
      <c r="O309" s="38" t="inlineStr">
        <is>
          <t>merchant_tatiana, merchant_silvia</t>
        </is>
      </c>
      <c r="P309" s="38" t="n">
        <v>2</v>
      </c>
      <c r="Q309" s="38" t="inlineStr">
        <is>
          <t>role_经济, role_重甲抗压</t>
        </is>
      </c>
      <c r="R309" s="38" t="inlineStr">
        <is>
          <t>Shiny</t>
        </is>
      </c>
      <c r="S309" s="38" t="inlineStr">
        <is>
          <t>pal_308</t>
        </is>
      </c>
      <c r="T309" s="38" t="inlineStr">
        <is>
          <t>塔季小兽</t>
        </is>
      </c>
      <c r="U309" s="38" t="inlineStr">
        <is>
          <t>https://bazaardb.gg/card/qkm34wg75xdg06cw6zy6bd0gxq/%E5%A1%94%E5%AD%A3%E6%89%AC%E5%A8%9C%E7%9A%84%E5%8C%85%E8%A3%B9</t>
        </is>
      </c>
      <c r="V309" s="38" t="inlineStr">
        <is>
          <t>当你将此物品出售给塔季扬娜时，获得一件来自任意英雄的附魔小型玩具物品和2经验值</t>
        </is>
      </c>
      <c r="W309" s="38" t="inlineStr">
        <is>
          <t>BazaarDB Patch 16.2 商人包卡；归属 Tatiana，品质 白银，占格 Small。</t>
        </is>
      </c>
      <c r="X309" s="385" t="str"/>
      <c r="Y309" s="386" t="inlineStr">
        <is>
          <t>reference_reserved</t>
        </is>
      </c>
      <c r="Z309" s="386" t="str"/>
      <c r="AA309" s="386" t="str"/>
    </row>
    <row r="310">
      <c r="A310" s="38" t="inlineStr">
        <is>
          <t>bz_van_309</t>
        </is>
      </c>
      <c r="B310" s="38" t="n">
        <v>309</v>
      </c>
      <c r="C310" s="38" t="inlineStr">
        <is>
          <t>merchant_package</t>
        </is>
      </c>
      <c r="D310" s="38" t="inlineStr">
        <is>
          <t>snapshot_vanessa_legacy_catalog_v1</t>
        </is>
      </c>
      <c r="E310" s="38" t="inlineStr">
        <is>
          <t>snapshot_the_bazaar_patch_18_0_boundary</t>
        </is>
      </c>
      <c r="F310" s="38" t="inlineStr">
        <is>
          <t>true</t>
        </is>
      </c>
      <c r="G310" s="38" t="inlineStr">
        <is>
          <t>false</t>
        </is>
      </c>
      <c r="H310" s="38" t="inlineStr">
        <is>
          <t>current_rule_match,structured_effects,reward_payload,sell_target,availability</t>
        </is>
      </c>
      <c r="I310" s="38" t="inlineStr">
        <is>
          <t>package-dfkspdnf3pqwszc2b806tdc6nb</t>
        </is>
      </c>
      <c r="J310" s="38" t="inlineStr">
        <is>
          <t>奥利恩的包裹</t>
        </is>
      </c>
      <c r="K310" s="38" t="inlineStr">
        <is>
          <t>bronze</t>
        </is>
      </c>
      <c r="L310" s="38" t="inlineStr">
        <is>
          <t>Medium</t>
        </is>
      </c>
      <c r="M310" s="38" t="inlineStr">
        <is>
          <t>package, medium, bronze, orion</t>
        </is>
      </c>
      <c r="N310" s="38" t="n">
        <v>2</v>
      </c>
      <c r="O310" s="38" t="inlineStr">
        <is>
          <t>merchant_orion, merchant_curio</t>
        </is>
      </c>
      <c r="P310" s="38" t="n">
        <v>2</v>
      </c>
      <c r="Q310" s="38" t="inlineStr">
        <is>
          <t>elem_草, role_远点压制</t>
        </is>
      </c>
      <c r="R310" s="38" t="inlineStr">
        <is>
          <t>Shiny</t>
        </is>
      </c>
      <c r="S310" s="38" t="inlineStr">
        <is>
          <t>pal_309</t>
        </is>
      </c>
      <c r="T310" s="38" t="inlineStr">
        <is>
          <t>奥利中兽</t>
        </is>
      </c>
      <c r="U310" s="38" t="inlineStr">
        <is>
          <t>https://bazaardb.gg/card/dfkspdnf3pqwszc2b806tdc6nb/%E5%A5%A5%E5%88%A9%E6%81%A9%E7%9A%84%E5%8C%85%E8%A3%B9</t>
        </is>
      </c>
      <c r="V310" s="38" t="inlineStr">
        <is>
          <t>当你将此物品出售给奥利恩时，获得一件附魔中型工具物品和1经验值</t>
        </is>
      </c>
      <c r="W310" s="38" t="inlineStr">
        <is>
          <t>BazaarDB Patch 16.2 商人包卡；归属 Orion，品质 青铜，占格 Medium。</t>
        </is>
      </c>
      <c r="X310" s="385" t="str"/>
      <c r="Y310" s="386" t="inlineStr">
        <is>
          <t>reference_reserved</t>
        </is>
      </c>
      <c r="Z310" s="386" t="str"/>
      <c r="AA310" s="386" t="str"/>
    </row>
    <row r="311">
      <c r="A311" s="38" t="inlineStr">
        <is>
          <t>bz_van_310</t>
        </is>
      </c>
      <c r="B311" s="38" t="n">
        <v>310</v>
      </c>
      <c r="C311" s="38" t="inlineStr">
        <is>
          <t>merchant_package</t>
        </is>
      </c>
      <c r="D311" s="38" t="inlineStr">
        <is>
          <t>snapshot_vanessa_legacy_catalog_v1</t>
        </is>
      </c>
      <c r="E311" s="38" t="inlineStr">
        <is>
          <t>snapshot_the_bazaar_patch_18_0_boundary</t>
        </is>
      </c>
      <c r="F311" s="38" t="inlineStr">
        <is>
          <t>true</t>
        </is>
      </c>
      <c r="G311" s="38" t="inlineStr">
        <is>
          <t>false</t>
        </is>
      </c>
      <c r="H311" s="38" t="inlineStr">
        <is>
          <t>current_rule_match,structured_effects,reward_payload,sell_target,availability</t>
        </is>
      </c>
      <c r="I311" s="38" t="inlineStr">
        <is>
          <t>package-17h0z69n2mqbczxptgnw7tl7pkq</t>
        </is>
      </c>
      <c r="J311" s="38" t="inlineStr">
        <is>
          <t>奥利恩的包裹</t>
        </is>
      </c>
      <c r="K311" s="38" t="inlineStr">
        <is>
          <t>bronze</t>
        </is>
      </c>
      <c r="L311" s="38" t="inlineStr">
        <is>
          <t>Small</t>
        </is>
      </c>
      <c r="M311" s="38" t="inlineStr">
        <is>
          <t>package, small, bronze, orion</t>
        </is>
      </c>
      <c r="N311" s="38" t="n">
        <v>2</v>
      </c>
      <c r="O311" s="38" t="inlineStr">
        <is>
          <t>merchant_orion, merchant_curio</t>
        </is>
      </c>
      <c r="P311" s="38" t="n">
        <v>2</v>
      </c>
      <c r="Q311" s="38" t="inlineStr">
        <is>
          <t>elem_草, role_远点压制</t>
        </is>
      </c>
      <c r="R311" s="38" t="inlineStr">
        <is>
          <t>Shiny</t>
        </is>
      </c>
      <c r="S311" s="38" t="inlineStr">
        <is>
          <t>pal_310</t>
        </is>
      </c>
      <c r="T311" s="38" t="inlineStr">
        <is>
          <t>奥利小兽</t>
        </is>
      </c>
      <c r="U311" s="38" t="inlineStr">
        <is>
          <t>https://bazaardb.gg/card/17h0z69n2mqbczxptgnw7tl7pkq/%E5%A5%A5%E5%88%A9%E6%81%A9%E7%9A%84%E5%8C%85%E8%A3%B9</t>
        </is>
      </c>
      <c r="V311" s="38" t="inlineStr">
        <is>
          <t>当你将此物品出售给奥利恩时，获得一件附魔小型工具物品和1经验值</t>
        </is>
      </c>
      <c r="W311" s="38" t="inlineStr">
        <is>
          <t>BazaarDB Patch 16.2 商人包卡；归属 Orion，品质 青铜，占格 Small。</t>
        </is>
      </c>
      <c r="X311" s="385" t="str"/>
      <c r="Y311" s="386" t="inlineStr">
        <is>
          <t>reference_reserved</t>
        </is>
      </c>
      <c r="Z311" s="386" t="str"/>
      <c r="AA311" s="386" t="str"/>
    </row>
    <row r="312">
      <c r="A312" s="38" t="inlineStr">
        <is>
          <t>bz_van_311</t>
        </is>
      </c>
      <c r="B312" s="38" t="n">
        <v>311</v>
      </c>
      <c r="C312" s="38" t="inlineStr">
        <is>
          <t>merchant_package</t>
        </is>
      </c>
      <c r="D312" s="38" t="inlineStr">
        <is>
          <t>snapshot_vanessa_legacy_catalog_v1</t>
        </is>
      </c>
      <c r="E312" s="38" t="inlineStr">
        <is>
          <t>snapshot_the_bazaar_patch_18_0_boundary</t>
        </is>
      </c>
      <c r="F312" s="38" t="inlineStr">
        <is>
          <t>true</t>
        </is>
      </c>
      <c r="G312" s="38" t="inlineStr">
        <is>
          <t>false</t>
        </is>
      </c>
      <c r="H312" s="38" t="inlineStr">
        <is>
          <t>current_rule_match,structured_effects,reward_payload,sell_target,availability</t>
        </is>
      </c>
      <c r="I312" s="38" t="inlineStr">
        <is>
          <t>package-dylnnqgn7f1nqzl8j6cd6lg1pd</t>
        </is>
      </c>
      <c r="J312" s="38" t="inlineStr">
        <is>
          <t>安德的包裹</t>
        </is>
      </c>
      <c r="K312" s="38" t="inlineStr">
        <is>
          <t>silver</t>
        </is>
      </c>
      <c r="L312" s="38" t="inlineStr">
        <is>
          <t>Large</t>
        </is>
      </c>
      <c r="M312" s="38" t="inlineStr">
        <is>
          <t>package, large, silver, ande</t>
        </is>
      </c>
      <c r="N312" s="38" t="n">
        <v>2</v>
      </c>
      <c r="O312" s="38" t="inlineStr">
        <is>
          <t>merchant_ande, merchant_silvia</t>
        </is>
      </c>
      <c r="P312" s="38" t="n">
        <v>2</v>
      </c>
      <c r="Q312" s="38" t="inlineStr">
        <is>
          <t>elem_火, role_经济</t>
        </is>
      </c>
      <c r="R312" s="38" t="inlineStr">
        <is>
          <t>Heavy</t>
        </is>
      </c>
      <c r="S312" s="38" t="inlineStr">
        <is>
          <t>pal_311</t>
        </is>
      </c>
      <c r="T312" s="38" t="inlineStr">
        <is>
          <t>安德大兽</t>
        </is>
      </c>
      <c r="U312" s="38" t="inlineStr">
        <is>
          <t>https://bazaardb.gg/card/dylnnqgn7f1nqzl8j6cd6lg1pd/%E5%AE%89%E5%BE%B7%E7%9A%84%E5%8C%85%E8%A3%B9</t>
        </is>
      </c>
      <c r="V312" s="38" t="inlineStr">
        <is>
          <t>当你将此物品出售给安德时，获得一件附魔小型物品和1经验值</t>
        </is>
      </c>
      <c r="W312" s="38" t="inlineStr">
        <is>
          <t>BazaarDB Patch 16.2 商人包卡；归属 Ande，品质 白银，占格 Large。</t>
        </is>
      </c>
      <c r="X312" s="385" t="str"/>
      <c r="Y312" s="386" t="inlineStr">
        <is>
          <t>reference_reserved</t>
        </is>
      </c>
      <c r="Z312" s="386" t="str"/>
      <c r="AA312" s="386" t="str"/>
    </row>
    <row r="313">
      <c r="A313" s="38" t="inlineStr">
        <is>
          <t>bz_van_312</t>
        </is>
      </c>
      <c r="B313" s="38" t="n">
        <v>312</v>
      </c>
      <c r="C313" s="38" t="inlineStr">
        <is>
          <t>merchant_package</t>
        </is>
      </c>
      <c r="D313" s="38" t="inlineStr">
        <is>
          <t>snapshot_vanessa_legacy_catalog_v1</t>
        </is>
      </c>
      <c r="E313" s="38" t="inlineStr">
        <is>
          <t>snapshot_the_bazaar_patch_18_0_boundary</t>
        </is>
      </c>
      <c r="F313" s="38" t="inlineStr">
        <is>
          <t>true</t>
        </is>
      </c>
      <c r="G313" s="38" t="inlineStr">
        <is>
          <t>false</t>
        </is>
      </c>
      <c r="H313" s="38" t="inlineStr">
        <is>
          <t>current_rule_match,structured_effects,reward_payload,sell_target,availability</t>
        </is>
      </c>
      <c r="I313" s="38" t="inlineStr">
        <is>
          <t>package-qd5w22vt5vwz5dffv220bkv62g</t>
        </is>
      </c>
      <c r="J313" s="38" t="inlineStr">
        <is>
          <t>安德的包裹</t>
        </is>
      </c>
      <c r="K313" s="38" t="inlineStr">
        <is>
          <t>bronze</t>
        </is>
      </c>
      <c r="L313" s="38" t="inlineStr">
        <is>
          <t>Small</t>
        </is>
      </c>
      <c r="M313" s="38" t="inlineStr">
        <is>
          <t>package, small, bronze, ande</t>
        </is>
      </c>
      <c r="N313" s="38" t="n">
        <v>2</v>
      </c>
      <c r="O313" s="38" t="inlineStr">
        <is>
          <t>merchant_ande, merchant_curio</t>
        </is>
      </c>
      <c r="P313" s="38" t="n">
        <v>2</v>
      </c>
      <c r="Q313" s="38" t="inlineStr">
        <is>
          <t>elem_火, elem_草</t>
        </is>
      </c>
      <c r="R313" s="38" t="inlineStr">
        <is>
          <t>Shiny</t>
        </is>
      </c>
      <c r="S313" s="38" t="inlineStr">
        <is>
          <t>pal_312</t>
        </is>
      </c>
      <c r="T313" s="38" t="inlineStr">
        <is>
          <t>安德小兽</t>
        </is>
      </c>
      <c r="U313" s="38" t="inlineStr">
        <is>
          <t>https://bazaardb.gg/card/qd5w22vt5vwz5dffv220bkv62g/%E5%AE%89%E5%BE%B7%E7%9A%84%E5%8C%85%E8%A3%B9</t>
        </is>
      </c>
      <c r="V313" s="38" t="inlineStr">
        <is>
          <t>当你将此物品出售给安德时，获得一件附魔小型物品和1经验值</t>
        </is>
      </c>
      <c r="W313" s="38" t="inlineStr">
        <is>
          <t>BazaarDB Patch 16.2 商人包卡；归属 Ande，品质 青铜，占格 Small。</t>
        </is>
      </c>
      <c r="X313" s="385" t="str"/>
      <c r="Y313" s="386" t="inlineStr">
        <is>
          <t>reference_reserved</t>
        </is>
      </c>
      <c r="Z313" s="386" t="str"/>
      <c r="AA313" s="386" t="str"/>
    </row>
    <row r="314">
      <c r="A314" s="38" t="inlineStr">
        <is>
          <t>bz_van_313</t>
        </is>
      </c>
      <c r="B314" s="38" t="n">
        <v>313</v>
      </c>
      <c r="C314" s="38" t="inlineStr">
        <is>
          <t>merchant_package</t>
        </is>
      </c>
      <c r="D314" s="38" t="inlineStr">
        <is>
          <t>snapshot_vanessa_legacy_catalog_v1</t>
        </is>
      </c>
      <c r="E314" s="38" t="inlineStr">
        <is>
          <t>snapshot_the_bazaar_patch_18_0_boundary</t>
        </is>
      </c>
      <c r="F314" s="38" t="inlineStr">
        <is>
          <t>true</t>
        </is>
      </c>
      <c r="G314" s="38" t="inlineStr">
        <is>
          <t>false</t>
        </is>
      </c>
      <c r="H314" s="38" t="inlineStr">
        <is>
          <t>current_rule_match,structured_effects,reward_payload,sell_target,availability</t>
        </is>
      </c>
      <c r="I314" s="38" t="inlineStr">
        <is>
          <t>package-zdc19wy9j399gqbx2vglkqn3sm</t>
        </is>
      </c>
      <c r="J314" s="38" t="inlineStr">
        <is>
          <t>安德的包裹</t>
        </is>
      </c>
      <c r="K314" s="38" t="inlineStr">
        <is>
          <t>bronze</t>
        </is>
      </c>
      <c r="L314" s="38" t="inlineStr">
        <is>
          <t>Medium</t>
        </is>
      </c>
      <c r="M314" s="38" t="inlineStr">
        <is>
          <t>package, medium, bronze, ande</t>
        </is>
      </c>
      <c r="N314" s="38" t="n">
        <v>2</v>
      </c>
      <c r="O314" s="38" t="inlineStr">
        <is>
          <t>merchant_ande, merchant_curio</t>
        </is>
      </c>
      <c r="P314" s="38" t="n">
        <v>2</v>
      </c>
      <c r="Q314" s="38" t="inlineStr">
        <is>
          <t>elem_火, elem_草</t>
        </is>
      </c>
      <c r="R314" s="38" t="inlineStr">
        <is>
          <t>Heavy</t>
        </is>
      </c>
      <c r="S314" s="38" t="inlineStr">
        <is>
          <t>pal_313</t>
        </is>
      </c>
      <c r="T314" s="38" t="inlineStr">
        <is>
          <t>安德中兽</t>
        </is>
      </c>
      <c r="U314" s="38" t="inlineStr">
        <is>
          <t>https://bazaardb.gg/card/zdc19wy9j399gqbx2vglkqn3sm/%E5%AE%89%E5%BE%B7%E7%9A%84%E5%8C%85%E8%A3%B9</t>
        </is>
      </c>
      <c r="V314" s="38" t="inlineStr">
        <is>
          <t>当你将此物品出售给安德时，获得一件附魔小型物品和1经验值</t>
        </is>
      </c>
      <c r="W314" s="38" t="inlineStr">
        <is>
          <t>BazaarDB Patch 16.2 商人包卡；归属 Ande，品质 青铜，占格 Medium。</t>
        </is>
      </c>
      <c r="X314" s="385" t="str"/>
      <c r="Y314" s="386" t="inlineStr">
        <is>
          <t>reference_reserved</t>
        </is>
      </c>
      <c r="Z314" s="386" t="str"/>
      <c r="AA314" s="386" t="str"/>
    </row>
    <row r="315">
      <c r="A315" s="38" t="inlineStr">
        <is>
          <t>bz_van_314</t>
        </is>
      </c>
      <c r="B315" s="38" t="n">
        <v>314</v>
      </c>
      <c r="C315" s="38" t="inlineStr">
        <is>
          <t>merchant_package</t>
        </is>
      </c>
      <c r="D315" s="38" t="inlineStr">
        <is>
          <t>snapshot_vanessa_legacy_catalog_v1</t>
        </is>
      </c>
      <c r="E315" s="38" t="inlineStr">
        <is>
          <t>snapshot_the_bazaar_patch_18_0_boundary</t>
        </is>
      </c>
      <c r="F315" s="38" t="inlineStr">
        <is>
          <t>true</t>
        </is>
      </c>
      <c r="G315" s="38" t="inlineStr">
        <is>
          <t>false</t>
        </is>
      </c>
      <c r="H315" s="38" t="inlineStr">
        <is>
          <t>current_rule_match,structured_effects,reward_payload,sell_target,availability</t>
        </is>
      </c>
      <c r="I315" s="38" t="inlineStr">
        <is>
          <t>package-9t7m49cvv0459n19tb0mwn0hj1</t>
        </is>
      </c>
      <c r="J315" s="38" t="inlineStr">
        <is>
          <t>寇特的包裹</t>
        </is>
      </c>
      <c r="K315" s="38" t="inlineStr">
        <is>
          <t>silver</t>
        </is>
      </c>
      <c r="L315" s="38" t="inlineStr">
        <is>
          <t>Large</t>
        </is>
      </c>
      <c r="M315" s="38" t="inlineStr">
        <is>
          <t>package, large, silver, colt</t>
        </is>
      </c>
      <c r="N315" s="38" t="n">
        <v>2</v>
      </c>
      <c r="O315" s="38" t="inlineStr">
        <is>
          <t>merchant_colt, merchant_silvia</t>
        </is>
      </c>
      <c r="P315" s="38" t="n">
        <v>2</v>
      </c>
      <c r="Q315" s="38" t="inlineStr">
        <is>
          <t>role_经济, role_机动</t>
        </is>
      </c>
      <c r="R315" s="38" t="inlineStr">
        <is>
          <t>Shiny</t>
        </is>
      </c>
      <c r="S315" s="38" t="inlineStr">
        <is>
          <t>pal_314</t>
        </is>
      </c>
      <c r="T315" s="38" t="inlineStr">
        <is>
          <t>寇特大兽</t>
        </is>
      </c>
      <c r="U315" s="38" t="inlineStr">
        <is>
          <t>https://bazaardb.gg/card/9t7m49cvv0459n19tb0mwn0hj1/%E5%AF%87%E7%89%B9%E7%9A%84%E5%8C%85%E8%A3%B9</t>
        </is>
      </c>
      <c r="V315" s="38" t="inlineStr">
        <is>
          <t>当你将此物品出售给寇特时，获得一件附魔的大型弹药物品和1经验值</t>
        </is>
      </c>
      <c r="W315" s="38" t="inlineStr">
        <is>
          <t>BazaarDB Patch 16.2 商人包卡；归属 Colt，品质 白银，占格 Large。</t>
        </is>
      </c>
      <c r="X315" s="385" t="str"/>
      <c r="Y315" s="386" t="inlineStr">
        <is>
          <t>reference_reserved</t>
        </is>
      </c>
      <c r="Z315" s="386" t="str"/>
      <c r="AA315" s="386" t="str"/>
    </row>
    <row r="316">
      <c r="A316" s="38" t="inlineStr">
        <is>
          <t>bz_van_315</t>
        </is>
      </c>
      <c r="B316" s="38" t="n">
        <v>315</v>
      </c>
      <c r="C316" s="38" t="inlineStr">
        <is>
          <t>merchant_package</t>
        </is>
      </c>
      <c r="D316" s="38" t="inlineStr">
        <is>
          <t>snapshot_vanessa_legacy_catalog_v1</t>
        </is>
      </c>
      <c r="E316" s="38" t="inlineStr">
        <is>
          <t>snapshot_the_bazaar_patch_18_0_boundary</t>
        </is>
      </c>
      <c r="F316" s="38" t="inlineStr">
        <is>
          <t>true</t>
        </is>
      </c>
      <c r="G316" s="38" t="inlineStr">
        <is>
          <t>false</t>
        </is>
      </c>
      <c r="H316" s="38" t="inlineStr">
        <is>
          <t>current_rule_match,structured_effects,reward_payload,sell_target,availability</t>
        </is>
      </c>
      <c r="I316" s="38" t="inlineStr">
        <is>
          <t>package-jl553m7s0ky15f5m5klcd7s4k3</t>
        </is>
      </c>
      <c r="J316" s="38" t="inlineStr">
        <is>
          <t>寇特的包裹</t>
        </is>
      </c>
      <c r="K316" s="38" t="inlineStr">
        <is>
          <t>bronze</t>
        </is>
      </c>
      <c r="L316" s="38" t="inlineStr">
        <is>
          <t>Small</t>
        </is>
      </c>
      <c r="M316" s="38" t="inlineStr">
        <is>
          <t>package, small, bronze, colt</t>
        </is>
      </c>
      <c r="N316" s="38" t="n">
        <v>2</v>
      </c>
      <c r="O316" s="38" t="inlineStr">
        <is>
          <t>merchant_colt, merchant_curio</t>
        </is>
      </c>
      <c r="P316" s="38" t="n">
        <v>2</v>
      </c>
      <c r="Q316" s="38" t="inlineStr">
        <is>
          <t>elem_草, role_机动</t>
        </is>
      </c>
      <c r="R316" s="38" t="inlineStr">
        <is>
          <t>Heavy</t>
        </is>
      </c>
      <c r="S316" s="38" t="inlineStr">
        <is>
          <t>pal_315</t>
        </is>
      </c>
      <c r="T316" s="38" t="inlineStr">
        <is>
          <t>寇特小兽</t>
        </is>
      </c>
      <c r="U316" s="38" t="inlineStr">
        <is>
          <t>https://bazaardb.gg/card/jl553m7s0ky15f5m5klcd7s4k3/%E5%AF%87%E7%89%B9%E7%9A%84%E5%8C%85%E8%A3%B9</t>
        </is>
      </c>
      <c r="V316" s="38" t="inlineStr">
        <is>
          <t>当你将此物品出售给寇特时，获得一件附魔的小型弹药物品和1经验值</t>
        </is>
      </c>
      <c r="W316" s="38" t="inlineStr">
        <is>
          <t>BazaarDB Patch 16.2 商人包卡；归属 Colt，品质 青铜，占格 Small。</t>
        </is>
      </c>
      <c r="X316" s="385" t="str"/>
      <c r="Y316" s="386" t="inlineStr">
        <is>
          <t>reference_reserved</t>
        </is>
      </c>
      <c r="Z316" s="386" t="str"/>
      <c r="AA316" s="386" t="str"/>
    </row>
    <row r="317">
      <c r="A317" s="38" t="inlineStr">
        <is>
          <t>bz_van_316</t>
        </is>
      </c>
      <c r="B317" s="38" t="n">
        <v>316</v>
      </c>
      <c r="C317" s="38" t="inlineStr">
        <is>
          <t>merchant_package</t>
        </is>
      </c>
      <c r="D317" s="38" t="inlineStr">
        <is>
          <t>snapshot_vanessa_legacy_catalog_v1</t>
        </is>
      </c>
      <c r="E317" s="38" t="inlineStr">
        <is>
          <t>snapshot_the_bazaar_patch_18_0_boundary</t>
        </is>
      </c>
      <c r="F317" s="38" t="inlineStr">
        <is>
          <t>true</t>
        </is>
      </c>
      <c r="G317" s="38" t="inlineStr">
        <is>
          <t>false</t>
        </is>
      </c>
      <c r="H317" s="38" t="inlineStr">
        <is>
          <t>current_rule_match,structured_effects,reward_payload,sell_target,availability</t>
        </is>
      </c>
      <c r="I317" s="38" t="inlineStr">
        <is>
          <t>package-vq31zvwb1bk8zwc8qw42k12z7g</t>
        </is>
      </c>
      <c r="J317" s="38" t="inlineStr">
        <is>
          <t>寇特的包裹</t>
        </is>
      </c>
      <c r="K317" s="38" t="inlineStr">
        <is>
          <t>bronze</t>
        </is>
      </c>
      <c r="L317" s="38" t="inlineStr">
        <is>
          <t>Medium</t>
        </is>
      </c>
      <c r="M317" s="38" t="inlineStr">
        <is>
          <t>package, medium, bronze, colt</t>
        </is>
      </c>
      <c r="N317" s="38" t="n">
        <v>2</v>
      </c>
      <c r="O317" s="38" t="inlineStr">
        <is>
          <t>merchant_colt, merchant_curio</t>
        </is>
      </c>
      <c r="P317" s="38" t="n">
        <v>2</v>
      </c>
      <c r="Q317" s="38" t="inlineStr">
        <is>
          <t>elem_草, role_机动</t>
        </is>
      </c>
      <c r="R317" s="38" t="inlineStr">
        <is>
          <t>Shiny</t>
        </is>
      </c>
      <c r="S317" s="38" t="inlineStr">
        <is>
          <t>pal_316</t>
        </is>
      </c>
      <c r="T317" s="38" t="inlineStr">
        <is>
          <t>寇特中兽</t>
        </is>
      </c>
      <c r="U317" s="38" t="inlineStr">
        <is>
          <t>https://bazaardb.gg/card/vq31zvwb1bk8zwc8qw42k12z7g/%E5%AF%87%E7%89%B9%E7%9A%84%E5%8C%85%E8%A3%B9</t>
        </is>
      </c>
      <c r="V317" s="38" t="inlineStr">
        <is>
          <t>当你将此物品出售给寇特时，获得一件附魔的中型弹药物品和1经验值</t>
        </is>
      </c>
      <c r="W317" s="38" t="inlineStr">
        <is>
          <t>BazaarDB Patch 16.2 商人包卡；归属 Colt，品质 青铜，占格 Medium。</t>
        </is>
      </c>
      <c r="X317" s="385" t="str"/>
      <c r="Y317" s="386" t="inlineStr">
        <is>
          <t>reference_reserved</t>
        </is>
      </c>
      <c r="Z317" s="386" t="str"/>
      <c r="AA317" s="386" t="str"/>
    </row>
    <row r="318">
      <c r="A318" s="38" t="inlineStr">
        <is>
          <t>bz_van_317</t>
        </is>
      </c>
      <c r="B318" s="38" t="n">
        <v>317</v>
      </c>
      <c r="C318" s="38" t="inlineStr">
        <is>
          <t>merchant_package</t>
        </is>
      </c>
      <c r="D318" s="38" t="inlineStr">
        <is>
          <t>snapshot_vanessa_legacy_catalog_v1</t>
        </is>
      </c>
      <c r="E318" s="38" t="inlineStr">
        <is>
          <t>snapshot_the_bazaar_patch_18_0_boundary</t>
        </is>
      </c>
      <c r="F318" s="38" t="inlineStr">
        <is>
          <t>true</t>
        </is>
      </c>
      <c r="G318" s="38" t="inlineStr">
        <is>
          <t>false</t>
        </is>
      </c>
      <c r="H318" s="38" t="inlineStr">
        <is>
          <t>current_rule_match,structured_effects,reward_payload,sell_target,availability</t>
        </is>
      </c>
      <c r="I318" s="38" t="inlineStr">
        <is>
          <t>package-m0s99bw7l6kf4hyq0xmbgvxh25</t>
        </is>
      </c>
      <c r="J318" s="38" t="inlineStr">
        <is>
          <t>库里欧的包裹</t>
        </is>
      </c>
      <c r="K318" s="38" t="inlineStr">
        <is>
          <t>bronze</t>
        </is>
      </c>
      <c r="L318" s="38" t="inlineStr">
        <is>
          <t>Medium</t>
        </is>
      </c>
      <c r="M318" s="38" t="inlineStr">
        <is>
          <t>package, medium, bronze, curio</t>
        </is>
      </c>
      <c r="N318" s="38" t="n">
        <v>1</v>
      </c>
      <c r="O318" s="38" t="inlineStr">
        <is>
          <t>merchant_curio</t>
        </is>
      </c>
      <c r="P318" s="38" t="n">
        <v>1</v>
      </c>
      <c r="Q318" s="38" t="inlineStr">
        <is>
          <t>elem_草</t>
        </is>
      </c>
      <c r="R318" s="38" t="inlineStr">
        <is>
          <t>Shiny</t>
        </is>
      </c>
      <c r="S318" s="38" t="inlineStr">
        <is>
          <t>pal_317</t>
        </is>
      </c>
      <c r="T318" s="38" t="inlineStr">
        <is>
          <t>库里中兽</t>
        </is>
      </c>
      <c r="U318" s="38" t="inlineStr">
        <is>
          <t>https://bazaardb.gg/card/m0s99bw7l6kf4hyq0xmbgvxh25/%E5%BA%93%E9%87%8C%E6%AC%A7%E7%9A%84%E5%8C%85%E8%A3%B9</t>
        </is>
      </c>
      <c r="V318" s="38" t="inlineStr">
        <is>
          <t>当你将此物品出售给库里欧时，获得一件附魔中型中立物品和1经验值</t>
        </is>
      </c>
      <c r="W318" s="38" t="inlineStr">
        <is>
          <t>BazaarDB Patch 16.2 商人包卡；归属 Curio，品质 青铜，占格 Medium。</t>
        </is>
      </c>
      <c r="X318" s="385" t="str"/>
      <c r="Y318" s="386" t="inlineStr">
        <is>
          <t>reference_reserved</t>
        </is>
      </c>
      <c r="Z318" s="386" t="str"/>
      <c r="AA318" s="386" t="str"/>
    </row>
    <row r="319">
      <c r="A319" s="38" t="inlineStr">
        <is>
          <t>bz_van_318</t>
        </is>
      </c>
      <c r="B319" s="38" t="n">
        <v>318</v>
      </c>
      <c r="C319" s="38" t="inlineStr">
        <is>
          <t>merchant_package</t>
        </is>
      </c>
      <c r="D319" s="38" t="inlineStr">
        <is>
          <t>snapshot_vanessa_legacy_catalog_v1</t>
        </is>
      </c>
      <c r="E319" s="38" t="inlineStr">
        <is>
          <t>snapshot_the_bazaar_patch_18_0_boundary</t>
        </is>
      </c>
      <c r="F319" s="38" t="inlineStr">
        <is>
          <t>true</t>
        </is>
      </c>
      <c r="G319" s="38" t="inlineStr">
        <is>
          <t>false</t>
        </is>
      </c>
      <c r="H319" s="38" t="inlineStr">
        <is>
          <t>current_rule_match,structured_effects,reward_payload,sell_target,availability</t>
        </is>
      </c>
      <c r="I319" s="38" t="inlineStr">
        <is>
          <t>package-nmw0xq330ln798gkddym9hhk2b</t>
        </is>
      </c>
      <c r="J319" s="38" t="inlineStr">
        <is>
          <t>库里欧的包裹</t>
        </is>
      </c>
      <c r="K319" s="38" t="inlineStr">
        <is>
          <t>bronze</t>
        </is>
      </c>
      <c r="L319" s="38" t="inlineStr">
        <is>
          <t>Small</t>
        </is>
      </c>
      <c r="M319" s="38" t="inlineStr">
        <is>
          <t>package, small, bronze, curio</t>
        </is>
      </c>
      <c r="N319" s="38" t="n">
        <v>1</v>
      </c>
      <c r="O319" s="38" t="inlineStr">
        <is>
          <t>merchant_curio</t>
        </is>
      </c>
      <c r="P319" s="38" t="n">
        <v>1</v>
      </c>
      <c r="Q319" s="38" t="inlineStr">
        <is>
          <t>elem_草</t>
        </is>
      </c>
      <c r="R319" s="38" t="inlineStr">
        <is>
          <t>Heavy</t>
        </is>
      </c>
      <c r="S319" s="38" t="inlineStr">
        <is>
          <t>pal_318</t>
        </is>
      </c>
      <c r="T319" s="38" t="inlineStr">
        <is>
          <t>库里小兽</t>
        </is>
      </c>
      <c r="U319" s="38" t="inlineStr">
        <is>
          <t>https://bazaardb.gg/card/nmw0xq330ln798gkddym9hhk2b/%E5%BA%93%E9%87%8C%E6%AC%A7%E7%9A%84%E5%8C%85%E8%A3%B9</t>
        </is>
      </c>
      <c r="V319" s="38" t="inlineStr">
        <is>
          <t>当你将此物品出售给库里欧时，获得一件附魔的小型中立物品和1经验值</t>
        </is>
      </c>
      <c r="W319" s="38" t="inlineStr">
        <is>
          <t>BazaarDB Patch 16.2 商人包卡；归属 Curio，品质 青铜，占格 Small。</t>
        </is>
      </c>
      <c r="X319" s="385" t="str"/>
      <c r="Y319" s="386" t="inlineStr">
        <is>
          <t>reference_reserved</t>
        </is>
      </c>
      <c r="Z319" s="386" t="str"/>
      <c r="AA319" s="386" t="str"/>
    </row>
    <row r="320">
      <c r="A320" s="38" t="inlineStr">
        <is>
          <t>bz_van_319</t>
        </is>
      </c>
      <c r="B320" s="38" t="n">
        <v>319</v>
      </c>
      <c r="C320" s="38" t="inlineStr">
        <is>
          <t>merchant_package</t>
        </is>
      </c>
      <c r="D320" s="38" t="inlineStr">
        <is>
          <t>snapshot_vanessa_legacy_catalog_v1</t>
        </is>
      </c>
      <c r="E320" s="38" t="inlineStr">
        <is>
          <t>snapshot_the_bazaar_patch_18_0_boundary</t>
        </is>
      </c>
      <c r="F320" s="38" t="inlineStr">
        <is>
          <t>true</t>
        </is>
      </c>
      <c r="G320" s="38" t="inlineStr">
        <is>
          <t>false</t>
        </is>
      </c>
      <c r="H320" s="38" t="inlineStr">
        <is>
          <t>current_rule_match,structured_effects,reward_payload,sell_target,availability</t>
        </is>
      </c>
      <c r="I320" s="38" t="inlineStr">
        <is>
          <t>package-18690zzzjb0wlm87ympm4c54pbt</t>
        </is>
      </c>
      <c r="J320" s="38" t="inlineStr">
        <is>
          <t>库里欧的包裹</t>
        </is>
      </c>
      <c r="K320" s="38" t="inlineStr">
        <is>
          <t>silver</t>
        </is>
      </c>
      <c r="L320" s="38" t="inlineStr">
        <is>
          <t>Large</t>
        </is>
      </c>
      <c r="M320" s="38" t="inlineStr">
        <is>
          <t>package, large, silver, curio</t>
        </is>
      </c>
      <c r="N320" s="38" t="n">
        <v>2</v>
      </c>
      <c r="O320" s="38" t="inlineStr">
        <is>
          <t>merchant_curio, merchant_silvia</t>
        </is>
      </c>
      <c r="P320" s="38" t="n">
        <v>2</v>
      </c>
      <c r="Q320" s="38" t="inlineStr">
        <is>
          <t>elem_草, role_经济</t>
        </is>
      </c>
      <c r="R320" s="38" t="inlineStr">
        <is>
          <t>Shiny</t>
        </is>
      </c>
      <c r="S320" s="38" t="inlineStr">
        <is>
          <t>pal_319</t>
        </is>
      </c>
      <c r="T320" s="38" t="inlineStr">
        <is>
          <t>库里大兽</t>
        </is>
      </c>
      <c r="U320" s="38" t="inlineStr">
        <is>
          <t>https://bazaardb.gg/card/18690zzzjb0wlm87ympm4c54pbt/%E5%BA%93%E9%87%8C%E6%AC%A7%E7%9A%84%E5%8C%85%E8%A3%B9</t>
        </is>
      </c>
      <c r="V320" s="38" t="inlineStr">
        <is>
          <t>当你将此物品出售给库里欧时，获得一件附魔的大型中立物品和1经验值</t>
        </is>
      </c>
      <c r="W320" s="38" t="inlineStr">
        <is>
          <t>BazaarDB Patch 16.2 商人包卡；归属 Curio，品质 白银，占格 Large。</t>
        </is>
      </c>
      <c r="X320" s="385" t="str"/>
      <c r="Y320" s="386" t="inlineStr">
        <is>
          <t>reference_reserved</t>
        </is>
      </c>
      <c r="Z320" s="386" t="str"/>
      <c r="AA320" s="386" t="str"/>
    </row>
    <row r="321">
      <c r="A321" s="38" t="inlineStr">
        <is>
          <t>bz_van_320</t>
        </is>
      </c>
      <c r="B321" s="38" t="n">
        <v>320</v>
      </c>
      <c r="C321" s="38" t="inlineStr">
        <is>
          <t>merchant_package</t>
        </is>
      </c>
      <c r="D321" s="38" t="inlineStr">
        <is>
          <t>snapshot_vanessa_legacy_catalog_v1</t>
        </is>
      </c>
      <c r="E321" s="38" t="inlineStr">
        <is>
          <t>snapshot_the_bazaar_patch_18_0_boundary</t>
        </is>
      </c>
      <c r="F321" s="38" t="inlineStr">
        <is>
          <t>true</t>
        </is>
      </c>
      <c r="G321" s="38" t="inlineStr">
        <is>
          <t>false</t>
        </is>
      </c>
      <c r="H321" s="38" t="inlineStr">
        <is>
          <t>current_rule_match,structured_effects,reward_payload,sell_target,availability</t>
        </is>
      </c>
      <c r="I321" s="38" t="inlineStr">
        <is>
          <t>package-2wc3wmj500bzmj5nz54308zmcw</t>
        </is>
      </c>
      <c r="J321" s="38" t="inlineStr">
        <is>
          <t>戈尔迪的包裹</t>
        </is>
      </c>
      <c r="K321" s="38" t="inlineStr">
        <is>
          <t>silver</t>
        </is>
      </c>
      <c r="L321" s="38" t="inlineStr">
        <is>
          <t>Small</t>
        </is>
      </c>
      <c r="M321" s="38" t="inlineStr">
        <is>
          <t>package, small, silver, goldie</t>
        </is>
      </c>
      <c r="N321" s="38" t="n">
        <v>2</v>
      </c>
      <c r="O321" s="38" t="inlineStr">
        <is>
          <t>merchant_goldie, merchant_silvia</t>
        </is>
      </c>
      <c r="P321" s="38" t="n">
        <v>2</v>
      </c>
      <c r="Q321" s="38" t="inlineStr">
        <is>
          <t>role_坦克, role_经济</t>
        </is>
      </c>
      <c r="R321" s="38" t="inlineStr">
        <is>
          <t>Golden</t>
        </is>
      </c>
      <c r="S321" s="38" t="inlineStr">
        <is>
          <t>pal_320</t>
        </is>
      </c>
      <c r="T321" s="38" t="inlineStr">
        <is>
          <t>戈迪小兽</t>
        </is>
      </c>
      <c r="U321" s="38" t="inlineStr">
        <is>
          <t>https://bazaardb.gg/card/2wc3wmj500bzmj5nz54308zmcw/%E6%88%88%E5%B0%94%E8%BF%AA%E7%9A%84%E5%8C%85%E8%A3%B9</t>
        </is>
      </c>
      <c r="V321" s="38" t="inlineStr">
        <is>
          <t>当你将此物品出售给戈尔迪时，获得一件附魔的小型物品和2经验值</t>
        </is>
      </c>
      <c r="W321" s="38" t="inlineStr">
        <is>
          <t>BazaarDB Patch 16.2 商人包卡；归属 Goldie，品质 白银，占格 Small。</t>
        </is>
      </c>
      <c r="X321" s="385" t="str"/>
      <c r="Y321" s="386" t="inlineStr">
        <is>
          <t>reference_reserved</t>
        </is>
      </c>
      <c r="Z321" s="386" t="str"/>
      <c r="AA321" s="386" t="str"/>
    </row>
    <row r="322">
      <c r="A322" s="38" t="inlineStr">
        <is>
          <t>bz_van_321</t>
        </is>
      </c>
      <c r="B322" s="38" t="n">
        <v>321</v>
      </c>
      <c r="C322" s="38" t="inlineStr">
        <is>
          <t>merchant_package</t>
        </is>
      </c>
      <c r="D322" s="38" t="inlineStr">
        <is>
          <t>snapshot_vanessa_legacy_catalog_v1</t>
        </is>
      </c>
      <c r="E322" s="38" t="inlineStr">
        <is>
          <t>snapshot_the_bazaar_patch_18_0_boundary</t>
        </is>
      </c>
      <c r="F322" s="38" t="inlineStr">
        <is>
          <t>true</t>
        </is>
      </c>
      <c r="G322" s="38" t="inlineStr">
        <is>
          <t>false</t>
        </is>
      </c>
      <c r="H322" s="38" t="inlineStr">
        <is>
          <t>current_rule_match,structured_effects,reward_payload,sell_target,availability</t>
        </is>
      </c>
      <c r="I322" s="38" t="inlineStr">
        <is>
          <t>package-j418542p7mncshc1j7bb3dmwcf</t>
        </is>
      </c>
      <c r="J322" s="38" t="inlineStr">
        <is>
          <t>戈尔迪的包裹</t>
        </is>
      </c>
      <c r="K322" s="38" t="inlineStr">
        <is>
          <t>silver</t>
        </is>
      </c>
      <c r="L322" s="38" t="inlineStr">
        <is>
          <t>Medium</t>
        </is>
      </c>
      <c r="M322" s="38" t="inlineStr">
        <is>
          <t>package, medium, silver, goldie</t>
        </is>
      </c>
      <c r="N322" s="38" t="n">
        <v>2</v>
      </c>
      <c r="O322" s="38" t="inlineStr">
        <is>
          <t>merchant_goldie, merchant_silvia</t>
        </is>
      </c>
      <c r="P322" s="38" t="n">
        <v>2</v>
      </c>
      <c r="Q322" s="38" t="inlineStr">
        <is>
          <t>role_坦克, role_经济</t>
        </is>
      </c>
      <c r="R322" s="38" t="inlineStr">
        <is>
          <t>Golden</t>
        </is>
      </c>
      <c r="S322" s="38" t="inlineStr">
        <is>
          <t>pal_321</t>
        </is>
      </c>
      <c r="T322" s="38" t="inlineStr">
        <is>
          <t>戈迪中兽</t>
        </is>
      </c>
      <c r="U322" s="38" t="inlineStr">
        <is>
          <t>https://bazaardb.gg/card/j418542p7mncshc1j7bb3dmwcf/%E6%88%88%E5%B0%94%E8%BF%AA%E7%9A%84%E5%8C%85%E8%A3%B9</t>
        </is>
      </c>
      <c r="V322" s="38" t="inlineStr">
        <is>
          <t>当你将此物品出售给戈尔迪时，获得一件附魔中型物品和2经验值</t>
        </is>
      </c>
      <c r="W322" s="38" t="inlineStr">
        <is>
          <t>BazaarDB Patch 16.2 商人包卡；归属 Goldie，品质 白银，占格 Medium。</t>
        </is>
      </c>
      <c r="X322" s="385" t="str"/>
      <c r="Y322" s="386" t="inlineStr">
        <is>
          <t>reference_reserved</t>
        </is>
      </c>
      <c r="Z322" s="386" t="str"/>
      <c r="AA322" s="386" t="str"/>
    </row>
    <row r="323">
      <c r="A323" s="38" t="inlineStr">
        <is>
          <t>bz_van_322</t>
        </is>
      </c>
      <c r="B323" s="38" t="n">
        <v>322</v>
      </c>
      <c r="C323" s="38" t="inlineStr">
        <is>
          <t>merchant_package</t>
        </is>
      </c>
      <c r="D323" s="38" t="inlineStr">
        <is>
          <t>snapshot_vanessa_legacy_catalog_v1</t>
        </is>
      </c>
      <c r="E323" s="38" t="inlineStr">
        <is>
          <t>snapshot_the_bazaar_patch_18_0_boundary</t>
        </is>
      </c>
      <c r="F323" s="38" t="inlineStr">
        <is>
          <t>true</t>
        </is>
      </c>
      <c r="G323" s="38" t="inlineStr">
        <is>
          <t>false</t>
        </is>
      </c>
      <c r="H323" s="38" t="inlineStr">
        <is>
          <t>current_rule_match,structured_effects,reward_payload,sell_target,availability</t>
        </is>
      </c>
      <c r="I323" s="38" t="inlineStr">
        <is>
          <t>package-snm7048qfswm25nbwwffy7349f</t>
        </is>
      </c>
      <c r="J323" s="38" t="inlineStr">
        <is>
          <t>戈尔迪的包裹</t>
        </is>
      </c>
      <c r="K323" s="38" t="inlineStr">
        <is>
          <t>silver</t>
        </is>
      </c>
      <c r="L323" s="38" t="inlineStr">
        <is>
          <t>Large</t>
        </is>
      </c>
      <c r="M323" s="38" t="inlineStr">
        <is>
          <t>package, large, silver, goldie</t>
        </is>
      </c>
      <c r="N323" s="38" t="n">
        <v>2</v>
      </c>
      <c r="O323" s="38" t="inlineStr">
        <is>
          <t>merchant_goldie, merchant_silvia</t>
        </is>
      </c>
      <c r="P323" s="38" t="n">
        <v>2</v>
      </c>
      <c r="Q323" s="38" t="inlineStr">
        <is>
          <t>role_坦克, role_经济</t>
        </is>
      </c>
      <c r="R323" s="38" t="inlineStr">
        <is>
          <t>Golden</t>
        </is>
      </c>
      <c r="S323" s="38" t="inlineStr">
        <is>
          <t>pal_322</t>
        </is>
      </c>
      <c r="T323" s="38" t="inlineStr">
        <is>
          <t>戈迪大兽</t>
        </is>
      </c>
      <c r="U323" s="38" t="inlineStr">
        <is>
          <t>https://bazaardb.gg/card/snm7048qfswm25nbwwffy7349f/%E6%88%88%E5%B0%94%E8%BF%AA%E7%9A%84%E5%8C%85%E8%A3%B9</t>
        </is>
      </c>
      <c r="V323" s="38" t="inlineStr">
        <is>
          <t>当你将此物品出售给戈尔迪时，获得一件附魔的大型物品和2经验值</t>
        </is>
      </c>
      <c r="W323" s="38" t="inlineStr">
        <is>
          <t>BazaarDB Patch 16.2 商人包卡；归属 Goldie，品质 白银，占格 Large。</t>
        </is>
      </c>
      <c r="X323" s="385" t="str"/>
      <c r="Y323" s="386" t="inlineStr">
        <is>
          <t>reference_reserved</t>
        </is>
      </c>
      <c r="Z323" s="386" t="str"/>
      <c r="AA323" s="386" t="str"/>
    </row>
    <row r="324">
      <c r="A324" s="38" t="inlineStr">
        <is>
          <t>bz_van_323</t>
        </is>
      </c>
      <c r="B324" s="38" t="n">
        <v>323</v>
      </c>
      <c r="C324" s="38" t="inlineStr">
        <is>
          <t>merchant_package</t>
        </is>
      </c>
      <c r="D324" s="38" t="inlineStr">
        <is>
          <t>snapshot_vanessa_legacy_catalog_v1</t>
        </is>
      </c>
      <c r="E324" s="38" t="inlineStr">
        <is>
          <t>snapshot_the_bazaar_patch_18_0_boundary</t>
        </is>
      </c>
      <c r="F324" s="38" t="inlineStr">
        <is>
          <t>true</t>
        </is>
      </c>
      <c r="G324" s="38" t="inlineStr">
        <is>
          <t>false</t>
        </is>
      </c>
      <c r="H324" s="38" t="inlineStr">
        <is>
          <t>current_rule_match,structured_effects,reward_payload,sell_target,availability</t>
        </is>
      </c>
      <c r="I324" s="38" t="inlineStr">
        <is>
          <t>package-38l7clzlwt1c07tk3qnh98585k</t>
        </is>
      </c>
      <c r="J324" s="38" t="inlineStr">
        <is>
          <t>托克钟表店的包裹</t>
        </is>
      </c>
      <c r="K324" s="38" t="inlineStr">
        <is>
          <t>silver</t>
        </is>
      </c>
      <c r="L324" s="38" t="inlineStr">
        <is>
          <t>Large</t>
        </is>
      </c>
      <c r="M324" s="38" t="inlineStr">
        <is>
          <t>package, large, silver, tok-s-clocks</t>
        </is>
      </c>
      <c r="N324" s="38" t="n">
        <v>2</v>
      </c>
      <c r="O324" s="38" t="inlineStr">
        <is>
          <t>merchant_tok-s-clocks, merchant_silvia</t>
        </is>
      </c>
      <c r="P324" s="38" t="n">
        <v>2</v>
      </c>
      <c r="Q324" s="38" t="inlineStr">
        <is>
          <t>role_经济, special_merchant</t>
        </is>
      </c>
      <c r="R324" s="38" t="inlineStr">
        <is>
          <t>Shiny</t>
        </is>
      </c>
      <c r="S324" s="38" t="inlineStr">
        <is>
          <t>pal_323</t>
        </is>
      </c>
      <c r="T324" s="38" t="inlineStr">
        <is>
          <t>托克大兽</t>
        </is>
      </c>
      <c r="U324" s="38" t="inlineStr">
        <is>
          <t>https://bazaardb.gg/card/38l7clzlwt1c07tk3qnh98585k/%E6%89%98%E5%85%8B%E9%92%9F%E8%A1%A8%E5%BA%97%E7%9A%84%E5%8C%85%E8%A3%B9</t>
        </is>
      </c>
      <c r="V324" s="38" t="inlineStr">
        <is>
          <t>当你将此物品出售给托克钟表店时，获得一件附魔的大型加速、减速或冷却物品和1经验值</t>
        </is>
      </c>
      <c r="W324" s="38" t="inlineStr">
        <is>
          <t>BazaarDB Patch 16.2 商人包卡；归属 Tok's Clocks，品质 白银，占格 Large。</t>
        </is>
      </c>
      <c r="X324" s="385" t="str"/>
      <c r="Y324" s="386" t="inlineStr">
        <is>
          <t>reference_reserved</t>
        </is>
      </c>
      <c r="Z324" s="386" t="str"/>
      <c r="AA324" s="386" t="str"/>
    </row>
    <row r="325">
      <c r="A325" s="38" t="inlineStr">
        <is>
          <t>bz_van_324</t>
        </is>
      </c>
      <c r="B325" s="38" t="n">
        <v>324</v>
      </c>
      <c r="C325" s="38" t="inlineStr">
        <is>
          <t>merchant_package</t>
        </is>
      </c>
      <c r="D325" s="38" t="inlineStr">
        <is>
          <t>snapshot_vanessa_legacy_catalog_v1</t>
        </is>
      </c>
      <c r="E325" s="38" t="inlineStr">
        <is>
          <t>snapshot_the_bazaar_patch_18_0_boundary</t>
        </is>
      </c>
      <c r="F325" s="38" t="inlineStr">
        <is>
          <t>true</t>
        </is>
      </c>
      <c r="G325" s="38" t="inlineStr">
        <is>
          <t>false</t>
        </is>
      </c>
      <c r="H325" s="38" t="inlineStr">
        <is>
          <t>current_rule_match,structured_effects,reward_payload,sell_target,availability</t>
        </is>
      </c>
      <c r="I325" s="38" t="inlineStr">
        <is>
          <t>package-gnzhy2f01jb2k4wgzf3bzx89vt</t>
        </is>
      </c>
      <c r="J325" s="38" t="inlineStr">
        <is>
          <t>托克钟表店的包裹</t>
        </is>
      </c>
      <c r="K325" s="38" t="inlineStr">
        <is>
          <t>silver</t>
        </is>
      </c>
      <c r="L325" s="38" t="inlineStr">
        <is>
          <t>Medium</t>
        </is>
      </c>
      <c r="M325" s="38" t="inlineStr">
        <is>
          <t>package, medium, silver, tok-s-clocks</t>
        </is>
      </c>
      <c r="N325" s="38" t="n">
        <v>2</v>
      </c>
      <c r="O325" s="38" t="inlineStr">
        <is>
          <t>merchant_tok-s-clocks, merchant_silvia</t>
        </is>
      </c>
      <c r="P325" s="38" t="n">
        <v>2</v>
      </c>
      <c r="Q325" s="38" t="inlineStr">
        <is>
          <t>role_经济, special_merchant</t>
        </is>
      </c>
      <c r="R325" s="38" t="inlineStr">
        <is>
          <t>Shiny</t>
        </is>
      </c>
      <c r="S325" s="38" t="inlineStr">
        <is>
          <t>pal_324</t>
        </is>
      </c>
      <c r="T325" s="38" t="inlineStr">
        <is>
          <t>托克中兽</t>
        </is>
      </c>
      <c r="U325" s="38" t="inlineStr">
        <is>
          <t>https://bazaardb.gg/card/gnzhy2f01jb2k4wgzf3bzx89vt/%E6%89%98%E5%85%8B%E9%92%9F%E8%A1%A8%E5%BA%97%E7%9A%84%E5%8C%85%E8%A3%B9</t>
        </is>
      </c>
      <c r="V325" s="38" t="inlineStr">
        <is>
          <t>当你将此物品出售给托克钟表店时，获得一件附魔的中型加速、减速或冷却物品和1经验值</t>
        </is>
      </c>
      <c r="W325" s="38" t="inlineStr">
        <is>
          <t>BazaarDB Patch 16.2 商人包卡；归属 Tok's Clocks，品质 白银，占格 Medium。</t>
        </is>
      </c>
      <c r="X325" s="385" t="str"/>
      <c r="Y325" s="386" t="inlineStr">
        <is>
          <t>reference_reserved</t>
        </is>
      </c>
      <c r="Z325" s="386" t="str"/>
      <c r="AA325" s="386" t="str"/>
    </row>
    <row r="326">
      <c r="A326" s="38" t="inlineStr">
        <is>
          <t>bz_van_325</t>
        </is>
      </c>
      <c r="B326" s="38" t="n">
        <v>325</v>
      </c>
      <c r="C326" s="38" t="inlineStr">
        <is>
          <t>merchant_package</t>
        </is>
      </c>
      <c r="D326" s="38" t="inlineStr">
        <is>
          <t>snapshot_vanessa_legacy_catalog_v1</t>
        </is>
      </c>
      <c r="E326" s="38" t="inlineStr">
        <is>
          <t>snapshot_the_bazaar_patch_18_0_boundary</t>
        </is>
      </c>
      <c r="F326" s="38" t="inlineStr">
        <is>
          <t>true</t>
        </is>
      </c>
      <c r="G326" s="38" t="inlineStr">
        <is>
          <t>false</t>
        </is>
      </c>
      <c r="H326" s="38" t="inlineStr">
        <is>
          <t>current_rule_match,structured_effects,reward_payload,sell_target,availability</t>
        </is>
      </c>
      <c r="I326" s="38" t="inlineStr">
        <is>
          <t>package-14j16462jssf1hl7pglgvnl71gb</t>
        </is>
      </c>
      <c r="J326" s="38" t="inlineStr">
        <is>
          <t>托克钟表店的包裹</t>
        </is>
      </c>
      <c r="K326" s="38" t="inlineStr">
        <is>
          <t>bronze</t>
        </is>
      </c>
      <c r="L326" s="38" t="inlineStr">
        <is>
          <t>Small</t>
        </is>
      </c>
      <c r="M326" s="38" t="inlineStr">
        <is>
          <t>package, small, bronze, tok-s-clocks</t>
        </is>
      </c>
      <c r="N326" s="38" t="n">
        <v>2</v>
      </c>
      <c r="O326" s="38" t="inlineStr">
        <is>
          <t>merchant_tok-s-clocks, merchant_curio</t>
        </is>
      </c>
      <c r="P326" s="38" t="n">
        <v>2</v>
      </c>
      <c r="Q326" s="38" t="inlineStr">
        <is>
          <t>elem_草, special_merchant</t>
        </is>
      </c>
      <c r="R326" s="38" t="inlineStr">
        <is>
          <t>Heavy</t>
        </is>
      </c>
      <c r="S326" s="38" t="inlineStr">
        <is>
          <t>pal_325</t>
        </is>
      </c>
      <c r="T326" s="38" t="inlineStr">
        <is>
          <t>托克小兽</t>
        </is>
      </c>
      <c r="U326" s="38" t="inlineStr">
        <is>
          <t>https://bazaardb.gg/card/14j16462jssf1hl7pglgvnl71gb/%E6%89%98%E5%85%8B%E9%92%9F%E8%A1%A8%E5%BA%97%E7%9A%84%E5%8C%85%E8%A3%B9</t>
        </is>
      </c>
      <c r="V326" s="38" t="inlineStr">
        <is>
          <t>当你将此物品出售给托克钟表店时，获得一件附魔小型加速、减速或冷却物品和1经验值</t>
        </is>
      </c>
      <c r="W326" s="38" t="inlineStr">
        <is>
          <t>BazaarDB Patch 16.2 商人包卡；归属 Tok's Clocks，品质 青铜，占格 Small。</t>
        </is>
      </c>
      <c r="X326" s="385" t="str"/>
      <c r="Y326" s="386" t="inlineStr">
        <is>
          <t>reference_reserved</t>
        </is>
      </c>
      <c r="Z326" s="386" t="str"/>
      <c r="AA326" s="386" t="str"/>
    </row>
    <row r="327">
      <c r="A327" s="38" t="inlineStr">
        <is>
          <t>bz_van_326</t>
        </is>
      </c>
      <c r="B327" s="38" t="n">
        <v>326</v>
      </c>
      <c r="C327" s="38" t="inlineStr">
        <is>
          <t>merchant_package</t>
        </is>
      </c>
      <c r="D327" s="38" t="inlineStr">
        <is>
          <t>snapshot_vanessa_legacy_catalog_v1</t>
        </is>
      </c>
      <c r="E327" s="38" t="inlineStr">
        <is>
          <t>snapshot_the_bazaar_patch_18_0_boundary</t>
        </is>
      </c>
      <c r="F327" s="38" t="inlineStr">
        <is>
          <t>true</t>
        </is>
      </c>
      <c r="G327" s="38" t="inlineStr">
        <is>
          <t>false</t>
        </is>
      </c>
      <c r="H327" s="38" t="inlineStr">
        <is>
          <t>current_rule_match,structured_effects,reward_payload,sell_target,availability</t>
        </is>
      </c>
      <c r="I327" s="38" t="inlineStr">
        <is>
          <t>package-12yzghm2dz443b3xgpscd7pqgl4</t>
        </is>
      </c>
      <c r="J327" s="38" t="inlineStr">
        <is>
          <t>收容所谢尔比的包裹</t>
        </is>
      </c>
      <c r="K327" s="38" t="inlineStr">
        <is>
          <t>bronze</t>
        </is>
      </c>
      <c r="L327" s="38" t="inlineStr">
        <is>
          <t>Small</t>
        </is>
      </c>
      <c r="M327" s="38" t="inlineStr">
        <is>
          <t>package, small, bronze, shelter-shelby</t>
        </is>
      </c>
      <c r="N327" s="38" t="n">
        <v>2</v>
      </c>
      <c r="O327" s="38" t="inlineStr">
        <is>
          <t>merchant_shelter-shelby, merchant_curio</t>
        </is>
      </c>
      <c r="P327" s="38" t="n">
        <v>2</v>
      </c>
      <c r="Q327" s="38" t="inlineStr">
        <is>
          <t>elem_草, role_抗压承伤</t>
        </is>
      </c>
      <c r="R327" s="38" t="inlineStr">
        <is>
          <t>Shiny</t>
        </is>
      </c>
      <c r="S327" s="38" t="inlineStr">
        <is>
          <t>pal_326</t>
        </is>
      </c>
      <c r="T327" s="38" t="inlineStr">
        <is>
          <t>谢尔小兽</t>
        </is>
      </c>
      <c r="U327" s="38" t="inlineStr">
        <is>
          <t>https://bazaardb.gg/card/12yzghm2dz443b3xgpscd7pqgl4/%E6%94%B6%E5%AE%B9%E6%89%80%E8%B0%A2%E5%B0%94%E6%AF%94%E7%9A%84%E5%8C%85%E8%A3%B9</t>
        </is>
      </c>
      <c r="V327" s="38" t="inlineStr">
        <is>
          <t>当你将此物品出售给收容所谢尔比时，获得一件附魔的小型伙伴物品和1经验值</t>
        </is>
      </c>
      <c r="W327" s="38" t="inlineStr">
        <is>
          <t>BazaarDB Patch 16.2 商人包卡；归属 Shelter Shelby，品质 青铜，占格 Small。</t>
        </is>
      </c>
      <c r="X327" s="385" t="str"/>
      <c r="Y327" s="386" t="inlineStr">
        <is>
          <t>reference_reserved</t>
        </is>
      </c>
      <c r="Z327" s="386" t="str"/>
      <c r="AA327" s="386" t="str"/>
    </row>
    <row r="328">
      <c r="A328" s="38" t="inlineStr">
        <is>
          <t>bz_van_327</t>
        </is>
      </c>
      <c r="B328" s="38" t="n">
        <v>327</v>
      </c>
      <c r="C328" s="38" t="inlineStr">
        <is>
          <t>merchant_package</t>
        </is>
      </c>
      <c r="D328" s="38" t="inlineStr">
        <is>
          <t>snapshot_vanessa_legacy_catalog_v1</t>
        </is>
      </c>
      <c r="E328" s="38" t="inlineStr">
        <is>
          <t>snapshot_the_bazaar_patch_18_0_boundary</t>
        </is>
      </c>
      <c r="F328" s="38" t="inlineStr">
        <is>
          <t>true</t>
        </is>
      </c>
      <c r="G328" s="38" t="inlineStr">
        <is>
          <t>false</t>
        </is>
      </c>
      <c r="H328" s="38" t="inlineStr">
        <is>
          <t>current_rule_match,structured_effects,reward_payload,sell_target,availability</t>
        </is>
      </c>
      <c r="I328" s="38" t="inlineStr">
        <is>
          <t>package-14g0fx52slgg3tn8mmd7cjy4dqy</t>
        </is>
      </c>
      <c r="J328" s="38" t="inlineStr">
        <is>
          <t>收容所谢尔比的包裹</t>
        </is>
      </c>
      <c r="K328" s="38" t="inlineStr">
        <is>
          <t>silver</t>
        </is>
      </c>
      <c r="L328" s="38" t="inlineStr">
        <is>
          <t>Medium</t>
        </is>
      </c>
      <c r="M328" s="38" t="inlineStr">
        <is>
          <t>package, medium, silver, shelter-shelby</t>
        </is>
      </c>
      <c r="N328" s="38" t="n">
        <v>2</v>
      </c>
      <c r="O328" s="38" t="inlineStr">
        <is>
          <t>merchant_shelter-shelby, merchant_silvia</t>
        </is>
      </c>
      <c r="P328" s="38" t="n">
        <v>2</v>
      </c>
      <c r="Q328" s="38" t="inlineStr">
        <is>
          <t>role_经济, role_抗压承伤</t>
        </is>
      </c>
      <c r="R328" s="38" t="inlineStr">
        <is>
          <t>Shiny</t>
        </is>
      </c>
      <c r="S328" s="38" t="inlineStr">
        <is>
          <t>pal_327</t>
        </is>
      </c>
      <c r="T328" s="38" t="inlineStr">
        <is>
          <t>谢尔中兽</t>
        </is>
      </c>
      <c r="U328" s="38" t="inlineStr">
        <is>
          <t>https://bazaardb.gg/card/14g0fx52slgg3tn8mmd7cjy4dqy/%E6%94%B6%E5%AE%B9%E6%89%80%E8%B0%A2%E5%B0%94%E6%AF%94%E7%9A%84%E5%8C%85%E8%A3%B9</t>
        </is>
      </c>
      <c r="V328" s="38" t="inlineStr">
        <is>
          <t>当你将此物品出售给收容所谢尔比时，获得一件附魔中型伙伴物品和1经验值</t>
        </is>
      </c>
      <c r="W328" s="38" t="inlineStr">
        <is>
          <t>BazaarDB Patch 16.2 商人包卡；归属 Shelter Shelby，品质 白银，占格 Medium。</t>
        </is>
      </c>
      <c r="X328" s="385" t="str"/>
      <c r="Y328" s="386" t="inlineStr">
        <is>
          <t>reference_reserved</t>
        </is>
      </c>
      <c r="Z328" s="386" t="str"/>
      <c r="AA328" s="386" t="str"/>
    </row>
    <row r="329">
      <c r="A329" s="38" t="inlineStr">
        <is>
          <t>bz_van_328</t>
        </is>
      </c>
      <c r="B329" s="38" t="n">
        <v>328</v>
      </c>
      <c r="C329" s="38" t="inlineStr">
        <is>
          <t>merchant_package</t>
        </is>
      </c>
      <c r="D329" s="38" t="inlineStr">
        <is>
          <t>snapshot_vanessa_legacy_catalog_v1</t>
        </is>
      </c>
      <c r="E329" s="38" t="inlineStr">
        <is>
          <t>snapshot_the_bazaar_patch_18_0_boundary</t>
        </is>
      </c>
      <c r="F329" s="38" t="inlineStr">
        <is>
          <t>true</t>
        </is>
      </c>
      <c r="G329" s="38" t="inlineStr">
        <is>
          <t>false</t>
        </is>
      </c>
      <c r="H329" s="38" t="inlineStr">
        <is>
          <t>current_rule_match,structured_effects,reward_payload,sell_target,availability</t>
        </is>
      </c>
      <c r="I329" s="38" t="inlineStr">
        <is>
          <t>package-1b05bgqqkcvwd6dkzkd8g10vlfy</t>
        </is>
      </c>
      <c r="J329" s="38" t="inlineStr">
        <is>
          <t>收容所谢尔比的包裹</t>
        </is>
      </c>
      <c r="K329" s="38" t="inlineStr">
        <is>
          <t>silver</t>
        </is>
      </c>
      <c r="L329" s="38" t="inlineStr">
        <is>
          <t>Large</t>
        </is>
      </c>
      <c r="M329" s="38" t="inlineStr">
        <is>
          <t>package, large, silver, shelter-shelby</t>
        </is>
      </c>
      <c r="N329" s="38" t="n">
        <v>2</v>
      </c>
      <c r="O329" s="38" t="inlineStr">
        <is>
          <t>merchant_shelter-shelby, merchant_silvia</t>
        </is>
      </c>
      <c r="P329" s="38" t="n">
        <v>2</v>
      </c>
      <c r="Q329" s="38" t="inlineStr">
        <is>
          <t>role_经济, role_抗压承伤</t>
        </is>
      </c>
      <c r="R329" s="38" t="inlineStr">
        <is>
          <t>Golden</t>
        </is>
      </c>
      <c r="S329" s="38" t="inlineStr">
        <is>
          <t>pal_328</t>
        </is>
      </c>
      <c r="T329" s="38" t="inlineStr">
        <is>
          <t>谢尔大兽</t>
        </is>
      </c>
      <c r="U329" s="38" t="inlineStr">
        <is>
          <t>https://bazaardb.gg/card/1b05bgqqkcvwd6dkzkd8g10vlfy/%E6%94%B6%E5%AE%B9%E6%89%80%E8%B0%A2%E5%B0%94%E6%AF%94%E7%9A%84%E5%8C%85%E8%A3%B9</t>
        </is>
      </c>
      <c r="V329" s="38" t="inlineStr">
        <is>
          <t>When you sell this to Shelter Shelby, get an Enchanted large Friend item and 1 XP</t>
        </is>
      </c>
      <c r="W329" s="38" t="inlineStr">
        <is>
          <t>BazaarDB Patch 16.2 商人包卡；归属 Shelter Shelby，品质 白银，占格 Large。</t>
        </is>
      </c>
      <c r="X329" s="385" t="str"/>
      <c r="Y329" s="386" t="inlineStr">
        <is>
          <t>reference_reserved</t>
        </is>
      </c>
      <c r="Z329" s="386" t="str"/>
      <c r="AA329" s="386" t="str"/>
    </row>
    <row r="330">
      <c r="A330" s="38" t="inlineStr">
        <is>
          <t>bz_van_329</t>
        </is>
      </c>
      <c r="B330" s="38" t="n">
        <v>329</v>
      </c>
      <c r="C330" s="38" t="inlineStr">
        <is>
          <t>merchant_package</t>
        </is>
      </c>
      <c r="D330" s="38" t="inlineStr">
        <is>
          <t>snapshot_vanessa_legacy_catalog_v1</t>
        </is>
      </c>
      <c r="E330" s="38" t="inlineStr">
        <is>
          <t>snapshot_the_bazaar_patch_18_0_boundary</t>
        </is>
      </c>
      <c r="F330" s="38" t="inlineStr">
        <is>
          <t>true</t>
        </is>
      </c>
      <c r="G330" s="38" t="inlineStr">
        <is>
          <t>false</t>
        </is>
      </c>
      <c r="H330" s="38" t="inlineStr">
        <is>
          <t>current_rule_match,structured_effects,reward_payload,sell_target,availability</t>
        </is>
      </c>
      <c r="I330" s="38" t="inlineStr">
        <is>
          <t>package-mc0xjbfm3syvtxhmt3m4gtv9zv</t>
        </is>
      </c>
      <c r="J330" s="38" t="inlineStr">
        <is>
          <t>杰杰的包裹</t>
        </is>
      </c>
      <c r="K330" s="38" t="inlineStr">
        <is>
          <t>silver</t>
        </is>
      </c>
      <c r="L330" s="38" t="inlineStr">
        <is>
          <t>Large</t>
        </is>
      </c>
      <c r="M330" s="38" t="inlineStr">
        <is>
          <t>package, large, silver, jay-jay</t>
        </is>
      </c>
      <c r="N330" s="38" t="n">
        <v>2</v>
      </c>
      <c r="O330" s="38" t="inlineStr">
        <is>
          <t>merchant_jay-jay, merchant_silvia</t>
        </is>
      </c>
      <c r="P330" s="38" t="n">
        <v>2</v>
      </c>
      <c r="Q330" s="38" t="inlineStr">
        <is>
          <t>elem_雷, role_经济</t>
        </is>
      </c>
      <c r="R330" s="38" t="inlineStr">
        <is>
          <t>Heavy</t>
        </is>
      </c>
      <c r="S330" s="38" t="inlineStr">
        <is>
          <t>pal_329</t>
        </is>
      </c>
      <c r="T330" s="38" t="inlineStr">
        <is>
          <t>杰杰大兽</t>
        </is>
      </c>
      <c r="U330" s="38" t="inlineStr">
        <is>
          <t>https://bazaardb.gg/card/mc0xjbfm3syvtxhmt3m4gtv9zv/%E6%9D%B0%E6%9D%B0%E7%9A%84%E5%8C%85%E8%A3%B9</t>
        </is>
      </c>
      <c r="V330" s="38" t="inlineStr">
        <is>
          <t>当你将此物品出售给杰杰时，获得一件附魔大型物品和1经验值</t>
        </is>
      </c>
      <c r="W330" s="38" t="inlineStr">
        <is>
          <t>BazaarDB Patch 16.2 商人包卡；归属 Jay Jay，品质 白银，占格 Large。</t>
        </is>
      </c>
      <c r="X330" s="385" t="str"/>
      <c r="Y330" s="386" t="inlineStr">
        <is>
          <t>reference_reserved</t>
        </is>
      </c>
      <c r="Z330" s="386" t="str"/>
      <c r="AA330" s="386" t="str"/>
    </row>
    <row r="331">
      <c r="A331" s="38" t="inlineStr">
        <is>
          <t>bz_van_330</t>
        </is>
      </c>
      <c r="B331" s="38" t="n">
        <v>330</v>
      </c>
      <c r="C331" s="38" t="inlineStr">
        <is>
          <t>merchant_package</t>
        </is>
      </c>
      <c r="D331" s="38" t="inlineStr">
        <is>
          <t>snapshot_vanessa_legacy_catalog_v1</t>
        </is>
      </c>
      <c r="E331" s="38" t="inlineStr">
        <is>
          <t>snapshot_the_bazaar_patch_18_0_boundary</t>
        </is>
      </c>
      <c r="F331" s="38" t="inlineStr">
        <is>
          <t>true</t>
        </is>
      </c>
      <c r="G331" s="38" t="inlineStr">
        <is>
          <t>false</t>
        </is>
      </c>
      <c r="H331" s="38" t="inlineStr">
        <is>
          <t>current_rule_match,structured_effects,reward_payload,sell_target,availability</t>
        </is>
      </c>
      <c r="I331" s="38" t="inlineStr">
        <is>
          <t>package-15nw844q3q0dvp7vydm2zkb2j4n</t>
        </is>
      </c>
      <c r="J331" s="38" t="inlineStr">
        <is>
          <t>杰杰的包裹</t>
        </is>
      </c>
      <c r="K331" s="38" t="inlineStr">
        <is>
          <t>bronze</t>
        </is>
      </c>
      <c r="L331" s="38" t="inlineStr">
        <is>
          <t>Medium</t>
        </is>
      </c>
      <c r="M331" s="38" t="inlineStr">
        <is>
          <t>package, medium, bronze, jay-jay</t>
        </is>
      </c>
      <c r="N331" s="38" t="n">
        <v>2</v>
      </c>
      <c r="O331" s="38" t="inlineStr">
        <is>
          <t>merchant_jay-jay, merchant_curio</t>
        </is>
      </c>
      <c r="P331" s="38" t="n">
        <v>2</v>
      </c>
      <c r="Q331" s="38" t="inlineStr">
        <is>
          <t>elem_草, elem_雷</t>
        </is>
      </c>
      <c r="R331" s="38" t="inlineStr">
        <is>
          <t>Shiny</t>
        </is>
      </c>
      <c r="S331" s="38" t="inlineStr">
        <is>
          <t>pal_330</t>
        </is>
      </c>
      <c r="T331" s="38" t="inlineStr">
        <is>
          <t>杰杰中兽</t>
        </is>
      </c>
      <c r="U331" s="38" t="inlineStr">
        <is>
          <t>https://bazaardb.gg/card/15nw844q3q0dvp7vydm2zkb2j4n/%E6%9D%B0%E6%9D%B0%E7%9A%84%E5%8C%85%E8%A3%B9</t>
        </is>
      </c>
      <c r="V331" s="38" t="inlineStr">
        <is>
          <t>当你将此物品出售给杰杰时，获得一件附魔中型物品和1经验值</t>
        </is>
      </c>
      <c r="W331" s="38" t="inlineStr">
        <is>
          <t>BazaarDB Patch 16.2 商人包卡；归属 Jay Jay，品质 青铜，占格 Medium。</t>
        </is>
      </c>
      <c r="X331" s="385" t="str"/>
      <c r="Y331" s="386" t="inlineStr">
        <is>
          <t>reference_reserved</t>
        </is>
      </c>
      <c r="Z331" s="386" t="str"/>
      <c r="AA331" s="386" t="str"/>
    </row>
    <row r="332">
      <c r="A332" s="38" t="inlineStr">
        <is>
          <t>bz_van_331</t>
        </is>
      </c>
      <c r="B332" s="38" t="n">
        <v>331</v>
      </c>
      <c r="C332" s="38" t="inlineStr">
        <is>
          <t>merchant_package</t>
        </is>
      </c>
      <c r="D332" s="38" t="inlineStr">
        <is>
          <t>snapshot_vanessa_legacy_catalog_v1</t>
        </is>
      </c>
      <c r="E332" s="38" t="inlineStr">
        <is>
          <t>snapshot_the_bazaar_patch_18_0_boundary</t>
        </is>
      </c>
      <c r="F332" s="38" t="inlineStr">
        <is>
          <t>true</t>
        </is>
      </c>
      <c r="G332" s="38" t="inlineStr">
        <is>
          <t>false</t>
        </is>
      </c>
      <c r="H332" s="38" t="inlineStr">
        <is>
          <t>current_rule_match,structured_effects,reward_payload,sell_target,availability</t>
        </is>
      </c>
      <c r="I332" s="38" t="inlineStr">
        <is>
          <t>package-16v803v2vjvhpkstfglw1zw1qgf</t>
        </is>
      </c>
      <c r="J332" s="38" t="inlineStr">
        <is>
          <t>橡树君的包裹</t>
        </is>
      </c>
      <c r="K332" s="38" t="inlineStr">
        <is>
          <t>silver</t>
        </is>
      </c>
      <c r="L332" s="38" t="inlineStr">
        <is>
          <t>Large</t>
        </is>
      </c>
      <c r="M332" s="38" t="inlineStr">
        <is>
          <t>package, large, silver, lord-oak</t>
        </is>
      </c>
      <c r="N332" s="38" t="n">
        <v>2</v>
      </c>
      <c r="O332" s="38" t="inlineStr">
        <is>
          <t>merchant_lord-oak, merchant_silvia</t>
        </is>
      </c>
      <c r="P332" s="38" t="n">
        <v>2</v>
      </c>
      <c r="Q332" s="38" t="inlineStr">
        <is>
          <t>role_经济, role_机动压制</t>
        </is>
      </c>
      <c r="R332" s="38" t="inlineStr">
        <is>
          <t>Heavy</t>
        </is>
      </c>
      <c r="S332" s="38" t="inlineStr">
        <is>
          <t>pal_331</t>
        </is>
      </c>
      <c r="T332" s="38" t="inlineStr">
        <is>
          <t>橡君大兽</t>
        </is>
      </c>
      <c r="U332" s="38" t="inlineStr">
        <is>
          <t>https://bazaardb.gg/card/16v803v2vjvhpkstfglw1zw1qgf/%E6%A9%A1%E6%A0%91%E5%90%9B%E7%9A%84%E5%8C%85%E8%A3%B9</t>
        </is>
      </c>
      <c r="V332" s="38" t="inlineStr">
        <is>
          <t>当你将此物品出售给橡树君，获得一件附魔的大型物品和1经验值</t>
        </is>
      </c>
      <c r="W332" s="38" t="inlineStr">
        <is>
          <t>BazaarDB Patch 16.2 商人包卡；归属 Lord Oak，品质 白银，占格 Large。</t>
        </is>
      </c>
      <c r="X332" s="385" t="str"/>
      <c r="Y332" s="386" t="inlineStr">
        <is>
          <t>reference_reserved</t>
        </is>
      </c>
      <c r="Z332" s="386" t="str"/>
      <c r="AA332" s="386" t="str"/>
    </row>
    <row r="333">
      <c r="A333" s="38" t="inlineStr">
        <is>
          <t>bz_van_332</t>
        </is>
      </c>
      <c r="B333" s="38" t="n">
        <v>332</v>
      </c>
      <c r="C333" s="38" t="inlineStr">
        <is>
          <t>merchant_package</t>
        </is>
      </c>
      <c r="D333" s="38" t="inlineStr">
        <is>
          <t>snapshot_vanessa_legacy_catalog_v1</t>
        </is>
      </c>
      <c r="E333" s="38" t="inlineStr">
        <is>
          <t>snapshot_the_bazaar_patch_18_0_boundary</t>
        </is>
      </c>
      <c r="F333" s="38" t="inlineStr">
        <is>
          <t>true</t>
        </is>
      </c>
      <c r="G333" s="38" t="inlineStr">
        <is>
          <t>false</t>
        </is>
      </c>
      <c r="H333" s="38" t="inlineStr">
        <is>
          <t>current_rule_match,structured_effects,reward_payload,sell_target,availability</t>
        </is>
      </c>
      <c r="I333" s="38" t="inlineStr">
        <is>
          <t>package-19fmmbt6wqh948l74h96y3h07hb</t>
        </is>
      </c>
      <c r="J333" s="38" t="inlineStr">
        <is>
          <t>橡树君的包裹</t>
        </is>
      </c>
      <c r="K333" s="38" t="inlineStr">
        <is>
          <t>bronze</t>
        </is>
      </c>
      <c r="L333" s="38" t="inlineStr">
        <is>
          <t>Small</t>
        </is>
      </c>
      <c r="M333" s="38" t="inlineStr">
        <is>
          <t>package, small, bronze, lord-oak</t>
        </is>
      </c>
      <c r="N333" s="38" t="n">
        <v>2</v>
      </c>
      <c r="O333" s="38" t="inlineStr">
        <is>
          <t>merchant_lord-oak, merchant_curio</t>
        </is>
      </c>
      <c r="P333" s="38" t="n">
        <v>2</v>
      </c>
      <c r="Q333" s="38" t="inlineStr">
        <is>
          <t>elem_草, role_机动压制</t>
        </is>
      </c>
      <c r="R333" s="38" t="inlineStr">
        <is>
          <t>Shiny</t>
        </is>
      </c>
      <c r="S333" s="38" t="inlineStr">
        <is>
          <t>pal_332</t>
        </is>
      </c>
      <c r="T333" s="38" t="inlineStr">
        <is>
          <t>橡君小兽</t>
        </is>
      </c>
      <c r="U333" s="38" t="inlineStr">
        <is>
          <t>https://bazaardb.gg/card/19fmmbt6wqh948l74h96y3h07hb/%E6%A9%A1%E6%A0%91%E5%90%9B%E7%9A%84%E5%8C%85%E8%A3%B9</t>
        </is>
      </c>
      <c r="V333" s="38" t="inlineStr">
        <is>
          <t>当你将此物品出售给橡树君时，获得一件附魔小型物品和1经验值</t>
        </is>
      </c>
      <c r="W333" s="38" t="inlineStr">
        <is>
          <t>BazaarDB Patch 16.2 商人包卡；归属 Lord Oak，品质 青铜，占格 Small。</t>
        </is>
      </c>
      <c r="X333" s="385" t="str"/>
      <c r="Y333" s="386" t="inlineStr">
        <is>
          <t>reference_reserved</t>
        </is>
      </c>
      <c r="Z333" s="386" t="str"/>
      <c r="AA333" s="386" t="str"/>
    </row>
    <row r="334">
      <c r="A334" s="38" t="inlineStr">
        <is>
          <t>bz_van_333</t>
        </is>
      </c>
      <c r="B334" s="38" t="n">
        <v>333</v>
      </c>
      <c r="C334" s="38" t="inlineStr">
        <is>
          <t>merchant_package</t>
        </is>
      </c>
      <c r="D334" s="38" t="inlineStr">
        <is>
          <t>snapshot_vanessa_legacy_catalog_v1</t>
        </is>
      </c>
      <c r="E334" s="38" t="inlineStr">
        <is>
          <t>snapshot_the_bazaar_patch_18_0_boundary</t>
        </is>
      </c>
      <c r="F334" s="38" t="inlineStr">
        <is>
          <t>true</t>
        </is>
      </c>
      <c r="G334" s="38" t="inlineStr">
        <is>
          <t>false</t>
        </is>
      </c>
      <c r="H334" s="38" t="inlineStr">
        <is>
          <t>current_rule_match,structured_effects,reward_payload,sell_target,availability</t>
        </is>
      </c>
      <c r="I334" s="38" t="inlineStr">
        <is>
          <t>package-19s391pk837stndc2l7f8p5406s</t>
        </is>
      </c>
      <c r="J334" s="38" t="inlineStr">
        <is>
          <t>橡树君的包裹</t>
        </is>
      </c>
      <c r="K334" s="38" t="inlineStr">
        <is>
          <t>bronze</t>
        </is>
      </c>
      <c r="L334" s="38" t="inlineStr">
        <is>
          <t>Medium</t>
        </is>
      </c>
      <c r="M334" s="38" t="inlineStr">
        <is>
          <t>package, medium, bronze, lord-oak</t>
        </is>
      </c>
      <c r="N334" s="38" t="n">
        <v>2</v>
      </c>
      <c r="O334" s="38" t="inlineStr">
        <is>
          <t>merchant_lord-oak, merchant_curio</t>
        </is>
      </c>
      <c r="P334" s="38" t="n">
        <v>2</v>
      </c>
      <c r="Q334" s="38" t="inlineStr">
        <is>
          <t>elem_草, role_机动压制</t>
        </is>
      </c>
      <c r="R334" s="38" t="inlineStr">
        <is>
          <t>Shiny</t>
        </is>
      </c>
      <c r="S334" s="38" t="inlineStr">
        <is>
          <t>pal_333</t>
        </is>
      </c>
      <c r="T334" s="38" t="inlineStr">
        <is>
          <t>橡君中兽</t>
        </is>
      </c>
      <c r="U334" s="38" t="inlineStr">
        <is>
          <t>https://bazaardb.gg/card/19s391pk837stndc2l7f8p5406s/%E6%A9%A1%E6%A0%91%E5%90%9B%E7%9A%84%E5%8C%85%E8%A3%B9</t>
        </is>
      </c>
      <c r="V334" s="38" t="inlineStr">
        <is>
          <t>当你将此物品出售给橡树君时，获得一件附魔中型物品和1经验值</t>
        </is>
      </c>
      <c r="W334" s="38" t="inlineStr">
        <is>
          <t>BazaarDB Patch 16.2 商人包卡；归属 Lord Oak，品质 青铜，占格 Medium。</t>
        </is>
      </c>
      <c r="X334" s="385" t="str"/>
      <c r="Y334" s="386" t="inlineStr">
        <is>
          <t>reference_reserved</t>
        </is>
      </c>
      <c r="Z334" s="386" t="str"/>
      <c r="AA334" s="386" t="str"/>
    </row>
    <row r="335">
      <c r="A335" s="38" t="inlineStr">
        <is>
          <t>bz_van_334</t>
        </is>
      </c>
      <c r="B335" s="38" t="n">
        <v>334</v>
      </c>
      <c r="C335" s="38" t="inlineStr">
        <is>
          <t>merchant_package</t>
        </is>
      </c>
      <c r="D335" s="38" t="inlineStr">
        <is>
          <t>snapshot_vanessa_legacy_catalog_v1</t>
        </is>
      </c>
      <c r="E335" s="38" t="inlineStr">
        <is>
          <t>snapshot_the_bazaar_patch_18_0_boundary</t>
        </is>
      </c>
      <c r="F335" s="38" t="inlineStr">
        <is>
          <t>true</t>
        </is>
      </c>
      <c r="G335" s="38" t="inlineStr">
        <is>
          <t>false</t>
        </is>
      </c>
      <c r="H335" s="38" t="inlineStr">
        <is>
          <t>current_rule_match,structured_effects,reward_payload,sell_target,availability</t>
        </is>
      </c>
      <c r="I335" s="38" t="inlineStr">
        <is>
          <t>package-2j6xzph63n1sw91p95qg2klskf</t>
        </is>
      </c>
      <c r="J335" s="38" t="inlineStr">
        <is>
          <t>波尔的包裹</t>
        </is>
      </c>
      <c r="K335" s="38" t="inlineStr">
        <is>
          <t>gold</t>
        </is>
      </c>
      <c r="L335" s="38" t="inlineStr">
        <is>
          <t>Small</t>
        </is>
      </c>
      <c r="M335" s="38" t="inlineStr">
        <is>
          <t>package, small, gold, pol</t>
        </is>
      </c>
      <c r="N335" s="38" t="n">
        <v>2</v>
      </c>
      <c r="O335" s="38" t="inlineStr">
        <is>
          <t>merchant_pol, merchant_goldie</t>
        </is>
      </c>
      <c r="P335" s="38" t="n">
        <v>2</v>
      </c>
      <c r="Q335" s="38" t="inlineStr">
        <is>
          <t>role_坦克, role_风系铺场</t>
        </is>
      </c>
      <c r="R335" s="38" t="inlineStr">
        <is>
          <t>Golden</t>
        </is>
      </c>
      <c r="S335" s="38" t="inlineStr">
        <is>
          <t>pal_334</t>
        </is>
      </c>
      <c r="T335" s="38" t="inlineStr">
        <is>
          <t>波尔小兽</t>
        </is>
      </c>
      <c r="U335" s="38" t="inlineStr">
        <is>
          <t>https://bazaardb.gg/card/2j6xzph63n1sw91p95qg2klskf/%E6%B3%A2%E5%B0%94%E7%9A%84%E5%8C%85%E8%A3%B9</t>
        </is>
      </c>
      <c r="V335" s="38" t="inlineStr">
        <is>
          <t>当你将此物品出售给波尔时，获得一件附魔大型物品和1经验值</t>
        </is>
      </c>
      <c r="W335" s="38" t="inlineStr">
        <is>
          <t>BazaarDB Patch 16.2 商人包卡；归属 Pol，品质 黄金，占格 Small。</t>
        </is>
      </c>
      <c r="X335" s="385" t="str"/>
      <c r="Y335" s="386" t="inlineStr">
        <is>
          <t>reference_reserved</t>
        </is>
      </c>
      <c r="Z335" s="386" t="str"/>
      <c r="AA335" s="386" t="str"/>
    </row>
    <row r="336">
      <c r="A336" s="38" t="inlineStr">
        <is>
          <t>bz_van_335</t>
        </is>
      </c>
      <c r="B336" s="38" t="n">
        <v>335</v>
      </c>
      <c r="C336" s="38" t="inlineStr">
        <is>
          <t>merchant_package</t>
        </is>
      </c>
      <c r="D336" s="38" t="inlineStr">
        <is>
          <t>snapshot_vanessa_legacy_catalog_v1</t>
        </is>
      </c>
      <c r="E336" s="38" t="inlineStr">
        <is>
          <t>snapshot_the_bazaar_patch_18_0_boundary</t>
        </is>
      </c>
      <c r="F336" s="38" t="inlineStr">
        <is>
          <t>true</t>
        </is>
      </c>
      <c r="G336" s="38" t="inlineStr">
        <is>
          <t>false</t>
        </is>
      </c>
      <c r="H336" s="38" t="inlineStr">
        <is>
          <t>current_rule_match,structured_effects,reward_payload,sell_target,availability</t>
        </is>
      </c>
      <c r="I336" s="38" t="inlineStr">
        <is>
          <t>package-b0yyljnl18vzqxy1wctst3pt63</t>
        </is>
      </c>
      <c r="J336" s="38" t="inlineStr">
        <is>
          <t>波尔的包裹</t>
        </is>
      </c>
      <c r="K336" s="38" t="inlineStr">
        <is>
          <t>silver</t>
        </is>
      </c>
      <c r="L336" s="38" t="inlineStr">
        <is>
          <t>Large</t>
        </is>
      </c>
      <c r="M336" s="38" t="inlineStr">
        <is>
          <t>package, large, silver, pol</t>
        </is>
      </c>
      <c r="N336" s="38" t="n">
        <v>2</v>
      </c>
      <c r="O336" s="38" t="inlineStr">
        <is>
          <t>merchant_pol, merchant_silvia</t>
        </is>
      </c>
      <c r="P336" s="38" t="n">
        <v>2</v>
      </c>
      <c r="Q336" s="38" t="inlineStr">
        <is>
          <t>role_经济, role_风系铺场</t>
        </is>
      </c>
      <c r="R336" s="38" t="inlineStr">
        <is>
          <t>Heavy</t>
        </is>
      </c>
      <c r="S336" s="38" t="inlineStr">
        <is>
          <t>pal_335</t>
        </is>
      </c>
      <c r="T336" s="38" t="inlineStr">
        <is>
          <t>波尔大兽</t>
        </is>
      </c>
      <c r="U336" s="38" t="inlineStr">
        <is>
          <t>https://bazaardb.gg/card/b0yyljnl18vzqxy1wctst3pt63/%E6%B3%A2%E5%B0%94%E7%9A%84%E5%8C%85%E8%A3%B9</t>
        </is>
      </c>
      <c r="V336" s="38" t="inlineStr">
        <is>
          <t>当你将此物品出售给波尔时，获得一件附魔大型物品和1经验值</t>
        </is>
      </c>
      <c r="W336" s="38" t="inlineStr">
        <is>
          <t>BazaarDB Patch 16.2 商人包卡；归属 Pol，品质 白银，占格 Large。</t>
        </is>
      </c>
      <c r="X336" s="385" t="str"/>
      <c r="Y336" s="386" t="inlineStr">
        <is>
          <t>reference_reserved</t>
        </is>
      </c>
      <c r="Z336" s="386" t="str"/>
      <c r="AA336" s="386" t="str"/>
    </row>
    <row r="337">
      <c r="A337" s="38" t="inlineStr">
        <is>
          <t>bz_van_336</t>
        </is>
      </c>
      <c r="B337" s="38" t="n">
        <v>336</v>
      </c>
      <c r="C337" s="38" t="inlineStr">
        <is>
          <t>merchant_package</t>
        </is>
      </c>
      <c r="D337" s="38" t="inlineStr">
        <is>
          <t>snapshot_vanessa_legacy_catalog_v1</t>
        </is>
      </c>
      <c r="E337" s="38" t="inlineStr">
        <is>
          <t>snapshot_the_bazaar_patch_18_0_boundary</t>
        </is>
      </c>
      <c r="F337" s="38" t="inlineStr">
        <is>
          <t>true</t>
        </is>
      </c>
      <c r="G337" s="38" t="inlineStr">
        <is>
          <t>false</t>
        </is>
      </c>
      <c r="H337" s="38" t="inlineStr">
        <is>
          <t>current_rule_match,structured_effects,reward_payload,sell_target,availability</t>
        </is>
      </c>
      <c r="I337" s="38" t="inlineStr">
        <is>
          <t>package-174dhgz1bmb6hk783sdwtv9b39z</t>
        </is>
      </c>
      <c r="J337" s="38" t="inlineStr">
        <is>
          <t>波尔的包裹</t>
        </is>
      </c>
      <c r="K337" s="38" t="inlineStr">
        <is>
          <t>gold</t>
        </is>
      </c>
      <c r="L337" s="38" t="inlineStr">
        <is>
          <t>Medium</t>
        </is>
      </c>
      <c r="M337" s="38" t="inlineStr">
        <is>
          <t>package, medium, gold, pol</t>
        </is>
      </c>
      <c r="N337" s="38" t="n">
        <v>2</v>
      </c>
      <c r="O337" s="38" t="inlineStr">
        <is>
          <t>merchant_pol, merchant_goldie</t>
        </is>
      </c>
      <c r="P337" s="38" t="n">
        <v>2</v>
      </c>
      <c r="Q337" s="38" t="inlineStr">
        <is>
          <t>role_坦克, role_风系铺场</t>
        </is>
      </c>
      <c r="R337" s="38" t="inlineStr">
        <is>
          <t>Golden</t>
        </is>
      </c>
      <c r="S337" s="38" t="inlineStr">
        <is>
          <t>pal_336</t>
        </is>
      </c>
      <c r="T337" s="38" t="inlineStr">
        <is>
          <t>波尔中兽</t>
        </is>
      </c>
      <c r="U337" s="38" t="inlineStr">
        <is>
          <t>https://bazaardb.gg/card/174dhgz1bmb6hk783sdwtv9b39z/%E6%B3%A2%E5%B0%94%E7%9A%84%E5%8C%85%E8%A3%B9</t>
        </is>
      </c>
      <c r="V337" s="38" t="inlineStr">
        <is>
          <t>当你将此物品出售给波尔时，获得一件附魔大型物品和1经验值</t>
        </is>
      </c>
      <c r="W337" s="38" t="inlineStr">
        <is>
          <t>BazaarDB Patch 16.2 商人包卡；归属 Pol，品质 黄金，占格 Medium。</t>
        </is>
      </c>
      <c r="X337" s="385" t="str"/>
      <c r="Y337" s="386" t="inlineStr">
        <is>
          <t>reference_reserved</t>
        </is>
      </c>
      <c r="Z337" s="386" t="str"/>
      <c r="AA337" s="386" t="str"/>
    </row>
    <row r="338">
      <c r="A338" s="38" t="inlineStr">
        <is>
          <t>bz_van_337</t>
        </is>
      </c>
      <c r="B338" s="38" t="n">
        <v>337</v>
      </c>
      <c r="C338" s="38" t="inlineStr">
        <is>
          <t>merchant_package</t>
        </is>
      </c>
      <c r="D338" s="38" t="inlineStr">
        <is>
          <t>snapshot_vanessa_legacy_catalog_v1</t>
        </is>
      </c>
      <c r="E338" s="38" t="inlineStr">
        <is>
          <t>snapshot_the_bazaar_patch_18_0_boundary</t>
        </is>
      </c>
      <c r="F338" s="38" t="inlineStr">
        <is>
          <t>true</t>
        </is>
      </c>
      <c r="G338" s="38" t="inlineStr">
        <is>
          <t>false</t>
        </is>
      </c>
      <c r="H338" s="38" t="inlineStr">
        <is>
          <t>current_rule_match,structured_effects,reward_payload,sell_target,availability</t>
        </is>
      </c>
      <c r="I338" s="38" t="inlineStr">
        <is>
          <t>package-kkc47vv82s0jx3q5f47ypdc1mx</t>
        </is>
      </c>
      <c r="J338" s="38" t="inlineStr">
        <is>
          <t>测试家的包裹</t>
        </is>
      </c>
      <c r="K338" s="38" t="inlineStr">
        <is>
          <t>silver</t>
        </is>
      </c>
      <c r="L338" s="38" t="inlineStr">
        <is>
          <t>Large</t>
        </is>
      </c>
      <c r="M338" s="38" t="inlineStr">
        <is>
          <t>package, large, silver, the-tester</t>
        </is>
      </c>
      <c r="N338" s="38" t="n">
        <v>2</v>
      </c>
      <c r="O338" s="38" t="inlineStr">
        <is>
          <t>merchant_the-tester, merchant_silvia</t>
        </is>
      </c>
      <c r="P338" s="38" t="n">
        <v>2</v>
      </c>
      <c r="Q338" s="38" t="inlineStr">
        <is>
          <t>role_经济, role_抗压承伤</t>
        </is>
      </c>
      <c r="R338" s="38" t="inlineStr">
        <is>
          <t>Heavy</t>
        </is>
      </c>
      <c r="S338" s="38" t="inlineStr">
        <is>
          <t>pal_337</t>
        </is>
      </c>
      <c r="T338" s="38" t="inlineStr">
        <is>
          <t>试家大兽</t>
        </is>
      </c>
      <c r="U338" s="38" t="inlineStr">
        <is>
          <t>https://bazaardb.gg/card/kkc47vv82s0jx3q5f47ypdc1mx/%E6%B5%8B%E8%AF%95%E5%AE%B6%E7%9A%84%E5%8C%85%E8%A3%B9</t>
        </is>
      </c>
      <c r="V338" s="38" t="inlineStr">
        <is>
          <t>当你将此物品出售给测试家时，获得一件来自任意英雄的附魔大型科技物品和1经验值</t>
        </is>
      </c>
      <c r="W338" s="38" t="inlineStr">
        <is>
          <t>BazaarDB Patch 16.2 商人包卡；归属 The Tester，品质 白银，占格 Large。</t>
        </is>
      </c>
      <c r="X338" s="385" t="str"/>
      <c r="Y338" s="386" t="inlineStr">
        <is>
          <t>reference_reserved</t>
        </is>
      </c>
      <c r="Z338" s="386" t="str"/>
      <c r="AA338" s="386" t="str"/>
    </row>
    <row r="339">
      <c r="A339" s="38" t="inlineStr">
        <is>
          <t>bz_van_338</t>
        </is>
      </c>
      <c r="B339" s="38" t="n">
        <v>338</v>
      </c>
      <c r="C339" s="38" t="inlineStr">
        <is>
          <t>merchant_package</t>
        </is>
      </c>
      <c r="D339" s="38" t="inlineStr">
        <is>
          <t>snapshot_vanessa_legacy_catalog_v1</t>
        </is>
      </c>
      <c r="E339" s="38" t="inlineStr">
        <is>
          <t>snapshot_the_bazaar_patch_18_0_boundary</t>
        </is>
      </c>
      <c r="F339" s="38" t="inlineStr">
        <is>
          <t>true</t>
        </is>
      </c>
      <c r="G339" s="38" t="inlineStr">
        <is>
          <t>false</t>
        </is>
      </c>
      <c r="H339" s="38" t="inlineStr">
        <is>
          <t>current_rule_match,structured_effects,reward_payload,sell_target,availability</t>
        </is>
      </c>
      <c r="I339" s="38" t="inlineStr">
        <is>
          <t>package-py84ttn8vk1ms2v131nlks36zf</t>
        </is>
      </c>
      <c r="J339" s="38" t="inlineStr">
        <is>
          <t>测试家的包裹</t>
        </is>
      </c>
      <c r="K339" s="38" t="inlineStr">
        <is>
          <t>silver</t>
        </is>
      </c>
      <c r="L339" s="38" t="inlineStr">
        <is>
          <t>Medium</t>
        </is>
      </c>
      <c r="M339" s="38" t="inlineStr">
        <is>
          <t>package, medium, silver, the-tester</t>
        </is>
      </c>
      <c r="N339" s="38" t="n">
        <v>2</v>
      </c>
      <c r="O339" s="38" t="inlineStr">
        <is>
          <t>merchant_the-tester, merchant_silvia</t>
        </is>
      </c>
      <c r="P339" s="38" t="n">
        <v>2</v>
      </c>
      <c r="Q339" s="38" t="inlineStr">
        <is>
          <t>role_经济, role_抗压承伤</t>
        </is>
      </c>
      <c r="R339" s="38" t="inlineStr">
        <is>
          <t>Heavy</t>
        </is>
      </c>
      <c r="S339" s="38" t="inlineStr">
        <is>
          <t>pal_338</t>
        </is>
      </c>
      <c r="T339" s="38" t="inlineStr">
        <is>
          <t>试家中兽</t>
        </is>
      </c>
      <c r="U339" s="38" t="inlineStr">
        <is>
          <t>https://bazaardb.gg/card/py84ttn8vk1ms2v131nlks36zf/%E6%B5%8B%E8%AF%95%E5%AE%B6%E7%9A%84%E5%8C%85%E8%A3%B9</t>
        </is>
      </c>
      <c r="V339" s="38" t="inlineStr">
        <is>
          <t>当你将此物品出售给测试家时，获得一件来自任意英雄的附魔中型科技物品和1经验值</t>
        </is>
      </c>
      <c r="W339" s="38" t="inlineStr">
        <is>
          <t>BazaarDB Patch 16.2 商人包卡；归属 The Tester，品质 白银，占格 Medium。</t>
        </is>
      </c>
      <c r="X339" s="385" t="str"/>
      <c r="Y339" s="386" t="inlineStr">
        <is>
          <t>reference_reserved</t>
        </is>
      </c>
      <c r="Z339" s="386" t="str"/>
      <c r="AA339" s="386" t="str"/>
    </row>
    <row r="340">
      <c r="A340" s="38" t="inlineStr">
        <is>
          <t>bz_van_339</t>
        </is>
      </c>
      <c r="B340" s="38" t="n">
        <v>339</v>
      </c>
      <c r="C340" s="38" t="inlineStr">
        <is>
          <t>merchant_package</t>
        </is>
      </c>
      <c r="D340" s="38" t="inlineStr">
        <is>
          <t>snapshot_vanessa_legacy_catalog_v1</t>
        </is>
      </c>
      <c r="E340" s="38" t="inlineStr">
        <is>
          <t>snapshot_the_bazaar_patch_18_0_boundary</t>
        </is>
      </c>
      <c r="F340" s="38" t="inlineStr">
        <is>
          <t>true</t>
        </is>
      </c>
      <c r="G340" s="38" t="inlineStr">
        <is>
          <t>false</t>
        </is>
      </c>
      <c r="H340" s="38" t="inlineStr">
        <is>
          <t>current_rule_match,structured_effects,reward_payload,sell_target,availability</t>
        </is>
      </c>
      <c r="I340" s="38" t="inlineStr">
        <is>
          <t>package-xl2ybm000cmcxj0y97pmlksbkl</t>
        </is>
      </c>
      <c r="J340" s="38" t="inlineStr">
        <is>
          <t>测试家的包裹</t>
        </is>
      </c>
      <c r="K340" s="38" t="inlineStr">
        <is>
          <t>silver</t>
        </is>
      </c>
      <c r="L340" s="38" t="inlineStr">
        <is>
          <t>Small</t>
        </is>
      </c>
      <c r="M340" s="38" t="inlineStr">
        <is>
          <t>package, small, silver, the-tester</t>
        </is>
      </c>
      <c r="N340" s="38" t="n">
        <v>2</v>
      </c>
      <c r="O340" s="38" t="inlineStr">
        <is>
          <t>merchant_the-tester, merchant_silvia</t>
        </is>
      </c>
      <c r="P340" s="38" t="n">
        <v>2</v>
      </c>
      <c r="Q340" s="38" t="inlineStr">
        <is>
          <t>role_经济, role_抗压承伤</t>
        </is>
      </c>
      <c r="R340" s="38" t="inlineStr">
        <is>
          <t>Shiny</t>
        </is>
      </c>
      <c r="S340" s="38" t="inlineStr">
        <is>
          <t>pal_339</t>
        </is>
      </c>
      <c r="T340" s="38" t="inlineStr">
        <is>
          <t>试家小兽</t>
        </is>
      </c>
      <c r="U340" s="38" t="inlineStr">
        <is>
          <t>https://bazaardb.gg/card/xl2ybm000cmcxj0y97pmlksbkl/%E6%B5%8B%E8%AF%95%E5%AE%B6%E7%9A%84%E5%8C%85%E8%A3%B9</t>
        </is>
      </c>
      <c r="V340" s="38" t="inlineStr">
        <is>
          <t>当你将此物品出售给测试家时，获得一件附魔的来自任意英雄的小型科技物品和1经验值</t>
        </is>
      </c>
      <c r="W340" s="38" t="inlineStr">
        <is>
          <t>BazaarDB Patch 16.2 商人包卡；归属 The Tester，品质 白银，占格 Small。</t>
        </is>
      </c>
      <c r="X340" s="385" t="str"/>
      <c r="Y340" s="386" t="inlineStr">
        <is>
          <t>reference_reserved</t>
        </is>
      </c>
      <c r="Z340" s="386" t="str"/>
      <c r="AA340" s="386" t="str"/>
    </row>
    <row r="341">
      <c r="A341" s="38" t="inlineStr">
        <is>
          <t>bz_van_340</t>
        </is>
      </c>
      <c r="B341" s="38" t="n">
        <v>340</v>
      </c>
      <c r="C341" s="38" t="inlineStr">
        <is>
          <t>merchant_package</t>
        </is>
      </c>
      <c r="D341" s="38" t="inlineStr">
        <is>
          <t>snapshot_vanessa_legacy_catalog_v1</t>
        </is>
      </c>
      <c r="E341" s="38" t="inlineStr">
        <is>
          <t>snapshot_the_bazaar_patch_18_0_boundary</t>
        </is>
      </c>
      <c r="F341" s="38" t="inlineStr">
        <is>
          <t>true</t>
        </is>
      </c>
      <c r="G341" s="38" t="inlineStr">
        <is>
          <t>false</t>
        </is>
      </c>
      <c r="H341" s="38" t="inlineStr">
        <is>
          <t>current_rule_match,structured_effects,reward_payload,sell_target,availability</t>
        </is>
      </c>
      <c r="I341" s="38" t="inlineStr">
        <is>
          <t>package-w3l38hs2syj5kjb09pjy47njgg</t>
        </is>
      </c>
      <c r="J341" s="38" t="inlineStr">
        <is>
          <t>爱伊拉的包裹</t>
        </is>
      </c>
      <c r="K341" s="38" t="inlineStr">
        <is>
          <t>bronze</t>
        </is>
      </c>
      <c r="L341" s="38" t="inlineStr">
        <is>
          <t>Medium</t>
        </is>
      </c>
      <c r="M341" s="38" t="inlineStr">
        <is>
          <t>package, medium, bronze, aila</t>
        </is>
      </c>
      <c r="N341" s="38" t="n">
        <v>2</v>
      </c>
      <c r="O341" s="38" t="inlineStr">
        <is>
          <t>merchant_aila, merchant_curio</t>
        </is>
      </c>
      <c r="P341" s="38" t="n">
        <v>2</v>
      </c>
      <c r="Q341" s="38" t="inlineStr">
        <is>
          <t>night_base, elem_草</t>
        </is>
      </c>
      <c r="R341" s="38" t="inlineStr">
        <is>
          <t>Heavy</t>
        </is>
      </c>
      <c r="S341" s="38" t="inlineStr">
        <is>
          <t>pal_340</t>
        </is>
      </c>
      <c r="T341" s="38" t="inlineStr">
        <is>
          <t>爱拉中兽</t>
        </is>
      </c>
      <c r="U341" s="38" t="inlineStr">
        <is>
          <t>https://bazaardb.gg/card/w3l38hs2syj5kjb09pjy47njgg/%E7%88%B1%E4%BC%8A%E6%8B%89%E7%9A%84%E5%8C%85%E8%A3%B9</t>
        </is>
      </c>
      <c r="V341" s="38" t="inlineStr">
        <is>
          <t>当你将此物品出售给爱伊拉时，获得一件附魔的中型武器和1经验值</t>
        </is>
      </c>
      <c r="W341" s="38" t="inlineStr">
        <is>
          <t>BazaarDB Patch 16.2 商人包卡；归属 Aila，品质 青铜，占格 Medium。</t>
        </is>
      </c>
      <c r="X341" s="385" t="str"/>
      <c r="Y341" s="386" t="inlineStr">
        <is>
          <t>reference_reserved</t>
        </is>
      </c>
      <c r="Z341" s="386" t="str"/>
      <c r="AA341" s="386" t="str"/>
    </row>
    <row r="342">
      <c r="A342" s="38" t="inlineStr">
        <is>
          <t>bz_van_341</t>
        </is>
      </c>
      <c r="B342" s="38" t="n">
        <v>341</v>
      </c>
      <c r="C342" s="38" t="inlineStr">
        <is>
          <t>merchant_package</t>
        </is>
      </c>
      <c r="D342" s="38" t="inlineStr">
        <is>
          <t>snapshot_vanessa_legacy_catalog_v1</t>
        </is>
      </c>
      <c r="E342" s="38" t="inlineStr">
        <is>
          <t>snapshot_the_bazaar_patch_18_0_boundary</t>
        </is>
      </c>
      <c r="F342" s="38" t="inlineStr">
        <is>
          <t>true</t>
        </is>
      </c>
      <c r="G342" s="38" t="inlineStr">
        <is>
          <t>false</t>
        </is>
      </c>
      <c r="H342" s="38" t="inlineStr">
        <is>
          <t>current_rule_match,structured_effects,reward_payload,sell_target,availability</t>
        </is>
      </c>
      <c r="I342" s="38" t="inlineStr">
        <is>
          <t>package-137xn23pd0d1dhn96yhhd85kkb7</t>
        </is>
      </c>
      <c r="J342" s="38" t="inlineStr">
        <is>
          <t>爱伊拉的包裹</t>
        </is>
      </c>
      <c r="K342" s="38" t="inlineStr">
        <is>
          <t>silver</t>
        </is>
      </c>
      <c r="L342" s="38" t="inlineStr">
        <is>
          <t>Large</t>
        </is>
      </c>
      <c r="M342" s="38" t="inlineStr">
        <is>
          <t>package, large, silver, aila</t>
        </is>
      </c>
      <c r="N342" s="38" t="n">
        <v>2</v>
      </c>
      <c r="O342" s="38" t="inlineStr">
        <is>
          <t>merchant_aila, merchant_silvia</t>
        </is>
      </c>
      <c r="P342" s="38" t="n">
        <v>2</v>
      </c>
      <c r="Q342" s="38" t="inlineStr">
        <is>
          <t>night_base, role_经济</t>
        </is>
      </c>
      <c r="R342" s="38" t="inlineStr">
        <is>
          <t>Heavy</t>
        </is>
      </c>
      <c r="S342" s="38" t="inlineStr">
        <is>
          <t>pal_341</t>
        </is>
      </c>
      <c r="T342" s="38" t="inlineStr">
        <is>
          <t>爱拉大兽</t>
        </is>
      </c>
      <c r="U342" s="38" t="inlineStr">
        <is>
          <t>https://bazaardb.gg/card/137xn23pd0d1dhn96yhhd85kkb7/%E7%88%B1%E4%BC%8A%E6%8B%89%E7%9A%84%E5%8C%85%E8%A3%B9</t>
        </is>
      </c>
      <c r="V342" s="38" t="inlineStr">
        <is>
          <t>当你将此物品出售给爱伊拉时，获得一件附魔的大型武器和1经验值</t>
        </is>
      </c>
      <c r="W342" s="38" t="inlineStr">
        <is>
          <t>BazaarDB Patch 16.2 商人包卡；归属 Aila，品质 白银，占格 Large。</t>
        </is>
      </c>
      <c r="X342" s="385" t="str"/>
      <c r="Y342" s="386" t="inlineStr">
        <is>
          <t>reference_reserved</t>
        </is>
      </c>
      <c r="Z342" s="386" t="str"/>
      <c r="AA342" s="386" t="str"/>
    </row>
    <row r="343">
      <c r="A343" s="38" t="inlineStr">
        <is>
          <t>bz_van_342</t>
        </is>
      </c>
      <c r="B343" s="38" t="n">
        <v>342</v>
      </c>
      <c r="C343" s="38" t="inlineStr">
        <is>
          <t>merchant_package</t>
        </is>
      </c>
      <c r="D343" s="38" t="inlineStr">
        <is>
          <t>snapshot_vanessa_legacy_catalog_v1</t>
        </is>
      </c>
      <c r="E343" s="38" t="inlineStr">
        <is>
          <t>snapshot_the_bazaar_patch_18_0_boundary</t>
        </is>
      </c>
      <c r="F343" s="38" t="inlineStr">
        <is>
          <t>true</t>
        </is>
      </c>
      <c r="G343" s="38" t="inlineStr">
        <is>
          <t>false</t>
        </is>
      </c>
      <c r="H343" s="38" t="inlineStr">
        <is>
          <t>current_rule_match,structured_effects,reward_payload,sell_target,availability</t>
        </is>
      </c>
      <c r="I343" s="38" t="inlineStr">
        <is>
          <t>package-17xx7t01vblxhp232x9sqhdt2m6</t>
        </is>
      </c>
      <c r="J343" s="38" t="inlineStr">
        <is>
          <t>爱伊拉的包裹</t>
        </is>
      </c>
      <c r="K343" s="38" t="inlineStr">
        <is>
          <t>bronze</t>
        </is>
      </c>
      <c r="L343" s="38" t="inlineStr">
        <is>
          <t>Small</t>
        </is>
      </c>
      <c r="M343" s="38" t="inlineStr">
        <is>
          <t>package, small, bronze, aila</t>
        </is>
      </c>
      <c r="N343" s="38" t="n">
        <v>2</v>
      </c>
      <c r="O343" s="38" t="inlineStr">
        <is>
          <t>merchant_aila, merchant_curio</t>
        </is>
      </c>
      <c r="P343" s="38" t="n">
        <v>2</v>
      </c>
      <c r="Q343" s="38" t="inlineStr">
        <is>
          <t>night_base, elem_草</t>
        </is>
      </c>
      <c r="R343" s="38" t="inlineStr">
        <is>
          <t>Heavy</t>
        </is>
      </c>
      <c r="S343" s="38" t="inlineStr">
        <is>
          <t>pal_342</t>
        </is>
      </c>
      <c r="T343" s="38" t="inlineStr">
        <is>
          <t>爱拉小兽</t>
        </is>
      </c>
      <c r="U343" s="38" t="inlineStr">
        <is>
          <t>https://bazaardb.gg/card/17xx7t01vblxhp232x9sqhdt2m6/%E7%88%B1%E4%BC%8A%E6%8B%89%E7%9A%84%E5%8C%85%E8%A3%B9</t>
        </is>
      </c>
      <c r="V343" s="38" t="inlineStr">
        <is>
          <t>当你将此物品出售给爱伊拉时，获得一件附魔小型武器和1经验值</t>
        </is>
      </c>
      <c r="W343" s="38" t="inlineStr">
        <is>
          <t>BazaarDB Patch 16.2 商人包卡；归属 Aila，品质 青铜，占格 Small。</t>
        </is>
      </c>
      <c r="X343" s="385" t="str"/>
      <c r="Y343" s="386" t="inlineStr">
        <is>
          <t>reference_reserved</t>
        </is>
      </c>
      <c r="Z343" s="386" t="str"/>
      <c r="AA343" s="386" t="str"/>
    </row>
    <row r="344">
      <c r="A344" s="38" t="inlineStr">
        <is>
          <t>bz_van_343</t>
        </is>
      </c>
      <c r="B344" s="38" t="n">
        <v>343</v>
      </c>
      <c r="C344" s="38" t="inlineStr">
        <is>
          <t>merchant_package</t>
        </is>
      </c>
      <c r="D344" s="38" t="inlineStr">
        <is>
          <t>snapshot_vanessa_legacy_catalog_v1</t>
        </is>
      </c>
      <c r="E344" s="38" t="inlineStr">
        <is>
          <t>snapshot_the_bazaar_patch_18_0_boundary</t>
        </is>
      </c>
      <c r="F344" s="38" t="inlineStr">
        <is>
          <t>true</t>
        </is>
      </c>
      <c r="G344" s="38" t="inlineStr">
        <is>
          <t>false</t>
        </is>
      </c>
      <c r="H344" s="38" t="inlineStr">
        <is>
          <t>current_rule_match,structured_effects,reward_payload,sell_target,availability</t>
        </is>
      </c>
      <c r="I344" s="38" t="inlineStr">
        <is>
          <t>package-f51kxgpgbyjq0zqtb2n43y2k3l</t>
        </is>
      </c>
      <c r="J344" s="38" t="inlineStr">
        <is>
          <t>瓦尔帕克的包裹</t>
        </is>
      </c>
      <c r="K344" s="38" t="inlineStr">
        <is>
          <t>silver</t>
        </is>
      </c>
      <c r="L344" s="38" t="inlineStr">
        <is>
          <t>Large</t>
        </is>
      </c>
      <c r="M344" s="38" t="inlineStr">
        <is>
          <t>package, large, silver, valpak</t>
        </is>
      </c>
      <c r="N344" s="38" t="n">
        <v>2</v>
      </c>
      <c r="O344" s="38" t="inlineStr">
        <is>
          <t>merchant_valpak, merchant_silvia</t>
        </is>
      </c>
      <c r="P344" s="38" t="n">
        <v>2</v>
      </c>
      <c r="Q344" s="38" t="inlineStr">
        <is>
          <t>elem_暗, role_经济</t>
        </is>
      </c>
      <c r="R344" s="38" t="inlineStr">
        <is>
          <t>Shiny</t>
        </is>
      </c>
      <c r="S344" s="38" t="inlineStr">
        <is>
          <t>pal_343</t>
        </is>
      </c>
      <c r="T344" s="38" t="inlineStr">
        <is>
          <t>瓦尔大兽</t>
        </is>
      </c>
      <c r="U344" s="38" t="inlineStr">
        <is>
          <t>https://bazaardb.gg/card/f51kxgpgbyjq0zqtb2n43y2k3l/%E7%93%A6%E5%B0%94%E5%B8%95%E5%85%8B%E7%9A%84%E5%8C%85%E8%A3%B9</t>
        </is>
      </c>
      <c r="V344" s="38" t="inlineStr">
        <is>
          <t>当你将此物品出售给瓦尔帕克时，获得一件附魔大型物品和1经验值</t>
        </is>
      </c>
      <c r="W344" s="38" t="inlineStr">
        <is>
          <t>BazaarDB Patch 16.2 商人包卡；归属 Valpak，品质 白银，占格 Large。</t>
        </is>
      </c>
      <c r="X344" s="385" t="str"/>
      <c r="Y344" s="386" t="inlineStr">
        <is>
          <t>reference_reserved</t>
        </is>
      </c>
      <c r="Z344" s="386" t="str"/>
      <c r="AA344" s="386" t="str"/>
    </row>
    <row r="345">
      <c r="A345" s="38" t="inlineStr">
        <is>
          <t>bz_van_344</t>
        </is>
      </c>
      <c r="B345" s="38" t="n">
        <v>344</v>
      </c>
      <c r="C345" s="38" t="inlineStr">
        <is>
          <t>merchant_package</t>
        </is>
      </c>
      <c r="D345" s="38" t="inlineStr">
        <is>
          <t>snapshot_vanessa_legacy_catalog_v1</t>
        </is>
      </c>
      <c r="E345" s="38" t="inlineStr">
        <is>
          <t>snapshot_the_bazaar_patch_18_0_boundary</t>
        </is>
      </c>
      <c r="F345" s="38" t="inlineStr">
        <is>
          <t>true</t>
        </is>
      </c>
      <c r="G345" s="38" t="inlineStr">
        <is>
          <t>false</t>
        </is>
      </c>
      <c r="H345" s="38" t="inlineStr">
        <is>
          <t>current_rule_match,structured_effects,reward_payload,sell_target,availability</t>
        </is>
      </c>
      <c r="I345" s="38" t="inlineStr">
        <is>
          <t>package-jqhjqfsl1x5pcp9j567jwv3d4d</t>
        </is>
      </c>
      <c r="J345" s="38" t="inlineStr">
        <is>
          <t>瓦尔帕克的包裹</t>
        </is>
      </c>
      <c r="K345" s="38" t="inlineStr">
        <is>
          <t>bronze</t>
        </is>
      </c>
      <c r="L345" s="38" t="inlineStr">
        <is>
          <t>Small</t>
        </is>
      </c>
      <c r="M345" s="38" t="inlineStr">
        <is>
          <t>package, small, bronze, valpak</t>
        </is>
      </c>
      <c r="N345" s="38" t="n">
        <v>2</v>
      </c>
      <c r="O345" s="38" t="inlineStr">
        <is>
          <t>merchant_valpak, merchant_curio</t>
        </is>
      </c>
      <c r="P345" s="38" t="n">
        <v>2</v>
      </c>
      <c r="Q345" s="38" t="inlineStr">
        <is>
          <t>elem_草, elem_暗</t>
        </is>
      </c>
      <c r="R345" s="38" t="inlineStr">
        <is>
          <t>Heavy</t>
        </is>
      </c>
      <c r="S345" s="38" t="inlineStr">
        <is>
          <t>pal_344</t>
        </is>
      </c>
      <c r="T345" s="38" t="inlineStr">
        <is>
          <t>瓦尔小兽</t>
        </is>
      </c>
      <c r="U345" s="38" t="inlineStr">
        <is>
          <t>https://bazaardb.gg/card/jqhjqfsl1x5pcp9j567jwv3d4d/%E7%93%A6%E5%B0%94%E5%B8%95%E5%85%8B%E7%9A%84%E5%8C%85%E8%A3%B9</t>
        </is>
      </c>
      <c r="V345" s="38" t="inlineStr">
        <is>
          <t>当你将此物品出售给瓦尔帕克时，获得一件附魔小型物品和1经验值</t>
        </is>
      </c>
      <c r="W345" s="38" t="inlineStr">
        <is>
          <t>BazaarDB Patch 16.2 商人包卡；归属 Valpak，品质 青铜，占格 Small。</t>
        </is>
      </c>
      <c r="X345" s="385" t="str"/>
      <c r="Y345" s="386" t="inlineStr">
        <is>
          <t>reference_reserved</t>
        </is>
      </c>
      <c r="Z345" s="386" t="str"/>
      <c r="AA345" s="386" t="str"/>
    </row>
    <row r="346">
      <c r="A346" s="38" t="inlineStr">
        <is>
          <t>bz_van_345</t>
        </is>
      </c>
      <c r="B346" s="38" t="n">
        <v>345</v>
      </c>
      <c r="C346" s="38" t="inlineStr">
        <is>
          <t>merchant_package</t>
        </is>
      </c>
      <c r="D346" s="38" t="inlineStr">
        <is>
          <t>snapshot_vanessa_legacy_catalog_v1</t>
        </is>
      </c>
      <c r="E346" s="38" t="inlineStr">
        <is>
          <t>snapshot_the_bazaar_patch_18_0_boundary</t>
        </is>
      </c>
      <c r="F346" s="38" t="inlineStr">
        <is>
          <t>true</t>
        </is>
      </c>
      <c r="G346" s="38" t="inlineStr">
        <is>
          <t>false</t>
        </is>
      </c>
      <c r="H346" s="38" t="inlineStr">
        <is>
          <t>current_rule_match,structured_effects,reward_payload,sell_target,availability</t>
        </is>
      </c>
      <c r="I346" s="38" t="inlineStr">
        <is>
          <t>package-v27h9bgs4bvx6y5ycytl729cqc</t>
        </is>
      </c>
      <c r="J346" s="38" t="inlineStr">
        <is>
          <t>瓦尔帕克的包裹</t>
        </is>
      </c>
      <c r="K346" s="38" t="inlineStr">
        <is>
          <t>bronze</t>
        </is>
      </c>
      <c r="L346" s="38" t="inlineStr">
        <is>
          <t>Medium</t>
        </is>
      </c>
      <c r="M346" s="38" t="inlineStr">
        <is>
          <t>package, medium, bronze, valpak</t>
        </is>
      </c>
      <c r="N346" s="38" t="n">
        <v>2</v>
      </c>
      <c r="O346" s="38" t="inlineStr">
        <is>
          <t>merchant_valpak, merchant_curio</t>
        </is>
      </c>
      <c r="P346" s="38" t="n">
        <v>2</v>
      </c>
      <c r="Q346" s="38" t="inlineStr">
        <is>
          <t>elem_草, elem_暗</t>
        </is>
      </c>
      <c r="R346" s="38" t="inlineStr">
        <is>
          <t>Shiny</t>
        </is>
      </c>
      <c r="S346" s="38" t="inlineStr">
        <is>
          <t>pal_345</t>
        </is>
      </c>
      <c r="T346" s="38" t="inlineStr">
        <is>
          <t>瓦尔中兽</t>
        </is>
      </c>
      <c r="U346" s="38" t="inlineStr">
        <is>
          <t>https://bazaardb.gg/card/v27h9bgs4bvx6y5ycytl729cqc/%E7%93%A6%E5%B0%94%E5%B8%95%E5%85%8B%E7%9A%84%E5%8C%85%E8%A3%B9</t>
        </is>
      </c>
      <c r="V346" s="38" t="inlineStr">
        <is>
          <t>当你将此物品出售给瓦尔帕克时，获得一件附魔中型物品和1经验值</t>
        </is>
      </c>
      <c r="W346" s="38" t="inlineStr">
        <is>
          <t>BazaarDB Patch 16.2 商人包卡；归属 Valpak，品质 青铜，占格 Medium。</t>
        </is>
      </c>
      <c r="X346" s="385" t="str"/>
      <c r="Y346" s="386" t="inlineStr">
        <is>
          <t>reference_reserved</t>
        </is>
      </c>
      <c r="Z346" s="386" t="str"/>
      <c r="AA346" s="386" t="str"/>
    </row>
    <row r="347">
      <c r="A347" s="38" t="inlineStr">
        <is>
          <t>bz_van_346</t>
        </is>
      </c>
      <c r="B347" s="38" t="n">
        <v>346</v>
      </c>
      <c r="C347" s="38" t="inlineStr">
        <is>
          <t>merchant_package</t>
        </is>
      </c>
      <c r="D347" s="38" t="inlineStr">
        <is>
          <t>snapshot_vanessa_legacy_catalog_v1</t>
        </is>
      </c>
      <c r="E347" s="38" t="inlineStr">
        <is>
          <t>snapshot_the_bazaar_patch_18_0_boundary</t>
        </is>
      </c>
      <c r="F347" s="38" t="inlineStr">
        <is>
          <t>true</t>
        </is>
      </c>
      <c r="G347" s="38" t="inlineStr">
        <is>
          <t>false</t>
        </is>
      </c>
      <c r="H347" s="38" t="inlineStr">
        <is>
          <t>current_rule_match,structured_effects,reward_payload,sell_target,availability</t>
        </is>
      </c>
      <c r="I347" s="38" t="inlineStr">
        <is>
          <t>package-p0ykjyxwkhnh56gddmjnctg3k</t>
        </is>
      </c>
      <c r="J347" s="38" t="inlineStr">
        <is>
          <t>米兹沃斯的包裹</t>
        </is>
      </c>
      <c r="K347" s="38" t="inlineStr">
        <is>
          <t>bronze</t>
        </is>
      </c>
      <c r="L347" s="38" t="inlineStr">
        <is>
          <t>Medium</t>
        </is>
      </c>
      <c r="M347" s="38" t="inlineStr">
        <is>
          <t>package, medium, bronze, midsworth</t>
        </is>
      </c>
      <c r="N347" s="38" t="n">
        <v>2</v>
      </c>
      <c r="O347" s="38" t="inlineStr">
        <is>
          <t>merchant_midsworth, merchant_curio</t>
        </is>
      </c>
      <c r="P347" s="38" t="n">
        <v>2</v>
      </c>
      <c r="Q347" s="38" t="inlineStr">
        <is>
          <t>elem_草, elem_地</t>
        </is>
      </c>
      <c r="R347" s="38" t="inlineStr">
        <is>
          <t>Shiny</t>
        </is>
      </c>
      <c r="S347" s="38" t="inlineStr">
        <is>
          <t>pal_346</t>
        </is>
      </c>
      <c r="T347" s="38" t="inlineStr">
        <is>
          <t>米兹中兽</t>
        </is>
      </c>
      <c r="U347" s="38" t="inlineStr">
        <is>
          <t>https://bazaardb.gg/card/p0ykjyxwkhnh56gddmjnctg3k/%E7%B1%B3%E5%85%B9%E6%B2%83%E6%96%AF%E7%9A%84%E5%8C%85%E8%A3%B9</t>
        </is>
      </c>
      <c r="V347" s="38" t="inlineStr">
        <is>
          <t>当你将此物品出售给米兹沃斯时，获得一件附魔中型物品和1经验值</t>
        </is>
      </c>
      <c r="W347" s="38" t="inlineStr">
        <is>
          <t>BazaarDB Patch 16.2 商人包卡；归属 Midsworth，品质 青铜，占格 Medium。</t>
        </is>
      </c>
      <c r="X347" s="385" t="str"/>
      <c r="Y347" s="386" t="inlineStr">
        <is>
          <t>reference_reserved</t>
        </is>
      </c>
      <c r="Z347" s="386" t="str"/>
      <c r="AA347" s="386" t="str"/>
    </row>
    <row r="348">
      <c r="A348" s="38" t="inlineStr">
        <is>
          <t>bz_van_347</t>
        </is>
      </c>
      <c r="B348" s="38" t="n">
        <v>347</v>
      </c>
      <c r="C348" s="38" t="inlineStr">
        <is>
          <t>merchant_package</t>
        </is>
      </c>
      <c r="D348" s="38" t="inlineStr">
        <is>
          <t>snapshot_vanessa_legacy_catalog_v1</t>
        </is>
      </c>
      <c r="E348" s="38" t="inlineStr">
        <is>
          <t>snapshot_the_bazaar_patch_18_0_boundary</t>
        </is>
      </c>
      <c r="F348" s="38" t="inlineStr">
        <is>
          <t>true</t>
        </is>
      </c>
      <c r="G348" s="38" t="inlineStr">
        <is>
          <t>false</t>
        </is>
      </c>
      <c r="H348" s="38" t="inlineStr">
        <is>
          <t>current_rule_match,structured_effects,reward_payload,sell_target,availability</t>
        </is>
      </c>
      <c r="I348" s="38" t="inlineStr">
        <is>
          <t>package-114kqm8799gnsqw2c55z2cs5s7n</t>
        </is>
      </c>
      <c r="J348" s="38" t="inlineStr">
        <is>
          <t>米兹沃斯的包裹</t>
        </is>
      </c>
      <c r="K348" s="38" t="inlineStr">
        <is>
          <t>silver</t>
        </is>
      </c>
      <c r="L348" s="38" t="inlineStr">
        <is>
          <t>Large</t>
        </is>
      </c>
      <c r="M348" s="38" t="inlineStr">
        <is>
          <t>package, large, silver, midsworth</t>
        </is>
      </c>
      <c r="N348" s="38" t="n">
        <v>2</v>
      </c>
      <c r="O348" s="38" t="inlineStr">
        <is>
          <t>merchant_midsworth, merchant_silvia</t>
        </is>
      </c>
      <c r="P348" s="38" t="n">
        <v>2</v>
      </c>
      <c r="Q348" s="38" t="inlineStr">
        <is>
          <t>elem_地, role_经济</t>
        </is>
      </c>
      <c r="R348" s="38" t="inlineStr">
        <is>
          <t>Shiny</t>
        </is>
      </c>
      <c r="S348" s="38" t="inlineStr">
        <is>
          <t>pal_347</t>
        </is>
      </c>
      <c r="T348" s="38" t="inlineStr">
        <is>
          <t>米兹大兽</t>
        </is>
      </c>
      <c r="U348" s="38" t="inlineStr">
        <is>
          <t>https://bazaardb.gg/card/114kqm8799gnsqw2c55z2cs5s7n/%E7%B1%B3%E5%85%B9%E6%B2%83%E6%96%AF%E7%9A%84%E5%8C%85%E8%A3%B9</t>
        </is>
      </c>
      <c r="V348" s="38" t="inlineStr">
        <is>
          <t>当你将此物品出售给米兹沃斯时，获得一件附魔大型物品和1经验值</t>
        </is>
      </c>
      <c r="W348" s="38" t="inlineStr">
        <is>
          <t>BazaarDB Patch 16.2 商人包卡；归属 Midsworth，品质 白银，占格 Large。</t>
        </is>
      </c>
      <c r="X348" s="385" t="str"/>
      <c r="Y348" s="386" t="inlineStr">
        <is>
          <t>reference_reserved</t>
        </is>
      </c>
      <c r="Z348" s="386" t="str"/>
      <c r="AA348" s="386" t="str"/>
    </row>
    <row r="349">
      <c r="A349" s="38" t="inlineStr">
        <is>
          <t>bz_van_348</t>
        </is>
      </c>
      <c r="B349" s="38" t="n">
        <v>348</v>
      </c>
      <c r="C349" s="38" t="inlineStr">
        <is>
          <t>merchant_package</t>
        </is>
      </c>
      <c r="D349" s="38" t="inlineStr">
        <is>
          <t>snapshot_vanessa_legacy_catalog_v1</t>
        </is>
      </c>
      <c r="E349" s="38" t="inlineStr">
        <is>
          <t>snapshot_the_bazaar_patch_18_0_boundary</t>
        </is>
      </c>
      <c r="F349" s="38" t="inlineStr">
        <is>
          <t>true</t>
        </is>
      </c>
      <c r="G349" s="38" t="inlineStr">
        <is>
          <t>false</t>
        </is>
      </c>
      <c r="H349" s="38" t="inlineStr">
        <is>
          <t>current_rule_match,structured_effects,reward_payload,sell_target,availability</t>
        </is>
      </c>
      <c r="I349" s="38" t="inlineStr">
        <is>
          <t>package-18ksh3y73l7qqvxqc9vgqghffwm</t>
        </is>
      </c>
      <c r="J349" s="38" t="inlineStr">
        <is>
          <t>米兹沃斯的包裹</t>
        </is>
      </c>
      <c r="K349" s="38" t="inlineStr">
        <is>
          <t>bronze</t>
        </is>
      </c>
      <c r="L349" s="38" t="inlineStr">
        <is>
          <t>Small</t>
        </is>
      </c>
      <c r="M349" s="38" t="inlineStr">
        <is>
          <t>package, small, bronze, midsworth</t>
        </is>
      </c>
      <c r="N349" s="38" t="n">
        <v>2</v>
      </c>
      <c r="O349" s="38" t="inlineStr">
        <is>
          <t>merchant_midsworth, merchant_curio</t>
        </is>
      </c>
      <c r="P349" s="38" t="n">
        <v>2</v>
      </c>
      <c r="Q349" s="38" t="inlineStr">
        <is>
          <t>elem_草, elem_地</t>
        </is>
      </c>
      <c r="R349" s="38" t="inlineStr">
        <is>
          <t>Shiny</t>
        </is>
      </c>
      <c r="S349" s="38" t="inlineStr">
        <is>
          <t>pal_348</t>
        </is>
      </c>
      <c r="T349" s="38" t="inlineStr">
        <is>
          <t>米兹小兽</t>
        </is>
      </c>
      <c r="U349" s="38" t="inlineStr">
        <is>
          <t>https://bazaardb.gg/card/18ksh3y73l7qqvxqc9vgqghffwm/%E7%B1%B3%E5%85%B9%E6%B2%83%E6%96%AF%E7%9A%84%E5%8C%85%E8%A3%B9</t>
        </is>
      </c>
      <c r="V349" s="38" t="inlineStr">
        <is>
          <t>当你将此物品出售给米兹沃斯时，获得一件附魔的小型物品和1经验值</t>
        </is>
      </c>
      <c r="W349" s="38" t="inlineStr">
        <is>
          <t>BazaarDB Patch 16.2 商人包卡；归属 Midsworth，品质 青铜，占格 Small。</t>
        </is>
      </c>
      <c r="X349" s="385" t="str"/>
      <c r="Y349" s="386" t="inlineStr">
        <is>
          <t>reference_reserved</t>
        </is>
      </c>
      <c r="Z349" s="386" t="str"/>
      <c r="AA349" s="386" t="str"/>
    </row>
    <row r="350">
      <c r="A350" s="38" t="inlineStr">
        <is>
          <t>bz_van_349</t>
        </is>
      </c>
      <c r="B350" s="38" t="n">
        <v>349</v>
      </c>
      <c r="C350" s="38" t="inlineStr">
        <is>
          <t>merchant_package</t>
        </is>
      </c>
      <c r="D350" s="38" t="inlineStr">
        <is>
          <t>snapshot_vanessa_legacy_catalog_v1</t>
        </is>
      </c>
      <c r="E350" s="38" t="inlineStr">
        <is>
          <t>snapshot_the_bazaar_patch_18_0_boundary</t>
        </is>
      </c>
      <c r="F350" s="38" t="inlineStr">
        <is>
          <t>true</t>
        </is>
      </c>
      <c r="G350" s="38" t="inlineStr">
        <is>
          <t>false</t>
        </is>
      </c>
      <c r="H350" s="38" t="inlineStr">
        <is>
          <t>current_rule_match,structured_effects,reward_payload,sell_target,availability</t>
        </is>
      </c>
      <c r="I350" s="38" t="inlineStr">
        <is>
          <t>package-d9z8by7j2d6cl3d2g395zvpb7</t>
        </is>
      </c>
      <c r="J350" s="38" t="inlineStr">
        <is>
          <t>米透的包裹</t>
        </is>
      </c>
      <c r="K350" s="38" t="inlineStr">
        <is>
          <t>bronze</t>
        </is>
      </c>
      <c r="L350" s="38" t="inlineStr">
        <is>
          <t>Small</t>
        </is>
      </c>
      <c r="M350" s="38" t="inlineStr">
        <is>
          <t>package, small, bronze, mittel</t>
        </is>
      </c>
      <c r="N350" s="38" t="n">
        <v>2</v>
      </c>
      <c r="O350" s="38" t="inlineStr">
        <is>
          <t>merchant_mittel, merchant_curio</t>
        </is>
      </c>
      <c r="P350" s="38" t="n">
        <v>2</v>
      </c>
      <c r="Q350" s="38" t="inlineStr">
        <is>
          <t>elem_草, elem_无</t>
        </is>
      </c>
      <c r="R350" s="38" t="inlineStr">
        <is>
          <t>Shiny</t>
        </is>
      </c>
      <c r="S350" s="38" t="inlineStr">
        <is>
          <t>pal_349</t>
        </is>
      </c>
      <c r="T350" s="38" t="inlineStr">
        <is>
          <t>米透小兽</t>
        </is>
      </c>
      <c r="U350" s="38" t="inlineStr">
        <is>
          <t>https://bazaardb.gg/card/d9z8by7j2d6cl3d2g395zvpb7/%E7%B1%B3%E9%80%8F%E7%9A%84%E5%8C%85%E8%A3%B9</t>
        </is>
      </c>
      <c r="V350" s="38" t="inlineStr">
        <is>
          <t>当你将此物品出售给米透时，获得一件附魔中型物品和1经验值</t>
        </is>
      </c>
      <c r="W350" s="38" t="inlineStr">
        <is>
          <t>BazaarDB Patch 16.2 商人包卡；归属 Mittel，品质 青铜，占格 Small。</t>
        </is>
      </c>
      <c r="X350" s="385" t="str"/>
      <c r="Y350" s="386" t="inlineStr">
        <is>
          <t>reference_reserved</t>
        </is>
      </c>
      <c r="Z350" s="386" t="str"/>
      <c r="AA350" s="386" t="str"/>
    </row>
    <row r="351">
      <c r="A351" s="38" t="inlineStr">
        <is>
          <t>bz_van_350</t>
        </is>
      </c>
      <c r="B351" s="38" t="n">
        <v>350</v>
      </c>
      <c r="C351" s="38" t="inlineStr">
        <is>
          <t>merchant_package</t>
        </is>
      </c>
      <c r="D351" s="38" t="inlineStr">
        <is>
          <t>snapshot_vanessa_legacy_catalog_v1</t>
        </is>
      </c>
      <c r="E351" s="38" t="inlineStr">
        <is>
          <t>snapshot_the_bazaar_patch_18_0_boundary</t>
        </is>
      </c>
      <c r="F351" s="38" t="inlineStr">
        <is>
          <t>true</t>
        </is>
      </c>
      <c r="G351" s="38" t="inlineStr">
        <is>
          <t>false</t>
        </is>
      </c>
      <c r="H351" s="38" t="inlineStr">
        <is>
          <t>current_rule_match,structured_effects,reward_payload,sell_target,availability</t>
        </is>
      </c>
      <c r="I351" s="38" t="inlineStr">
        <is>
          <t>package-qmhctzwqn6cn5q1wnqf1tcssnl</t>
        </is>
      </c>
      <c r="J351" s="38" t="inlineStr">
        <is>
          <t>米透的包裹</t>
        </is>
      </c>
      <c r="K351" s="38" t="inlineStr">
        <is>
          <t>silver</t>
        </is>
      </c>
      <c r="L351" s="38" t="inlineStr">
        <is>
          <t>Large</t>
        </is>
      </c>
      <c r="M351" s="38" t="inlineStr">
        <is>
          <t>package, large, silver, mittel</t>
        </is>
      </c>
      <c r="N351" s="38" t="n">
        <v>2</v>
      </c>
      <c r="O351" s="38" t="inlineStr">
        <is>
          <t>merchant_mittel, merchant_silvia</t>
        </is>
      </c>
      <c r="P351" s="38" t="n">
        <v>2</v>
      </c>
      <c r="Q351" s="38" t="inlineStr">
        <is>
          <t>elem_无, role_经济</t>
        </is>
      </c>
      <c r="R351" s="38" t="inlineStr">
        <is>
          <t>Heavy</t>
        </is>
      </c>
      <c r="S351" s="38" t="inlineStr">
        <is>
          <t>pal_350</t>
        </is>
      </c>
      <c r="T351" s="38" t="inlineStr">
        <is>
          <t>米透大兽</t>
        </is>
      </c>
      <c r="U351" s="38" t="inlineStr">
        <is>
          <t>https://bazaardb.gg/card/qmhctzwqn6cn5q1wnqf1tcssnl/%E7%B1%B3%E9%80%8F%E7%9A%84%E5%8C%85%E8%A3%B9</t>
        </is>
      </c>
      <c r="V351" s="38" t="inlineStr">
        <is>
          <t>当你将此物品出售给米透时，获得一件附魔中型物品和1经验值</t>
        </is>
      </c>
      <c r="W351" s="38" t="inlineStr">
        <is>
          <t>BazaarDB Patch 16.2 商人包卡；归属 Mittel，品质 白银，占格 Large。</t>
        </is>
      </c>
      <c r="X351" s="385" t="str"/>
      <c r="Y351" s="386" t="inlineStr">
        <is>
          <t>reference_reserved</t>
        </is>
      </c>
      <c r="Z351" s="386" t="str"/>
      <c r="AA351" s="386" t="str"/>
    </row>
    <row r="352">
      <c r="A352" s="38" t="inlineStr">
        <is>
          <t>bz_van_351</t>
        </is>
      </c>
      <c r="B352" s="38" t="n">
        <v>351</v>
      </c>
      <c r="C352" s="38" t="inlineStr">
        <is>
          <t>merchant_package</t>
        </is>
      </c>
      <c r="D352" s="38" t="inlineStr">
        <is>
          <t>snapshot_vanessa_legacy_catalog_v1</t>
        </is>
      </c>
      <c r="E352" s="38" t="inlineStr">
        <is>
          <t>snapshot_the_bazaar_patch_18_0_boundary</t>
        </is>
      </c>
      <c r="F352" s="38" t="inlineStr">
        <is>
          <t>true</t>
        </is>
      </c>
      <c r="G352" s="38" t="inlineStr">
        <is>
          <t>false</t>
        </is>
      </c>
      <c r="H352" s="38" t="inlineStr">
        <is>
          <t>current_rule_match,structured_effects,reward_payload,sell_target,availability</t>
        </is>
      </c>
      <c r="I352" s="38" t="inlineStr">
        <is>
          <t>package-17zzvtts157ggmxjpflhs2727qg</t>
        </is>
      </c>
      <c r="J352" s="38" t="inlineStr">
        <is>
          <t>米透的包裹</t>
        </is>
      </c>
      <c r="K352" s="38" t="inlineStr">
        <is>
          <t>silver</t>
        </is>
      </c>
      <c r="L352" s="38" t="inlineStr">
        <is>
          <t>Medium</t>
        </is>
      </c>
      <c r="M352" s="38" t="inlineStr">
        <is>
          <t>package, medium, silver, mittel</t>
        </is>
      </c>
      <c r="N352" s="38" t="n">
        <v>2</v>
      </c>
      <c r="O352" s="38" t="inlineStr">
        <is>
          <t>merchant_mittel, merchant_silvia</t>
        </is>
      </c>
      <c r="P352" s="38" t="n">
        <v>2</v>
      </c>
      <c r="Q352" s="38" t="inlineStr">
        <is>
          <t>elem_无, role_经济</t>
        </is>
      </c>
      <c r="R352" s="38" t="inlineStr">
        <is>
          <t>Shiny</t>
        </is>
      </c>
      <c r="S352" s="38" t="inlineStr">
        <is>
          <t>pal_351</t>
        </is>
      </c>
      <c r="T352" s="38" t="inlineStr">
        <is>
          <t>米透中兽</t>
        </is>
      </c>
      <c r="U352" s="38" t="inlineStr">
        <is>
          <t>https://bazaardb.gg/card/17zzvtts157ggmxjpflhs2727qg/%E7%B1%B3%E9%80%8F%E7%9A%84%E5%8C%85%E8%A3%B9</t>
        </is>
      </c>
      <c r="V352" s="38" t="inlineStr">
        <is>
          <t>当你将此物品出售给米透时，获得一件附魔中型物品和1经验值</t>
        </is>
      </c>
      <c r="W352" s="38" t="inlineStr">
        <is>
          <t>BazaarDB Patch 16.2 商人包卡；归属 Mittel，品质 白银，占格 Medium。</t>
        </is>
      </c>
      <c r="X352" s="385" t="str"/>
      <c r="Y352" s="386" t="inlineStr">
        <is>
          <t>reference_reserved</t>
        </is>
      </c>
      <c r="Z352" s="386" t="str"/>
      <c r="AA352" s="386" t="str"/>
    </row>
    <row r="353">
      <c r="A353" s="38" t="inlineStr">
        <is>
          <t>bz_van_352</t>
        </is>
      </c>
      <c r="B353" s="38" t="n">
        <v>352</v>
      </c>
      <c r="C353" s="38" t="inlineStr">
        <is>
          <t>merchant_package</t>
        </is>
      </c>
      <c r="D353" s="38" t="inlineStr">
        <is>
          <t>snapshot_vanessa_legacy_catalog_v1</t>
        </is>
      </c>
      <c r="E353" s="38" t="inlineStr">
        <is>
          <t>snapshot_the_bazaar_patch_18_0_boundary</t>
        </is>
      </c>
      <c r="F353" s="38" t="inlineStr">
        <is>
          <t>true</t>
        </is>
      </c>
      <c r="G353" s="38" t="inlineStr">
        <is>
          <t>false</t>
        </is>
      </c>
      <c r="H353" s="38" t="inlineStr">
        <is>
          <t>current_rule_match,structured_effects,reward_payload,sell_target,availability</t>
        </is>
      </c>
      <c r="I353" s="38" t="inlineStr">
        <is>
          <t>package-4kq80cqkylmz8qtfswvxxy98xx</t>
        </is>
      </c>
      <c r="J353" s="38" t="inlineStr">
        <is>
          <t>自瞄机的包裹</t>
        </is>
      </c>
      <c r="K353" s="38" t="inlineStr">
        <is>
          <t>silver</t>
        </is>
      </c>
      <c r="L353" s="38" t="inlineStr">
        <is>
          <t>Large</t>
        </is>
      </c>
      <c r="M353" s="38" t="inlineStr">
        <is>
          <t>package, large, silver, aimbot</t>
        </is>
      </c>
      <c r="N353" s="38" t="n">
        <v>2</v>
      </c>
      <c r="O353" s="38" t="inlineStr">
        <is>
          <t>merchant_aimbot, merchant_silvia</t>
        </is>
      </c>
      <c r="P353" s="38" t="n">
        <v>2</v>
      </c>
      <c r="Q353" s="38" t="inlineStr">
        <is>
          <t>role_经济, tier_pT1</t>
        </is>
      </c>
      <c r="R353" s="38" t="inlineStr">
        <is>
          <t>Shiny</t>
        </is>
      </c>
      <c r="S353" s="38" t="inlineStr">
        <is>
          <t>pal_352</t>
        </is>
      </c>
      <c r="T353" s="38" t="inlineStr">
        <is>
          <t>自瞄大兽</t>
        </is>
      </c>
      <c r="U353" s="38" t="inlineStr">
        <is>
          <t>https://bazaardb.gg/card/4kq80cqkylmz8qtfswvxxy98xx/%E8%87%AA%E7%9E%84%E6%9C%BA%E7%9A%84%E5%8C%85%E8%A3%B9</t>
        </is>
      </c>
      <c r="V353" s="38" t="inlineStr">
        <is>
          <t>当你将此物品出售给自瞄机时，获得一件附魔的来自任意英雄的大型暴击物品和2经验值</t>
        </is>
      </c>
      <c r="W353" s="38" t="inlineStr">
        <is>
          <t>BazaarDB Patch 16.2 商人包卡；归属 Aimbot，品质 白银，占格 Large。</t>
        </is>
      </c>
      <c r="X353" s="385" t="str"/>
      <c r="Y353" s="386" t="inlineStr">
        <is>
          <t>reference_reserved</t>
        </is>
      </c>
      <c r="Z353" s="386" t="str"/>
      <c r="AA353" s="386" t="str"/>
    </row>
    <row r="354">
      <c r="A354" s="38" t="inlineStr">
        <is>
          <t>bz_van_353</t>
        </is>
      </c>
      <c r="B354" s="38" t="n">
        <v>353</v>
      </c>
      <c r="C354" s="38" t="inlineStr">
        <is>
          <t>merchant_package</t>
        </is>
      </c>
      <c r="D354" s="38" t="inlineStr">
        <is>
          <t>snapshot_vanessa_legacy_catalog_v1</t>
        </is>
      </c>
      <c r="E354" s="38" t="inlineStr">
        <is>
          <t>snapshot_the_bazaar_patch_18_0_boundary</t>
        </is>
      </c>
      <c r="F354" s="38" t="inlineStr">
        <is>
          <t>true</t>
        </is>
      </c>
      <c r="G354" s="38" t="inlineStr">
        <is>
          <t>false</t>
        </is>
      </c>
      <c r="H354" s="38" t="inlineStr">
        <is>
          <t>current_rule_match,structured_effects,reward_payload,sell_target,availability</t>
        </is>
      </c>
      <c r="I354" s="38" t="inlineStr">
        <is>
          <t>package-bqt30mk772f84f0zymwv1l940m</t>
        </is>
      </c>
      <c r="J354" s="38" t="inlineStr">
        <is>
          <t>自瞄机的包裹</t>
        </is>
      </c>
      <c r="K354" s="38" t="inlineStr">
        <is>
          <t>silver</t>
        </is>
      </c>
      <c r="L354" s="38" t="inlineStr">
        <is>
          <t>Medium</t>
        </is>
      </c>
      <c r="M354" s="38" t="inlineStr">
        <is>
          <t>package, medium, silver, aimbot</t>
        </is>
      </c>
      <c r="N354" s="38" t="n">
        <v>2</v>
      </c>
      <c r="O354" s="38" t="inlineStr">
        <is>
          <t>merchant_aimbot, merchant_silvia</t>
        </is>
      </c>
      <c r="P354" s="38" t="n">
        <v>2</v>
      </c>
      <c r="Q354" s="38" t="inlineStr">
        <is>
          <t>role_经济, tier_pT1</t>
        </is>
      </c>
      <c r="R354" s="38" t="inlineStr">
        <is>
          <t>Shiny</t>
        </is>
      </c>
      <c r="S354" s="38" t="inlineStr">
        <is>
          <t>pal_353</t>
        </is>
      </c>
      <c r="T354" s="38" t="inlineStr">
        <is>
          <t>自瞄中兽</t>
        </is>
      </c>
      <c r="U354" s="38" t="inlineStr">
        <is>
          <t>https://bazaardb.gg/card/bqt30mk772f84f0zymwv1l940m/%E8%87%AA%E7%9E%84%E6%9C%BA%E7%9A%84%E5%8C%85%E8%A3%B9</t>
        </is>
      </c>
      <c r="V354" s="38" t="inlineStr">
        <is>
          <t>当你将此物品出售给自瞄机时，获得一件来自任意英雄的附魔中型暴击物品和2经验值</t>
        </is>
      </c>
      <c r="W354" s="38" t="inlineStr">
        <is>
          <t>BazaarDB Patch 16.2 商人包卡；归属 Aimbot，品质 白银，占格 Medium。</t>
        </is>
      </c>
      <c r="X354" s="385" t="str"/>
      <c r="Y354" s="386" t="inlineStr">
        <is>
          <t>reference_reserved</t>
        </is>
      </c>
      <c r="Z354" s="386" t="str"/>
      <c r="AA354" s="386" t="str"/>
    </row>
    <row r="355">
      <c r="A355" s="38" t="inlineStr">
        <is>
          <t>bz_van_354</t>
        </is>
      </c>
      <c r="B355" s="38" t="n">
        <v>354</v>
      </c>
      <c r="C355" s="38" t="inlineStr">
        <is>
          <t>merchant_package</t>
        </is>
      </c>
      <c r="D355" s="38" t="inlineStr">
        <is>
          <t>snapshot_vanessa_legacy_catalog_v1</t>
        </is>
      </c>
      <c r="E355" s="38" t="inlineStr">
        <is>
          <t>snapshot_the_bazaar_patch_18_0_boundary</t>
        </is>
      </c>
      <c r="F355" s="38" t="inlineStr">
        <is>
          <t>true</t>
        </is>
      </c>
      <c r="G355" s="38" t="inlineStr">
        <is>
          <t>false</t>
        </is>
      </c>
      <c r="H355" s="38" t="inlineStr">
        <is>
          <t>current_rule_match,structured_effects,reward_payload,sell_target,availability</t>
        </is>
      </c>
      <c r="I355" s="38" t="inlineStr">
        <is>
          <t>package-t6qqmk5w64m81c33l72ds7cvvx</t>
        </is>
      </c>
      <c r="J355" s="38" t="inlineStr">
        <is>
          <t>自瞄机的包裹</t>
        </is>
      </c>
      <c r="K355" s="38" t="inlineStr">
        <is>
          <t>silver</t>
        </is>
      </c>
      <c r="L355" s="38" t="inlineStr">
        <is>
          <t>Small</t>
        </is>
      </c>
      <c r="M355" s="38" t="inlineStr">
        <is>
          <t>package, small, silver, aimbot</t>
        </is>
      </c>
      <c r="N355" s="38" t="n">
        <v>2</v>
      </c>
      <c r="O355" s="38" t="inlineStr">
        <is>
          <t>merchant_aimbot, merchant_silvia</t>
        </is>
      </c>
      <c r="P355" s="38" t="n">
        <v>2</v>
      </c>
      <c r="Q355" s="38" t="inlineStr">
        <is>
          <t>role_经济, tier_pT1</t>
        </is>
      </c>
      <c r="R355" s="38" t="inlineStr">
        <is>
          <t>Heavy</t>
        </is>
      </c>
      <c r="S355" s="38" t="inlineStr">
        <is>
          <t>pal_354</t>
        </is>
      </c>
      <c r="T355" s="38" t="inlineStr">
        <is>
          <t>自瞄小兽</t>
        </is>
      </c>
      <c r="U355" s="38" t="inlineStr">
        <is>
          <t>https://bazaardb.gg/card/t6qqmk5w64m81c33l72ds7cvvx/%E8%87%AA%E7%9E%84%E6%9C%BA%E7%9A%84%E5%8C%85%E8%A3%B9</t>
        </is>
      </c>
      <c r="V355" s="38" t="inlineStr">
        <is>
          <t>当你将此物品出售给自瞄机时，获得一件来自任意英雄的附魔小型暴击物品和2经验值</t>
        </is>
      </c>
      <c r="W355" s="38" t="inlineStr">
        <is>
          <t>BazaarDB Patch 16.2 商人包卡；归属 Aimbot，品质 白银，占格 Small。</t>
        </is>
      </c>
      <c r="X355" s="385" t="str"/>
      <c r="Y355" s="386" t="inlineStr">
        <is>
          <t>reference_reserved</t>
        </is>
      </c>
      <c r="Z355" s="386" t="str"/>
      <c r="AA355" s="386" t="str"/>
    </row>
    <row r="356">
      <c r="A356" s="38" t="inlineStr">
        <is>
          <t>bz_van_355</t>
        </is>
      </c>
      <c r="B356" s="38" t="n">
        <v>355</v>
      </c>
      <c r="C356" s="38" t="inlineStr">
        <is>
          <t>merchant_package</t>
        </is>
      </c>
      <c r="D356" s="38" t="inlineStr">
        <is>
          <t>snapshot_vanessa_legacy_catalog_v1</t>
        </is>
      </c>
      <c r="E356" s="38" t="inlineStr">
        <is>
          <t>snapshot_the_bazaar_patch_18_0_boundary</t>
        </is>
      </c>
      <c r="F356" s="38" t="inlineStr">
        <is>
          <t>true</t>
        </is>
      </c>
      <c r="G356" s="38" t="inlineStr">
        <is>
          <t>false</t>
        </is>
      </c>
      <c r="H356" s="38" t="inlineStr">
        <is>
          <t>current_rule_match,structured_effects,reward_payload,sell_target,availability</t>
        </is>
      </c>
      <c r="I356" s="38" t="inlineStr">
        <is>
          <t>package-mcg4mld8fmdzg4nk615lh0295b</t>
        </is>
      </c>
      <c r="J356" s="38" t="inlineStr">
        <is>
          <t>葵仙子的包裹</t>
        </is>
      </c>
      <c r="K356" s="38" t="inlineStr">
        <is>
          <t>bronze</t>
        </is>
      </c>
      <c r="L356" s="38" t="inlineStr">
        <is>
          <t>Medium</t>
        </is>
      </c>
      <c r="M356" s="38" t="inlineStr">
        <is>
          <t>package, medium, bronze, dryad</t>
        </is>
      </c>
      <c r="N356" s="38" t="n">
        <v>2</v>
      </c>
      <c r="O356" s="38" t="inlineStr">
        <is>
          <t>merchant_dryad, merchant_curio</t>
        </is>
      </c>
      <c r="P356" s="38" t="n">
        <v>2</v>
      </c>
      <c r="Q356" s="38" t="inlineStr">
        <is>
          <t>elem_草, role_机动压制</t>
        </is>
      </c>
      <c r="R356" s="38" t="inlineStr">
        <is>
          <t>Heavy</t>
        </is>
      </c>
      <c r="S356" s="38" t="inlineStr">
        <is>
          <t>pal_355</t>
        </is>
      </c>
      <c r="T356" s="38" t="inlineStr">
        <is>
          <t>葵仙中兽</t>
        </is>
      </c>
      <c r="U356" s="38" t="inlineStr">
        <is>
          <t>https://bazaardb.gg/card/mcg4mld8fmdzg4nk615lh0295b/%E8%91%B5%E4%BB%99%E5%AD%90%E7%9A%84%E5%8C%85%E8%A3%B9</t>
        </is>
      </c>
      <c r="V356" s="38" t="inlineStr">
        <is>
          <t>当你将此物品出售给葵仙子时，获得一件附魔中型物品和1经验值</t>
        </is>
      </c>
      <c r="W356" s="38" t="inlineStr">
        <is>
          <t>BazaarDB Patch 16.2 商人包卡；归属 Dryad，品质 青铜，占格 Medium。</t>
        </is>
      </c>
      <c r="X356" s="385" t="str"/>
      <c r="Y356" s="386" t="inlineStr">
        <is>
          <t>reference_reserved</t>
        </is>
      </c>
      <c r="Z356" s="386" t="str"/>
      <c r="AA356" s="386" t="str"/>
    </row>
    <row r="357">
      <c r="A357" s="38" t="inlineStr">
        <is>
          <t>bz_van_356</t>
        </is>
      </c>
      <c r="B357" s="38" t="n">
        <v>356</v>
      </c>
      <c r="C357" s="38" t="inlineStr">
        <is>
          <t>merchant_package</t>
        </is>
      </c>
      <c r="D357" s="38" t="inlineStr">
        <is>
          <t>snapshot_vanessa_legacy_catalog_v1</t>
        </is>
      </c>
      <c r="E357" s="38" t="inlineStr">
        <is>
          <t>snapshot_the_bazaar_patch_18_0_boundary</t>
        </is>
      </c>
      <c r="F357" s="38" t="inlineStr">
        <is>
          <t>true</t>
        </is>
      </c>
      <c r="G357" s="38" t="inlineStr">
        <is>
          <t>false</t>
        </is>
      </c>
      <c r="H357" s="38" t="inlineStr">
        <is>
          <t>current_rule_match,structured_effects,reward_payload,sell_target,availability</t>
        </is>
      </c>
      <c r="I357" s="38" t="inlineStr">
        <is>
          <t>package-nwq2d6z8cxhphs49380dgykgkw</t>
        </is>
      </c>
      <c r="J357" s="38" t="inlineStr">
        <is>
          <t>葵仙子的包裹</t>
        </is>
      </c>
      <c r="K357" s="38" t="inlineStr">
        <is>
          <t>bronze</t>
        </is>
      </c>
      <c r="L357" s="38" t="inlineStr">
        <is>
          <t>Small</t>
        </is>
      </c>
      <c r="M357" s="38" t="inlineStr">
        <is>
          <t>package, small, bronze, dryad</t>
        </is>
      </c>
      <c r="N357" s="38" t="n">
        <v>2</v>
      </c>
      <c r="O357" s="38" t="inlineStr">
        <is>
          <t>merchant_dryad, merchant_curio</t>
        </is>
      </c>
      <c r="P357" s="38" t="n">
        <v>2</v>
      </c>
      <c r="Q357" s="38" t="inlineStr">
        <is>
          <t>elem_草, role_机动压制</t>
        </is>
      </c>
      <c r="R357" s="38" t="inlineStr">
        <is>
          <t>Shiny</t>
        </is>
      </c>
      <c r="S357" s="38" t="inlineStr">
        <is>
          <t>pal_356</t>
        </is>
      </c>
      <c r="T357" s="38" t="inlineStr">
        <is>
          <t>葵仙小兽</t>
        </is>
      </c>
      <c r="U357" s="38" t="inlineStr">
        <is>
          <t>https://bazaardb.gg/card/nwq2d6z8cxhphs49380dgykgkw/%E8%91%B5%E4%BB%99%E5%AD%90%E7%9A%84%E5%8C%85%E8%A3%B9</t>
        </is>
      </c>
      <c r="V357" s="38" t="inlineStr">
        <is>
          <t>当你将此物品出售给葵仙子时，获得一件附魔的小型物品和1经验值</t>
        </is>
      </c>
      <c r="W357" s="38" t="inlineStr">
        <is>
          <t>BazaarDB Patch 16.2 商人包卡；归属 Dryad，品质 青铜，占格 Small。</t>
        </is>
      </c>
      <c r="X357" s="385" t="str"/>
      <c r="Y357" s="386" t="inlineStr">
        <is>
          <t>reference_reserved</t>
        </is>
      </c>
      <c r="Z357" s="386" t="str"/>
      <c r="AA357" s="386" t="str"/>
    </row>
    <row r="358">
      <c r="A358" s="38" t="inlineStr">
        <is>
          <t>bz_van_357</t>
        </is>
      </c>
      <c r="B358" s="38" t="n">
        <v>357</v>
      </c>
      <c r="C358" s="38" t="inlineStr">
        <is>
          <t>merchant_package</t>
        </is>
      </c>
      <c r="D358" s="38" t="inlineStr">
        <is>
          <t>snapshot_vanessa_legacy_catalog_v1</t>
        </is>
      </c>
      <c r="E358" s="38" t="inlineStr">
        <is>
          <t>snapshot_the_bazaar_patch_18_0_boundary</t>
        </is>
      </c>
      <c r="F358" s="38" t="inlineStr">
        <is>
          <t>true</t>
        </is>
      </c>
      <c r="G358" s="38" t="inlineStr">
        <is>
          <t>false</t>
        </is>
      </c>
      <c r="H358" s="38" t="inlineStr">
        <is>
          <t>current_rule_match,structured_effects,reward_payload,sell_target,availability</t>
        </is>
      </c>
      <c r="I358" s="38" t="inlineStr">
        <is>
          <t>package-14mn4w4hfn2yfs6hfh6j1bm0tt4</t>
        </is>
      </c>
      <c r="J358" s="38" t="inlineStr">
        <is>
          <t>葵仙子的包裹</t>
        </is>
      </c>
      <c r="K358" s="38" t="inlineStr">
        <is>
          <t>silver</t>
        </is>
      </c>
      <c r="L358" s="38" t="inlineStr">
        <is>
          <t>Large</t>
        </is>
      </c>
      <c r="M358" s="38" t="inlineStr">
        <is>
          <t>package, large, silver, dryad</t>
        </is>
      </c>
      <c r="N358" s="38" t="n">
        <v>2</v>
      </c>
      <c r="O358" s="38" t="inlineStr">
        <is>
          <t>merchant_dryad, merchant_silvia</t>
        </is>
      </c>
      <c r="P358" s="38" t="n">
        <v>2</v>
      </c>
      <c r="Q358" s="38" t="inlineStr">
        <is>
          <t>role_经济, role_机动压制</t>
        </is>
      </c>
      <c r="R358" s="38" t="inlineStr">
        <is>
          <t>Heavy</t>
        </is>
      </c>
      <c r="S358" s="38" t="inlineStr">
        <is>
          <t>pal_357</t>
        </is>
      </c>
      <c r="T358" s="38" t="inlineStr">
        <is>
          <t>葵仙大兽</t>
        </is>
      </c>
      <c r="U358" s="38" t="inlineStr">
        <is>
          <t>https://bazaardb.gg/card/14mn4w4hfn2yfs6hfh6j1bm0tt4/%E8%91%B5%E4%BB%99%E5%AD%90%E7%9A%84%E5%8C%85%E8%A3%B9</t>
        </is>
      </c>
      <c r="V358" s="38" t="inlineStr">
        <is>
          <t>当你将此物品出售给葵仙子时，获得一件附魔大型物品和1经验值</t>
        </is>
      </c>
      <c r="W358" s="38" t="inlineStr">
        <is>
          <t>BazaarDB Patch 16.2 商人包卡；归属 Dryad，品质 白银，占格 Large。</t>
        </is>
      </c>
      <c r="X358" s="385" t="str"/>
      <c r="Y358" s="386" t="inlineStr">
        <is>
          <t>reference_reserved</t>
        </is>
      </c>
      <c r="Z358" s="386" t="str"/>
      <c r="AA358" s="386" t="str"/>
    </row>
    <row r="359">
      <c r="A359" s="38" t="inlineStr">
        <is>
          <t>bz_van_358</t>
        </is>
      </c>
      <c r="B359" s="38" t="n">
        <v>358</v>
      </c>
      <c r="C359" s="38" t="inlineStr">
        <is>
          <t>merchant_package</t>
        </is>
      </c>
      <c r="D359" s="38" t="inlineStr">
        <is>
          <t>snapshot_vanessa_legacy_catalog_v1</t>
        </is>
      </c>
      <c r="E359" s="38" t="inlineStr">
        <is>
          <t>snapshot_the_bazaar_patch_18_0_boundary</t>
        </is>
      </c>
      <c r="F359" s="38" t="inlineStr">
        <is>
          <t>true</t>
        </is>
      </c>
      <c r="G359" s="38" t="inlineStr">
        <is>
          <t>false</t>
        </is>
      </c>
      <c r="H359" s="38" t="inlineStr">
        <is>
          <t>current_rule_match,structured_effects,reward_payload,sell_target,availability</t>
        </is>
      </c>
      <c r="I359" s="38" t="inlineStr">
        <is>
          <t>package-58mdc4pwn54x2tsg1xqxm4zh9t</t>
        </is>
      </c>
      <c r="J359" s="38" t="inlineStr">
        <is>
          <t>西尔维娅的包裹</t>
        </is>
      </c>
      <c r="K359" s="38" t="inlineStr">
        <is>
          <t>bronze</t>
        </is>
      </c>
      <c r="L359" s="38" t="inlineStr">
        <is>
          <t>Small</t>
        </is>
      </c>
      <c r="M359" s="38" t="inlineStr">
        <is>
          <t>package, small, bronze, silvia</t>
        </is>
      </c>
      <c r="N359" s="38" t="n">
        <v>2</v>
      </c>
      <c r="O359" s="38" t="inlineStr">
        <is>
          <t>merchant_silvia, merchant_curio</t>
        </is>
      </c>
      <c r="P359" s="38" t="n">
        <v>2</v>
      </c>
      <c r="Q359" s="38" t="inlineStr">
        <is>
          <t>elem_草, role_经济</t>
        </is>
      </c>
      <c r="R359" s="38" t="inlineStr">
        <is>
          <t>Heavy</t>
        </is>
      </c>
      <c r="S359" s="38" t="inlineStr">
        <is>
          <t>pal_358</t>
        </is>
      </c>
      <c r="T359" s="38" t="inlineStr">
        <is>
          <t>西尔小兽</t>
        </is>
      </c>
      <c r="U359" s="38" t="inlineStr">
        <is>
          <t>https://bazaardb.gg/card/58mdc4pwn54x2tsg1xqxm4zh9t/%E8%A5%BF%E5%B0%94%E7%BB%B4%E5%A8%85%E7%9A%84%E5%8C%85%E8%A3%B9</t>
        </is>
      </c>
      <c r="V359" s="38" t="inlineStr">
        <is>
          <t>当你将此物品出售给西尔维娅时，获得一件附魔的小型物品和1经验值</t>
        </is>
      </c>
      <c r="W359" s="38" t="inlineStr">
        <is>
          <t>BazaarDB Patch 16.2 商人包卡；归属 Silvia，品质 青铜，占格 Small。</t>
        </is>
      </c>
      <c r="X359" s="385" t="str"/>
      <c r="Y359" s="386" t="inlineStr">
        <is>
          <t>reference_reserved</t>
        </is>
      </c>
      <c r="Z359" s="386" t="str"/>
      <c r="AA359" s="386" t="str"/>
    </row>
    <row r="360">
      <c r="A360" s="38" t="inlineStr">
        <is>
          <t>bz_van_359</t>
        </is>
      </c>
      <c r="B360" s="38" t="n">
        <v>359</v>
      </c>
      <c r="C360" s="38" t="inlineStr">
        <is>
          <t>merchant_package</t>
        </is>
      </c>
      <c r="D360" s="38" t="inlineStr">
        <is>
          <t>snapshot_vanessa_legacy_catalog_v1</t>
        </is>
      </c>
      <c r="E360" s="38" t="inlineStr">
        <is>
          <t>snapshot_the_bazaar_patch_18_0_boundary</t>
        </is>
      </c>
      <c r="F360" s="38" t="inlineStr">
        <is>
          <t>true</t>
        </is>
      </c>
      <c r="G360" s="38" t="inlineStr">
        <is>
          <t>false</t>
        </is>
      </c>
      <c r="H360" s="38" t="inlineStr">
        <is>
          <t>current_rule_match,structured_effects,reward_payload,sell_target,availability</t>
        </is>
      </c>
      <c r="I360" s="38" t="inlineStr">
        <is>
          <t>package-6lskvf05w4w201n6gtfxk1bs53</t>
        </is>
      </c>
      <c r="J360" s="38" t="inlineStr">
        <is>
          <t>西尔维娅的包裹</t>
        </is>
      </c>
      <c r="K360" s="38" t="inlineStr">
        <is>
          <t>silver</t>
        </is>
      </c>
      <c r="L360" s="38" t="inlineStr">
        <is>
          <t>Large</t>
        </is>
      </c>
      <c r="M360" s="38" t="inlineStr">
        <is>
          <t>package, large, silver, silvia</t>
        </is>
      </c>
      <c r="N360" s="38" t="n">
        <v>1</v>
      </c>
      <c r="O360" s="38" t="inlineStr">
        <is>
          <t>merchant_silvia</t>
        </is>
      </c>
      <c r="P360" s="38" t="n">
        <v>1</v>
      </c>
      <c r="Q360" s="38" t="inlineStr">
        <is>
          <t>role_经济</t>
        </is>
      </c>
      <c r="R360" s="38" t="inlineStr">
        <is>
          <t>Shiny</t>
        </is>
      </c>
      <c r="S360" s="38" t="inlineStr">
        <is>
          <t>pal_359</t>
        </is>
      </c>
      <c r="T360" s="38" t="inlineStr">
        <is>
          <t>西尔大兽</t>
        </is>
      </c>
      <c r="U360" s="38" t="inlineStr">
        <is>
          <t>https://bazaardb.gg/card/6lskvf05w4w201n6gtfxk1bs53/%E8%A5%BF%E5%B0%94%E7%BB%B4%E5%A8%85%E7%9A%84%E5%8C%85%E8%A3%B9</t>
        </is>
      </c>
      <c r="V360" s="38" t="inlineStr">
        <is>
          <t>当你将此物品出售给西尔维娅时，获得一件附魔大型物品和1经验值</t>
        </is>
      </c>
      <c r="W360" s="38" t="inlineStr">
        <is>
          <t>BazaarDB Patch 16.2 商人包卡；归属 Silvia，品质 白银，占格 Large。</t>
        </is>
      </c>
      <c r="X360" s="385" t="str"/>
      <c r="Y360" s="386" t="inlineStr">
        <is>
          <t>reference_reserved</t>
        </is>
      </c>
      <c r="Z360" s="386" t="str"/>
      <c r="AA360" s="386" t="str"/>
    </row>
    <row r="361">
      <c r="A361" s="38" t="inlineStr">
        <is>
          <t>bz_van_360</t>
        </is>
      </c>
      <c r="B361" s="38" t="n">
        <v>360</v>
      </c>
      <c r="C361" s="38" t="inlineStr">
        <is>
          <t>merchant_package</t>
        </is>
      </c>
      <c r="D361" s="38" t="inlineStr">
        <is>
          <t>snapshot_vanessa_legacy_catalog_v1</t>
        </is>
      </c>
      <c r="E361" s="38" t="inlineStr">
        <is>
          <t>snapshot_the_bazaar_patch_18_0_boundary</t>
        </is>
      </c>
      <c r="F361" s="38" t="inlineStr">
        <is>
          <t>true</t>
        </is>
      </c>
      <c r="G361" s="38" t="inlineStr">
        <is>
          <t>false</t>
        </is>
      </c>
      <c r="H361" s="38" t="inlineStr">
        <is>
          <t>current_rule_match,structured_effects,reward_payload,sell_target,availability</t>
        </is>
      </c>
      <c r="I361" s="38" t="inlineStr">
        <is>
          <t>package-bmcx6s5gf23hgb142n4gbhvg07</t>
        </is>
      </c>
      <c r="J361" s="38" t="inlineStr">
        <is>
          <t>西尔维娅的包裹</t>
        </is>
      </c>
      <c r="K361" s="38" t="inlineStr">
        <is>
          <t>bronze</t>
        </is>
      </c>
      <c r="L361" s="38" t="inlineStr">
        <is>
          <t>Medium</t>
        </is>
      </c>
      <c r="M361" s="38" t="inlineStr">
        <is>
          <t>package, medium, bronze, silvia</t>
        </is>
      </c>
      <c r="N361" s="38" t="n">
        <v>2</v>
      </c>
      <c r="O361" s="38" t="inlineStr">
        <is>
          <t>merchant_silvia, merchant_curio</t>
        </is>
      </c>
      <c r="P361" s="38" t="n">
        <v>2</v>
      </c>
      <c r="Q361" s="38" t="inlineStr">
        <is>
          <t>elem_草, role_经济</t>
        </is>
      </c>
      <c r="R361" s="38" t="inlineStr">
        <is>
          <t>Heavy</t>
        </is>
      </c>
      <c r="S361" s="38" t="inlineStr">
        <is>
          <t>pal_360</t>
        </is>
      </c>
      <c r="T361" s="38" t="inlineStr">
        <is>
          <t>西尔中兽</t>
        </is>
      </c>
      <c r="U361" s="38" t="inlineStr">
        <is>
          <t>https://bazaardb.gg/card/bmcx6s5gf23hgb142n4gbhvg07/%E8%A5%BF%E5%B0%94%E7%BB%B4%E5%A8%85%E7%9A%84%E5%8C%85%E8%A3%B9</t>
        </is>
      </c>
      <c r="V361" s="38" t="inlineStr">
        <is>
          <t>当你将此物品出售给西尔维娅时，获得一件附魔中型物品和1经验值</t>
        </is>
      </c>
      <c r="W361" s="38" t="inlineStr">
        <is>
          <t>BazaarDB Patch 16.2 商人包卡；归属 Silvia，品质 青铜，占格 Medium。</t>
        </is>
      </c>
      <c r="X361" s="385" t="str"/>
      <c r="Y361" s="386" t="inlineStr">
        <is>
          <t>reference_reserved</t>
        </is>
      </c>
      <c r="Z361" s="386" t="str"/>
      <c r="AA361" s="386" t="str"/>
    </row>
    <row r="362">
      <c r="A362" s="38" t="inlineStr">
        <is>
          <t>bz_van_361</t>
        </is>
      </c>
      <c r="B362" s="38" t="n">
        <v>361</v>
      </c>
      <c r="C362" s="38" t="inlineStr">
        <is>
          <t>merchant_package</t>
        </is>
      </c>
      <c r="D362" s="38" t="inlineStr">
        <is>
          <t>snapshot_vanessa_legacy_catalog_v1</t>
        </is>
      </c>
      <c r="E362" s="38" t="inlineStr">
        <is>
          <t>snapshot_the_bazaar_patch_18_0_boundary</t>
        </is>
      </c>
      <c r="F362" s="38" t="inlineStr">
        <is>
          <t>true</t>
        </is>
      </c>
      <c r="G362" s="38" t="inlineStr">
        <is>
          <t>false</t>
        </is>
      </c>
      <c r="H362" s="38" t="inlineStr">
        <is>
          <t>current_rule_match,structured_effects,reward_payload,sell_target,availability</t>
        </is>
      </c>
      <c r="I362" s="38" t="inlineStr">
        <is>
          <t>package-58jcldvmgngp1jpftj1wmsf7hq</t>
        </is>
      </c>
      <c r="J362" s="38" t="inlineStr">
        <is>
          <t>诺提卡的包裹</t>
        </is>
      </c>
      <c r="K362" s="38" t="inlineStr">
        <is>
          <t>bronze</t>
        </is>
      </c>
      <c r="L362" s="38" t="inlineStr">
        <is>
          <t>Medium</t>
        </is>
      </c>
      <c r="M362" s="38" t="inlineStr">
        <is>
          <t>package, medium, bronze, nautica</t>
        </is>
      </c>
      <c r="N362" s="38" t="n">
        <v>2</v>
      </c>
      <c r="O362" s="38" t="inlineStr">
        <is>
          <t>merchant_nautica, merchant_curio</t>
        </is>
      </c>
      <c r="P362" s="38" t="n">
        <v>2</v>
      </c>
      <c r="Q362" s="38" t="inlineStr">
        <is>
          <t>elem_草, role_输出</t>
        </is>
      </c>
      <c r="R362" s="38" t="inlineStr">
        <is>
          <t>Shiny</t>
        </is>
      </c>
      <c r="S362" s="38" t="inlineStr">
        <is>
          <t>pal_361</t>
        </is>
      </c>
      <c r="T362" s="38" t="inlineStr">
        <is>
          <t>诺提中兽</t>
        </is>
      </c>
      <c r="U362" s="38" t="inlineStr">
        <is>
          <t>https://bazaardb.gg/card/58jcldvmgngp1jpftj1wmsf7hq/%E8%AF%BA%E6%8F%90%E5%8D%A1%E7%9A%84%E5%8C%85%E8%A3%B9</t>
        </is>
      </c>
      <c r="V362" s="38" t="inlineStr">
        <is>
          <t>当你将此物品出售给诺提卡时，获得一件附魔的中型水系物品和1经验值</t>
        </is>
      </c>
      <c r="W362" s="38" t="inlineStr">
        <is>
          <t>BazaarDB Patch 16.2 商人包卡；归属 Nautica，品质 青铜，占格 Medium。</t>
        </is>
      </c>
      <c r="X362" s="385" t="str"/>
      <c r="Y362" s="386" t="inlineStr">
        <is>
          <t>reference_reserved</t>
        </is>
      </c>
      <c r="Z362" s="386" t="str"/>
      <c r="AA362" s="386" t="str"/>
    </row>
    <row r="363">
      <c r="A363" s="38" t="inlineStr">
        <is>
          <t>bz_van_362</t>
        </is>
      </c>
      <c r="B363" s="38" t="n">
        <v>362</v>
      </c>
      <c r="C363" s="38" t="inlineStr">
        <is>
          <t>merchant_package</t>
        </is>
      </c>
      <c r="D363" s="38" t="inlineStr">
        <is>
          <t>snapshot_vanessa_legacy_catalog_v1</t>
        </is>
      </c>
      <c r="E363" s="38" t="inlineStr">
        <is>
          <t>snapshot_the_bazaar_patch_18_0_boundary</t>
        </is>
      </c>
      <c r="F363" s="38" t="inlineStr">
        <is>
          <t>true</t>
        </is>
      </c>
      <c r="G363" s="38" t="inlineStr">
        <is>
          <t>false</t>
        </is>
      </c>
      <c r="H363" s="38" t="inlineStr">
        <is>
          <t>current_rule_match,structured_effects,reward_payload,sell_target,availability</t>
        </is>
      </c>
      <c r="I363" s="38" t="inlineStr">
        <is>
          <t>package-js2gc4sm139g77vszygs9pvqxn</t>
        </is>
      </c>
      <c r="J363" s="38" t="inlineStr">
        <is>
          <t>诺提卡的包裹</t>
        </is>
      </c>
      <c r="K363" s="38" t="inlineStr">
        <is>
          <t>bronze</t>
        </is>
      </c>
      <c r="L363" s="38" t="inlineStr">
        <is>
          <t>Small</t>
        </is>
      </c>
      <c r="M363" s="38" t="inlineStr">
        <is>
          <t>package, small, bronze, nautica</t>
        </is>
      </c>
      <c r="N363" s="38" t="n">
        <v>2</v>
      </c>
      <c r="O363" s="38" t="inlineStr">
        <is>
          <t>merchant_nautica, merchant_curio</t>
        </is>
      </c>
      <c r="P363" s="38" t="n">
        <v>2</v>
      </c>
      <c r="Q363" s="38" t="inlineStr">
        <is>
          <t>elem_草, role_输出</t>
        </is>
      </c>
      <c r="R363" s="38" t="inlineStr">
        <is>
          <t>Heavy</t>
        </is>
      </c>
      <c r="S363" s="38" t="inlineStr">
        <is>
          <t>pal_362</t>
        </is>
      </c>
      <c r="T363" s="38" t="inlineStr">
        <is>
          <t>诺提小兽</t>
        </is>
      </c>
      <c r="U363" s="38" t="inlineStr">
        <is>
          <t>https://bazaardb.gg/card/js2gc4sm139g77vszygs9pvqxn/%E8%AF%BA%E6%8F%90%E5%8D%A1%E7%9A%84%E5%8C%85%E8%A3%B9</t>
        </is>
      </c>
      <c r="V363" s="38" t="inlineStr">
        <is>
          <t>当你将此物品出售给诺提卡时，获得一件附魔小型水系物品和1经验值</t>
        </is>
      </c>
      <c r="W363" s="38" t="inlineStr">
        <is>
          <t>BazaarDB Patch 16.2 商人包卡；归属 Nautica，品质 青铜，占格 Small。</t>
        </is>
      </c>
      <c r="X363" s="385" t="str"/>
      <c r="Y363" s="386" t="inlineStr">
        <is>
          <t>reference_reserved</t>
        </is>
      </c>
      <c r="Z363" s="386" t="str"/>
      <c r="AA363" s="386" t="str"/>
    </row>
    <row r="364">
      <c r="A364" s="38" t="inlineStr">
        <is>
          <t>bz_van_363</t>
        </is>
      </c>
      <c r="B364" s="38" t="n">
        <v>363</v>
      </c>
      <c r="C364" s="38" t="inlineStr">
        <is>
          <t>merchant_package</t>
        </is>
      </c>
      <c r="D364" s="38" t="inlineStr">
        <is>
          <t>snapshot_vanessa_legacy_catalog_v1</t>
        </is>
      </c>
      <c r="E364" s="38" t="inlineStr">
        <is>
          <t>snapshot_the_bazaar_patch_18_0_boundary</t>
        </is>
      </c>
      <c r="F364" s="38" t="inlineStr">
        <is>
          <t>true</t>
        </is>
      </c>
      <c r="G364" s="38" t="inlineStr">
        <is>
          <t>false</t>
        </is>
      </c>
      <c r="H364" s="38" t="inlineStr">
        <is>
          <t>current_rule_match,structured_effects,reward_payload,sell_target,availability</t>
        </is>
      </c>
      <c r="I364" s="38" t="inlineStr">
        <is>
          <t>package-14g51cgnmnwhq41h141x33g1xqs</t>
        </is>
      </c>
      <c r="J364" s="38" t="inlineStr">
        <is>
          <t>诺提卡的包裹</t>
        </is>
      </c>
      <c r="K364" s="38" t="inlineStr">
        <is>
          <t>silver</t>
        </is>
      </c>
      <c r="L364" s="38" t="inlineStr">
        <is>
          <t>Large</t>
        </is>
      </c>
      <c r="M364" s="38" t="inlineStr">
        <is>
          <t>package, large, silver, nautica</t>
        </is>
      </c>
      <c r="N364" s="38" t="n">
        <v>2</v>
      </c>
      <c r="O364" s="38" t="inlineStr">
        <is>
          <t>merchant_nautica, merchant_silvia</t>
        </is>
      </c>
      <c r="P364" s="38" t="n">
        <v>2</v>
      </c>
      <c r="Q364" s="38" t="inlineStr">
        <is>
          <t>role_输出, role_经济</t>
        </is>
      </c>
      <c r="R364" s="38" t="inlineStr">
        <is>
          <t>Shiny</t>
        </is>
      </c>
      <c r="S364" s="38" t="inlineStr">
        <is>
          <t>pal_363</t>
        </is>
      </c>
      <c r="T364" s="38" t="inlineStr">
        <is>
          <t>诺提大兽</t>
        </is>
      </c>
      <c r="U364" s="38" t="inlineStr">
        <is>
          <t>https://bazaardb.gg/card/14g51cgnmnwhq41h141x33g1xqs/%E8%AF%BA%E6%8F%90%E5%8D%A1%E7%9A%84%E5%8C%85%E8%A3%B9</t>
        </is>
      </c>
      <c r="V364" s="38" t="inlineStr">
        <is>
          <t>当你将此物品出售给诺提卡时，获得一件附魔大型水系物品和1经验值</t>
        </is>
      </c>
      <c r="W364" s="38" t="inlineStr">
        <is>
          <t>BazaarDB Patch 16.2 商人包卡；归属 Nautica，品质 白银，占格 Large。</t>
        </is>
      </c>
      <c r="X364" s="385" t="str"/>
      <c r="Y364" s="386" t="inlineStr">
        <is>
          <t>reference_reserved</t>
        </is>
      </c>
      <c r="Z364" s="386" t="str"/>
      <c r="AA364" s="386" t="str"/>
    </row>
    <row r="365">
      <c r="A365" s="38" t="inlineStr">
        <is>
          <t>bz_van_364</t>
        </is>
      </c>
      <c r="B365" s="38" t="n">
        <v>364</v>
      </c>
      <c r="C365" s="38" t="inlineStr">
        <is>
          <t>merchant_package</t>
        </is>
      </c>
      <c r="D365" s="38" t="inlineStr">
        <is>
          <t>snapshot_vanessa_legacy_catalog_v1</t>
        </is>
      </c>
      <c r="E365" s="38" t="inlineStr">
        <is>
          <t>snapshot_the_bazaar_patch_18_0_boundary</t>
        </is>
      </c>
      <c r="F365" s="38" t="inlineStr">
        <is>
          <t>true</t>
        </is>
      </c>
      <c r="G365" s="38" t="inlineStr">
        <is>
          <t>false</t>
        </is>
      </c>
      <c r="H365" s="38" t="inlineStr">
        <is>
          <t>current_rule_match,structured_effects,reward_payload,sell_target,availability</t>
        </is>
      </c>
      <c r="I365" s="38" t="inlineStr">
        <is>
          <t>package-62ch5g44mjw6c76ym1wjwphxz6</t>
        </is>
      </c>
      <c r="J365" s="38" t="inlineStr">
        <is>
          <t>路克斯的包裹</t>
        </is>
      </c>
      <c r="K365" s="38" t="inlineStr">
        <is>
          <t>gold</t>
        </is>
      </c>
      <c r="L365" s="38" t="inlineStr">
        <is>
          <t>Small</t>
        </is>
      </c>
      <c r="M365" s="38" t="inlineStr">
        <is>
          <t>package, small, gold, luxe</t>
        </is>
      </c>
      <c r="N365" s="38" t="n">
        <v>2</v>
      </c>
      <c r="O365" s="38" t="inlineStr">
        <is>
          <t>merchant_luxe, merchant_goldie</t>
        </is>
      </c>
      <c r="P365" s="38" t="n">
        <v>2</v>
      </c>
      <c r="Q365" s="38" t="inlineStr">
        <is>
          <t>role_坦克, role_控制</t>
        </is>
      </c>
      <c r="R365" s="38" t="inlineStr">
        <is>
          <t>Golden</t>
        </is>
      </c>
      <c r="S365" s="38" t="inlineStr">
        <is>
          <t>pal_364</t>
        </is>
      </c>
      <c r="T365" s="38" t="inlineStr">
        <is>
          <t>路克小兽</t>
        </is>
      </c>
      <c r="U365" s="38" t="inlineStr">
        <is>
          <t>https://bazaardb.gg/card/62ch5g44mjw6c76ym1wjwphxz6/%E8%B7%AF%E5%85%8B%E6%96%AF%E7%9A%84%E5%8C%85%E8%A3%B9</t>
        </is>
      </c>
      <c r="V365" s="38" t="inlineStr">
        <is>
          <t>当你将此物品出售给路克斯时，获得一件附魔的小型物品和3经验值</t>
        </is>
      </c>
      <c r="W365" s="38" t="inlineStr">
        <is>
          <t>BazaarDB Patch 16.2 商人包卡；归属 Luxe，品质 黄金，占格 Small。</t>
        </is>
      </c>
      <c r="X365" s="385" t="str"/>
      <c r="Y365" s="386" t="inlineStr">
        <is>
          <t>reference_reserved</t>
        </is>
      </c>
      <c r="Z365" s="386" t="str"/>
      <c r="AA365" s="386" t="str"/>
    </row>
    <row r="366">
      <c r="A366" s="38" t="inlineStr">
        <is>
          <t>bz_van_365</t>
        </is>
      </c>
      <c r="B366" s="38" t="n">
        <v>365</v>
      </c>
      <c r="C366" s="38" t="inlineStr">
        <is>
          <t>merchant_package</t>
        </is>
      </c>
      <c r="D366" s="38" t="inlineStr">
        <is>
          <t>snapshot_vanessa_legacy_catalog_v1</t>
        </is>
      </c>
      <c r="E366" s="38" t="inlineStr">
        <is>
          <t>snapshot_the_bazaar_patch_18_0_boundary</t>
        </is>
      </c>
      <c r="F366" s="38" t="inlineStr">
        <is>
          <t>true</t>
        </is>
      </c>
      <c r="G366" s="38" t="inlineStr">
        <is>
          <t>false</t>
        </is>
      </c>
      <c r="H366" s="38" t="inlineStr">
        <is>
          <t>current_rule_match,structured_effects,reward_payload,sell_target,availability</t>
        </is>
      </c>
      <c r="I366" s="38" t="inlineStr">
        <is>
          <t>package-d3l9q20wj4b443q8zwfcypj1dl</t>
        </is>
      </c>
      <c r="J366" s="38" t="inlineStr">
        <is>
          <t>路克斯的包裹</t>
        </is>
      </c>
      <c r="K366" s="38" t="inlineStr">
        <is>
          <t>gold</t>
        </is>
      </c>
      <c r="L366" s="38" t="inlineStr">
        <is>
          <t>Medium</t>
        </is>
      </c>
      <c r="M366" s="38" t="inlineStr">
        <is>
          <t>package, medium, gold, luxe</t>
        </is>
      </c>
      <c r="N366" s="38" t="n">
        <v>2</v>
      </c>
      <c r="O366" s="38" t="inlineStr">
        <is>
          <t>merchant_luxe, merchant_goldie</t>
        </is>
      </c>
      <c r="P366" s="38" t="n">
        <v>2</v>
      </c>
      <c r="Q366" s="38" t="inlineStr">
        <is>
          <t>role_坦克, role_控制</t>
        </is>
      </c>
      <c r="R366" s="38" t="inlineStr">
        <is>
          <t>Golden</t>
        </is>
      </c>
      <c r="S366" s="38" t="inlineStr">
        <is>
          <t>pal_365</t>
        </is>
      </c>
      <c r="T366" s="38" t="inlineStr">
        <is>
          <t>路克中兽</t>
        </is>
      </c>
      <c r="U366" s="38" t="inlineStr">
        <is>
          <t>https://bazaardb.gg/card/d3l9q20wj4b443q8zwfcypj1dl/%E8%B7%AF%E5%85%8B%E6%96%AF%E7%9A%84%E5%8C%85%E8%A3%B9</t>
        </is>
      </c>
      <c r="V366" s="38" t="inlineStr">
        <is>
          <t>当你将此物品出售给路克斯时，获得一件附魔中型物品和3经验值</t>
        </is>
      </c>
      <c r="W366" s="38" t="inlineStr">
        <is>
          <t>BazaarDB Patch 16.2 商人包卡；归属 Luxe，品质 黄金，占格 Medium。</t>
        </is>
      </c>
      <c r="X366" s="385" t="str"/>
      <c r="Y366" s="386" t="inlineStr">
        <is>
          <t>reference_reserved</t>
        </is>
      </c>
      <c r="Z366" s="386" t="str"/>
      <c r="AA366" s="386" t="str"/>
    </row>
    <row r="367">
      <c r="A367" s="38" t="inlineStr">
        <is>
          <t>bz_van_366</t>
        </is>
      </c>
      <c r="B367" s="38" t="n">
        <v>366</v>
      </c>
      <c r="C367" s="38" t="inlineStr">
        <is>
          <t>merchant_package</t>
        </is>
      </c>
      <c r="D367" s="38" t="inlineStr">
        <is>
          <t>snapshot_vanessa_legacy_catalog_v1</t>
        </is>
      </c>
      <c r="E367" s="38" t="inlineStr">
        <is>
          <t>snapshot_the_bazaar_patch_18_0_boundary</t>
        </is>
      </c>
      <c r="F367" s="38" t="inlineStr">
        <is>
          <t>true</t>
        </is>
      </c>
      <c r="G367" s="38" t="inlineStr">
        <is>
          <t>false</t>
        </is>
      </c>
      <c r="H367" s="38" t="inlineStr">
        <is>
          <t>current_rule_match,structured_effects,reward_payload,sell_target,availability</t>
        </is>
      </c>
      <c r="I367" s="38" t="inlineStr">
        <is>
          <t>package-lsf7jdxfzd0w8y9h04hm62ktv1</t>
        </is>
      </c>
      <c r="J367" s="38" t="inlineStr">
        <is>
          <t>路克斯的包裹</t>
        </is>
      </c>
      <c r="K367" s="38" t="inlineStr">
        <is>
          <t>gold</t>
        </is>
      </c>
      <c r="L367" s="38" t="inlineStr">
        <is>
          <t>Large</t>
        </is>
      </c>
      <c r="M367" s="38" t="inlineStr">
        <is>
          <t>package, large, gold, luxe</t>
        </is>
      </c>
      <c r="N367" s="38" t="n">
        <v>2</v>
      </c>
      <c r="O367" s="38" t="inlineStr">
        <is>
          <t>merchant_luxe, merchant_goldie</t>
        </is>
      </c>
      <c r="P367" s="38" t="n">
        <v>2</v>
      </c>
      <c r="Q367" s="38" t="inlineStr">
        <is>
          <t>role_坦克, role_控制</t>
        </is>
      </c>
      <c r="R367" s="38" t="inlineStr">
        <is>
          <t>Golden</t>
        </is>
      </c>
      <c r="S367" s="38" t="inlineStr">
        <is>
          <t>pal_366</t>
        </is>
      </c>
      <c r="T367" s="38" t="inlineStr">
        <is>
          <t>路克大兽</t>
        </is>
      </c>
      <c r="U367" s="38" t="inlineStr">
        <is>
          <t>https://bazaardb.gg/card/lsf7jdxfzd0w8y9h04hm62ktv1/%E8%B7%AF%E5%85%8B%E6%96%AF%E7%9A%84%E5%8C%85%E8%A3%B9</t>
        </is>
      </c>
      <c r="V367" s="38" t="inlineStr">
        <is>
          <t>当你将此物品出售给路克斯时，获得一件附魔的大型物品和3经验值</t>
        </is>
      </c>
      <c r="W367" s="38" t="inlineStr">
        <is>
          <t>BazaarDB Patch 16.2 商人包卡；归属 Luxe，品质 黄金，占格 Large。</t>
        </is>
      </c>
      <c r="X367" s="385" t="str"/>
      <c r="Y367" s="386" t="inlineStr">
        <is>
          <t>reference_reserved</t>
        </is>
      </c>
      <c r="Z367" s="386" t="str"/>
      <c r="AA367" s="386" t="str"/>
    </row>
    <row r="368">
      <c r="A368" s="38" t="inlineStr">
        <is>
          <t>bz_van_367</t>
        </is>
      </c>
      <c r="B368" s="38" t="n">
        <v>367</v>
      </c>
      <c r="C368" s="38" t="inlineStr">
        <is>
          <t>merchant_package</t>
        </is>
      </c>
      <c r="D368" s="38" t="inlineStr">
        <is>
          <t>snapshot_vanessa_legacy_catalog_v1</t>
        </is>
      </c>
      <c r="E368" s="38" t="inlineStr">
        <is>
          <t>snapshot_the_bazaar_patch_18_0_boundary</t>
        </is>
      </c>
      <c r="F368" s="38" t="inlineStr">
        <is>
          <t>true</t>
        </is>
      </c>
      <c r="G368" s="38" t="inlineStr">
        <is>
          <t>false</t>
        </is>
      </c>
      <c r="H368" s="38" t="inlineStr">
        <is>
          <t>current_rule_match,structured_effects,reward_payload,sell_target,availability</t>
        </is>
      </c>
      <c r="I368" s="38" t="inlineStr">
        <is>
          <t>package-1bqc3jsnmlj66qybfnp13fqdzl</t>
        </is>
      </c>
      <c r="J368" s="38" t="inlineStr">
        <is>
          <t>针羽的包裹</t>
        </is>
      </c>
      <c r="K368" s="38" t="inlineStr">
        <is>
          <t>silver</t>
        </is>
      </c>
      <c r="L368" s="38" t="inlineStr">
        <is>
          <t>Large</t>
        </is>
      </c>
      <c r="M368" s="38" t="inlineStr">
        <is>
          <t>package, large, silver, pinfeather</t>
        </is>
      </c>
      <c r="N368" s="38" t="n">
        <v>2</v>
      </c>
      <c r="O368" s="38" t="inlineStr">
        <is>
          <t>merchant_pinfeather, merchant_silvia</t>
        </is>
      </c>
      <c r="P368" s="38" t="n">
        <v>2</v>
      </c>
      <c r="Q368" s="38" t="inlineStr">
        <is>
          <t>elem_草, role_经济</t>
        </is>
      </c>
      <c r="R368" s="38" t="inlineStr">
        <is>
          <t>Heavy</t>
        </is>
      </c>
      <c r="S368" s="38" t="inlineStr">
        <is>
          <t>pal_367</t>
        </is>
      </c>
      <c r="T368" s="38" t="inlineStr">
        <is>
          <t>针羽大兽</t>
        </is>
      </c>
      <c r="U368" s="38" t="inlineStr">
        <is>
          <t>https://bazaardb.gg/card/1bqc3jsnmlj66qybfnp13fqdzl/%E9%92%88%E7%BE%BD%E7%9A%84%E5%8C%85%E8%A3%B9</t>
        </is>
      </c>
      <c r="V368" s="38" t="inlineStr">
        <is>
          <t>当你将此物品出售给针羽时，获得一件附魔的来自任意英雄的大型飞行物品和2经验值</t>
        </is>
      </c>
      <c r="W368" s="38" t="inlineStr">
        <is>
          <t>BazaarDB Patch 16.2 商人包卡；归属 Pinfeather，品质 白银，占格 Large。</t>
        </is>
      </c>
      <c r="X368" s="385" t="str"/>
      <c r="Y368" s="386" t="inlineStr">
        <is>
          <t>reference_reserved</t>
        </is>
      </c>
      <c r="Z368" s="386" t="str"/>
      <c r="AA368" s="386" t="str"/>
    </row>
    <row r="369">
      <c r="A369" s="38" t="inlineStr">
        <is>
          <t>bz_van_368</t>
        </is>
      </c>
      <c r="B369" s="38" t="n">
        <v>368</v>
      </c>
      <c r="C369" s="38" t="inlineStr">
        <is>
          <t>merchant_package</t>
        </is>
      </c>
      <c r="D369" s="38" t="inlineStr">
        <is>
          <t>snapshot_vanessa_legacy_catalog_v1</t>
        </is>
      </c>
      <c r="E369" s="38" t="inlineStr">
        <is>
          <t>snapshot_the_bazaar_patch_18_0_boundary</t>
        </is>
      </c>
      <c r="F369" s="38" t="inlineStr">
        <is>
          <t>true</t>
        </is>
      </c>
      <c r="G369" s="38" t="inlineStr">
        <is>
          <t>false</t>
        </is>
      </c>
      <c r="H369" s="38" t="inlineStr">
        <is>
          <t>current_rule_match,structured_effects,reward_payload,sell_target,availability</t>
        </is>
      </c>
      <c r="I369" s="38" t="inlineStr">
        <is>
          <t>package-k83p060kvpshxcb5719vkn785p</t>
        </is>
      </c>
      <c r="J369" s="38" t="inlineStr">
        <is>
          <t>针羽的包裹</t>
        </is>
      </c>
      <c r="K369" s="38" t="inlineStr">
        <is>
          <t>silver</t>
        </is>
      </c>
      <c r="L369" s="38" t="inlineStr">
        <is>
          <t>Small</t>
        </is>
      </c>
      <c r="M369" s="38" t="inlineStr">
        <is>
          <t>package, small, silver, pinfeather</t>
        </is>
      </c>
      <c r="N369" s="38" t="n">
        <v>2</v>
      </c>
      <c r="O369" s="38" t="inlineStr">
        <is>
          <t>merchant_pinfeather, merchant_silvia</t>
        </is>
      </c>
      <c r="P369" s="38" t="n">
        <v>2</v>
      </c>
      <c r="Q369" s="38" t="inlineStr">
        <is>
          <t>elem_草, role_经济</t>
        </is>
      </c>
      <c r="R369" s="38" t="inlineStr">
        <is>
          <t>Shiny</t>
        </is>
      </c>
      <c r="S369" s="38" t="inlineStr">
        <is>
          <t>pal_368</t>
        </is>
      </c>
      <c r="T369" s="38" t="inlineStr">
        <is>
          <t>针羽小兽</t>
        </is>
      </c>
      <c r="U369" s="38" t="inlineStr">
        <is>
          <t>https://bazaardb.gg/card/k83p060kvpshxcb5719vkn785p/%E9%92%88%E7%BE%BD%E7%9A%84%E5%8C%85%E8%A3%B9</t>
        </is>
      </c>
      <c r="V369" s="38" t="inlineStr">
        <is>
          <t>当你将此物品出售给针羽时，获得一件来自任意英雄的附魔小型飞行物品和2经验值</t>
        </is>
      </c>
      <c r="W369" s="38" t="inlineStr">
        <is>
          <t>BazaarDB Patch 16.2 商人包卡；归属 Pinfeather，品质 白银，占格 Small。</t>
        </is>
      </c>
      <c r="X369" s="385" t="str"/>
      <c r="Y369" s="386" t="inlineStr">
        <is>
          <t>reference_reserved</t>
        </is>
      </c>
      <c r="Z369" s="386" t="str"/>
      <c r="AA369" s="386" t="str"/>
    </row>
    <row r="370">
      <c r="A370" s="38" t="inlineStr">
        <is>
          <t>bz_van_369</t>
        </is>
      </c>
      <c r="B370" s="38" t="n">
        <v>369</v>
      </c>
      <c r="C370" s="38" t="inlineStr">
        <is>
          <t>merchant_package</t>
        </is>
      </c>
      <c r="D370" s="38" t="inlineStr">
        <is>
          <t>snapshot_vanessa_legacy_catalog_v1</t>
        </is>
      </c>
      <c r="E370" s="38" t="inlineStr">
        <is>
          <t>snapshot_the_bazaar_patch_18_0_boundary</t>
        </is>
      </c>
      <c r="F370" s="38" t="inlineStr">
        <is>
          <t>true</t>
        </is>
      </c>
      <c r="G370" s="38" t="inlineStr">
        <is>
          <t>false</t>
        </is>
      </c>
      <c r="H370" s="38" t="inlineStr">
        <is>
          <t>current_rule_match,structured_effects,reward_payload,sell_target,availability</t>
        </is>
      </c>
      <c r="I370" s="38" t="inlineStr">
        <is>
          <t>package-qhxng08h41fzd30b491hb34747</t>
        </is>
      </c>
      <c r="J370" s="38" t="inlineStr">
        <is>
          <t>针羽的包裹</t>
        </is>
      </c>
      <c r="K370" s="38" t="inlineStr">
        <is>
          <t>silver</t>
        </is>
      </c>
      <c r="L370" s="38" t="inlineStr">
        <is>
          <t>Medium</t>
        </is>
      </c>
      <c r="M370" s="38" t="inlineStr">
        <is>
          <t>package, medium, silver, pinfeather</t>
        </is>
      </c>
      <c r="N370" s="38" t="n">
        <v>2</v>
      </c>
      <c r="O370" s="38" t="inlineStr">
        <is>
          <t>merchant_pinfeather, merchant_silvia</t>
        </is>
      </c>
      <c r="P370" s="38" t="n">
        <v>2</v>
      </c>
      <c r="Q370" s="38" t="inlineStr">
        <is>
          <t>elem_草, role_经济</t>
        </is>
      </c>
      <c r="R370" s="38" t="inlineStr">
        <is>
          <t>Heavy</t>
        </is>
      </c>
      <c r="S370" s="38" t="inlineStr">
        <is>
          <t>pal_369</t>
        </is>
      </c>
      <c r="T370" s="38" t="inlineStr">
        <is>
          <t>针羽中兽</t>
        </is>
      </c>
      <c r="U370" s="38" t="inlineStr">
        <is>
          <t>https://bazaardb.gg/card/qhxng08h41fzd30b491hb34747/%E9%92%88%E7%BE%BD%E7%9A%84%E5%8C%85%E8%A3%B9</t>
        </is>
      </c>
      <c r="V370" s="38" t="inlineStr">
        <is>
          <t>当你将此物品出售给针羽时，获得一件附魔的来自任意英雄的中型飞行物品和2经验值</t>
        </is>
      </c>
      <c r="W370" s="38" t="inlineStr">
        <is>
          <t>BazaarDB Patch 16.2 商人包卡；归属 Pinfeather，品质 白银，占格 Medium。</t>
        </is>
      </c>
      <c r="X370" s="385" t="str"/>
      <c r="Y370" s="386" t="inlineStr">
        <is>
          <t>reference_reserved</t>
        </is>
      </c>
      <c r="Z370" s="386" t="str"/>
      <c r="AA370" s="386" t="str"/>
    </row>
  </sheetData>
  <autoFilter ref="A1:AA370"/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W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439" min="1" max="1"/>
    <col width="24" customWidth="1" style="439" min="2" max="2"/>
    <col width="24" customWidth="1" style="439" min="3" max="3"/>
    <col width="24" customWidth="1" style="439" min="4" max="4"/>
    <col width="24" customWidth="1" style="439" min="5" max="5"/>
    <col width="24" customWidth="1" style="439" min="6" max="6"/>
    <col width="24" customWidth="1" style="439" min="7" max="7"/>
    <col width="24" customWidth="1" style="439" min="8" max="8"/>
    <col width="24" customWidth="1" style="439" min="9" max="9"/>
    <col width="24" customWidth="1" style="439" min="10" max="10"/>
    <col width="24" customWidth="1" style="439" min="11" max="11"/>
    <col width="24" customWidth="1" style="439" min="12" max="12"/>
    <col width="72" customWidth="1" style="439" min="13" max="13"/>
    <col width="72" customWidth="1" style="439" min="14" max="14"/>
    <col width="24" customWidth="1" style="439" min="15" max="15"/>
    <col width="64" customWidth="1" style="439" min="16" max="16"/>
    <col width="68" customWidth="1" style="439" min="17" max="17"/>
    <col width="24" customWidth="1" style="439" min="18" max="18"/>
    <col width="24" customWidth="1" style="439" min="19" max="19"/>
    <col width="24" customWidth="1" style="439" min="20" max="20"/>
    <col width="24" customWidth="1" style="439" min="21" max="21"/>
    <col width="24" customWidth="1" style="439" min="22" max="22"/>
    <col width="64" customWidth="1" style="439" min="23" max="23"/>
  </cols>
  <sheetData>
    <row r="1">
      <c r="A1" t="inlineStr">
        <is>
          <t>source_snapshot_id</t>
        </is>
      </c>
      <c r="B1" t="inlineStr">
        <is>
          <t>snapshot_role</t>
        </is>
      </c>
      <c r="C1" t="inlineStr">
        <is>
          <t>source_kind</t>
        </is>
      </c>
      <c r="D1" t="inlineStr">
        <is>
          <t>source_namespace</t>
        </is>
      </c>
      <c r="E1" t="inlineStr">
        <is>
          <t>game_id</t>
        </is>
      </c>
      <c r="F1" t="inlineStr">
        <is>
          <t>hero_scope</t>
        </is>
      </c>
      <c r="G1" t="inlineStr">
        <is>
          <t>game_patch</t>
        </is>
      </c>
      <c r="H1" t="inlineStr">
        <is>
          <t>game_build</t>
        </is>
      </c>
      <c r="I1" t="inlineStr">
        <is>
          <t>steam_app_id</t>
        </is>
      </c>
      <c r="J1" t="inlineStr">
        <is>
          <t>steam_announcement_gid</t>
        </is>
      </c>
      <c r="K1" t="inlineStr">
        <is>
          <t>published_at_utc</t>
        </is>
      </c>
      <c r="L1" t="inlineStr">
        <is>
          <t>captured_on</t>
        </is>
      </c>
      <c r="M1" t="inlineStr">
        <is>
          <t>official_api_url</t>
        </is>
      </c>
      <c r="N1" t="inlineStr">
        <is>
          <t>official_announcement_url</t>
        </is>
      </c>
      <c r="O1" t="inlineStr">
        <is>
          <t>raw_content_hash_algorithm</t>
        </is>
      </c>
      <c r="P1" t="inlineStr">
        <is>
          <t>raw_content_hash_subject</t>
        </is>
      </c>
      <c r="Q1" t="inlineStr">
        <is>
          <t>raw_content_sha256</t>
        </is>
      </c>
      <c r="R1" t="inlineStr">
        <is>
          <t>record_count</t>
        </is>
      </c>
      <c r="S1" t="inlineStr">
        <is>
          <t>license_status</t>
        </is>
      </c>
      <c r="T1" t="inlineStr">
        <is>
          <t>usage_scope</t>
        </is>
      </c>
      <c r="U1" t="inlineStr">
        <is>
          <t>rule_verification_policy</t>
        </is>
      </c>
      <c r="V1" t="inlineStr">
        <is>
          <t>catalog_status</t>
        </is>
      </c>
      <c r="W1" t="inlineStr">
        <is>
          <t>unresolved_fields</t>
        </is>
      </c>
    </row>
    <row r="2">
      <c r="A2" t="inlineStr">
        <is>
          <t>snapshot_the_bazaar_patch_18_0_boundary</t>
        </is>
      </c>
      <c r="B2" t="inlineStr">
        <is>
          <t>current_version_boundary</t>
        </is>
      </c>
      <c r="C2" t="inlineStr">
        <is>
          <t>official_steam_announcement</t>
        </is>
      </c>
      <c r="D2" t="inlineStr">
        <is>
          <t>steam_community_announcements</t>
        </is>
      </c>
      <c r="E2" t="inlineStr">
        <is>
          <t>the_bazaar</t>
        </is>
      </c>
      <c r="G2" t="inlineStr">
        <is>
          <t>18.0</t>
        </is>
      </c>
      <c r="I2" t="inlineStr">
        <is>
          <t>1617400</t>
        </is>
      </c>
      <c r="J2" t="inlineStr">
        <is>
          <t>1842846814441157</t>
        </is>
      </c>
      <c r="K2" t="inlineStr">
        <is>
          <t>2026-09-02T17:45:15Z</t>
        </is>
      </c>
      <c r="L2" t="inlineStr">
        <is>
          <t>2026-09-03</t>
        </is>
      </c>
      <c r="M2" t="inlineStr">
        <is>
          <t>https://api.steampowered.com/ISteamNews/GetNewsForApp/v2/?appid=1617400&amp;count=100&amp;maxlength=0&amp;format=json</t>
        </is>
      </c>
      <c r="N2" t="inlineStr">
        <is>
          <t>https://store.steampowered.com/news/app/1617400/view/1842846814441157</t>
        </is>
      </c>
      <c r="O2" t="inlineStr">
        <is>
          <t>sha256</t>
        </is>
      </c>
      <c r="P2" t="inlineStr">
        <is>
          <t>steam_newsitem.contents_utf8</t>
        </is>
      </c>
      <c r="Q2" t="inlineStr">
        <is>
          <t>c3d70877395c8fcd6b64f36a72cfd2ce46583f4b493588bd8e4e955ca6d71681</t>
        </is>
      </c>
      <c r="R2" t="inlineStr">
        <is>
          <t>0</t>
        </is>
      </c>
      <c r="S2" t="inlineStr">
        <is>
          <t>unverified</t>
        </is>
      </c>
      <c r="T2" t="inlineStr">
        <is>
          <t>reference_only</t>
        </is>
      </c>
      <c r="U2" t="inlineStr">
        <is>
          <t>boundary_only_no_catalog_binding</t>
        </is>
      </c>
      <c r="V2" t="inlineStr">
        <is>
          <t>reference_reserved</t>
        </is>
      </c>
      <c r="W2" t="inlineStr">
        <is>
          <t>game_build,license_terms</t>
        </is>
      </c>
    </row>
    <row r="3">
      <c r="A3" t="inlineStr">
        <is>
          <t>snapshot_vanessa_legacy_catalog_v1</t>
        </is>
      </c>
      <c r="B3" t="inlineStr">
        <is>
          <t>legacy_catalog_binding</t>
        </is>
      </c>
      <c r="C3" t="inlineStr">
        <is>
          <t>external_legacy_catalog</t>
        </is>
      </c>
      <c r="D3" t="inlineStr">
        <is>
          <t>bazaar_source_audit</t>
        </is>
      </c>
      <c r="E3" t="inlineStr">
        <is>
          <t>the_bazaar</t>
        </is>
      </c>
      <c r="F3" t="inlineStr">
        <is>
          <t>vanessa</t>
        </is>
      </c>
      <c r="L3" t="inlineStr">
        <is>
          <t>2026-09-03</t>
        </is>
      </c>
      <c r="O3" t="inlineStr">
        <is>
          <t>sha256</t>
        </is>
      </c>
      <c r="P3" t="inlineStr">
        <is>
          <t>canonical_csv_utf8:34_bazaar_objects:legacy_fields_v1</t>
        </is>
      </c>
      <c r="Q3" t="inlineStr">
        <is>
          <t>44d1f157bd4f27d4fe3cd12827f67a9b2cd8d64fbd2e03032c10fff1dd7c4cb9</t>
        </is>
      </c>
      <c r="R3" t="inlineStr">
        <is>
          <t>369</t>
        </is>
      </c>
      <c r="S3" t="inlineStr">
        <is>
          <t>unverified</t>
        </is>
      </c>
      <c r="T3" t="inlineStr">
        <is>
          <t>reference_only</t>
        </is>
      </c>
      <c r="U3" t="inlineStr">
        <is>
          <t>per_record_required</t>
        </is>
      </c>
      <c r="V3" t="inlineStr">
        <is>
          <t>reference_reserved</t>
        </is>
      </c>
      <c r="W3" t="inlineStr">
        <is>
          <t>game_patch,game_build,published_at_utc,official_rule_source,license_terms</t>
        </is>
      </c>
    </row>
    <row r="4">
      <c r="A4" t="inlineStr">
        <is>
          <t>snapshot_vanessa_local_cache_24720155_398715e6</t>
        </is>
      </c>
      <c r="B4" t="inlineStr">
        <is>
          <t>build_bound_catalog_candidate</t>
        </is>
      </c>
      <c r="C4" t="inlineStr">
        <is>
          <t>local_installed_server_cache</t>
        </is>
      </c>
      <c r="D4" t="inlineStr">
        <is>
          <t>tempo_prod_cache_gamedata</t>
        </is>
      </c>
      <c r="E4" t="inlineStr">
        <is>
          <t>the_bazaar</t>
        </is>
      </c>
      <c r="F4" t="inlineStr">
        <is>
          <t>vanessa</t>
        </is>
      </c>
      <c r="H4" t="inlineStr">
        <is>
          <t>steam_build_24720155+steam_lastupdated_epoch_1787836957+client_1.0.11980-prod-macos-arm64-d75a8ee9+gamedata_etag_398715e6296f400e5d7aa829f8f8ed35</t>
        </is>
      </c>
      <c r="I4" t="inlineStr">
        <is>
          <t>1617400</t>
        </is>
      </c>
      <c r="L4" t="inlineStr">
        <is>
          <t>2026-09-03</t>
        </is>
      </c>
      <c r="O4" t="inlineStr">
        <is>
          <t>sha256</t>
        </is>
      </c>
      <c r="P4" t="inlineStr">
        <is>
          <t>local_cache_GameData.db_raw_bytes:bytes=41197568:mtime_epoch=1788062922:manifest_observed_epoch=1788342470</t>
        </is>
      </c>
      <c r="Q4" t="inlineStr">
        <is>
          <t>352c635cda5acf8af7ab91a81fa73a5d33c3e6beec19ffd9e29dbd17d8a89d31</t>
        </is>
      </c>
      <c r="R4" t="inlineStr">
        <is>
          <t>276</t>
        </is>
      </c>
      <c r="S4" t="inlineStr">
        <is>
          <t>unverified</t>
        </is>
      </c>
      <c r="T4" t="inlineStr">
        <is>
          <t>reference_only</t>
        </is>
      </c>
      <c r="U4" t="inlineStr">
        <is>
          <t>identity_set_locked:item_id_set_sha256=ac97522afdae6d9f0174b4c695bc272252adcc6ad9aea924853712e43d6d9708;skill_id_set_sha256=66cacbf986415cf6218e98254274d4b58c528136186e7fc7b632d0b01588d81b;per_record_rule_semantics_and_live_trace_required</t>
        </is>
      </c>
      <c r="V4" t="inlineStr">
        <is>
          <t>reference_reserved</t>
        </is>
      </c>
      <c r="W4" t="inlineStr">
        <is>
          <t>game_patch,explicit_patch_build_binding,license_terms,merchant_package_identity</t>
        </is>
      </c>
    </row>
  </sheetData>
  <autoFilter ref="A1:W3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Y5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439" min="1" max="1"/>
    <col width="24" customWidth="1" style="439" min="2" max="2"/>
    <col width="24" customWidth="1" style="439" min="3" max="3"/>
    <col width="48" customWidth="1" style="439" min="4" max="4"/>
    <col width="18" customWidth="1" style="439" min="5" max="5"/>
    <col width="30" customWidth="1" style="439" min="6" max="6"/>
    <col width="12" customWidth="1" style="439" min="7" max="7"/>
    <col width="12" customWidth="1" style="439" min="8" max="8"/>
    <col width="12" customWidth="1" style="439" min="9" max="9"/>
    <col width="12" customWidth="1" style="439" min="10" max="10"/>
    <col width="12" customWidth="1" style="439" min="11" max="11"/>
    <col width="14" customWidth="1" style="439" min="12" max="12"/>
    <col width="14" customWidth="1" style="439" min="13" max="13"/>
    <col width="16" customWidth="1" style="439" min="14" max="14"/>
    <col width="18" customWidth="1" style="439" min="15" max="15"/>
    <col width="72" customWidth="1" style="439" min="16" max="16"/>
    <col width="16" customWidth="1" style="439" min="17" max="17"/>
    <col width="16" customWidth="1" style="439" min="18" max="18"/>
    <col width="20" customWidth="1" style="439" min="19" max="19"/>
    <col width="20" customWidth="1" style="439" min="20" max="20"/>
    <col width="20" customWidth="1" style="439" min="21" max="21"/>
    <col width="21" customWidth="1" style="439" min="22" max="22"/>
    <col width="21" customWidth="1" style="439" min="23" max="23"/>
    <col width="20" customWidth="1" style="439" min="24" max="24"/>
    <col width="21" customWidth="1" style="439" min="25" max="25"/>
  </cols>
  <sheetData>
    <row r="1" ht="32" customHeight="1" s="439">
      <c r="A1" s="240" t="inlineStr">
        <is>
          <t>source_node_type</t>
        </is>
      </c>
      <c r="B1" s="240" t="inlineStr">
        <is>
          <t>source_slug</t>
        </is>
      </c>
      <c r="C1" s="240" t="inlineStr">
        <is>
          <t>source_name</t>
        </is>
      </c>
      <c r="D1" s="240" t="inlineStr">
        <is>
          <t>source_rule</t>
        </is>
      </c>
      <c r="E1" s="240" t="inlineStr">
        <is>
          <t>source_object_count</t>
        </is>
      </c>
      <c r="F1" s="240" t="inlineStr">
        <is>
          <t>stall_id</t>
        </is>
      </c>
      <c r="G1" s="240" t="inlineStr">
        <is>
          <t>unlock_day</t>
        </is>
      </c>
      <c r="H1" s="240" t="inlineStr">
        <is>
          <t>close_day</t>
        </is>
      </c>
      <c r="I1" s="240" t="inlineStr">
        <is>
          <t>day1_status</t>
        </is>
      </c>
      <c r="J1" s="240" t="inlineStr">
        <is>
          <t>day2_status</t>
        </is>
      </c>
      <c r="K1" s="240" t="inlineStr">
        <is>
          <t>day3_status</t>
        </is>
      </c>
      <c r="L1" s="240" t="inlineStr">
        <is>
          <t>offer_slots</t>
        </is>
      </c>
      <c r="M1" s="240" t="inlineStr">
        <is>
          <t>free_rerolls</t>
        </is>
      </c>
      <c r="N1" s="240" t="inlineStr">
        <is>
          <t>local_shop_id</t>
        </is>
      </c>
      <c r="O1" s="240" t="inlineStr">
        <is>
          <t>local_shop_name</t>
        </is>
      </c>
      <c r="P1" s="240" t="inlineStr">
        <is>
          <t>mapping_rule</t>
        </is>
      </c>
      <c r="Q1" s="416" t="inlineStr">
        <is>
          <t>catalog_status</t>
        </is>
      </c>
      <c r="R1" s="418" t="inlineStr">
        <is>
          <t>playable_item_count</t>
        </is>
      </c>
      <c r="S1" t="inlineStr">
        <is>
          <t>encounter_status</t>
        </is>
      </c>
      <c r="T1" t="inlineStr">
        <is>
          <t>offer_mode</t>
        </is>
      </c>
      <c r="U1" t="inlineStr">
        <is>
          <t>reward_profile_id</t>
        </is>
      </c>
      <c r="V1" t="inlineStr">
        <is>
          <t>reward_profile_kind</t>
        </is>
      </c>
      <c r="W1" t="inlineStr">
        <is>
          <t>reward_profile_rule</t>
        </is>
      </c>
      <c r="X1" t="inlineStr">
        <is>
          <t>reward_item_ids</t>
        </is>
      </c>
      <c r="Y1" t="inlineStr">
        <is>
          <t>reward_failure_code</t>
        </is>
      </c>
    </row>
    <row r="2">
      <c r="A2" s="38" t="inlineStr">
        <is>
          <t>merchant</t>
        </is>
      </c>
      <c r="B2" s="38" t="inlineStr">
        <is>
          <t>aila</t>
        </is>
      </c>
      <c r="C2" s="38" t="inlineStr">
        <is>
          <t>Aila</t>
        </is>
      </c>
      <c r="D2" s="38" t="inlineStr">
        <is>
          <t>sells weapons</t>
        </is>
      </c>
      <c r="E2" s="38" t="n">
        <v>64</v>
      </c>
      <c r="F2" s="38" t="inlineStr">
        <is>
          <t>merchant_aila</t>
        </is>
      </c>
      <c r="G2" s="38" t="n">
        <v>1</v>
      </c>
      <c r="H2" s="38" t="str"/>
      <c r="I2" s="38" t="inlineStr">
        <is>
          <t>开放</t>
        </is>
      </c>
      <c r="J2" s="38" t="inlineStr">
        <is>
          <t>开放</t>
        </is>
      </c>
      <c r="K2" s="38" t="inlineStr">
        <is>
          <t>开放</t>
        </is>
      </c>
      <c r="L2" s="38" t="n">
        <v>3</v>
      </c>
      <c r="M2" s="38" t="n">
        <v>1</v>
      </c>
      <c r="N2" s="38" t="inlineStr">
        <is>
          <t>night_base</t>
        </is>
      </c>
      <c r="O2" s="38" t="inlineStr">
        <is>
          <t>寅将军</t>
        </is>
      </c>
      <c r="P2" s="38" t="inlineStr">
        <is>
          <t>先固定前三天来源摊位，再做冲突图着色；地点内各摊位独立抽取，不合并货池。</t>
        </is>
      </c>
      <c r="Q2" t="inlineStr">
        <is>
          <t>playable</t>
        </is>
      </c>
      <c r="R2" t="n">
        <v>61</v>
      </c>
      <c r="S2" t="inlineStr">
        <is>
          <t>playable</t>
        </is>
      </c>
      <c r="T2" t="inlineStr">
        <is>
          <t>pet</t>
        </is>
      </c>
      <c r="U2" t="inlineStr">
        <is>
          <t>shop_reward.merchant_aila</t>
        </is>
      </c>
      <c r="V2" t="inlineStr">
        <is>
          <t>pet</t>
        </is>
      </c>
      <c r="W2" t="inlineStr">
        <is>
          <t>source_stall_relation</t>
        </is>
      </c>
      <c r="Y2" t="inlineStr">
        <is>
          <t>SHOP_REWARD_PROFILE_INVALID</t>
        </is>
      </c>
    </row>
    <row r="3">
      <c r="A3" s="38" t="inlineStr">
        <is>
          <t>merchant</t>
        </is>
      </c>
      <c r="B3" s="38" t="inlineStr">
        <is>
          <t>herma</t>
        </is>
      </c>
      <c r="C3" s="38" t="inlineStr">
        <is>
          <t>Herma</t>
        </is>
      </c>
      <c r="D3" s="38" t="inlineStr">
        <is>
          <t>sells heal and regen items</t>
        </is>
      </c>
      <c r="E3" s="38" t="n">
        <v>6</v>
      </c>
      <c r="F3" s="38" t="inlineStr">
        <is>
          <t>merchant_herma</t>
        </is>
      </c>
      <c r="G3" s="38" t="n">
        <v>4</v>
      </c>
      <c r="H3" s="38" t="str"/>
      <c r="I3" s="38" t="inlineStr">
        <is>
          <t>未开放</t>
        </is>
      </c>
      <c r="J3" s="38" t="inlineStr">
        <is>
          <t>未开放</t>
        </is>
      </c>
      <c r="K3" s="38" t="inlineStr">
        <is>
          <t>未开放</t>
        </is>
      </c>
      <c r="L3" s="38" t="n">
        <v>3</v>
      </c>
      <c r="M3" s="38" t="n">
        <v>1</v>
      </c>
      <c r="N3" s="38" t="inlineStr">
        <is>
          <t>night_base</t>
        </is>
      </c>
      <c r="O3" s="38" t="inlineStr">
        <is>
          <t>寅将军</t>
        </is>
      </c>
      <c r="P3" s="38" t="inlineStr">
        <is>
          <t>先固定前三天来源摊位，再做冲突图着色；地点内各摊位独立抽取，不合并货池。</t>
        </is>
      </c>
      <c r="Q3" t="inlineStr">
        <is>
          <t>playable</t>
        </is>
      </c>
      <c r="R3" t="n">
        <v>6</v>
      </c>
      <c r="S3" t="inlineStr">
        <is>
          <t>playable</t>
        </is>
      </c>
      <c r="T3" t="inlineStr">
        <is>
          <t>pet</t>
        </is>
      </c>
      <c r="U3" t="inlineStr">
        <is>
          <t>shop_reward.merchant_herma</t>
        </is>
      </c>
      <c r="V3" t="inlineStr">
        <is>
          <t>pet</t>
        </is>
      </c>
      <c r="W3" t="inlineStr">
        <is>
          <t>source_stall_relation</t>
        </is>
      </c>
      <c r="Y3" t="inlineStr">
        <is>
          <t>SHOP_REWARD_PROFILE_INVALID</t>
        </is>
      </c>
    </row>
    <row r="4">
      <c r="A4" s="38" t="inlineStr">
        <is>
          <t>merchant</t>
        </is>
      </c>
      <c r="B4" s="38" t="inlineStr">
        <is>
          <t>aero</t>
        </is>
      </c>
      <c r="C4" s="38" t="inlineStr">
        <is>
          <t>Aero</t>
        </is>
      </c>
      <c r="D4" s="38" t="inlineStr">
        <is>
          <t>sells vehicles or drones</t>
        </is>
      </c>
      <c r="E4" s="38" t="n">
        <v>9</v>
      </c>
      <c r="F4" s="38" t="inlineStr">
        <is>
          <t>merchant_aero</t>
        </is>
      </c>
      <c r="G4" s="38" t="n">
        <v>6</v>
      </c>
      <c r="H4" s="38" t="str"/>
      <c r="I4" s="38" t="inlineStr">
        <is>
          <t>未开放</t>
        </is>
      </c>
      <c r="J4" s="38" t="inlineStr">
        <is>
          <t>未开放</t>
        </is>
      </c>
      <c r="K4" s="38" t="inlineStr">
        <is>
          <t>未开放</t>
        </is>
      </c>
      <c r="L4" s="38" t="n">
        <v>3</v>
      </c>
      <c r="M4" s="38" t="n">
        <v>1</v>
      </c>
      <c r="N4" s="38" t="inlineStr">
        <is>
          <t>elem_火</t>
        </is>
      </c>
      <c r="O4" s="38" t="inlineStr">
        <is>
          <t>熊山君</t>
        </is>
      </c>
      <c r="P4" s="38" t="inlineStr">
        <is>
          <t>先固定前三天来源摊位，再做冲突图着色；地点内各摊位独立抽取，不合并货池。</t>
        </is>
      </c>
      <c r="Q4" t="inlineStr">
        <is>
          <t>playable</t>
        </is>
      </c>
      <c r="R4" t="n">
        <v>9</v>
      </c>
      <c r="S4" t="inlineStr">
        <is>
          <t>playable</t>
        </is>
      </c>
      <c r="T4" t="inlineStr">
        <is>
          <t>pet</t>
        </is>
      </c>
      <c r="U4" t="inlineStr">
        <is>
          <t>shop_reward.merchant_aero</t>
        </is>
      </c>
      <c r="V4" t="inlineStr">
        <is>
          <t>pet</t>
        </is>
      </c>
      <c r="W4" t="inlineStr">
        <is>
          <t>source_stall_relation</t>
        </is>
      </c>
      <c r="Y4" t="inlineStr">
        <is>
          <t>SHOP_REWARD_PROFILE_INVALID</t>
        </is>
      </c>
    </row>
    <row r="5">
      <c r="A5" s="38" t="inlineStr">
        <is>
          <t>merchant</t>
        </is>
      </c>
      <c r="B5" s="38" t="inlineStr">
        <is>
          <t>ande</t>
        </is>
      </c>
      <c r="C5" s="38" t="inlineStr">
        <is>
          <t>Ande</t>
        </is>
      </c>
      <c r="D5" s="38" t="inlineStr">
        <is>
          <t>sells small items</t>
        </is>
      </c>
      <c r="E5" s="38" t="n">
        <v>58</v>
      </c>
      <c r="F5" s="38" t="inlineStr">
        <is>
          <t>merchant_ande</t>
        </is>
      </c>
      <c r="G5" s="38" t="n">
        <v>1</v>
      </c>
      <c r="H5" s="38" t="str"/>
      <c r="I5" s="38" t="inlineStr">
        <is>
          <t>开放</t>
        </is>
      </c>
      <c r="J5" s="38" t="inlineStr">
        <is>
          <t>开放</t>
        </is>
      </c>
      <c r="K5" s="38" t="inlineStr">
        <is>
          <t>开放</t>
        </is>
      </c>
      <c r="L5" s="38" t="n">
        <v>3</v>
      </c>
      <c r="M5" s="38" t="n">
        <v>1</v>
      </c>
      <c r="N5" s="38" t="inlineStr">
        <is>
          <t>elem_火</t>
        </is>
      </c>
      <c r="O5" s="38" t="inlineStr">
        <is>
          <t>熊山君</t>
        </is>
      </c>
      <c r="P5" s="38" t="inlineStr">
        <is>
          <t>先固定前三天来源摊位，再做冲突图着色；地点内各摊位独立抽取，不合并货池。</t>
        </is>
      </c>
      <c r="Q5" t="inlineStr">
        <is>
          <t>playable</t>
        </is>
      </c>
      <c r="R5" t="n">
        <v>55</v>
      </c>
      <c r="S5" t="inlineStr">
        <is>
          <t>playable</t>
        </is>
      </c>
      <c r="T5" t="inlineStr">
        <is>
          <t>pet</t>
        </is>
      </c>
      <c r="U5" t="inlineStr">
        <is>
          <t>shop_reward.merchant_ande</t>
        </is>
      </c>
      <c r="V5" t="inlineStr">
        <is>
          <t>pet</t>
        </is>
      </c>
      <c r="W5" t="inlineStr">
        <is>
          <t>source_stall_relation</t>
        </is>
      </c>
      <c r="Y5" t="inlineStr">
        <is>
          <t>SHOP_REWARD_PROFILE_INVALID</t>
        </is>
      </c>
    </row>
    <row r="6">
      <c r="A6" s="38" t="inlineStr">
        <is>
          <t>merchant</t>
        </is>
      </c>
      <c r="B6" s="38" t="inlineStr">
        <is>
          <t>barkun</t>
        </is>
      </c>
      <c r="C6" s="38" t="inlineStr">
        <is>
          <t>Barkun</t>
        </is>
      </c>
      <c r="D6" s="38" t="inlineStr">
        <is>
          <t>sells medium and large items. buys your small items at +1 value.</t>
        </is>
      </c>
      <c r="E6" s="38" t="n">
        <v>80</v>
      </c>
      <c r="F6" s="38" t="inlineStr">
        <is>
          <t>merchant_barkun</t>
        </is>
      </c>
      <c r="G6" s="38" t="n">
        <v>1</v>
      </c>
      <c r="H6" s="38" t="str"/>
      <c r="I6" s="38" t="inlineStr">
        <is>
          <t>开放</t>
        </is>
      </c>
      <c r="J6" s="38" t="inlineStr">
        <is>
          <t>开放</t>
        </is>
      </c>
      <c r="K6" s="38" t="inlineStr">
        <is>
          <t>开放</t>
        </is>
      </c>
      <c r="L6" s="38" t="n">
        <v>3</v>
      </c>
      <c r="M6" s="38" t="n">
        <v>1</v>
      </c>
      <c r="N6" s="38" t="inlineStr">
        <is>
          <t>elem_水</t>
        </is>
      </c>
      <c r="O6" s="38" t="inlineStr">
        <is>
          <t>特处士</t>
        </is>
      </c>
      <c r="P6" s="38" t="inlineStr">
        <is>
          <t>先固定前三天来源摊位，再做冲突图着色；地点内各摊位独立抽取，不合并货池。</t>
        </is>
      </c>
      <c r="Q6" t="inlineStr">
        <is>
          <t>playable</t>
        </is>
      </c>
      <c r="R6" t="n">
        <v>80</v>
      </c>
      <c r="S6" t="inlineStr">
        <is>
          <t>playable</t>
        </is>
      </c>
      <c r="T6" t="inlineStr">
        <is>
          <t>pet</t>
        </is>
      </c>
      <c r="U6" t="inlineStr">
        <is>
          <t>shop_reward.merchant_barkun</t>
        </is>
      </c>
      <c r="V6" t="inlineStr">
        <is>
          <t>pet</t>
        </is>
      </c>
      <c r="W6" t="inlineStr">
        <is>
          <t>source_stall_relation</t>
        </is>
      </c>
      <c r="Y6" t="inlineStr">
        <is>
          <t>SHOP_REWARD_PROFILE_INVALID</t>
        </is>
      </c>
    </row>
    <row r="7">
      <c r="A7" s="38" t="inlineStr">
        <is>
          <t>trainer</t>
        </is>
      </c>
      <c r="B7" s="38" t="inlineStr">
        <is>
          <t>adira</t>
        </is>
      </c>
      <c r="C7" s="38" t="inlineStr">
        <is>
          <t>Adira</t>
        </is>
      </c>
      <c r="D7" s="38" t="inlineStr">
        <is>
          <t>teaches diamond-tier skills</t>
        </is>
      </c>
      <c r="E7" s="38" t="n">
        <v>138</v>
      </c>
      <c r="F7" s="38" t="inlineStr">
        <is>
          <t>trainer_adira</t>
        </is>
      </c>
      <c r="G7" s="38" t="n">
        <v>5</v>
      </c>
      <c r="H7" s="38" t="str"/>
      <c r="I7" s="38" t="inlineStr">
        <is>
          <t>未开放</t>
        </is>
      </c>
      <c r="J7" s="38" t="inlineStr">
        <is>
          <t>未开放</t>
        </is>
      </c>
      <c r="K7" s="38" t="inlineStr">
        <is>
          <t>未开放</t>
        </is>
      </c>
      <c r="L7" s="38" t="n">
        <v>3</v>
      </c>
      <c r="M7" s="38" t="n">
        <v>1</v>
      </c>
      <c r="N7" s="38" t="inlineStr">
        <is>
          <t>elem_水</t>
        </is>
      </c>
      <c r="O7" s="38" t="inlineStr">
        <is>
          <t>特处士</t>
        </is>
      </c>
      <c r="P7" s="38" t="inlineStr">
        <is>
          <t>先固定前三天来源摊位，再做冲突图着色；地点内各摊位独立抽取，不合并货池。</t>
        </is>
      </c>
      <c r="Q7" t="inlineStr">
        <is>
          <t>reserved</t>
        </is>
      </c>
      <c r="R7" t="n">
        <v>0</v>
      </c>
      <c r="S7" t="inlineStr">
        <is>
          <t>playable</t>
        </is>
      </c>
      <c r="T7" t="inlineStr">
        <is>
          <t>training_service</t>
        </is>
      </c>
      <c r="U7" t="inlineStr">
        <is>
          <t>shop_reward.trainer_adira</t>
        </is>
      </c>
      <c r="V7" t="inlineStr">
        <is>
          <t>training_service</t>
        </is>
      </c>
      <c r="W7" t="inlineStr">
        <is>
          <t>explicit_item_ids</t>
        </is>
      </c>
      <c r="X7" t="inlineStr">
        <is>
          <t>build_skill_a_strike_2, build_skill_b_guard_2, skill_hero_vitality_1</t>
        </is>
      </c>
      <c r="Y7" t="inlineStr">
        <is>
          <t>SHOP_REWARD_PROFILE_INVALID</t>
        </is>
      </c>
    </row>
    <row r="8">
      <c r="A8" s="38" t="inlineStr">
        <is>
          <t>merchant</t>
        </is>
      </c>
      <c r="B8" s="38" t="inlineStr">
        <is>
          <t>curio</t>
        </is>
      </c>
      <c r="C8" s="38" t="inlineStr">
        <is>
          <t>Curio</t>
        </is>
      </c>
      <c r="D8" s="38" t="inlineStr">
        <is>
          <t>sells Bronze-tier Neutral items; pure-pet adaptation uses Bronze package pets</t>
        </is>
      </c>
      <c r="E8" s="38" t="n">
        <v>31</v>
      </c>
      <c r="F8" s="38" t="inlineStr">
        <is>
          <t>merchant_curio</t>
        </is>
      </c>
      <c r="G8" s="38" t="n">
        <v>1</v>
      </c>
      <c r="H8" s="38" t="str"/>
      <c r="I8" s="38" t="inlineStr">
        <is>
          <t>开放</t>
        </is>
      </c>
      <c r="J8" s="38" t="inlineStr">
        <is>
          <t>开放</t>
        </is>
      </c>
      <c r="K8" s="38" t="inlineStr">
        <is>
          <t>开放</t>
        </is>
      </c>
      <c r="L8" s="38" t="n">
        <v>10</v>
      </c>
      <c r="M8" s="38" t="n">
        <v>1</v>
      </c>
      <c r="N8" s="38" t="inlineStr">
        <is>
          <t>elem_草</t>
        </is>
      </c>
      <c r="O8" s="38" t="inlineStr">
        <is>
          <t>刘伯钦</t>
        </is>
      </c>
      <c r="P8" s="38" t="inlineStr">
        <is>
          <t>先固定前三天来源摊位，再做冲突图着色；地点内各摊位独立抽取，不合并货池。</t>
        </is>
      </c>
      <c r="Q8" t="inlineStr">
        <is>
          <t>reserved</t>
        </is>
      </c>
      <c r="R8" t="n">
        <v>0</v>
      </c>
      <c r="S8" t="inlineStr">
        <is>
          <t>playable</t>
        </is>
      </c>
      <c r="T8" t="inlineStr">
        <is>
          <t>merchant_service</t>
        </is>
      </c>
      <c r="U8" t="inlineStr">
        <is>
          <t>shop_reward.merchant_curio</t>
        </is>
      </c>
      <c r="V8" t="inlineStr">
        <is>
          <t>merchant_service</t>
        </is>
      </c>
      <c r="W8" t="inlineStr">
        <is>
          <t>explicit_item_ids</t>
        </is>
      </c>
      <c r="X8" t="inlineStr">
        <is>
          <t>upgrade_first_pet, upgrade_duplicate_first_pet, economy_free_refresh, economy_discount_50, build_hero_vitality_1, build_economy_brokerage_1</t>
        </is>
      </c>
      <c r="Y8" t="inlineStr">
        <is>
          <t>SHOP_REWARD_PROFILE_INVALID</t>
        </is>
      </c>
    </row>
    <row r="9">
      <c r="A9" s="38" t="inlineStr">
        <is>
          <t>merchant</t>
        </is>
      </c>
      <c r="B9" s="38" t="inlineStr">
        <is>
          <t>pinfeather</t>
        </is>
      </c>
      <c r="C9" s="38" t="inlineStr">
        <is>
          <t>Pinfeather</t>
        </is>
      </c>
      <c r="D9" s="38" t="inlineStr">
        <is>
          <t>sells flying items from any hero</t>
        </is>
      </c>
      <c r="E9" s="38" t="n">
        <v>9</v>
      </c>
      <c r="F9" s="38" t="inlineStr">
        <is>
          <t>merchant_pinfeather</t>
        </is>
      </c>
      <c r="G9" s="38" t="n">
        <v>6</v>
      </c>
      <c r="H9" s="38" t="str"/>
      <c r="I9" s="38" t="inlineStr">
        <is>
          <t>未开放</t>
        </is>
      </c>
      <c r="J9" s="38" t="inlineStr">
        <is>
          <t>未开放</t>
        </is>
      </c>
      <c r="K9" s="38" t="inlineStr">
        <is>
          <t>未开放</t>
        </is>
      </c>
      <c r="L9" s="38" t="n">
        <v>3</v>
      </c>
      <c r="M9" s="38" t="n">
        <v>1</v>
      </c>
      <c r="N9" s="38" t="inlineStr">
        <is>
          <t>elem_草</t>
        </is>
      </c>
      <c r="O9" s="38" t="inlineStr">
        <is>
          <t>刘伯钦</t>
        </is>
      </c>
      <c r="P9" s="38" t="inlineStr">
        <is>
          <t>先固定前三天来源摊位，再做冲突图着色；地点内各摊位独立抽取，不合并货池。</t>
        </is>
      </c>
      <c r="Q9" t="inlineStr">
        <is>
          <t>playable</t>
        </is>
      </c>
      <c r="R9" t="n">
        <v>6</v>
      </c>
      <c r="S9" t="inlineStr">
        <is>
          <t>playable</t>
        </is>
      </c>
      <c r="T9" t="inlineStr">
        <is>
          <t>pet</t>
        </is>
      </c>
      <c r="U9" t="inlineStr">
        <is>
          <t>shop_reward.merchant_pinfeather</t>
        </is>
      </c>
      <c r="V9" t="inlineStr">
        <is>
          <t>pet</t>
        </is>
      </c>
      <c r="W9" t="inlineStr">
        <is>
          <t>source_stall_relation</t>
        </is>
      </c>
      <c r="Y9" t="inlineStr">
        <is>
          <t>SHOP_REWARD_PROFILE_INVALID</t>
        </is>
      </c>
    </row>
    <row r="10">
      <c r="A10" s="38" t="inlineStr">
        <is>
          <t>merchant</t>
        </is>
      </c>
      <c r="B10" s="38" t="inlineStr">
        <is>
          <t>jay-jay</t>
        </is>
      </c>
      <c r="C10" s="38" t="inlineStr">
        <is>
          <t>Jay Jay</t>
        </is>
      </c>
      <c r="D10" s="38" t="inlineStr">
        <is>
          <t>sells items.</t>
        </is>
      </c>
      <c r="E10" s="38" t="n">
        <v>137</v>
      </c>
      <c r="F10" s="38" t="inlineStr">
        <is>
          <t>merchant_jay-jay</t>
        </is>
      </c>
      <c r="G10" s="38" t="n">
        <v>1</v>
      </c>
      <c r="H10" s="38" t="str"/>
      <c r="I10" s="38" t="inlineStr">
        <is>
          <t>开放</t>
        </is>
      </c>
      <c r="J10" s="38" t="inlineStr">
        <is>
          <t>开放</t>
        </is>
      </c>
      <c r="K10" s="38" t="inlineStr">
        <is>
          <t>开放</t>
        </is>
      </c>
      <c r="L10" s="38" t="n">
        <v>3</v>
      </c>
      <c r="M10" s="38" t="n">
        <v>1</v>
      </c>
      <c r="N10" s="38" t="inlineStr">
        <is>
          <t>elem_雷</t>
        </is>
      </c>
      <c r="O10" s="38" t="inlineStr">
        <is>
          <t>孙悟空</t>
        </is>
      </c>
      <c r="P10" s="38" t="inlineStr">
        <is>
          <t>先固定前三天来源摊位，再做冲突图着色；地点内各摊位独立抽取，不合并货池。</t>
        </is>
      </c>
      <c r="Q10" t="inlineStr">
        <is>
          <t>playable</t>
        </is>
      </c>
      <c r="R10" t="n">
        <v>135</v>
      </c>
      <c r="S10" t="inlineStr">
        <is>
          <t>playable</t>
        </is>
      </c>
      <c r="T10" t="inlineStr">
        <is>
          <t>pet</t>
        </is>
      </c>
      <c r="U10" t="inlineStr">
        <is>
          <t>shop_reward.merchant_jay-jay</t>
        </is>
      </c>
      <c r="V10" t="inlineStr">
        <is>
          <t>pet</t>
        </is>
      </c>
      <c r="W10" t="inlineStr">
        <is>
          <t>source_stall_relation</t>
        </is>
      </c>
      <c r="Y10" t="inlineStr">
        <is>
          <t>SHOP_REWARD_PROFILE_INVALID</t>
        </is>
      </c>
    </row>
    <row r="11">
      <c r="A11" s="38" t="inlineStr">
        <is>
          <t>trainer</t>
        </is>
      </c>
      <c r="B11" s="38" t="inlineStr">
        <is>
          <t>argenta</t>
        </is>
      </c>
      <c r="C11" s="38" t="inlineStr">
        <is>
          <t>Argenta</t>
        </is>
      </c>
      <c r="D11" s="38" t="inlineStr">
        <is>
          <t>teaches silver-tier skills</t>
        </is>
      </c>
      <c r="E11" s="38" t="n">
        <v>88</v>
      </c>
      <c r="F11" s="38" t="inlineStr">
        <is>
          <t>trainer_argenta</t>
        </is>
      </c>
      <c r="G11" s="38" t="n">
        <v>5</v>
      </c>
      <c r="H11" s="38" t="str"/>
      <c r="I11" s="38" t="inlineStr">
        <is>
          <t>未开放</t>
        </is>
      </c>
      <c r="J11" s="38" t="inlineStr">
        <is>
          <t>未开放</t>
        </is>
      </c>
      <c r="K11" s="38" t="inlineStr">
        <is>
          <t>未开放</t>
        </is>
      </c>
      <c r="L11" s="38" t="n">
        <v>3</v>
      </c>
      <c r="M11" s="38" t="n">
        <v>1</v>
      </c>
      <c r="N11" s="38" t="inlineStr">
        <is>
          <t>elem_雷</t>
        </is>
      </c>
      <c r="O11" s="38" t="inlineStr">
        <is>
          <t>孙悟空</t>
        </is>
      </c>
      <c r="P11" s="38" t="inlineStr">
        <is>
          <t>先固定前三天来源摊位，再做冲突图着色；地点内各摊位独立抽取，不合并货池。</t>
        </is>
      </c>
      <c r="Q11" t="inlineStr">
        <is>
          <t>reserved</t>
        </is>
      </c>
      <c r="R11" t="n">
        <v>0</v>
      </c>
      <c r="S11" t="inlineStr">
        <is>
          <t>playable</t>
        </is>
      </c>
      <c r="T11" t="inlineStr">
        <is>
          <t>training_service</t>
        </is>
      </c>
      <c r="U11" t="inlineStr">
        <is>
          <t>shop_reward.trainer_argenta</t>
        </is>
      </c>
      <c r="V11" t="inlineStr">
        <is>
          <t>training_service</t>
        </is>
      </c>
      <c r="W11" t="inlineStr">
        <is>
          <t>explicit_item_ids</t>
        </is>
      </c>
      <c r="X11" t="inlineStr">
        <is>
          <t>skill_party_attack_1, skill_party_defense_1, skill_party_shield_1</t>
        </is>
      </c>
      <c r="Y11" t="inlineStr">
        <is>
          <t>SHOP_REWARD_PROFILE_INVALID</t>
        </is>
      </c>
    </row>
    <row r="12">
      <c r="A12" s="38" t="inlineStr">
        <is>
          <t>merchant</t>
        </is>
      </c>
      <c r="B12" s="38" t="inlineStr">
        <is>
          <t>kina</t>
        </is>
      </c>
      <c r="C12" s="38" t="inlineStr">
        <is>
          <t>Kina</t>
        </is>
      </c>
      <c r="D12" s="38" t="inlineStr">
        <is>
          <t>sells non-weapon items.</t>
        </is>
      </c>
      <c r="E12" s="38" t="n">
        <v>77</v>
      </c>
      <c r="F12" s="38" t="inlineStr">
        <is>
          <t>merchant_kina</t>
        </is>
      </c>
      <c r="G12" s="38" t="n">
        <v>1</v>
      </c>
      <c r="H12" s="38" t="n">
        <v>1</v>
      </c>
      <c r="I12" s="38" t="inlineStr">
        <is>
          <t>开放</t>
        </is>
      </c>
      <c r="J12" s="38" t="inlineStr">
        <is>
          <t>已离场</t>
        </is>
      </c>
      <c r="K12" s="38" t="inlineStr">
        <is>
          <t>已离场</t>
        </is>
      </c>
      <c r="L12" s="38" t="n">
        <v>3</v>
      </c>
      <c r="M12" s="38" t="n">
        <v>1</v>
      </c>
      <c r="N12" s="38" t="inlineStr">
        <is>
          <t>elem_冰</t>
        </is>
      </c>
      <c r="O12" s="38" t="inlineStr">
        <is>
          <t>小白龙</t>
        </is>
      </c>
      <c r="P12" s="38" t="inlineStr">
        <is>
          <t>先固定前三天来源摊位，再做冲突图着色；地点内各摊位独立抽取，不合并货池。</t>
        </is>
      </c>
      <c r="Q12" t="inlineStr">
        <is>
          <t>playable</t>
        </is>
      </c>
      <c r="R12" t="n">
        <v>74</v>
      </c>
      <c r="S12" t="inlineStr">
        <is>
          <t>playable</t>
        </is>
      </c>
      <c r="T12" t="inlineStr">
        <is>
          <t>pet</t>
        </is>
      </c>
      <c r="U12" t="inlineStr">
        <is>
          <t>shop_reward.merchant_kina</t>
        </is>
      </c>
      <c r="V12" t="inlineStr">
        <is>
          <t>pet</t>
        </is>
      </c>
      <c r="W12" t="inlineStr">
        <is>
          <t>source_stall_relation</t>
        </is>
      </c>
      <c r="Y12" t="inlineStr">
        <is>
          <t>SHOP_REWARD_PROFILE_INVALID</t>
        </is>
      </c>
    </row>
    <row r="13">
      <c r="A13" s="38" t="inlineStr">
        <is>
          <t>merchant</t>
        </is>
      </c>
      <c r="B13" s="38" t="inlineStr">
        <is>
          <t>the-antiquarian</t>
        </is>
      </c>
      <c r="C13" s="38" t="inlineStr">
        <is>
          <t>The Antiquarian</t>
        </is>
      </c>
      <c r="D13" s="38" t="inlineStr">
        <is>
          <t>sells relics from any hero</t>
        </is>
      </c>
      <c r="E13" s="38" t="n">
        <v>6</v>
      </c>
      <c r="F13" s="38" t="inlineStr">
        <is>
          <t>merchant_the-antiquarian</t>
        </is>
      </c>
      <c r="G13" s="38" t="n">
        <v>5</v>
      </c>
      <c r="H13" s="38" t="str"/>
      <c r="I13" s="38" t="inlineStr">
        <is>
          <t>未开放</t>
        </is>
      </c>
      <c r="J13" s="38" t="inlineStr">
        <is>
          <t>未开放</t>
        </is>
      </c>
      <c r="K13" s="38" t="inlineStr">
        <is>
          <t>未开放</t>
        </is>
      </c>
      <c r="L13" s="38" t="n">
        <v>3</v>
      </c>
      <c r="M13" s="38" t="n">
        <v>1</v>
      </c>
      <c r="N13" s="38" t="inlineStr">
        <is>
          <t>elem_冰</t>
        </is>
      </c>
      <c r="O13" s="38" t="inlineStr">
        <is>
          <t>小白龙</t>
        </is>
      </c>
      <c r="P13" s="38" t="inlineStr">
        <is>
          <t>先固定前三天来源摊位，再做冲突图着色；地点内各摊位独立抽取，不合并货池。</t>
        </is>
      </c>
      <c r="Q13" t="inlineStr">
        <is>
          <t>playable</t>
        </is>
      </c>
      <c r="R13" t="n">
        <v>3</v>
      </c>
      <c r="S13" t="inlineStr">
        <is>
          <t>playable</t>
        </is>
      </c>
      <c r="T13" t="inlineStr">
        <is>
          <t>pet</t>
        </is>
      </c>
      <c r="U13" t="inlineStr">
        <is>
          <t>shop_reward.merchant_the-antiquarian</t>
        </is>
      </c>
      <c r="V13" t="inlineStr">
        <is>
          <t>pet</t>
        </is>
      </c>
      <c r="W13" t="inlineStr">
        <is>
          <t>source_stall_relation</t>
        </is>
      </c>
      <c r="Y13" t="inlineStr">
        <is>
          <t>SHOP_REWARD_PROFILE_INVALID</t>
        </is>
      </c>
    </row>
    <row r="14">
      <c r="A14" s="38" t="inlineStr">
        <is>
          <t>merchant</t>
        </is>
      </c>
      <c r="B14" s="38" t="inlineStr">
        <is>
          <t>midsworth</t>
        </is>
      </c>
      <c r="C14" s="38" t="inlineStr">
        <is>
          <t>Midsworth</t>
        </is>
      </c>
      <c r="D14" s="38" t="inlineStr">
        <is>
          <t>sells small and large items. buys your medium items at +2 value.</t>
        </is>
      </c>
      <c r="E14" s="38" t="n">
        <v>67</v>
      </c>
      <c r="F14" s="38" t="inlineStr">
        <is>
          <t>merchant_midsworth</t>
        </is>
      </c>
      <c r="G14" s="38" t="n">
        <v>1</v>
      </c>
      <c r="H14" s="38" t="str"/>
      <c r="I14" s="38" t="inlineStr">
        <is>
          <t>开放</t>
        </is>
      </c>
      <c r="J14" s="38" t="inlineStr">
        <is>
          <t>开放</t>
        </is>
      </c>
      <c r="K14" s="38" t="inlineStr">
        <is>
          <t>开放</t>
        </is>
      </c>
      <c r="L14" s="38" t="n">
        <v>3</v>
      </c>
      <c r="M14" s="38" t="n">
        <v>1</v>
      </c>
      <c r="N14" s="38" t="inlineStr">
        <is>
          <t>elem_地</t>
        </is>
      </c>
      <c r="O14" s="38" t="inlineStr">
        <is>
          <t>金池长老</t>
        </is>
      </c>
      <c r="P14" s="38" t="inlineStr">
        <is>
          <t>先固定前三天来源摊位，再做冲突图着色；地点内各摊位独立抽取，不合并货池。</t>
        </is>
      </c>
      <c r="Q14" t="inlineStr">
        <is>
          <t>playable</t>
        </is>
      </c>
      <c r="R14" t="n">
        <v>64</v>
      </c>
      <c r="S14" t="inlineStr">
        <is>
          <t>playable</t>
        </is>
      </c>
      <c r="T14" t="inlineStr">
        <is>
          <t>pet</t>
        </is>
      </c>
      <c r="U14" t="inlineStr">
        <is>
          <t>shop_reward.merchant_midsworth</t>
        </is>
      </c>
      <c r="V14" t="inlineStr">
        <is>
          <t>pet</t>
        </is>
      </c>
      <c r="W14" t="inlineStr">
        <is>
          <t>source_stall_relation</t>
        </is>
      </c>
      <c r="Y14" t="inlineStr">
        <is>
          <t>SHOP_REWARD_PROFILE_INVALID</t>
        </is>
      </c>
    </row>
    <row r="15">
      <c r="A15" s="38" t="inlineStr">
        <is>
          <t>trainer</t>
        </is>
      </c>
      <c r="B15" s="38" t="inlineStr">
        <is>
          <t>old-zane</t>
        </is>
      </c>
      <c r="C15" s="38" t="inlineStr">
        <is>
          <t>Old Zane</t>
        </is>
      </c>
      <c r="D15" s="38" t="inlineStr">
        <is>
          <t>teaches skills unique to vanessa</t>
        </is>
      </c>
      <c r="E15" s="38" t="n">
        <v>22</v>
      </c>
      <c r="F15" s="38" t="inlineStr">
        <is>
          <t>trainer_old-zane</t>
        </is>
      </c>
      <c r="G15" s="38" t="n">
        <v>4</v>
      </c>
      <c r="H15" s="38" t="str"/>
      <c r="I15" s="38" t="inlineStr">
        <is>
          <t>未开放</t>
        </is>
      </c>
      <c r="J15" s="38" t="inlineStr">
        <is>
          <t>未开放</t>
        </is>
      </c>
      <c r="K15" s="38" t="inlineStr">
        <is>
          <t>未开放</t>
        </is>
      </c>
      <c r="L15" s="38" t="n">
        <v>3</v>
      </c>
      <c r="M15" s="38" t="n">
        <v>1</v>
      </c>
      <c r="N15" s="38" t="inlineStr">
        <is>
          <t>elem_地</t>
        </is>
      </c>
      <c r="O15" s="38" t="inlineStr">
        <is>
          <t>金池长老</t>
        </is>
      </c>
      <c r="P15" s="38" t="inlineStr">
        <is>
          <t>先固定前三天来源摊位，再做冲突图着色；地点内各摊位独立抽取，不合并货池。</t>
        </is>
      </c>
      <c r="Q15" t="inlineStr">
        <is>
          <t>reserved</t>
        </is>
      </c>
      <c r="R15" t="n">
        <v>0</v>
      </c>
      <c r="S15" t="inlineStr">
        <is>
          <t>playable</t>
        </is>
      </c>
      <c r="T15" t="inlineStr">
        <is>
          <t>training_service</t>
        </is>
      </c>
      <c r="U15" t="inlineStr">
        <is>
          <t>shop_reward.trainer_old-zane</t>
        </is>
      </c>
      <c r="V15" t="inlineStr">
        <is>
          <t>training_service</t>
        </is>
      </c>
      <c r="W15" t="inlineStr">
        <is>
          <t>explicit_item_ids</t>
        </is>
      </c>
      <c r="X15" t="inlineStr">
        <is>
          <t>build_skill_a_strike_2, build_skill_b_guard_2, skill_hero_vitality_1</t>
        </is>
      </c>
      <c r="Y15" t="inlineStr">
        <is>
          <t>SHOP_REWARD_PROFILE_INVALID</t>
        </is>
      </c>
    </row>
    <row r="16">
      <c r="A16" s="38" t="inlineStr">
        <is>
          <t>merchant</t>
        </is>
      </c>
      <c r="B16" s="38" t="inlineStr">
        <is>
          <t>mr-morland</t>
        </is>
      </c>
      <c r="C16" s="38" t="inlineStr">
        <is>
          <t>Mr. Morland</t>
        </is>
      </c>
      <c r="D16" s="38" t="inlineStr">
        <is>
          <t>sells property items</t>
        </is>
      </c>
      <c r="E16" s="38" t="n">
        <v>6</v>
      </c>
      <c r="F16" s="38" t="inlineStr">
        <is>
          <t>merchant_mr-morland</t>
        </is>
      </c>
      <c r="G16" s="38" t="n">
        <v>5</v>
      </c>
      <c r="H16" s="38" t="str"/>
      <c r="I16" s="38" t="inlineStr">
        <is>
          <t>未开放</t>
        </is>
      </c>
      <c r="J16" s="38" t="inlineStr">
        <is>
          <t>未开放</t>
        </is>
      </c>
      <c r="K16" s="38" t="inlineStr">
        <is>
          <t>未开放</t>
        </is>
      </c>
      <c r="L16" s="38" t="n">
        <v>3</v>
      </c>
      <c r="M16" s="38" t="n">
        <v>1</v>
      </c>
      <c r="N16" s="38" t="inlineStr">
        <is>
          <t>elem_暗</t>
        </is>
      </c>
      <c r="O16" s="38" t="inlineStr">
        <is>
          <t>黑熊精</t>
        </is>
      </c>
      <c r="P16" s="38" t="inlineStr">
        <is>
          <t>先固定前三天来源摊位，再做冲突图着色；地点内各摊位独立抽取，不合并货池。</t>
        </is>
      </c>
      <c r="Q16" t="inlineStr">
        <is>
          <t>playable</t>
        </is>
      </c>
      <c r="R16" t="n">
        <v>6</v>
      </c>
      <c r="S16" t="inlineStr">
        <is>
          <t>playable</t>
        </is>
      </c>
      <c r="T16" t="inlineStr">
        <is>
          <t>pet</t>
        </is>
      </c>
      <c r="U16" t="inlineStr">
        <is>
          <t>shop_reward.merchant_mr-morland</t>
        </is>
      </c>
      <c r="V16" t="inlineStr">
        <is>
          <t>pet</t>
        </is>
      </c>
      <c r="W16" t="inlineStr">
        <is>
          <t>source_stall_relation</t>
        </is>
      </c>
      <c r="Y16" t="inlineStr">
        <is>
          <t>SHOP_REWARD_PROFILE_INVALID</t>
        </is>
      </c>
    </row>
    <row r="17">
      <c r="A17" s="38" t="inlineStr">
        <is>
          <t>merchant</t>
        </is>
      </c>
      <c r="B17" s="38" t="inlineStr">
        <is>
          <t>valpak</t>
        </is>
      </c>
      <c r="C17" s="38" t="inlineStr">
        <is>
          <t>Valpak</t>
        </is>
      </c>
      <c r="D17" s="38" t="inlineStr">
        <is>
          <t>sells items. always sells discounted items.</t>
        </is>
      </c>
      <c r="E17" s="38" t="n">
        <v>14</v>
      </c>
      <c r="F17" s="38" t="inlineStr">
        <is>
          <t>merchant_valpak</t>
        </is>
      </c>
      <c r="G17" s="38" t="n">
        <v>1</v>
      </c>
      <c r="H17" s="38" t="str"/>
      <c r="I17" s="38" t="inlineStr">
        <is>
          <t>开放</t>
        </is>
      </c>
      <c r="J17" s="38" t="inlineStr">
        <is>
          <t>开放</t>
        </is>
      </c>
      <c r="K17" s="38" t="inlineStr">
        <is>
          <t>开放</t>
        </is>
      </c>
      <c r="L17" s="38" t="n">
        <v>3</v>
      </c>
      <c r="M17" s="38" t="n">
        <v>1</v>
      </c>
      <c r="N17" s="38" t="inlineStr">
        <is>
          <t>elem_暗</t>
        </is>
      </c>
      <c r="O17" s="38" t="inlineStr">
        <is>
          <t>黑熊精</t>
        </is>
      </c>
      <c r="P17" s="38" t="inlineStr">
        <is>
          <t>先固定前三天来源摊位，再做冲突图着色；地点内各摊位独立抽取，不合并货池。</t>
        </is>
      </c>
      <c r="Q17" t="inlineStr">
        <is>
          <t>playable</t>
        </is>
      </c>
      <c r="R17" t="n">
        <v>11</v>
      </c>
      <c r="S17" t="inlineStr">
        <is>
          <t>playable</t>
        </is>
      </c>
      <c r="T17" t="inlineStr">
        <is>
          <t>pet</t>
        </is>
      </c>
      <c r="U17" t="inlineStr">
        <is>
          <t>shop_reward.merchant_valpak</t>
        </is>
      </c>
      <c r="V17" t="inlineStr">
        <is>
          <t>pet</t>
        </is>
      </c>
      <c r="W17" t="inlineStr">
        <is>
          <t>source_stall_relation</t>
        </is>
      </c>
      <c r="Y17" t="inlineStr">
        <is>
          <t>SHOP_REWARD_PROFILE_INVALID</t>
        </is>
      </c>
    </row>
    <row r="18">
      <c r="A18" s="38" t="inlineStr">
        <is>
          <t>merchant</t>
        </is>
      </c>
      <c r="B18" s="38" t="inlineStr">
        <is>
          <t>proteus</t>
        </is>
      </c>
      <c r="C18" s="38" t="inlineStr">
        <is>
          <t>Proteus</t>
        </is>
      </c>
      <c r="D18" s="38" t="inlineStr">
        <is>
          <t>Sells Shield items</t>
        </is>
      </c>
      <c r="E18" s="38" t="n">
        <v>7</v>
      </c>
      <c r="F18" s="38" t="inlineStr">
        <is>
          <t>merchant_proteus</t>
        </is>
      </c>
      <c r="G18" s="38" t="n">
        <v>4</v>
      </c>
      <c r="H18" s="38" t="str"/>
      <c r="I18" s="38" t="inlineStr">
        <is>
          <t>未开放</t>
        </is>
      </c>
      <c r="J18" s="38" t="inlineStr">
        <is>
          <t>未开放</t>
        </is>
      </c>
      <c r="K18" s="38" t="inlineStr">
        <is>
          <t>未开放</t>
        </is>
      </c>
      <c r="L18" s="38" t="n">
        <v>3</v>
      </c>
      <c r="M18" s="38" t="n">
        <v>1</v>
      </c>
      <c r="N18" s="38" t="inlineStr">
        <is>
          <t>elem_龙</t>
        </is>
      </c>
      <c r="O18" s="38" t="inlineStr">
        <is>
          <t>凌虚子</t>
        </is>
      </c>
      <c r="P18" s="38" t="inlineStr">
        <is>
          <t>先固定前三天来源摊位，再做冲突图着色；地点内各摊位独立抽取，不合并货池。</t>
        </is>
      </c>
      <c r="Q18" t="inlineStr">
        <is>
          <t>playable</t>
        </is>
      </c>
      <c r="R18" t="n">
        <v>7</v>
      </c>
      <c r="S18" t="inlineStr">
        <is>
          <t>playable</t>
        </is>
      </c>
      <c r="T18" t="inlineStr">
        <is>
          <t>pet</t>
        </is>
      </c>
      <c r="U18" t="inlineStr">
        <is>
          <t>shop_reward.merchant_proteus</t>
        </is>
      </c>
      <c r="V18" t="inlineStr">
        <is>
          <t>pet</t>
        </is>
      </c>
      <c r="W18" t="inlineStr">
        <is>
          <t>source_stall_relation</t>
        </is>
      </c>
      <c r="Y18" t="inlineStr">
        <is>
          <t>SHOP_REWARD_PROFILE_INVALID</t>
        </is>
      </c>
    </row>
    <row r="19">
      <c r="A19" s="38" t="inlineStr">
        <is>
          <t>trainer</t>
        </is>
      </c>
      <c r="B19" s="38" t="inlineStr">
        <is>
          <t>nufu</t>
        </is>
      </c>
      <c r="C19" s="38" t="inlineStr">
        <is>
          <t>Nufu</t>
        </is>
      </c>
      <c r="D19" s="38" t="inlineStr">
        <is>
          <t>sells skills</t>
        </is>
      </c>
      <c r="E19" s="38" t="n">
        <v>138</v>
      </c>
      <c r="F19" s="38" t="inlineStr">
        <is>
          <t>trainer_nufu</t>
        </is>
      </c>
      <c r="G19" s="38" t="n">
        <v>1</v>
      </c>
      <c r="H19" s="38" t="str"/>
      <c r="I19" s="38" t="inlineStr">
        <is>
          <t>开放</t>
        </is>
      </c>
      <c r="J19" s="38" t="inlineStr">
        <is>
          <t>开放</t>
        </is>
      </c>
      <c r="K19" s="38" t="inlineStr">
        <is>
          <t>开放</t>
        </is>
      </c>
      <c r="L19" s="38" t="n">
        <v>3</v>
      </c>
      <c r="M19" s="38" t="n">
        <v>1</v>
      </c>
      <c r="N19" s="38" t="inlineStr">
        <is>
          <t>elem_龙</t>
        </is>
      </c>
      <c r="O19" s="38" t="inlineStr">
        <is>
          <t>凌虚子</t>
        </is>
      </c>
      <c r="P19" s="38" t="inlineStr">
        <is>
          <t>先固定前三天来源摊位，再做冲突图着色；地点内各摊位独立抽取，不合并货池。</t>
        </is>
      </c>
      <c r="Q19" t="inlineStr">
        <is>
          <t>reserved</t>
        </is>
      </c>
      <c r="R19" t="n">
        <v>0</v>
      </c>
      <c r="S19" t="inlineStr">
        <is>
          <t>playable</t>
        </is>
      </c>
      <c r="T19" t="inlineStr">
        <is>
          <t>training_service</t>
        </is>
      </c>
      <c r="U19" t="inlineStr">
        <is>
          <t>shop_reward.trainer_nufu</t>
        </is>
      </c>
      <c r="V19" t="inlineStr">
        <is>
          <t>training_service</t>
        </is>
      </c>
      <c r="W19" t="inlineStr">
        <is>
          <t>explicit_item_ids</t>
        </is>
      </c>
      <c r="X19" t="inlineStr">
        <is>
          <t>skill_party_attack_1, skill_hero_vitality_1, skill_party_defense_1, skill_party_vitality_1, skill_party_shield_1, build_skill_a_strike_1, build_skill_b_guard_1</t>
        </is>
      </c>
      <c r="Y19" t="inlineStr">
        <is>
          <t>SHOP_REWARD_PROFILE_INVALID</t>
        </is>
      </c>
    </row>
    <row r="20">
      <c r="A20" s="38" t="inlineStr">
        <is>
          <t>merchant</t>
        </is>
      </c>
      <c r="B20" s="38" t="inlineStr">
        <is>
          <t>mittel</t>
        </is>
      </c>
      <c r="C20" s="38" t="inlineStr">
        <is>
          <t>Mittel</t>
        </is>
      </c>
      <c r="D20" s="38" t="inlineStr">
        <is>
          <t>sells medium items</t>
        </is>
      </c>
      <c r="E20" s="38" t="n">
        <v>56</v>
      </c>
      <c r="F20" s="38" t="inlineStr">
        <is>
          <t>merchant_mittel</t>
        </is>
      </c>
      <c r="G20" s="38" t="n">
        <v>2</v>
      </c>
      <c r="H20" s="38" t="str"/>
      <c r="I20" s="38" t="inlineStr">
        <is>
          <t>未开放</t>
        </is>
      </c>
      <c r="J20" s="38" t="inlineStr">
        <is>
          <t>开放</t>
        </is>
      </c>
      <c r="K20" s="38" t="inlineStr">
        <is>
          <t>开放</t>
        </is>
      </c>
      <c r="L20" s="38" t="n">
        <v>3</v>
      </c>
      <c r="M20" s="38" t="n">
        <v>1</v>
      </c>
      <c r="N20" s="38" t="inlineStr">
        <is>
          <t>elem_无</t>
        </is>
      </c>
      <c r="O20" s="38" t="inlineStr">
        <is>
          <t>苍狼精</t>
        </is>
      </c>
      <c r="P20" s="38" t="inlineStr">
        <is>
          <t>先固定前三天来源摊位，再做冲突图着色；地点内各摊位独立抽取，不合并货池。</t>
        </is>
      </c>
      <c r="Q20" t="inlineStr">
        <is>
          <t>playable</t>
        </is>
      </c>
      <c r="R20" t="n">
        <v>53</v>
      </c>
      <c r="S20" t="inlineStr">
        <is>
          <t>playable</t>
        </is>
      </c>
      <c r="T20" t="inlineStr">
        <is>
          <t>pet</t>
        </is>
      </c>
      <c r="U20" t="inlineStr">
        <is>
          <t>shop_reward.merchant_mittel</t>
        </is>
      </c>
      <c r="V20" t="inlineStr">
        <is>
          <t>pet</t>
        </is>
      </c>
      <c r="W20" t="inlineStr">
        <is>
          <t>source_stall_relation</t>
        </is>
      </c>
      <c r="Y20" t="inlineStr">
        <is>
          <t>SHOP_REWARD_PROFILE_INVALID</t>
        </is>
      </c>
    </row>
    <row r="21">
      <c r="A21" s="38" t="inlineStr">
        <is>
          <t>trainer</t>
        </is>
      </c>
      <c r="B21" s="38" t="inlineStr">
        <is>
          <t>orlin</t>
        </is>
      </c>
      <c r="C21" s="38" t="inlineStr">
        <is>
          <t>Orlin</t>
        </is>
      </c>
      <c r="D21" s="38" t="inlineStr">
        <is>
          <t>teaches gold-tier skills</t>
        </is>
      </c>
      <c r="E21" s="38" t="n">
        <v>121</v>
      </c>
      <c r="F21" s="38" t="inlineStr">
        <is>
          <t>trainer_orlin</t>
        </is>
      </c>
      <c r="G21" s="38" t="n">
        <v>5</v>
      </c>
      <c r="H21" s="38" t="str"/>
      <c r="I21" s="38" t="inlineStr">
        <is>
          <t>未开放</t>
        </is>
      </c>
      <c r="J21" s="38" t="inlineStr">
        <is>
          <t>未开放</t>
        </is>
      </c>
      <c r="K21" s="38" t="inlineStr">
        <is>
          <t>未开放</t>
        </is>
      </c>
      <c r="L21" s="38" t="n">
        <v>3</v>
      </c>
      <c r="M21" s="38" t="n">
        <v>1</v>
      </c>
      <c r="N21" s="38" t="inlineStr">
        <is>
          <t>elem_无</t>
        </is>
      </c>
      <c r="O21" s="38" t="inlineStr">
        <is>
          <t>苍狼精</t>
        </is>
      </c>
      <c r="P21" s="38" t="inlineStr">
        <is>
          <t>先固定前三天来源摊位，再做冲突图着色；地点内各摊位独立抽取，不合并货池。</t>
        </is>
      </c>
      <c r="Q21" t="inlineStr">
        <is>
          <t>reserved</t>
        </is>
      </c>
      <c r="R21" t="n">
        <v>0</v>
      </c>
      <c r="S21" t="inlineStr">
        <is>
          <t>playable</t>
        </is>
      </c>
      <c r="T21" t="inlineStr">
        <is>
          <t>training_service</t>
        </is>
      </c>
      <c r="U21" t="inlineStr">
        <is>
          <t>shop_reward.trainer_orlin</t>
        </is>
      </c>
      <c r="V21" t="inlineStr">
        <is>
          <t>training_service</t>
        </is>
      </c>
      <c r="W21" t="inlineStr">
        <is>
          <t>explicit_item_ids</t>
        </is>
      </c>
      <c r="X21" t="inlineStr">
        <is>
          <t>build_skill_a_strike_2, build_skill_b_guard_2, skill_hero_vitality_1</t>
        </is>
      </c>
      <c r="Y21" t="inlineStr">
        <is>
          <t>SHOP_REWARD_PROFILE_INVALID</t>
        </is>
      </c>
    </row>
    <row r="22">
      <c r="A22" s="38" t="inlineStr">
        <is>
          <t>merchant</t>
        </is>
      </c>
      <c r="B22" s="38" t="inlineStr">
        <is>
          <t>quixel</t>
        </is>
      </c>
      <c r="C22" s="38" t="inlineStr">
        <is>
          <t>Quixel</t>
        </is>
      </c>
      <c r="D22" s="38" t="inlineStr">
        <is>
          <t>sells small and medium items. buys your large items at +3 value.</t>
        </is>
      </c>
      <c r="E22" s="38" t="n">
        <v>78</v>
      </c>
      <c r="F22" s="38" t="inlineStr">
        <is>
          <t>merchant_quixel</t>
        </is>
      </c>
      <c r="G22" s="38" t="n">
        <v>2</v>
      </c>
      <c r="H22" s="38" t="str"/>
      <c r="I22" s="38" t="inlineStr">
        <is>
          <t>未开放</t>
        </is>
      </c>
      <c r="J22" s="38" t="inlineStr">
        <is>
          <t>开放</t>
        </is>
      </c>
      <c r="K22" s="38" t="inlineStr">
        <is>
          <t>开放</t>
        </is>
      </c>
      <c r="L22" s="38" t="n">
        <v>3</v>
      </c>
      <c r="M22" s="38" t="n">
        <v>1</v>
      </c>
      <c r="N22" s="38" t="inlineStr">
        <is>
          <t>role_召唤</t>
        </is>
      </c>
      <c r="O22" s="38" t="inlineStr">
        <is>
          <t>猪八戒</t>
        </is>
      </c>
      <c r="P22" s="38" t="inlineStr">
        <is>
          <t>先固定前三天来源摊位，再做冲突图着色；地点内各摊位独立抽取，不合并货池。</t>
        </is>
      </c>
      <c r="Q22" t="inlineStr">
        <is>
          <t>playable</t>
        </is>
      </c>
      <c r="R22" t="n">
        <v>78</v>
      </c>
      <c r="S22" t="inlineStr">
        <is>
          <t>playable</t>
        </is>
      </c>
      <c r="T22" t="inlineStr">
        <is>
          <t>pet</t>
        </is>
      </c>
      <c r="U22" t="inlineStr">
        <is>
          <t>shop_reward.merchant_quixel</t>
        </is>
      </c>
      <c r="V22" t="inlineStr">
        <is>
          <t>pet</t>
        </is>
      </c>
      <c r="W22" t="inlineStr">
        <is>
          <t>source_stall_relation</t>
        </is>
      </c>
      <c r="Y22" t="inlineStr">
        <is>
          <t>SHOP_REWARD_PROFILE_INVALID</t>
        </is>
      </c>
    </row>
    <row r="23">
      <c r="A23" s="38" t="inlineStr">
        <is>
          <t>trainer</t>
        </is>
      </c>
      <c r="B23" s="38" t="inlineStr">
        <is>
          <t>vermir</t>
        </is>
      </c>
      <c r="C23" s="38" t="inlineStr">
        <is>
          <t>Vermir</t>
        </is>
      </c>
      <c r="D23" s="38" t="inlineStr">
        <is>
          <t>teaches crit skills</t>
        </is>
      </c>
      <c r="E23" s="38" t="n">
        <v>33</v>
      </c>
      <c r="F23" s="38" t="inlineStr">
        <is>
          <t>trainer_vermir</t>
        </is>
      </c>
      <c r="G23" s="38" t="n">
        <v>6</v>
      </c>
      <c r="H23" s="38" t="str"/>
      <c r="I23" s="38" t="inlineStr">
        <is>
          <t>未开放</t>
        </is>
      </c>
      <c r="J23" s="38" t="inlineStr">
        <is>
          <t>未开放</t>
        </is>
      </c>
      <c r="K23" s="38" t="inlineStr">
        <is>
          <t>未开放</t>
        </is>
      </c>
      <c r="L23" s="38" t="n">
        <v>3</v>
      </c>
      <c r="M23" s="38" t="n">
        <v>1</v>
      </c>
      <c r="N23" s="38" t="inlineStr">
        <is>
          <t>role_召唤</t>
        </is>
      </c>
      <c r="O23" s="38" t="inlineStr">
        <is>
          <t>猪八戒</t>
        </is>
      </c>
      <c r="P23" s="38" t="inlineStr">
        <is>
          <t>先固定前三天来源摊位，再做冲突图着色；地点内各摊位独立抽取，不合并货池。</t>
        </is>
      </c>
      <c r="Q23" t="inlineStr">
        <is>
          <t>reserved</t>
        </is>
      </c>
      <c r="R23" t="n">
        <v>0</v>
      </c>
      <c r="S23" t="inlineStr">
        <is>
          <t>playable</t>
        </is>
      </c>
      <c r="T23" t="inlineStr">
        <is>
          <t>training_service</t>
        </is>
      </c>
      <c r="U23" t="inlineStr">
        <is>
          <t>shop_reward.trainer_vermir</t>
        </is>
      </c>
      <c r="V23" t="inlineStr">
        <is>
          <t>training_service</t>
        </is>
      </c>
      <c r="W23" t="inlineStr">
        <is>
          <t>explicit_item_ids</t>
        </is>
      </c>
      <c r="X23" t="inlineStr">
        <is>
          <t>skill_party_attack_1, build_skill_a_strike_1, build_skill_a_strike_2</t>
        </is>
      </c>
      <c r="Y23" t="inlineStr">
        <is>
          <t>SHOP_REWARD_PROFILE_INVALID</t>
        </is>
      </c>
    </row>
    <row r="24">
      <c r="A24" s="38" t="inlineStr">
        <is>
          <t>merchant</t>
        </is>
      </c>
      <c r="B24" s="38" t="inlineStr">
        <is>
          <t>goldie</t>
        </is>
      </c>
      <c r="C24" s="38" t="inlineStr">
        <is>
          <t>Goldie</t>
        </is>
      </c>
      <c r="D24" s="38" t="inlineStr">
        <is>
          <t>sells gold-tier items</t>
        </is>
      </c>
      <c r="E24" s="38" t="n">
        <v>153</v>
      </c>
      <c r="F24" s="38" t="inlineStr">
        <is>
          <t>merchant_goldie</t>
        </is>
      </c>
      <c r="G24" s="38" t="n">
        <v>4</v>
      </c>
      <c r="H24" s="38" t="str"/>
      <c r="I24" s="38" t="inlineStr">
        <is>
          <t>未开放</t>
        </is>
      </c>
      <c r="J24" s="38" t="inlineStr">
        <is>
          <t>未开放</t>
        </is>
      </c>
      <c r="K24" s="38" t="inlineStr">
        <is>
          <t>未开放</t>
        </is>
      </c>
      <c r="L24" s="38" t="n">
        <v>3</v>
      </c>
      <c r="M24" s="38" t="n">
        <v>1</v>
      </c>
      <c r="N24" s="38" t="inlineStr">
        <is>
          <t>role_坦克</t>
        </is>
      </c>
      <c r="O24" s="38" t="inlineStr">
        <is>
          <t>黄风怪</t>
        </is>
      </c>
      <c r="P24" s="38" t="inlineStr">
        <is>
          <t>先固定前三天来源摊位，再做冲突图着色；地点内各摊位独立抽取，不合并货池。</t>
        </is>
      </c>
      <c r="Q24" t="inlineStr">
        <is>
          <t>playable</t>
        </is>
      </c>
      <c r="R24" t="n">
        <v>133</v>
      </c>
      <c r="S24" t="inlineStr">
        <is>
          <t>playable</t>
        </is>
      </c>
      <c r="T24" t="inlineStr">
        <is>
          <t>pet</t>
        </is>
      </c>
      <c r="U24" t="inlineStr">
        <is>
          <t>shop_reward.merchant_goldie</t>
        </is>
      </c>
      <c r="V24" t="inlineStr">
        <is>
          <t>pet</t>
        </is>
      </c>
      <c r="W24" t="inlineStr">
        <is>
          <t>source_stall_relation</t>
        </is>
      </c>
      <c r="Y24" t="inlineStr">
        <is>
          <t>SHOP_REWARD_PROFILE_INVALID</t>
        </is>
      </c>
    </row>
    <row r="25">
      <c r="A25" s="38" t="inlineStr">
        <is>
          <t>trainer</t>
        </is>
      </c>
      <c r="B25" s="38" t="inlineStr">
        <is>
          <t>ryukon</t>
        </is>
      </c>
      <c r="C25" s="38" t="inlineStr">
        <is>
          <t>Ryukon</t>
        </is>
      </c>
      <c r="D25" s="38" t="inlineStr">
        <is>
          <t>teaches weapon skills</t>
        </is>
      </c>
      <c r="E25" s="38" t="n">
        <v>39</v>
      </c>
      <c r="F25" s="38" t="inlineStr">
        <is>
          <t>trainer_ryukon</t>
        </is>
      </c>
      <c r="G25" s="38" t="n">
        <v>5</v>
      </c>
      <c r="H25" s="38" t="str"/>
      <c r="I25" s="38" t="inlineStr">
        <is>
          <t>未开放</t>
        </is>
      </c>
      <c r="J25" s="38" t="inlineStr">
        <is>
          <t>未开放</t>
        </is>
      </c>
      <c r="K25" s="38" t="inlineStr">
        <is>
          <t>未开放</t>
        </is>
      </c>
      <c r="L25" s="38" t="n">
        <v>3</v>
      </c>
      <c r="M25" s="38" t="n">
        <v>1</v>
      </c>
      <c r="N25" s="38" t="inlineStr">
        <is>
          <t>role_坦克</t>
        </is>
      </c>
      <c r="O25" s="38" t="inlineStr">
        <is>
          <t>黄风怪</t>
        </is>
      </c>
      <c r="P25" s="38" t="inlineStr">
        <is>
          <t>先固定前三天来源摊位，再做冲突图着色；地点内各摊位独立抽取，不合并货池。</t>
        </is>
      </c>
      <c r="Q25" t="inlineStr">
        <is>
          <t>reserved</t>
        </is>
      </c>
      <c r="R25" t="n">
        <v>0</v>
      </c>
      <c r="S25" t="inlineStr">
        <is>
          <t>playable</t>
        </is>
      </c>
      <c r="T25" t="inlineStr">
        <is>
          <t>training_service</t>
        </is>
      </c>
      <c r="U25" t="inlineStr">
        <is>
          <t>shop_reward.trainer_ryukon</t>
        </is>
      </c>
      <c r="V25" t="inlineStr">
        <is>
          <t>training_service</t>
        </is>
      </c>
      <c r="W25" t="inlineStr">
        <is>
          <t>explicit_item_ids</t>
        </is>
      </c>
      <c r="X25" t="inlineStr">
        <is>
          <t>skill_party_attack_1, build_skill_a_strike_1, build_skill_a_strike_2</t>
        </is>
      </c>
      <c r="Y25" t="inlineStr">
        <is>
          <t>SHOP_REWARD_PROFILE_INVALID</t>
        </is>
      </c>
    </row>
    <row r="26">
      <c r="A26" s="38" t="inlineStr">
        <is>
          <t>merchant</t>
        </is>
      </c>
      <c r="B26" s="38" t="inlineStr">
        <is>
          <t>luxe</t>
        </is>
      </c>
      <c r="C26" s="38" t="inlineStr">
        <is>
          <t>Luxe</t>
        </is>
      </c>
      <c r="D26" s="38" t="inlineStr">
        <is>
          <t>sells diamond-tier items</t>
        </is>
      </c>
      <c r="E26" s="38" t="n">
        <v>135</v>
      </c>
      <c r="F26" s="38" t="inlineStr">
        <is>
          <t>merchant_luxe</t>
        </is>
      </c>
      <c r="G26" s="38" t="n">
        <v>4</v>
      </c>
      <c r="H26" s="38" t="str"/>
      <c r="I26" s="38" t="inlineStr">
        <is>
          <t>未开放</t>
        </is>
      </c>
      <c r="J26" s="38" t="inlineStr">
        <is>
          <t>未开放</t>
        </is>
      </c>
      <c r="K26" s="38" t="inlineStr">
        <is>
          <t>未开放</t>
        </is>
      </c>
      <c r="L26" s="38" t="n">
        <v>3</v>
      </c>
      <c r="M26" s="38" t="n">
        <v>1</v>
      </c>
      <c r="N26" s="38" t="inlineStr">
        <is>
          <t>role_控制</t>
        </is>
      </c>
      <c r="O26" s="38" t="inlineStr">
        <is>
          <t>灵吉菩萨</t>
        </is>
      </c>
      <c r="P26" s="38" t="inlineStr">
        <is>
          <t>先固定前三天来源摊位，再做冲突图着色；地点内各摊位独立抽取，不合并货池。</t>
        </is>
      </c>
      <c r="Q26" t="inlineStr">
        <is>
          <t>playable</t>
        </is>
      </c>
      <c r="R26" t="n">
        <v>132</v>
      </c>
      <c r="S26" t="inlineStr">
        <is>
          <t>playable</t>
        </is>
      </c>
      <c r="T26" t="inlineStr">
        <is>
          <t>pet</t>
        </is>
      </c>
      <c r="U26" t="inlineStr">
        <is>
          <t>shop_reward.merchant_luxe</t>
        </is>
      </c>
      <c r="V26" t="inlineStr">
        <is>
          <t>pet</t>
        </is>
      </c>
      <c r="W26" t="inlineStr">
        <is>
          <t>source_stall_relation</t>
        </is>
      </c>
      <c r="Y26" t="inlineStr">
        <is>
          <t>SHOP_REWARD_PROFILE_INVALID</t>
        </is>
      </c>
    </row>
    <row r="27">
      <c r="A27" s="38" t="inlineStr">
        <is>
          <t>trainer</t>
        </is>
      </c>
      <c r="B27" s="38" t="inlineStr">
        <is>
          <t>bjorn</t>
        </is>
      </c>
      <c r="C27" s="38" t="inlineStr">
        <is>
          <t>Bjorn</t>
        </is>
      </c>
      <c r="D27" s="38" t="inlineStr">
        <is>
          <t>teaches freeze skills</t>
        </is>
      </c>
      <c r="E27" s="38" t="n">
        <v>10</v>
      </c>
      <c r="F27" s="38" t="inlineStr">
        <is>
          <t>trainer_bjorn</t>
        </is>
      </c>
      <c r="G27" s="38" t="n">
        <v>6</v>
      </c>
      <c r="H27" s="38" t="str"/>
      <c r="I27" s="38" t="inlineStr">
        <is>
          <t>未开放</t>
        </is>
      </c>
      <c r="J27" s="38" t="inlineStr">
        <is>
          <t>未开放</t>
        </is>
      </c>
      <c r="K27" s="38" t="inlineStr">
        <is>
          <t>未开放</t>
        </is>
      </c>
      <c r="L27" s="38" t="n">
        <v>3</v>
      </c>
      <c r="M27" s="38" t="n">
        <v>1</v>
      </c>
      <c r="N27" s="38" t="inlineStr">
        <is>
          <t>role_控制</t>
        </is>
      </c>
      <c r="O27" s="38" t="inlineStr">
        <is>
          <t>灵吉菩萨</t>
        </is>
      </c>
      <c r="P27" s="38" t="inlineStr">
        <is>
          <t>先固定前三天来源摊位，再做冲突图着色；地点内各摊位独立抽取，不合并货池。</t>
        </is>
      </c>
      <c r="Q27" t="inlineStr">
        <is>
          <t>reserved</t>
        </is>
      </c>
      <c r="R27" t="n">
        <v>0</v>
      </c>
      <c r="S27" t="inlineStr">
        <is>
          <t>playable</t>
        </is>
      </c>
      <c r="T27" t="inlineStr">
        <is>
          <t>training_service</t>
        </is>
      </c>
      <c r="U27" t="inlineStr">
        <is>
          <t>shop_reward.trainer_bjorn</t>
        </is>
      </c>
      <c r="V27" t="inlineStr">
        <is>
          <t>training_service</t>
        </is>
      </c>
      <c r="W27" t="inlineStr">
        <is>
          <t>explicit_item_ids</t>
        </is>
      </c>
      <c r="X27" t="inlineStr">
        <is>
          <t>skill_party_shield_1, skill_party_defense_1, build_skill_b_guard_2</t>
        </is>
      </c>
      <c r="Y27" t="inlineStr">
        <is>
          <t>SHOP_REWARD_PROFILE_INVALID</t>
        </is>
      </c>
    </row>
    <row r="28">
      <c r="A28" s="38" t="inlineStr">
        <is>
          <t>merchant</t>
        </is>
      </c>
      <c r="B28" s="38" t="inlineStr">
        <is>
          <t>serafina</t>
        </is>
      </c>
      <c r="C28" s="38" t="inlineStr">
        <is>
          <t>Serafina</t>
        </is>
      </c>
      <c r="D28" s="38" t="inlineStr">
        <is>
          <t>sells enchanted items</t>
        </is>
      </c>
      <c r="E28" s="38" t="n">
        <v>66</v>
      </c>
      <c r="F28" s="38" t="inlineStr">
        <is>
          <t>merchant_serafina</t>
        </is>
      </c>
      <c r="G28" s="38" t="n">
        <v>5</v>
      </c>
      <c r="H28" s="38" t="str"/>
      <c r="I28" s="38" t="inlineStr">
        <is>
          <t>未开放</t>
        </is>
      </c>
      <c r="J28" s="38" t="inlineStr">
        <is>
          <t>未开放</t>
        </is>
      </c>
      <c r="K28" s="38" t="inlineStr">
        <is>
          <t>未开放</t>
        </is>
      </c>
      <c r="L28" s="38" t="n">
        <v>3</v>
      </c>
      <c r="M28" s="38" t="n">
        <v>1</v>
      </c>
      <c r="N28" s="38" t="inlineStr">
        <is>
          <t>role_治疗</t>
        </is>
      </c>
      <c r="O28" s="38" t="inlineStr">
        <is>
          <t>沙悟净</t>
        </is>
      </c>
      <c r="P28" s="38" t="inlineStr">
        <is>
          <t>先固定前三天来源摊位，再做冲突图着色；地点内各摊位独立抽取，不合并货池。</t>
        </is>
      </c>
      <c r="Q28" t="inlineStr">
        <is>
          <t>playable</t>
        </is>
      </c>
      <c r="R28" t="n">
        <v>63</v>
      </c>
      <c r="S28" t="inlineStr">
        <is>
          <t>playable</t>
        </is>
      </c>
      <c r="T28" t="inlineStr">
        <is>
          <t>pet</t>
        </is>
      </c>
      <c r="U28" t="inlineStr">
        <is>
          <t>shop_reward.merchant_serafina</t>
        </is>
      </c>
      <c r="V28" t="inlineStr">
        <is>
          <t>pet</t>
        </is>
      </c>
      <c r="W28" t="inlineStr">
        <is>
          <t>source_stall_relation</t>
        </is>
      </c>
      <c r="Y28" t="inlineStr">
        <is>
          <t>SHOP_REWARD_PROFILE_INVALID</t>
        </is>
      </c>
    </row>
    <row r="29">
      <c r="A29" s="38" t="inlineStr">
        <is>
          <t>trainer</t>
        </is>
      </c>
      <c r="B29" s="38" t="inlineStr">
        <is>
          <t>malafang</t>
        </is>
      </c>
      <c r="C29" s="38" t="inlineStr">
        <is>
          <t>Malafang</t>
        </is>
      </c>
      <c r="D29" s="38" t="inlineStr">
        <is>
          <t>teaches burn skills</t>
        </is>
      </c>
      <c r="E29" s="38" t="n">
        <v>21</v>
      </c>
      <c r="F29" s="38" t="inlineStr">
        <is>
          <t>trainer_malafang</t>
        </is>
      </c>
      <c r="G29" s="38" t="n">
        <v>5</v>
      </c>
      <c r="H29" s="38" t="str"/>
      <c r="I29" s="38" t="inlineStr">
        <is>
          <t>未开放</t>
        </is>
      </c>
      <c r="J29" s="38" t="inlineStr">
        <is>
          <t>未开放</t>
        </is>
      </c>
      <c r="K29" s="38" t="inlineStr">
        <is>
          <t>未开放</t>
        </is>
      </c>
      <c r="L29" s="38" t="n">
        <v>3</v>
      </c>
      <c r="M29" s="38" t="n">
        <v>1</v>
      </c>
      <c r="N29" s="38" t="inlineStr">
        <is>
          <t>role_治疗</t>
        </is>
      </c>
      <c r="O29" s="38" t="inlineStr">
        <is>
          <t>沙悟净</t>
        </is>
      </c>
      <c r="P29" s="38" t="inlineStr">
        <is>
          <t>先固定前三天来源摊位，再做冲突图着色；地点内各摊位独立抽取，不合并货池。</t>
        </is>
      </c>
      <c r="Q29" t="inlineStr">
        <is>
          <t>reserved</t>
        </is>
      </c>
      <c r="R29" t="n">
        <v>0</v>
      </c>
      <c r="S29" t="inlineStr">
        <is>
          <t>playable</t>
        </is>
      </c>
      <c r="T29" t="inlineStr">
        <is>
          <t>training_service</t>
        </is>
      </c>
      <c r="U29" t="inlineStr">
        <is>
          <t>shop_reward.trainer_malafang</t>
        </is>
      </c>
      <c r="V29" t="inlineStr">
        <is>
          <t>training_service</t>
        </is>
      </c>
      <c r="W29" t="inlineStr">
        <is>
          <t>explicit_item_ids</t>
        </is>
      </c>
      <c r="X29" t="inlineStr">
        <is>
          <t>skill_party_attack_1, build_skill_a_strike_1, build_skill_a_strike_2</t>
        </is>
      </c>
      <c r="Y29" t="inlineStr">
        <is>
          <t>SHOP_REWARD_PROFILE_INVALID</t>
        </is>
      </c>
    </row>
    <row r="30">
      <c r="A30" s="38" t="inlineStr">
        <is>
          <t>merchant</t>
        </is>
      </c>
      <c r="B30" s="38" t="inlineStr">
        <is>
          <t>nautica</t>
        </is>
      </c>
      <c r="C30" s="38" t="inlineStr">
        <is>
          <t>Nautica</t>
        </is>
      </c>
      <c r="D30" s="38" t="inlineStr">
        <is>
          <t>sells aquatic items</t>
        </is>
      </c>
      <c r="E30" s="38" t="n">
        <v>64</v>
      </c>
      <c r="F30" s="38" t="inlineStr">
        <is>
          <t>merchant_nautica</t>
        </is>
      </c>
      <c r="G30" s="38" t="n">
        <v>6</v>
      </c>
      <c r="H30" s="38" t="str"/>
      <c r="I30" s="38" t="inlineStr">
        <is>
          <t>未开放</t>
        </is>
      </c>
      <c r="J30" s="38" t="inlineStr">
        <is>
          <t>未开放</t>
        </is>
      </c>
      <c r="K30" s="38" t="inlineStr">
        <is>
          <t>未开放</t>
        </is>
      </c>
      <c r="L30" s="38" t="n">
        <v>3</v>
      </c>
      <c r="M30" s="38" t="n">
        <v>1</v>
      </c>
      <c r="N30" s="38" t="inlineStr">
        <is>
          <t>role_输出</t>
        </is>
      </c>
      <c r="O30" s="38" t="inlineStr">
        <is>
          <t>沙僧</t>
        </is>
      </c>
      <c r="P30" s="38" t="inlineStr">
        <is>
          <t>先固定前三天来源摊位，再做冲突图着色；地点内各摊位独立抽取，不合并货池。</t>
        </is>
      </c>
      <c r="Q30" t="inlineStr">
        <is>
          <t>playable</t>
        </is>
      </c>
      <c r="R30" t="n">
        <v>61</v>
      </c>
      <c r="S30" t="inlineStr">
        <is>
          <t>playable</t>
        </is>
      </c>
      <c r="T30" t="inlineStr">
        <is>
          <t>pet</t>
        </is>
      </c>
      <c r="U30" t="inlineStr">
        <is>
          <t>shop_reward.merchant_nautica</t>
        </is>
      </c>
      <c r="V30" t="inlineStr">
        <is>
          <t>pet</t>
        </is>
      </c>
      <c r="W30" t="inlineStr">
        <is>
          <t>source_stall_relation</t>
        </is>
      </c>
      <c r="Y30" t="inlineStr">
        <is>
          <t>SHOP_REWARD_PROFILE_INVALID</t>
        </is>
      </c>
    </row>
    <row r="31">
      <c r="A31" s="38" t="inlineStr">
        <is>
          <t>trainer</t>
        </is>
      </c>
      <c r="B31" s="38" t="inlineStr">
        <is>
          <t>professor-riggle</t>
        </is>
      </c>
      <c r="C31" s="38" t="inlineStr">
        <is>
          <t>Professor Riggle</t>
        </is>
      </c>
      <c r="D31" s="38" t="inlineStr">
        <is>
          <t>teaches poison skills</t>
        </is>
      </c>
      <c r="E31" s="38" t="n">
        <v>17</v>
      </c>
      <c r="F31" s="38" t="inlineStr">
        <is>
          <t>trainer_professor-riggle</t>
        </is>
      </c>
      <c r="G31" s="38" t="n">
        <v>6</v>
      </c>
      <c r="H31" s="38" t="str"/>
      <c r="I31" s="38" t="inlineStr">
        <is>
          <t>未开放</t>
        </is>
      </c>
      <c r="J31" s="38" t="inlineStr">
        <is>
          <t>未开放</t>
        </is>
      </c>
      <c r="K31" s="38" t="inlineStr">
        <is>
          <t>未开放</t>
        </is>
      </c>
      <c r="L31" s="38" t="n">
        <v>3</v>
      </c>
      <c r="M31" s="38" t="n">
        <v>1</v>
      </c>
      <c r="N31" s="38" t="inlineStr">
        <is>
          <t>role_输出</t>
        </is>
      </c>
      <c r="O31" s="38" t="inlineStr">
        <is>
          <t>沙僧</t>
        </is>
      </c>
      <c r="P31" s="38" t="inlineStr">
        <is>
          <t>先固定前三天来源摊位，再做冲突图着色；地点内各摊位独立抽取，不合并货池。</t>
        </is>
      </c>
      <c r="Q31" t="inlineStr">
        <is>
          <t>reserved</t>
        </is>
      </c>
      <c r="R31" t="n">
        <v>0</v>
      </c>
      <c r="S31" t="inlineStr">
        <is>
          <t>playable</t>
        </is>
      </c>
      <c r="T31" t="inlineStr">
        <is>
          <t>training_service</t>
        </is>
      </c>
      <c r="U31" t="inlineStr">
        <is>
          <t>shop_reward.trainer_professor-riggle</t>
        </is>
      </c>
      <c r="V31" t="inlineStr">
        <is>
          <t>training_service</t>
        </is>
      </c>
      <c r="W31" t="inlineStr">
        <is>
          <t>explicit_item_ids</t>
        </is>
      </c>
      <c r="X31" t="inlineStr">
        <is>
          <t>skill_party_defense_1, skill_party_attack_1, build_skill_b_guard_1</t>
        </is>
      </c>
      <c r="Y31" t="inlineStr">
        <is>
          <t>SHOP_REWARD_PROFILE_INVALID</t>
        </is>
      </c>
    </row>
    <row r="32">
      <c r="A32" s="38" t="inlineStr">
        <is>
          <t>merchant</t>
        </is>
      </c>
      <c r="B32" s="38" t="inlineStr">
        <is>
          <t>silvia</t>
        </is>
      </c>
      <c r="C32" s="38" t="inlineStr">
        <is>
          <t>Silvia</t>
        </is>
      </c>
      <c r="D32" s="38" t="inlineStr">
        <is>
          <t>sells silver-tier items</t>
        </is>
      </c>
      <c r="E32" s="38" t="n">
        <v>71</v>
      </c>
      <c r="F32" s="38" t="inlineStr">
        <is>
          <t>merchant_silvia</t>
        </is>
      </c>
      <c r="G32" s="38" t="n">
        <v>6</v>
      </c>
      <c r="H32" s="38" t="str"/>
      <c r="I32" s="38" t="inlineStr">
        <is>
          <t>未开放</t>
        </is>
      </c>
      <c r="J32" s="38" t="inlineStr">
        <is>
          <t>未开放</t>
        </is>
      </c>
      <c r="K32" s="38" t="inlineStr">
        <is>
          <t>未开放</t>
        </is>
      </c>
      <c r="L32" s="38" t="n">
        <v>3</v>
      </c>
      <c r="M32" s="38" t="n">
        <v>1</v>
      </c>
      <c r="N32" s="38" t="inlineStr">
        <is>
          <t>role_经济</t>
        </is>
      </c>
      <c r="O32" s="38" t="inlineStr">
        <is>
          <t>黎山老母</t>
        </is>
      </c>
      <c r="P32" s="38" t="inlineStr">
        <is>
          <t>先固定前三天来源摊位，再做冲突图着色；地点内各摊位独立抽取，不合并货池。</t>
        </is>
      </c>
      <c r="Q32" t="inlineStr">
        <is>
          <t>playable</t>
        </is>
      </c>
      <c r="R32" t="n">
        <v>23</v>
      </c>
      <c r="S32" t="inlineStr">
        <is>
          <t>playable</t>
        </is>
      </c>
      <c r="T32" t="inlineStr">
        <is>
          <t>pet</t>
        </is>
      </c>
      <c r="U32" t="inlineStr">
        <is>
          <t>shop_reward.merchant_silvia</t>
        </is>
      </c>
      <c r="V32" t="inlineStr">
        <is>
          <t>pet</t>
        </is>
      </c>
      <c r="W32" t="inlineStr">
        <is>
          <t>source_stall_relation</t>
        </is>
      </c>
      <c r="Y32" t="inlineStr">
        <is>
          <t>SHOP_REWARD_PROFILE_INVALID</t>
        </is>
      </c>
    </row>
    <row r="33">
      <c r="A33" s="38" t="inlineStr">
        <is>
          <t>trainer</t>
        </is>
      </c>
      <c r="B33" s="38" t="inlineStr">
        <is>
          <t>slohmor-lumbra</t>
        </is>
      </c>
      <c r="C33" s="38" t="inlineStr">
        <is>
          <t>Slohmor Lumbra</t>
        </is>
      </c>
      <c r="D33" s="38" t="inlineStr">
        <is>
          <t>teaches slow skills</t>
        </is>
      </c>
      <c r="E33" s="38" t="n">
        <v>12</v>
      </c>
      <c r="F33" s="38" t="inlineStr">
        <is>
          <t>trainer_slohmor-lumbra</t>
        </is>
      </c>
      <c r="G33" s="38" t="n">
        <v>5</v>
      </c>
      <c r="H33" s="38" t="str"/>
      <c r="I33" s="38" t="inlineStr">
        <is>
          <t>未开放</t>
        </is>
      </c>
      <c r="J33" s="38" t="inlineStr">
        <is>
          <t>未开放</t>
        </is>
      </c>
      <c r="K33" s="38" t="inlineStr">
        <is>
          <t>未开放</t>
        </is>
      </c>
      <c r="L33" s="38" t="n">
        <v>3</v>
      </c>
      <c r="M33" s="38" t="n">
        <v>1</v>
      </c>
      <c r="N33" s="38" t="inlineStr">
        <is>
          <t>role_经济</t>
        </is>
      </c>
      <c r="O33" s="38" t="inlineStr">
        <is>
          <t>黎山老母</t>
        </is>
      </c>
      <c r="P33" s="38" t="inlineStr">
        <is>
          <t>先固定前三天来源摊位，再做冲突图着色；地点内各摊位独立抽取，不合并货池。</t>
        </is>
      </c>
      <c r="Q33" t="inlineStr">
        <is>
          <t>reserved</t>
        </is>
      </c>
      <c r="R33" t="n">
        <v>0</v>
      </c>
      <c r="S33" t="inlineStr">
        <is>
          <t>playable</t>
        </is>
      </c>
      <c r="T33" t="inlineStr">
        <is>
          <t>training_service</t>
        </is>
      </c>
      <c r="U33" t="inlineStr">
        <is>
          <t>shop_reward.trainer_slohmor-lumbra</t>
        </is>
      </c>
      <c r="V33" t="inlineStr">
        <is>
          <t>training_service</t>
        </is>
      </c>
      <c r="W33" t="inlineStr">
        <is>
          <t>explicit_item_ids</t>
        </is>
      </c>
      <c r="X33" t="inlineStr">
        <is>
          <t>skill_party_defense_1, skill_party_shield_1, build_skill_b_guard_1</t>
        </is>
      </c>
      <c r="Y33" t="inlineStr">
        <is>
          <t>SHOP_REWARD_PROFILE_INVALID</t>
        </is>
      </c>
    </row>
    <row r="34">
      <c r="A34" s="38" t="inlineStr">
        <is>
          <t>merchant</t>
        </is>
      </c>
      <c r="B34" s="38" t="inlineStr">
        <is>
          <t>colt</t>
        </is>
      </c>
      <c r="C34" s="38" t="inlineStr">
        <is>
          <t>Colt</t>
        </is>
      </c>
      <c r="D34" s="38" t="inlineStr">
        <is>
          <t>sells ammo items</t>
        </is>
      </c>
      <c r="E34" s="38" t="n">
        <v>33</v>
      </c>
      <c r="F34" s="38" t="inlineStr">
        <is>
          <t>merchant_colt</t>
        </is>
      </c>
      <c r="G34" s="38" t="n">
        <v>6</v>
      </c>
      <c r="H34" s="38" t="str"/>
      <c r="I34" s="38" t="inlineStr">
        <is>
          <t>未开放</t>
        </is>
      </c>
      <c r="J34" s="38" t="inlineStr">
        <is>
          <t>未开放</t>
        </is>
      </c>
      <c r="K34" s="38" t="inlineStr">
        <is>
          <t>未开放</t>
        </is>
      </c>
      <c r="L34" s="38" t="n">
        <v>3</v>
      </c>
      <c r="M34" s="38" t="n">
        <v>1</v>
      </c>
      <c r="N34" s="38" t="inlineStr">
        <is>
          <t>role_机动</t>
        </is>
      </c>
      <c r="O34" s="38" t="inlineStr">
        <is>
          <t>观音</t>
        </is>
      </c>
      <c r="P34" s="38" t="inlineStr">
        <is>
          <t>先固定前三天来源摊位，再做冲突图着色；地点内各摊位独立抽取，不合并货池。</t>
        </is>
      </c>
      <c r="Q34" t="inlineStr">
        <is>
          <t>playable</t>
        </is>
      </c>
      <c r="R34" t="n">
        <v>30</v>
      </c>
      <c r="S34" t="inlineStr">
        <is>
          <t>playable</t>
        </is>
      </c>
      <c r="T34" t="inlineStr">
        <is>
          <t>pet</t>
        </is>
      </c>
      <c r="U34" t="inlineStr">
        <is>
          <t>shop_reward.merchant_colt</t>
        </is>
      </c>
      <c r="V34" t="inlineStr">
        <is>
          <t>pet</t>
        </is>
      </c>
      <c r="W34" t="inlineStr">
        <is>
          <t>source_stall_relation</t>
        </is>
      </c>
      <c r="Y34" t="inlineStr">
        <is>
          <t>SHOP_REWARD_PROFILE_INVALID</t>
        </is>
      </c>
    </row>
    <row r="35">
      <c r="A35" s="38" t="inlineStr">
        <is>
          <t>merchant</t>
        </is>
      </c>
      <c r="B35" s="38" t="inlineStr">
        <is>
          <t>prospero</t>
        </is>
      </c>
      <c r="C35" s="38" t="inlineStr">
        <is>
          <t>Prospero</t>
        </is>
      </c>
      <c r="D35" s="38" t="inlineStr">
        <is>
          <t>sells economic items from any hero</t>
        </is>
      </c>
      <c r="E35" s="38" t="n">
        <v>3</v>
      </c>
      <c r="F35" s="38" t="inlineStr">
        <is>
          <t>merchant_prospero</t>
        </is>
      </c>
      <c r="G35" s="38" t="n">
        <v>6</v>
      </c>
      <c r="H35" s="38" t="str"/>
      <c r="I35" s="38" t="inlineStr">
        <is>
          <t>未开放</t>
        </is>
      </c>
      <c r="J35" s="38" t="inlineStr">
        <is>
          <t>未开放</t>
        </is>
      </c>
      <c r="K35" s="38" t="inlineStr">
        <is>
          <t>未开放</t>
        </is>
      </c>
      <c r="L35" s="38" t="n">
        <v>3</v>
      </c>
      <c r="M35" s="38" t="n">
        <v>1</v>
      </c>
      <c r="N35" s="38" t="inlineStr">
        <is>
          <t>role_机动</t>
        </is>
      </c>
      <c r="O35" s="38" t="inlineStr">
        <is>
          <t>观音</t>
        </is>
      </c>
      <c r="P35" s="38" t="inlineStr">
        <is>
          <t>先固定前三天来源摊位，再做冲突图着色；地点内各摊位独立抽取，不合并货池。</t>
        </is>
      </c>
      <c r="Q35" t="inlineStr">
        <is>
          <t>playable</t>
        </is>
      </c>
      <c r="R35" t="n">
        <v>3</v>
      </c>
      <c r="S35" t="inlineStr">
        <is>
          <t>playable</t>
        </is>
      </c>
      <c r="T35" t="inlineStr">
        <is>
          <t>pet</t>
        </is>
      </c>
      <c r="U35" t="inlineStr">
        <is>
          <t>shop_reward.merchant_prospero</t>
        </is>
      </c>
      <c r="V35" t="inlineStr">
        <is>
          <t>pet</t>
        </is>
      </c>
      <c r="W35" t="inlineStr">
        <is>
          <t>source_stall_relation</t>
        </is>
      </c>
      <c r="Y35" t="inlineStr">
        <is>
          <t>SHOP_REWARD_PROFILE_INVALID</t>
        </is>
      </c>
    </row>
    <row r="36">
      <c r="A36" s="38" t="inlineStr">
        <is>
          <t>merchant</t>
        </is>
      </c>
      <c r="B36" s="38" t="inlineStr">
        <is>
          <t>tok-s-clocks</t>
        </is>
      </c>
      <c r="C36" s="38" t="inlineStr">
        <is>
          <t>Tok's Clocks</t>
        </is>
      </c>
      <c r="D36" s="38" t="inlineStr">
        <is>
          <t>sells haste, slow and cooldown items.</t>
        </is>
      </c>
      <c r="E36" s="38" t="n">
        <v>55</v>
      </c>
      <c r="F36" s="38" t="inlineStr">
        <is>
          <t>merchant_tok-s-clocks</t>
        </is>
      </c>
      <c r="G36" s="38" t="n">
        <v>4</v>
      </c>
      <c r="H36" s="38" t="str"/>
      <c r="I36" s="38" t="inlineStr">
        <is>
          <t>未开放</t>
        </is>
      </c>
      <c r="J36" s="38" t="inlineStr">
        <is>
          <t>未开放</t>
        </is>
      </c>
      <c r="K36" s="38" t="inlineStr">
        <is>
          <t>未开放</t>
        </is>
      </c>
      <c r="L36" s="38" t="n">
        <v>3</v>
      </c>
      <c r="M36" s="38" t="n">
        <v>1</v>
      </c>
      <c r="N36" s="38" t="inlineStr">
        <is>
          <t>special_merchant</t>
        </is>
      </c>
      <c r="O36" s="38" t="inlineStr">
        <is>
          <t>普贤</t>
        </is>
      </c>
      <c r="P36" s="38" t="inlineStr">
        <is>
          <t>先固定前三天来源摊位，再做冲突图着色；地点内各摊位独立抽取，不合并货池。</t>
        </is>
      </c>
      <c r="Q36" t="inlineStr">
        <is>
          <t>playable</t>
        </is>
      </c>
      <c r="R36" t="n">
        <v>52</v>
      </c>
      <c r="S36" t="inlineStr">
        <is>
          <t>playable</t>
        </is>
      </c>
      <c r="T36" t="inlineStr">
        <is>
          <t>pet</t>
        </is>
      </c>
      <c r="U36" t="inlineStr">
        <is>
          <t>shop_reward.merchant_tok-s-clocks</t>
        </is>
      </c>
      <c r="V36" t="inlineStr">
        <is>
          <t>pet</t>
        </is>
      </c>
      <c r="W36" t="inlineStr">
        <is>
          <t>source_stall_relation</t>
        </is>
      </c>
      <c r="Y36" t="inlineStr">
        <is>
          <t>SHOP_REWARD_PROFILE_INVALID</t>
        </is>
      </c>
    </row>
    <row r="37">
      <c r="A37" s="38" t="inlineStr">
        <is>
          <t>trainer</t>
        </is>
      </c>
      <c r="B37" s="38" t="inlineStr">
        <is>
          <t>zara</t>
        </is>
      </c>
      <c r="C37" s="38" t="inlineStr">
        <is>
          <t>Zara</t>
        </is>
      </c>
      <c r="D37" s="38" t="inlineStr">
        <is>
          <t>teaches haste and charge skills</t>
        </is>
      </c>
      <c r="E37" s="38" t="n">
        <v>25</v>
      </c>
      <c r="F37" s="38" t="inlineStr">
        <is>
          <t>trainer_zara</t>
        </is>
      </c>
      <c r="G37" s="38" t="n">
        <v>5</v>
      </c>
      <c r="H37" s="38" t="str"/>
      <c r="I37" s="38" t="inlineStr">
        <is>
          <t>未开放</t>
        </is>
      </c>
      <c r="J37" s="38" t="inlineStr">
        <is>
          <t>未开放</t>
        </is>
      </c>
      <c r="K37" s="38" t="inlineStr">
        <is>
          <t>未开放</t>
        </is>
      </c>
      <c r="L37" s="38" t="n">
        <v>3</v>
      </c>
      <c r="M37" s="38" t="n">
        <v>1</v>
      </c>
      <c r="N37" s="38" t="inlineStr">
        <is>
          <t>special_merchant</t>
        </is>
      </c>
      <c r="O37" s="38" t="inlineStr">
        <is>
          <t>普贤</t>
        </is>
      </c>
      <c r="P37" s="38" t="inlineStr">
        <is>
          <t>先固定前三天来源摊位，再做冲突图着色；地点内各摊位独立抽取，不合并货池。</t>
        </is>
      </c>
      <c r="Q37" t="inlineStr">
        <is>
          <t>reserved</t>
        </is>
      </c>
      <c r="R37" t="n">
        <v>0</v>
      </c>
      <c r="S37" t="inlineStr">
        <is>
          <t>playable</t>
        </is>
      </c>
      <c r="T37" t="inlineStr">
        <is>
          <t>training_service</t>
        </is>
      </c>
      <c r="U37" t="inlineStr">
        <is>
          <t>shop_reward.trainer_zara</t>
        </is>
      </c>
      <c r="V37" t="inlineStr">
        <is>
          <t>training_service</t>
        </is>
      </c>
      <c r="W37" t="inlineStr">
        <is>
          <t>explicit_item_ids</t>
        </is>
      </c>
      <c r="X37" t="inlineStr">
        <is>
          <t>skill_party_attack_1, skill_party_shield_1, build_skill_a_strike_1</t>
        </is>
      </c>
      <c r="Y37" t="inlineStr">
        <is>
          <t>SHOP_REWARD_PROFILE_INVALID</t>
        </is>
      </c>
    </row>
    <row r="38">
      <c r="A38" s="38" t="inlineStr">
        <is>
          <t>merchant</t>
        </is>
      </c>
      <c r="B38" s="38" t="inlineStr">
        <is>
          <t>chronos</t>
        </is>
      </c>
      <c r="C38" s="38" t="inlineStr">
        <is>
          <t>Chronos</t>
        </is>
      </c>
      <c r="D38" s="38" t="inlineStr">
        <is>
          <t>sells haste items.</t>
        </is>
      </c>
      <c r="E38" s="38" t="n">
        <v>32</v>
      </c>
      <c r="F38" s="38" t="inlineStr">
        <is>
          <t>merchant_chronos</t>
        </is>
      </c>
      <c r="G38" s="38" t="n">
        <v>6</v>
      </c>
      <c r="H38" s="38" t="str"/>
      <c r="I38" s="38" t="inlineStr">
        <is>
          <t>未开放</t>
        </is>
      </c>
      <c r="J38" s="38" t="inlineStr">
        <is>
          <t>未开放</t>
        </is>
      </c>
      <c r="K38" s="38" t="inlineStr">
        <is>
          <t>未开放</t>
        </is>
      </c>
      <c r="L38" s="38" t="n">
        <v>3</v>
      </c>
      <c r="M38" s="38" t="n">
        <v>1</v>
      </c>
      <c r="N38" s="38" t="inlineStr">
        <is>
          <t>elite_high</t>
        </is>
      </c>
      <c r="O38" s="38" t="inlineStr">
        <is>
          <t>文殊</t>
        </is>
      </c>
      <c r="P38" s="38" t="inlineStr">
        <is>
          <t>先固定前三天来源摊位，再做冲突图着色；地点内各摊位独立抽取，不合并货池。</t>
        </is>
      </c>
      <c r="Q38" t="inlineStr">
        <is>
          <t>playable</t>
        </is>
      </c>
      <c r="R38" t="n">
        <v>29</v>
      </c>
      <c r="S38" t="inlineStr">
        <is>
          <t>playable</t>
        </is>
      </c>
      <c r="T38" t="inlineStr">
        <is>
          <t>pet</t>
        </is>
      </c>
      <c r="U38" t="inlineStr">
        <is>
          <t>shop_reward.merchant_chronos</t>
        </is>
      </c>
      <c r="V38" t="inlineStr">
        <is>
          <t>pet</t>
        </is>
      </c>
      <c r="W38" t="inlineStr">
        <is>
          <t>source_stall_relation</t>
        </is>
      </c>
      <c r="Y38" t="inlineStr">
        <is>
          <t>SHOP_REWARD_PROFILE_INVALID</t>
        </is>
      </c>
    </row>
    <row r="39">
      <c r="A39" s="38" t="inlineStr">
        <is>
          <t>merchant</t>
        </is>
      </c>
      <c r="B39" s="38" t="inlineStr">
        <is>
          <t>vanessa</t>
        </is>
      </c>
      <c r="C39" s="38" t="inlineStr">
        <is>
          <t>Vanessa</t>
        </is>
      </c>
      <c r="D39" s="38" t="inlineStr">
        <is>
          <t>sells items from this hero</t>
        </is>
      </c>
      <c r="E39" s="38" t="n">
        <v>5</v>
      </c>
      <c r="F39" s="38" t="inlineStr">
        <is>
          <t>merchant_vanessa</t>
        </is>
      </c>
      <c r="G39" s="38" t="n">
        <v>4</v>
      </c>
      <c r="H39" s="38" t="str"/>
      <c r="I39" s="38" t="inlineStr">
        <is>
          <t>未开放</t>
        </is>
      </c>
      <c r="J39" s="38" t="inlineStr">
        <is>
          <t>未开放</t>
        </is>
      </c>
      <c r="K39" s="38" t="inlineStr">
        <is>
          <t>未开放</t>
        </is>
      </c>
      <c r="L39" s="38" t="n">
        <v>3</v>
      </c>
      <c r="M39" s="38" t="n">
        <v>1</v>
      </c>
      <c r="N39" s="38" t="inlineStr">
        <is>
          <t>elite_high</t>
        </is>
      </c>
      <c r="O39" s="38" t="inlineStr">
        <is>
          <t>文殊</t>
        </is>
      </c>
      <c r="P39" s="38" t="inlineStr">
        <is>
          <t>先固定前三天来源摊位，再做冲突图着色；地点内各摊位独立抽取，不合并货池。</t>
        </is>
      </c>
      <c r="Q39" t="inlineStr">
        <is>
          <t>playable</t>
        </is>
      </c>
      <c r="R39" t="n">
        <v>5</v>
      </c>
      <c r="S39" t="inlineStr">
        <is>
          <t>playable</t>
        </is>
      </c>
      <c r="T39" t="inlineStr">
        <is>
          <t>pet</t>
        </is>
      </c>
      <c r="U39" t="inlineStr">
        <is>
          <t>shop_reward.merchant_vanessa</t>
        </is>
      </c>
      <c r="V39" t="inlineStr">
        <is>
          <t>pet</t>
        </is>
      </c>
      <c r="W39" t="inlineStr">
        <is>
          <t>source_stall_relation</t>
        </is>
      </c>
      <c r="Y39" t="inlineStr">
        <is>
          <t>SHOP_REWARD_PROFILE_INVALID</t>
        </is>
      </c>
    </row>
    <row r="40">
      <c r="A40" s="38" t="inlineStr">
        <is>
          <t>merchant</t>
        </is>
      </c>
      <c r="B40" s="38" t="inlineStr">
        <is>
          <t>aimbot</t>
        </is>
      </c>
      <c r="C40" s="38" t="inlineStr">
        <is>
          <t>Aimbot</t>
        </is>
      </c>
      <c r="D40" s="38" t="inlineStr">
        <is>
          <t>sells crit items from any hero</t>
        </is>
      </c>
      <c r="E40" s="38" t="n">
        <v>24</v>
      </c>
      <c r="F40" s="38" t="inlineStr">
        <is>
          <t>merchant_aimbot</t>
        </is>
      </c>
      <c r="G40" s="38" t="n">
        <v>5</v>
      </c>
      <c r="H40" s="38" t="str"/>
      <c r="I40" s="38" t="inlineStr">
        <is>
          <t>未开放</t>
        </is>
      </c>
      <c r="J40" s="38" t="inlineStr">
        <is>
          <t>未开放</t>
        </is>
      </c>
      <c r="K40" s="38" t="inlineStr">
        <is>
          <t>未开放</t>
        </is>
      </c>
      <c r="L40" s="38" t="n">
        <v>3</v>
      </c>
      <c r="M40" s="38" t="n">
        <v>1</v>
      </c>
      <c r="N40" s="38" t="inlineStr">
        <is>
          <t>tier_pT1</t>
        </is>
      </c>
      <c r="O40" s="38" t="inlineStr">
        <is>
          <t>镇元大仙</t>
        </is>
      </c>
      <c r="P40" s="38" t="inlineStr">
        <is>
          <t>先固定前三天来源摊位，再做冲突图着色；地点内各摊位独立抽取，不合并货池。</t>
        </is>
      </c>
      <c r="Q40" t="inlineStr">
        <is>
          <t>playable</t>
        </is>
      </c>
      <c r="R40" t="n">
        <v>21</v>
      </c>
      <c r="S40" t="inlineStr">
        <is>
          <t>playable</t>
        </is>
      </c>
      <c r="T40" t="inlineStr">
        <is>
          <t>pet</t>
        </is>
      </c>
      <c r="U40" t="inlineStr">
        <is>
          <t>shop_reward.merchant_aimbot</t>
        </is>
      </c>
      <c r="V40" t="inlineStr">
        <is>
          <t>pet</t>
        </is>
      </c>
      <c r="W40" t="inlineStr">
        <is>
          <t>source_stall_relation</t>
        </is>
      </c>
      <c r="Y40" t="inlineStr">
        <is>
          <t>SHOP_REWARD_PROFILE_INVALID</t>
        </is>
      </c>
    </row>
    <row r="41">
      <c r="A41" s="38" t="inlineStr">
        <is>
          <t>trainer</t>
        </is>
      </c>
      <c r="B41" s="38" t="inlineStr">
        <is>
          <t>c4</t>
        </is>
      </c>
      <c r="C41" s="38" t="inlineStr">
        <is>
          <t>C4</t>
        </is>
      </c>
      <c r="D41" s="38" t="inlineStr">
        <is>
          <t>teaches ammo skills</t>
        </is>
      </c>
      <c r="E41" s="38" t="n">
        <v>10</v>
      </c>
      <c r="F41" s="38" t="inlineStr">
        <is>
          <t>trainer_c4</t>
        </is>
      </c>
      <c r="G41" s="38" t="n">
        <v>4</v>
      </c>
      <c r="H41" s="38" t="str"/>
      <c r="I41" s="38" t="inlineStr">
        <is>
          <t>未开放</t>
        </is>
      </c>
      <c r="J41" s="38" t="inlineStr">
        <is>
          <t>未开放</t>
        </is>
      </c>
      <c r="K41" s="38" t="inlineStr">
        <is>
          <t>未开放</t>
        </is>
      </c>
      <c r="L41" s="38" t="n">
        <v>3</v>
      </c>
      <c r="M41" s="38" t="n">
        <v>1</v>
      </c>
      <c r="N41" s="38" t="inlineStr">
        <is>
          <t>tier_pT1</t>
        </is>
      </c>
      <c r="O41" s="38" t="inlineStr">
        <is>
          <t>镇元大仙</t>
        </is>
      </c>
      <c r="P41" s="38" t="inlineStr">
        <is>
          <t>先固定前三天来源摊位，再做冲突图着色；地点内各摊位独立抽取，不合并货池。</t>
        </is>
      </c>
      <c r="Q41" t="inlineStr">
        <is>
          <t>reserved</t>
        </is>
      </c>
      <c r="R41" t="n">
        <v>0</v>
      </c>
      <c r="S41" t="inlineStr">
        <is>
          <t>playable</t>
        </is>
      </c>
      <c r="T41" t="inlineStr">
        <is>
          <t>training_service</t>
        </is>
      </c>
      <c r="U41" t="inlineStr">
        <is>
          <t>shop_reward.trainer_c4</t>
        </is>
      </c>
      <c r="V41" t="inlineStr">
        <is>
          <t>training_service</t>
        </is>
      </c>
      <c r="W41" t="inlineStr">
        <is>
          <t>explicit_item_ids</t>
        </is>
      </c>
      <c r="X41" t="inlineStr">
        <is>
          <t>skill_party_attack_1, build_skill_a_strike_1, build_skill_a_strike_2</t>
        </is>
      </c>
      <c r="Y41" t="inlineStr">
        <is>
          <t>SHOP_REWARD_PROFILE_INVALID</t>
        </is>
      </c>
    </row>
    <row r="42">
      <c r="A42" s="38" t="inlineStr">
        <is>
          <t>merchant</t>
        </is>
      </c>
      <c r="B42" s="38" t="inlineStr">
        <is>
          <t>hef</t>
        </is>
      </c>
      <c r="C42" s="38" t="inlineStr">
        <is>
          <t>Hef</t>
        </is>
      </c>
      <c r="D42" s="38" t="inlineStr">
        <is>
          <t>sells burn items.</t>
        </is>
      </c>
      <c r="E42" s="38" t="n">
        <v>23</v>
      </c>
      <c r="F42" s="38" t="inlineStr">
        <is>
          <t>merchant_hef</t>
        </is>
      </c>
      <c r="G42" s="38" t="n">
        <v>4</v>
      </c>
      <c r="H42" s="38" t="str"/>
      <c r="I42" s="38" t="inlineStr">
        <is>
          <t>未开放</t>
        </is>
      </c>
      <c r="J42" s="38" t="inlineStr">
        <is>
          <t>未开放</t>
        </is>
      </c>
      <c r="K42" s="38" t="inlineStr">
        <is>
          <t>未开放</t>
        </is>
      </c>
      <c r="L42" s="38" t="n">
        <v>3</v>
      </c>
      <c r="M42" s="38" t="n">
        <v>1</v>
      </c>
      <c r="N42" s="38" t="inlineStr">
        <is>
          <t>tier_pT2</t>
        </is>
      </c>
      <c r="O42" s="38" t="inlineStr">
        <is>
          <t>观音菩萨</t>
        </is>
      </c>
      <c r="P42" s="38" t="inlineStr">
        <is>
          <t>先固定前三天来源摊位，再做冲突图着色；地点内各摊位独立抽取，不合并货池。</t>
        </is>
      </c>
      <c r="Q42" t="inlineStr">
        <is>
          <t>playable</t>
        </is>
      </c>
      <c r="R42" t="n">
        <v>20</v>
      </c>
      <c r="S42" t="inlineStr">
        <is>
          <t>playable</t>
        </is>
      </c>
      <c r="T42" t="inlineStr">
        <is>
          <t>pet</t>
        </is>
      </c>
      <c r="U42" t="inlineStr">
        <is>
          <t>shop_reward.merchant_hef</t>
        </is>
      </c>
      <c r="V42" t="inlineStr">
        <is>
          <t>pet</t>
        </is>
      </c>
      <c r="W42" t="inlineStr">
        <is>
          <t>source_stall_relation</t>
        </is>
      </c>
      <c r="Y42" t="inlineStr">
        <is>
          <t>SHOP_REWARD_PROFILE_INVALID</t>
        </is>
      </c>
    </row>
    <row r="43">
      <c r="A43" s="38" t="inlineStr">
        <is>
          <t>trainer</t>
        </is>
      </c>
      <c r="B43" s="38" t="inlineStr">
        <is>
          <t>regenald</t>
        </is>
      </c>
      <c r="C43" s="38" t="inlineStr">
        <is>
          <t>Regenald</t>
        </is>
      </c>
      <c r="D43" s="38" t="inlineStr">
        <is>
          <t>teaches health, heal and regen skills</t>
        </is>
      </c>
      <c r="E43" s="38" t="n">
        <v>9</v>
      </c>
      <c r="F43" s="38" t="inlineStr">
        <is>
          <t>trainer_regenald</t>
        </is>
      </c>
      <c r="G43" s="38" t="n">
        <v>5</v>
      </c>
      <c r="H43" s="38" t="str"/>
      <c r="I43" s="38" t="inlineStr">
        <is>
          <t>未开放</t>
        </is>
      </c>
      <c r="J43" s="38" t="inlineStr">
        <is>
          <t>未开放</t>
        </is>
      </c>
      <c r="K43" s="38" t="inlineStr">
        <is>
          <t>未开放</t>
        </is>
      </c>
      <c r="L43" s="38" t="n">
        <v>3</v>
      </c>
      <c r="M43" s="38" t="n">
        <v>1</v>
      </c>
      <c r="N43" s="38" t="inlineStr">
        <is>
          <t>tier_pT2</t>
        </is>
      </c>
      <c r="O43" s="38" t="inlineStr">
        <is>
          <t>观音菩萨</t>
        </is>
      </c>
      <c r="P43" s="38" t="inlineStr">
        <is>
          <t>先固定前三天来源摊位，再做冲突图着色；地点内各摊位独立抽取，不合并货池。</t>
        </is>
      </c>
      <c r="Q43" t="inlineStr">
        <is>
          <t>reserved</t>
        </is>
      </c>
      <c r="R43" t="n">
        <v>0</v>
      </c>
      <c r="S43" t="inlineStr">
        <is>
          <t>playable</t>
        </is>
      </c>
      <c r="T43" t="inlineStr">
        <is>
          <t>training_service</t>
        </is>
      </c>
      <c r="U43" t="inlineStr">
        <is>
          <t>shop_reward.trainer_regenald</t>
        </is>
      </c>
      <c r="V43" t="inlineStr">
        <is>
          <t>training_service</t>
        </is>
      </c>
      <c r="W43" t="inlineStr">
        <is>
          <t>explicit_item_ids</t>
        </is>
      </c>
      <c r="X43" t="inlineStr">
        <is>
          <t>skill_hero_vitality_1, skill_party_vitality_1, build_skill_b_guard_2</t>
        </is>
      </c>
      <c r="Y43" t="inlineStr">
        <is>
          <t>SHOP_REWARD_PROFILE_INVALID</t>
        </is>
      </c>
    </row>
    <row r="44">
      <c r="A44" s="38" t="inlineStr">
        <is>
          <t>merchant</t>
        </is>
      </c>
      <c r="B44" s="38" t="inlineStr">
        <is>
          <t>gastro</t>
        </is>
      </c>
      <c r="C44" s="38" t="inlineStr">
        <is>
          <t>Gastro</t>
        </is>
      </c>
      <c r="D44" s="38" t="inlineStr">
        <is>
          <t>sells foods</t>
        </is>
      </c>
      <c r="E44" s="38" t="n">
        <v>1</v>
      </c>
      <c r="F44" s="38" t="inlineStr">
        <is>
          <t>merchant_gastro</t>
        </is>
      </c>
      <c r="G44" s="38" t="n">
        <v>5</v>
      </c>
      <c r="H44" s="38" t="str"/>
      <c r="I44" s="38" t="inlineStr">
        <is>
          <t>未开放</t>
        </is>
      </c>
      <c r="J44" s="38" t="inlineStr">
        <is>
          <t>未开放</t>
        </is>
      </c>
      <c r="K44" s="38" t="inlineStr">
        <is>
          <t>未开放</t>
        </is>
      </c>
      <c r="L44" s="38" t="n">
        <v>3</v>
      </c>
      <c r="M44" s="38" t="n">
        <v>1</v>
      </c>
      <c r="N44" s="38" t="inlineStr">
        <is>
          <t>tier_pT3</t>
        </is>
      </c>
      <c r="O44" s="38" t="inlineStr">
        <is>
          <t>白骨精</t>
        </is>
      </c>
      <c r="P44" s="38" t="inlineStr">
        <is>
          <t>先固定前三天来源摊位，再做冲突图着色；地点内各摊位独立抽取，不合并货池。</t>
        </is>
      </c>
      <c r="Q44" t="inlineStr">
        <is>
          <t>playable</t>
        </is>
      </c>
      <c r="R44" t="n">
        <v>1</v>
      </c>
      <c r="S44" t="inlineStr">
        <is>
          <t>playable</t>
        </is>
      </c>
      <c r="T44" t="inlineStr">
        <is>
          <t>pet</t>
        </is>
      </c>
      <c r="U44" t="inlineStr">
        <is>
          <t>shop_reward.merchant_gastro</t>
        </is>
      </c>
      <c r="V44" t="inlineStr">
        <is>
          <t>pet</t>
        </is>
      </c>
      <c r="W44" t="inlineStr">
        <is>
          <t>source_stall_relation</t>
        </is>
      </c>
      <c r="Y44" t="inlineStr">
        <is>
          <t>SHOP_REWARD_PROFILE_INVALID</t>
        </is>
      </c>
    </row>
    <row r="45">
      <c r="A45" s="38" t="inlineStr">
        <is>
          <t>merchant</t>
        </is>
      </c>
      <c r="B45" s="38" t="inlineStr">
        <is>
          <t>kev-s-armory</t>
        </is>
      </c>
      <c r="C45" s="38" t="inlineStr">
        <is>
          <t>Kev's Armory</t>
        </is>
      </c>
      <c r="D45" s="38" t="inlineStr">
        <is>
          <t>sells health and shield items</t>
        </is>
      </c>
      <c r="E45" s="38" t="n">
        <v>16</v>
      </c>
      <c r="F45" s="38" t="inlineStr">
        <is>
          <t>merchant_kev-s-armory</t>
        </is>
      </c>
      <c r="G45" s="38" t="n">
        <v>6</v>
      </c>
      <c r="H45" s="38" t="str"/>
      <c r="I45" s="38" t="inlineStr">
        <is>
          <t>未开放</t>
        </is>
      </c>
      <c r="J45" s="38" t="inlineStr">
        <is>
          <t>未开放</t>
        </is>
      </c>
      <c r="K45" s="38" t="inlineStr">
        <is>
          <t>未开放</t>
        </is>
      </c>
      <c r="L45" s="38" t="n">
        <v>3</v>
      </c>
      <c r="M45" s="38" t="n">
        <v>1</v>
      </c>
      <c r="N45" s="38" t="inlineStr">
        <is>
          <t>tier_pT3</t>
        </is>
      </c>
      <c r="O45" s="38" t="inlineStr">
        <is>
          <t>白骨精</t>
        </is>
      </c>
      <c r="P45" s="38" t="inlineStr">
        <is>
          <t>先固定前三天来源摊位，再做冲突图着色；地点内各摊位独立抽取，不合并货池。</t>
        </is>
      </c>
      <c r="Q45" t="inlineStr">
        <is>
          <t>playable</t>
        </is>
      </c>
      <c r="R45" t="n">
        <v>14</v>
      </c>
      <c r="S45" t="inlineStr">
        <is>
          <t>playable</t>
        </is>
      </c>
      <c r="T45" t="inlineStr">
        <is>
          <t>pet</t>
        </is>
      </c>
      <c r="U45" t="inlineStr">
        <is>
          <t>shop_reward.merchant_kev-s-armory</t>
        </is>
      </c>
      <c r="V45" t="inlineStr">
        <is>
          <t>pet</t>
        </is>
      </c>
      <c r="W45" t="inlineStr">
        <is>
          <t>source_stall_relation</t>
        </is>
      </c>
      <c r="Y45" t="inlineStr">
        <is>
          <t>SHOP_REWARD_PROFILE_INVALID</t>
        </is>
      </c>
    </row>
    <row r="46">
      <c r="A46" s="38" t="inlineStr">
        <is>
          <t>merchant</t>
        </is>
      </c>
      <c r="B46" s="38" t="inlineStr">
        <is>
          <t>cobweb</t>
        </is>
      </c>
      <c r="C46" s="38" t="inlineStr">
        <is>
          <t>Cobweb</t>
        </is>
      </c>
      <c r="D46" s="38" t="inlineStr">
        <is>
          <t>sells slow items.</t>
        </is>
      </c>
      <c r="E46" s="38" t="n">
        <v>27</v>
      </c>
      <c r="F46" s="38" t="inlineStr">
        <is>
          <t>merchant_cobweb</t>
        </is>
      </c>
      <c r="G46" s="38" t="n">
        <v>4</v>
      </c>
      <c r="H46" s="38" t="str"/>
      <c r="I46" s="38" t="inlineStr">
        <is>
          <t>未开放</t>
        </is>
      </c>
      <c r="J46" s="38" t="inlineStr">
        <is>
          <t>未开放</t>
        </is>
      </c>
      <c r="K46" s="38" t="inlineStr">
        <is>
          <t>未开放</t>
        </is>
      </c>
      <c r="L46" s="38" t="n">
        <v>3</v>
      </c>
      <c r="M46" s="38" t="n">
        <v>1</v>
      </c>
      <c r="N46" s="38" t="inlineStr">
        <is>
          <t>role_召唤铺场</t>
        </is>
      </c>
      <c r="O46" s="38" t="inlineStr">
        <is>
          <t>黄袍怪</t>
        </is>
      </c>
      <c r="P46" s="38" t="inlineStr">
        <is>
          <t>先固定前三天来源摊位，再做冲突图着色；地点内各摊位独立抽取，不合并货池。</t>
        </is>
      </c>
      <c r="Q46" t="inlineStr">
        <is>
          <t>playable</t>
        </is>
      </c>
      <c r="R46" t="n">
        <v>24</v>
      </c>
      <c r="S46" t="inlineStr">
        <is>
          <t>playable</t>
        </is>
      </c>
      <c r="T46" t="inlineStr">
        <is>
          <t>pet</t>
        </is>
      </c>
      <c r="U46" t="inlineStr">
        <is>
          <t>shop_reward.merchant_cobweb</t>
        </is>
      </c>
      <c r="V46" t="inlineStr">
        <is>
          <t>pet</t>
        </is>
      </c>
      <c r="W46" t="inlineStr">
        <is>
          <t>source_stall_relation</t>
        </is>
      </c>
      <c r="Y46" t="inlineStr">
        <is>
          <t>SHOP_REWARD_PROFILE_INVALID</t>
        </is>
      </c>
    </row>
    <row r="47">
      <c r="A47" s="38" t="inlineStr">
        <is>
          <t>trainer</t>
        </is>
      </c>
      <c r="B47" s="38" t="inlineStr">
        <is>
          <t>fortis</t>
        </is>
      </c>
      <c r="C47" s="38" t="inlineStr">
        <is>
          <t>Fortis</t>
        </is>
      </c>
      <c r="D47" s="38" t="inlineStr">
        <is>
          <t>teaches shield skills</t>
        </is>
      </c>
      <c r="E47" s="38" t="n">
        <v>10</v>
      </c>
      <c r="F47" s="38" t="inlineStr">
        <is>
          <t>trainer_fortis</t>
        </is>
      </c>
      <c r="G47" s="38" t="n">
        <v>6</v>
      </c>
      <c r="H47" s="38" t="str"/>
      <c r="I47" s="38" t="inlineStr">
        <is>
          <t>未开放</t>
        </is>
      </c>
      <c r="J47" s="38" t="inlineStr">
        <is>
          <t>未开放</t>
        </is>
      </c>
      <c r="K47" s="38" t="inlineStr">
        <is>
          <t>未开放</t>
        </is>
      </c>
      <c r="L47" s="38" t="n">
        <v>3</v>
      </c>
      <c r="M47" s="38" t="n">
        <v>1</v>
      </c>
      <c r="N47" s="38" t="inlineStr">
        <is>
          <t>role_召唤铺场</t>
        </is>
      </c>
      <c r="O47" s="38" t="inlineStr">
        <is>
          <t>黄袍怪</t>
        </is>
      </c>
      <c r="P47" s="38" t="inlineStr">
        <is>
          <t>先固定前三天来源摊位，再做冲突图着色；地点内各摊位独立抽取，不合并货池。</t>
        </is>
      </c>
      <c r="Q47" t="inlineStr">
        <is>
          <t>reserved</t>
        </is>
      </c>
      <c r="R47" t="n">
        <v>0</v>
      </c>
      <c r="S47" t="inlineStr">
        <is>
          <t>playable</t>
        </is>
      </c>
      <c r="T47" t="inlineStr">
        <is>
          <t>training_service</t>
        </is>
      </c>
      <c r="U47" t="inlineStr">
        <is>
          <t>shop_reward.trainer_fortis</t>
        </is>
      </c>
      <c r="V47" t="inlineStr">
        <is>
          <t>training_service</t>
        </is>
      </c>
      <c r="W47" t="inlineStr">
        <is>
          <t>explicit_item_ids</t>
        </is>
      </c>
      <c r="X47" t="inlineStr">
        <is>
          <t>skill_party_defense_1, skill_party_shield_1, build_skill_b_guard_1, build_skill_b_guard_2</t>
        </is>
      </c>
      <c r="Y47" t="inlineStr">
        <is>
          <t>SHOP_REWARD_PROFILE_INVALID</t>
        </is>
      </c>
    </row>
    <row r="48">
      <c r="A48" s="38" t="inlineStr">
        <is>
          <t>merchant</t>
        </is>
      </c>
      <c r="B48" s="38" t="inlineStr">
        <is>
          <t>dryad</t>
        </is>
      </c>
      <c r="C48" s="38" t="inlineStr">
        <is>
          <t>Dryad</t>
        </is>
      </c>
      <c r="D48" s="38" t="inlineStr">
        <is>
          <t>sells friend items</t>
        </is>
      </c>
      <c r="E48" s="38" t="n">
        <v>27</v>
      </c>
      <c r="F48" s="38" t="inlineStr">
        <is>
          <t>merchant_dryad</t>
        </is>
      </c>
      <c r="G48" s="38" t="n">
        <v>6</v>
      </c>
      <c r="H48" s="38" t="str"/>
      <c r="I48" s="38" t="inlineStr">
        <is>
          <t>未开放</t>
        </is>
      </c>
      <c r="J48" s="38" t="inlineStr">
        <is>
          <t>未开放</t>
        </is>
      </c>
      <c r="K48" s="38" t="inlineStr">
        <is>
          <t>未开放</t>
        </is>
      </c>
      <c r="L48" s="38" t="n">
        <v>3</v>
      </c>
      <c r="M48" s="38" t="n">
        <v>1</v>
      </c>
      <c r="N48" s="38" t="inlineStr">
        <is>
          <t>role_机动压制</t>
        </is>
      </c>
      <c r="O48" s="38" t="inlineStr">
        <is>
          <t>百花羞</t>
        </is>
      </c>
      <c r="P48" s="38" t="inlineStr">
        <is>
          <t>先固定前三天来源摊位，再做冲突图着色；地点内各摊位独立抽取，不合并货池。</t>
        </is>
      </c>
      <c r="Q48" t="inlineStr">
        <is>
          <t>playable</t>
        </is>
      </c>
      <c r="R48" t="n">
        <v>24</v>
      </c>
      <c r="S48" t="inlineStr">
        <is>
          <t>playable</t>
        </is>
      </c>
      <c r="T48" t="inlineStr">
        <is>
          <t>pet</t>
        </is>
      </c>
      <c r="U48" t="inlineStr">
        <is>
          <t>shop_reward.merchant_dryad</t>
        </is>
      </c>
      <c r="V48" t="inlineStr">
        <is>
          <t>pet</t>
        </is>
      </c>
      <c r="W48" t="inlineStr">
        <is>
          <t>source_stall_relation</t>
        </is>
      </c>
      <c r="Y48" t="inlineStr">
        <is>
          <t>SHOP_REWARD_PROFILE_INVALID</t>
        </is>
      </c>
    </row>
    <row r="49">
      <c r="A49" s="38" t="inlineStr">
        <is>
          <t>merchant</t>
        </is>
      </c>
      <c r="B49" s="38" t="inlineStr">
        <is>
          <t>lord-oak</t>
        </is>
      </c>
      <c r="C49" s="38" t="inlineStr">
        <is>
          <t>Lord Oak</t>
        </is>
      </c>
      <c r="D49" s="38" t="inlineStr">
        <is>
          <t>receives Lord Oak package items</t>
        </is>
      </c>
      <c r="E49" s="38" t="n">
        <v>3</v>
      </c>
      <c r="F49" s="38" t="inlineStr">
        <is>
          <t>merchant_lord-oak</t>
        </is>
      </c>
      <c r="G49" s="38" t="n">
        <v>4</v>
      </c>
      <c r="H49" s="38" t="str"/>
      <c r="I49" s="38" t="inlineStr">
        <is>
          <t>未开放</t>
        </is>
      </c>
      <c r="J49" s="38" t="inlineStr">
        <is>
          <t>未开放</t>
        </is>
      </c>
      <c r="K49" s="38" t="inlineStr">
        <is>
          <t>未开放</t>
        </is>
      </c>
      <c r="L49" s="38" t="n">
        <v>3</v>
      </c>
      <c r="M49" s="38" t="n">
        <v>1</v>
      </c>
      <c r="N49" s="38" t="inlineStr">
        <is>
          <t>role_机动压制</t>
        </is>
      </c>
      <c r="O49" s="38" t="inlineStr">
        <is>
          <t>百花羞</t>
        </is>
      </c>
      <c r="P49" s="38" t="inlineStr">
        <is>
          <t>先固定前三天来源摊位，再做冲突图着色；地点内各摊位独立抽取，不合并货池。</t>
        </is>
      </c>
      <c r="Q49" t="inlineStr">
        <is>
          <t>reserved</t>
        </is>
      </c>
      <c r="R49" t="n">
        <v>0</v>
      </c>
      <c r="S49" t="inlineStr">
        <is>
          <t>playable</t>
        </is>
      </c>
      <c r="T49" t="inlineStr">
        <is>
          <t>merchant_service</t>
        </is>
      </c>
      <c r="U49" t="inlineStr">
        <is>
          <t>shop_reward.merchant_lord-oak</t>
        </is>
      </c>
      <c r="V49" t="inlineStr">
        <is>
          <t>merchant_service</t>
        </is>
      </c>
      <c r="W49" t="inlineStr">
        <is>
          <t>explicit_item_ids</t>
        </is>
      </c>
      <c r="X49" t="inlineStr">
        <is>
          <t>upgrade_first_pet, upgrade_duplicate_first_pet, build_hero_vitality_1</t>
        </is>
      </c>
      <c r="Y49" t="inlineStr">
        <is>
          <t>SHOP_REWARD_PROFILE_INVALID</t>
        </is>
      </c>
    </row>
    <row r="50">
      <c r="A50" s="38" t="inlineStr">
        <is>
          <t>merchant</t>
        </is>
      </c>
      <c r="B50" s="38" t="inlineStr">
        <is>
          <t>shelter-shelby</t>
        </is>
      </c>
      <c r="C50" s="38" t="inlineStr">
        <is>
          <t>Shelter Shelby</t>
        </is>
      </c>
      <c r="D50" s="38" t="inlineStr">
        <is>
          <t>receives Shelter Shelby package items</t>
        </is>
      </c>
      <c r="E50" s="38" t="n">
        <v>3</v>
      </c>
      <c r="F50" s="38" t="inlineStr">
        <is>
          <t>merchant_shelter-shelby</t>
        </is>
      </c>
      <c r="G50" s="38" t="n">
        <v>5</v>
      </c>
      <c r="H50" s="38" t="str"/>
      <c r="I50" s="38" t="inlineStr">
        <is>
          <t>未开放</t>
        </is>
      </c>
      <c r="J50" s="38" t="inlineStr">
        <is>
          <t>未开放</t>
        </is>
      </c>
      <c r="K50" s="38" t="inlineStr">
        <is>
          <t>未开放</t>
        </is>
      </c>
      <c r="L50" s="38" t="n">
        <v>3</v>
      </c>
      <c r="M50" s="38" t="n">
        <v>1</v>
      </c>
      <c r="N50" s="38" t="inlineStr">
        <is>
          <t>role_抗压承伤</t>
        </is>
      </c>
      <c r="O50" s="38" t="inlineStr">
        <is>
          <t>宝象国国王</t>
        </is>
      </c>
      <c r="P50" s="38" t="inlineStr">
        <is>
          <t>先固定前三天来源摊位，再做冲突图着色；地点内各摊位独立抽取，不合并货池。</t>
        </is>
      </c>
      <c r="Q50" t="inlineStr">
        <is>
          <t>reserved</t>
        </is>
      </c>
      <c r="R50" t="n">
        <v>0</v>
      </c>
      <c r="S50" t="inlineStr">
        <is>
          <t>playable</t>
        </is>
      </c>
      <c r="T50" t="inlineStr">
        <is>
          <t>merchant_service</t>
        </is>
      </c>
      <c r="U50" t="inlineStr">
        <is>
          <t>shop_reward.merchant_shelter-shelby</t>
        </is>
      </c>
      <c r="V50" t="inlineStr">
        <is>
          <t>merchant_service</t>
        </is>
      </c>
      <c r="W50" t="inlineStr">
        <is>
          <t>explicit_item_ids</t>
        </is>
      </c>
      <c r="X50" t="inlineStr">
        <is>
          <t>build_hero_vitality_1, economy_free_refresh, upgrade_first_pet</t>
        </is>
      </c>
      <c r="Y50" t="inlineStr">
        <is>
          <t>SHOP_REWARD_PROFILE_INVALID</t>
        </is>
      </c>
    </row>
    <row r="51">
      <c r="A51" s="38" t="inlineStr">
        <is>
          <t>merchant</t>
        </is>
      </c>
      <c r="B51" s="38" t="inlineStr">
        <is>
          <t>the-tester</t>
        </is>
      </c>
      <c r="C51" s="38" t="inlineStr">
        <is>
          <t>The Tester</t>
        </is>
      </c>
      <c r="D51" s="38" t="inlineStr">
        <is>
          <t>sells tech items from any hero</t>
        </is>
      </c>
      <c r="E51" s="38" t="n">
        <v>18</v>
      </c>
      <c r="F51" s="38" t="inlineStr">
        <is>
          <t>merchant_the-tester</t>
        </is>
      </c>
      <c r="G51" s="38" t="n">
        <v>4</v>
      </c>
      <c r="H51" s="38" t="str"/>
      <c r="I51" s="38" t="inlineStr">
        <is>
          <t>未开放</t>
        </is>
      </c>
      <c r="J51" s="38" t="inlineStr">
        <is>
          <t>未开放</t>
        </is>
      </c>
      <c r="K51" s="38" t="inlineStr">
        <is>
          <t>未开放</t>
        </is>
      </c>
      <c r="L51" s="38" t="n">
        <v>3</v>
      </c>
      <c r="M51" s="38" t="n">
        <v>1</v>
      </c>
      <c r="N51" s="38" t="inlineStr">
        <is>
          <t>role_抗压承伤</t>
        </is>
      </c>
      <c r="O51" s="38" t="inlineStr">
        <is>
          <t>宝象国国王</t>
        </is>
      </c>
      <c r="P51" s="38" t="inlineStr">
        <is>
          <t>先固定前三天来源摊位，再做冲突图着色；地点内各摊位独立抽取，不合并货池。</t>
        </is>
      </c>
      <c r="Q51" t="inlineStr">
        <is>
          <t>playable</t>
        </is>
      </c>
      <c r="R51" t="n">
        <v>15</v>
      </c>
      <c r="S51" t="inlineStr">
        <is>
          <t>playable</t>
        </is>
      </c>
      <c r="T51" t="inlineStr">
        <is>
          <t>pet</t>
        </is>
      </c>
      <c r="U51" t="inlineStr">
        <is>
          <t>shop_reward.merchant_the-tester</t>
        </is>
      </c>
      <c r="V51" t="inlineStr">
        <is>
          <t>pet</t>
        </is>
      </c>
      <c r="W51" t="inlineStr">
        <is>
          <t>source_stall_relation</t>
        </is>
      </c>
      <c r="Y51" t="inlineStr">
        <is>
          <t>SHOP_REWARD_PROFILE_INVALID</t>
        </is>
      </c>
    </row>
    <row r="52">
      <c r="A52" s="38" t="inlineStr">
        <is>
          <t>merchant</t>
        </is>
      </c>
      <c r="B52" s="38" t="inlineStr">
        <is>
          <t>gaseo</t>
        </is>
      </c>
      <c r="C52" s="38" t="inlineStr">
        <is>
          <t>Gaseo</t>
        </is>
      </c>
      <c r="D52" s="38" t="inlineStr">
        <is>
          <t>sells apparel from any hero</t>
        </is>
      </c>
      <c r="E52" s="38" t="n">
        <v>14</v>
      </c>
      <c r="F52" s="38" t="inlineStr">
        <is>
          <t>merchant_gaseo</t>
        </is>
      </c>
      <c r="G52" s="38" t="n">
        <v>4</v>
      </c>
      <c r="H52" s="38" t="str"/>
      <c r="I52" s="38" t="inlineStr">
        <is>
          <t>未开放</t>
        </is>
      </c>
      <c r="J52" s="38" t="inlineStr">
        <is>
          <t>未开放</t>
        </is>
      </c>
      <c r="K52" s="38" t="inlineStr">
        <is>
          <t>未开放</t>
        </is>
      </c>
      <c r="L52" s="38" t="n">
        <v>3</v>
      </c>
      <c r="M52" s="38" t="n">
        <v>1</v>
      </c>
      <c r="N52" s="38" t="inlineStr">
        <is>
          <t>role_重甲抗压</t>
        </is>
      </c>
      <c r="O52" s="38" t="inlineStr">
        <is>
          <t>金角大王</t>
        </is>
      </c>
      <c r="P52" s="38" t="inlineStr">
        <is>
          <t>先固定前三天来源摊位，再做冲突图着色；地点内各摊位独立抽取，不合并货池。</t>
        </is>
      </c>
      <c r="Q52" t="inlineStr">
        <is>
          <t>playable</t>
        </is>
      </c>
      <c r="R52" t="n">
        <v>11</v>
      </c>
      <c r="S52" t="inlineStr">
        <is>
          <t>playable</t>
        </is>
      </c>
      <c r="T52" t="inlineStr">
        <is>
          <t>pet</t>
        </is>
      </c>
      <c r="U52" t="inlineStr">
        <is>
          <t>shop_reward.merchant_gaseo</t>
        </is>
      </c>
      <c r="V52" t="inlineStr">
        <is>
          <t>pet</t>
        </is>
      </c>
      <c r="W52" t="inlineStr">
        <is>
          <t>source_stall_relation</t>
        </is>
      </c>
      <c r="Y52" t="inlineStr">
        <is>
          <t>SHOP_REWARD_PROFILE_INVALID</t>
        </is>
      </c>
    </row>
    <row r="53">
      <c r="A53" s="38" t="inlineStr">
        <is>
          <t>merchant</t>
        </is>
      </c>
      <c r="B53" s="38" t="inlineStr">
        <is>
          <t>tatiana</t>
        </is>
      </c>
      <c r="C53" s="38" t="inlineStr">
        <is>
          <t>Tatiana</t>
        </is>
      </c>
      <c r="D53" s="38" t="inlineStr">
        <is>
          <t>receives Tatiana package items</t>
        </is>
      </c>
      <c r="E53" s="38" t="n">
        <v>3</v>
      </c>
      <c r="F53" s="38" t="inlineStr">
        <is>
          <t>merchant_tatiana</t>
        </is>
      </c>
      <c r="G53" s="38" t="n">
        <v>6</v>
      </c>
      <c r="H53" s="38" t="str"/>
      <c r="I53" s="38" t="inlineStr">
        <is>
          <t>未开放</t>
        </is>
      </c>
      <c r="J53" s="38" t="inlineStr">
        <is>
          <t>未开放</t>
        </is>
      </c>
      <c r="K53" s="38" t="inlineStr">
        <is>
          <t>未开放</t>
        </is>
      </c>
      <c r="L53" s="38" t="n">
        <v>3</v>
      </c>
      <c r="M53" s="38" t="n">
        <v>1</v>
      </c>
      <c r="N53" s="38" t="inlineStr">
        <is>
          <t>role_重甲抗压</t>
        </is>
      </c>
      <c r="O53" s="38" t="inlineStr">
        <is>
          <t>金角大王</t>
        </is>
      </c>
      <c r="P53" s="38" t="inlineStr">
        <is>
          <t>先固定前三天来源摊位，再做冲突图着色；地点内各摊位独立抽取，不合并货池。</t>
        </is>
      </c>
      <c r="Q53" t="inlineStr">
        <is>
          <t>reserved</t>
        </is>
      </c>
      <c r="R53" t="n">
        <v>0</v>
      </c>
      <c r="S53" t="inlineStr">
        <is>
          <t>playable</t>
        </is>
      </c>
      <c r="T53" t="inlineStr">
        <is>
          <t>merchant_service</t>
        </is>
      </c>
      <c r="U53" t="inlineStr">
        <is>
          <t>shop_reward.merchant_tatiana</t>
        </is>
      </c>
      <c r="V53" t="inlineStr">
        <is>
          <t>merchant_service</t>
        </is>
      </c>
      <c r="W53" t="inlineStr">
        <is>
          <t>explicit_item_ids</t>
        </is>
      </c>
      <c r="X53" t="inlineStr">
        <is>
          <t>economy_discount_50, upgrade_duplicate_first_pet, build_economy_brokerage_1</t>
        </is>
      </c>
      <c r="Y53" t="inlineStr">
        <is>
          <t>SHOP_REWARD_PROFILE_INVALID</t>
        </is>
      </c>
    </row>
    <row r="54">
      <c r="A54" s="38" t="inlineStr">
        <is>
          <t>merchant</t>
        </is>
      </c>
      <c r="B54" s="38" t="inlineStr">
        <is>
          <t>orion</t>
        </is>
      </c>
      <c r="C54" s="38" t="inlineStr">
        <is>
          <t>Orion</t>
        </is>
      </c>
      <c r="D54" s="38" t="inlineStr">
        <is>
          <t>sells tools</t>
        </is>
      </c>
      <c r="E54" s="38" t="n">
        <v>18</v>
      </c>
      <c r="F54" s="38" t="inlineStr">
        <is>
          <t>merchant_orion</t>
        </is>
      </c>
      <c r="G54" s="38" t="n">
        <v>6</v>
      </c>
      <c r="H54" s="38" t="str"/>
      <c r="I54" s="38" t="inlineStr">
        <is>
          <t>未开放</t>
        </is>
      </c>
      <c r="J54" s="38" t="inlineStr">
        <is>
          <t>未开放</t>
        </is>
      </c>
      <c r="K54" s="38" t="inlineStr">
        <is>
          <t>未开放</t>
        </is>
      </c>
      <c r="L54" s="38" t="n">
        <v>3</v>
      </c>
      <c r="M54" s="38" t="n">
        <v>1</v>
      </c>
      <c r="N54" s="38" t="inlineStr">
        <is>
          <t>role_远点压制</t>
        </is>
      </c>
      <c r="O54" s="38" t="inlineStr">
        <is>
          <t>银角大王</t>
        </is>
      </c>
      <c r="P54" s="38" t="inlineStr">
        <is>
          <t>先固定前三天来源摊位，再做冲突图着色；地点内各摊位独立抽取，不合并货池。</t>
        </is>
      </c>
      <c r="Q54" t="inlineStr">
        <is>
          <t>playable</t>
        </is>
      </c>
      <c r="R54" t="n">
        <v>16</v>
      </c>
      <c r="S54" t="inlineStr">
        <is>
          <t>playable</t>
        </is>
      </c>
      <c r="T54" t="inlineStr">
        <is>
          <t>pet</t>
        </is>
      </c>
      <c r="U54" t="inlineStr">
        <is>
          <t>shop_reward.merchant_orion</t>
        </is>
      </c>
      <c r="V54" t="inlineStr">
        <is>
          <t>pet</t>
        </is>
      </c>
      <c r="W54" t="inlineStr">
        <is>
          <t>source_stall_relation</t>
        </is>
      </c>
      <c r="Y54" t="inlineStr">
        <is>
          <t>SHOP_REWARD_PROFILE_INVALID</t>
        </is>
      </c>
    </row>
    <row r="55">
      <c r="A55" s="38" t="inlineStr">
        <is>
          <t>merchant</t>
        </is>
      </c>
      <c r="B55" s="38" t="inlineStr">
        <is>
          <t>pol</t>
        </is>
      </c>
      <c r="C55" s="38" t="inlineStr">
        <is>
          <t>Pol</t>
        </is>
      </c>
      <c r="D55" s="38" t="inlineStr">
        <is>
          <t>sells large items</t>
        </is>
      </c>
      <c r="E55" s="38" t="n">
        <v>14</v>
      </c>
      <c r="F55" s="38" t="inlineStr">
        <is>
          <t>merchant_pol</t>
        </is>
      </c>
      <c r="G55" s="38" t="n">
        <v>5</v>
      </c>
      <c r="H55" s="38" t="str"/>
      <c r="I55" s="38" t="inlineStr">
        <is>
          <t>未开放</t>
        </is>
      </c>
      <c r="J55" s="38" t="inlineStr">
        <is>
          <t>未开放</t>
        </is>
      </c>
      <c r="K55" s="38" t="inlineStr">
        <is>
          <t>未开放</t>
        </is>
      </c>
      <c r="L55" s="38" t="n">
        <v>3</v>
      </c>
      <c r="M55" s="38" t="n">
        <v>1</v>
      </c>
      <c r="N55" s="38" t="inlineStr">
        <is>
          <t>role_风系铺场</t>
        </is>
      </c>
      <c r="O55" s="38" t="inlineStr">
        <is>
          <t>九尾狐</t>
        </is>
      </c>
      <c r="P55" s="38" t="inlineStr">
        <is>
          <t>先固定前三天来源摊位，再做冲突图着色；地点内各摊位独立抽取，不合并货池。</t>
        </is>
      </c>
      <c r="Q55" t="inlineStr">
        <is>
          <t>playable</t>
        </is>
      </c>
      <c r="R55" t="n">
        <v>11</v>
      </c>
      <c r="S55" t="inlineStr">
        <is>
          <t>playable</t>
        </is>
      </c>
      <c r="T55" t="inlineStr">
        <is>
          <t>pet</t>
        </is>
      </c>
      <c r="U55" t="inlineStr">
        <is>
          <t>shop_reward.merchant_pol</t>
        </is>
      </c>
      <c r="V55" t="inlineStr">
        <is>
          <t>pet</t>
        </is>
      </c>
      <c r="W55" t="inlineStr">
        <is>
          <t>source_stall_relation</t>
        </is>
      </c>
      <c r="Y55" t="inlineStr">
        <is>
          <t>SHOP_REWARD_PROFILE_INVALID</t>
        </is>
      </c>
    </row>
    <row r="56">
      <c r="A56" s="38" t="inlineStr">
        <is>
          <t>merchant</t>
        </is>
      </c>
      <c r="B56" s="38" t="inlineStr">
        <is>
          <t>freiya</t>
        </is>
      </c>
      <c r="C56" s="38" t="inlineStr">
        <is>
          <t>Freiya</t>
        </is>
      </c>
      <c r="D56" s="38" t="inlineStr">
        <is>
          <t>sells freeze items.</t>
        </is>
      </c>
      <c r="E56" s="38" t="n">
        <v>9</v>
      </c>
      <c r="F56" s="38" t="inlineStr">
        <is>
          <t>merchant_freiya</t>
        </is>
      </c>
      <c r="G56" s="38" t="n">
        <v>4</v>
      </c>
      <c r="H56" s="38" t="str"/>
      <c r="I56" s="38" t="inlineStr">
        <is>
          <t>未开放</t>
        </is>
      </c>
      <c r="J56" s="38" t="inlineStr">
        <is>
          <t>未开放</t>
        </is>
      </c>
      <c r="K56" s="38" t="inlineStr">
        <is>
          <t>未开放</t>
        </is>
      </c>
      <c r="L56" s="38" t="n">
        <v>3</v>
      </c>
      <c r="M56" s="38" t="n">
        <v>1</v>
      </c>
      <c r="N56" s="38" t="inlineStr">
        <is>
          <t>role_风系牵制</t>
        </is>
      </c>
      <c r="O56" s="38" t="inlineStr">
        <is>
          <t>狐阿七</t>
        </is>
      </c>
      <c r="P56" s="38" t="inlineStr">
        <is>
          <t>先固定前三天来源摊位，再做冲突图着色；地点内各摊位独立抽取，不合并货池。</t>
        </is>
      </c>
      <c r="Q56" t="inlineStr">
        <is>
          <t>playable</t>
        </is>
      </c>
      <c r="R56" t="n">
        <v>6</v>
      </c>
      <c r="S56" t="inlineStr">
        <is>
          <t>playable</t>
        </is>
      </c>
      <c r="T56" t="inlineStr">
        <is>
          <t>pet</t>
        </is>
      </c>
      <c r="U56" t="inlineStr">
        <is>
          <t>shop_reward.merchant_freiya</t>
        </is>
      </c>
      <c r="V56" t="inlineStr">
        <is>
          <t>pet</t>
        </is>
      </c>
      <c r="W56" t="inlineStr">
        <is>
          <t>source_stall_relation</t>
        </is>
      </c>
      <c r="Y56" t="inlineStr">
        <is>
          <t>SHOP_REWARD_PROFILE_INVALID</t>
        </is>
      </c>
    </row>
    <row r="57">
      <c r="A57" s="38" t="inlineStr">
        <is>
          <t>merchant</t>
        </is>
      </c>
      <c r="B57" s="38" t="inlineStr">
        <is>
          <t>knightshade</t>
        </is>
      </c>
      <c r="C57" s="38" t="inlineStr">
        <is>
          <t>Knightshade</t>
        </is>
      </c>
      <c r="D57" s="38" t="inlineStr">
        <is>
          <t>sells poison items.</t>
        </is>
      </c>
      <c r="E57" s="38" t="n">
        <v>14</v>
      </c>
      <c r="F57" s="38" t="inlineStr">
        <is>
          <t>merchant_knightshade</t>
        </is>
      </c>
      <c r="G57" s="38" t="n">
        <v>6</v>
      </c>
      <c r="H57" s="38" t="str"/>
      <c r="I57" s="38" t="inlineStr">
        <is>
          <t>未开放</t>
        </is>
      </c>
      <c r="J57" s="38" t="inlineStr">
        <is>
          <t>未开放</t>
        </is>
      </c>
      <c r="K57" s="38" t="inlineStr">
        <is>
          <t>未开放</t>
        </is>
      </c>
      <c r="L57" s="38" t="n">
        <v>3</v>
      </c>
      <c r="M57" s="38" t="n">
        <v>1</v>
      </c>
      <c r="N57" s="38" t="inlineStr">
        <is>
          <t>role_火系压制</t>
        </is>
      </c>
      <c r="O57" s="38" t="inlineStr">
        <is>
          <t>狮猁王</t>
        </is>
      </c>
      <c r="P57" s="38" t="inlineStr">
        <is>
          <t>先固定前三天来源摊位，再做冲突图着色；地点内各摊位独立抽取，不合并货池。</t>
        </is>
      </c>
      <c r="Q57" t="inlineStr">
        <is>
          <t>playable</t>
        </is>
      </c>
      <c r="R57" t="n">
        <v>11</v>
      </c>
      <c r="S57" t="inlineStr">
        <is>
          <t>playable</t>
        </is>
      </c>
      <c r="T57" t="inlineStr">
        <is>
          <t>pet</t>
        </is>
      </c>
      <c r="U57" t="inlineStr">
        <is>
          <t>shop_reward.merchant_knightshade</t>
        </is>
      </c>
      <c r="V57" t="inlineStr">
        <is>
          <t>pet</t>
        </is>
      </c>
      <c r="W57" t="inlineStr">
        <is>
          <t>source_stall_relation</t>
        </is>
      </c>
      <c r="Y57" t="inlineStr">
        <is>
          <t>SHOP_REWARD_PROFILE_INVALID</t>
        </is>
      </c>
    </row>
  </sheetData>
  <dataValidations count="2">
    <dataValidation sqref="S2:S57" showDropDown="0" showInputMessage="0" showErrorMessage="0" allowBlank="0" type="list">
      <formula1>"playable,reserved"</formula1>
    </dataValidation>
    <dataValidation sqref="T2:T57" showDropDown="0" showInputMessage="0" showErrorMessage="0" allowBlank="0" type="list">
      <formula1>"pet,training_service,merchant_service"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style="439" min="1" max="1"/>
    <col width="12" customWidth="1" style="439" min="2" max="2"/>
    <col width="12" customWidth="1" style="439" min="3" max="3"/>
    <col width="28" customWidth="1" style="439" min="4" max="4"/>
    <col width="28" customWidth="1" style="439" min="5" max="5"/>
    <col width="28" customWidth="1" style="439" min="6" max="6"/>
    <col width="40" customWidth="1" style="439" min="7" max="7"/>
    <col width="34" customWidth="1" style="439" min="8" max="8"/>
  </cols>
  <sheetData>
    <row r="1" ht="32" customHeight="1" s="439">
      <c r="A1" s="240" t="inlineStr">
        <is>
          <t>enchant_id</t>
        </is>
      </c>
      <c r="B1" s="240" t="inlineStr">
        <is>
          <t>name_zh</t>
        </is>
      </c>
      <c r="C1" s="240" t="inlineStr">
        <is>
          <t>class</t>
        </is>
      </c>
      <c r="D1" s="240" t="inlineStr">
        <is>
          <t>bronze_effect</t>
        </is>
      </c>
      <c r="E1" s="240" t="inlineStr">
        <is>
          <t>silver_effect</t>
        </is>
      </c>
      <c r="F1" s="240" t="inlineStr">
        <is>
          <t>gold_effect</t>
        </is>
      </c>
      <c r="G1" s="240" t="inlineStr">
        <is>
          <t>diamond_effect</t>
        </is>
      </c>
      <c r="H1" s="240" t="inlineStr">
        <is>
          <t>recommended_for</t>
        </is>
      </c>
    </row>
    <row r="2">
      <c r="A2" s="38" t="inlineStr">
        <is>
          <t>Deadly</t>
        </is>
      </c>
      <c r="B2" s="38" t="inlineStr">
        <is>
          <t>致命</t>
        </is>
      </c>
      <c r="C2" s="38" t="inlineStr">
        <is>
          <t>输出</t>
        </is>
      </c>
      <c r="D2" s="38" t="inlineStr">
        <is>
          <t>攻击+10%</t>
        </is>
      </c>
      <c r="E2" s="38" t="inlineStr">
        <is>
          <t>攻击+20%</t>
        </is>
      </c>
      <c r="F2" s="38" t="inlineStr">
        <is>
          <t>攻击+30%</t>
        </is>
      </c>
      <c r="G2" s="38" t="inlineStr">
        <is>
          <t>攻击+40%，首击额外结算1次</t>
        </is>
      </c>
      <c r="H2" s="38" t="inlineStr">
        <is>
          <t>武器、暴击、伤害型宠物</t>
        </is>
      </c>
    </row>
    <row r="3">
      <c r="A3" s="38" t="inlineStr">
        <is>
          <t>Fiery</t>
        </is>
      </c>
      <c r="B3" s="38" t="inlineStr">
        <is>
          <t>烈焰</t>
        </is>
      </c>
      <c r="C3" s="38" t="inlineStr">
        <is>
          <t>火系</t>
        </is>
      </c>
      <c r="D3" s="38" t="inlineStr">
        <is>
          <t>命中附1层火</t>
        </is>
      </c>
      <c r="E3" s="38" t="inlineStr">
        <is>
          <t>命中附2层火</t>
        </is>
      </c>
      <c r="F3" s="38" t="inlineStr">
        <is>
          <t>命中附3层火</t>
        </is>
      </c>
      <c r="G3" s="38" t="inlineStr">
        <is>
          <t>命中附4层火并引燃</t>
        </is>
      </c>
      <c r="H3" s="38" t="inlineStr">
        <is>
          <t>灼烧、爆炸、火系宠物</t>
        </is>
      </c>
    </row>
    <row r="4">
      <c r="A4" s="38" t="inlineStr">
        <is>
          <t>Golden</t>
        </is>
      </c>
      <c r="B4" s="38" t="inlineStr">
        <is>
          <t>点金</t>
        </is>
      </c>
      <c r="C4" s="38" t="inlineStr">
        <is>
          <t>经济</t>
        </is>
      </c>
      <c r="D4" s="38" t="inlineStr">
        <is>
          <t>出售价值+1</t>
        </is>
      </c>
      <c r="E4" s="38" t="inlineStr">
        <is>
          <t>出售价值+2</t>
        </is>
      </c>
      <c r="F4" s="38" t="inlineStr">
        <is>
          <t>出售价值+3</t>
        </is>
      </c>
      <c r="G4" s="38" t="inlineStr">
        <is>
          <t>出售价值+4，胜利额外+1金币</t>
        </is>
      </c>
      <c r="H4" s="38" t="inlineStr">
        <is>
          <t>价值、金币、购买型宠物</t>
        </is>
      </c>
    </row>
    <row r="5">
      <c r="A5" s="38" t="inlineStr">
        <is>
          <t>Heavy</t>
        </is>
      </c>
      <c r="B5" s="38" t="inlineStr">
        <is>
          <t>沉重</t>
        </is>
      </c>
      <c r="C5" s="38" t="inlineStr">
        <is>
          <t>坦克</t>
        </is>
      </c>
      <c r="D5" s="38" t="inlineStr">
        <is>
          <t>最大生命+6</t>
        </is>
      </c>
      <c r="E5" s="38" t="inlineStr">
        <is>
          <t>最大生命+12</t>
        </is>
      </c>
      <c r="F5" s="38" t="inlineStr">
        <is>
          <t>最大生命+18</t>
        </is>
      </c>
      <c r="G5" s="38" t="inlineStr">
        <is>
          <t>最大生命+24且受击首次减半</t>
        </is>
      </c>
      <c r="H5" s="38" t="inlineStr">
        <is>
          <t>生命、重型、前排宠物</t>
        </is>
      </c>
    </row>
    <row r="6">
      <c r="A6" s="38" t="inlineStr">
        <is>
          <t>Icy</t>
        </is>
      </c>
      <c r="B6" s="38" t="inlineStr">
        <is>
          <t>冰霜</t>
        </is>
      </c>
      <c r="C6" s="38" t="inlineStr">
        <is>
          <t>控制</t>
        </is>
      </c>
      <c r="D6" s="38" t="inlineStr">
        <is>
          <t>命中附1层冰</t>
        </is>
      </c>
      <c r="E6" s="38" t="inlineStr">
        <is>
          <t>命中附2层冰</t>
        </is>
      </c>
      <c r="F6" s="38" t="inlineStr">
        <is>
          <t>命中附3层冰</t>
        </is>
      </c>
      <c r="G6" s="38" t="inlineStr">
        <is>
          <t>命中附4层冰并使目标行动-1</t>
        </is>
      </c>
      <c r="H6" s="38" t="inlineStr">
        <is>
          <t>冻结、减速、冰系宠物</t>
        </is>
      </c>
    </row>
    <row r="7">
      <c r="A7" s="38" t="inlineStr">
        <is>
          <t>Mossy</t>
        </is>
      </c>
      <c r="B7" s="38" t="inlineStr">
        <is>
          <t>苔生</t>
        </is>
      </c>
      <c r="C7" s="38" t="inlineStr">
        <is>
          <t>续航</t>
        </is>
      </c>
      <c r="D7" s="38" t="inlineStr">
        <is>
          <t>回合开始恢复2</t>
        </is>
      </c>
      <c r="E7" s="38" t="inlineStr">
        <is>
          <t>回合开始恢复4</t>
        </is>
      </c>
      <c r="F7" s="38" t="inlineStr">
        <is>
          <t>回合开始恢复6</t>
        </is>
      </c>
      <c r="G7" s="38" t="inlineStr">
        <is>
          <t>回合开始恢复8并获得4盾</t>
        </is>
      </c>
      <c r="H7" s="38" t="inlineStr">
        <is>
          <t>再生、植物、持续型宠物</t>
        </is>
      </c>
    </row>
    <row r="8">
      <c r="A8" s="38" t="inlineStr">
        <is>
          <t>Obsidian</t>
        </is>
      </c>
      <c r="B8" s="38" t="inlineStr">
        <is>
          <t>黑曜</t>
        </is>
      </c>
      <c r="C8" s="38" t="inlineStr">
        <is>
          <t>破坏</t>
        </is>
      </c>
      <c r="D8" s="38" t="inlineStr">
        <is>
          <t>破盾伤害+10%</t>
        </is>
      </c>
      <c r="E8" s="38" t="inlineStr">
        <is>
          <t>破盾伤害+20%</t>
        </is>
      </c>
      <c r="F8" s="38" t="inlineStr">
        <is>
          <t>破盾伤害+30%</t>
        </is>
      </c>
      <c r="G8" s="38" t="inlineStr">
        <is>
          <t>破盾伤害+40%且击破时溅射</t>
        </is>
      </c>
      <c r="H8" s="38" t="inlineStr">
        <is>
          <t>摧毁、死亡、诅咒型宠物</t>
        </is>
      </c>
    </row>
    <row r="9">
      <c r="A9" s="38" t="inlineStr">
        <is>
          <t>Radiant</t>
        </is>
      </c>
      <c r="B9" s="38" t="inlineStr">
        <is>
          <t>辉光</t>
        </is>
      </c>
      <c r="C9" s="38" t="inlineStr">
        <is>
          <t>团队</t>
        </is>
      </c>
      <c r="D9" s="38" t="inlineStr">
        <is>
          <t>相邻友军攻击+1</t>
        </is>
      </c>
      <c r="E9" s="38" t="inlineStr">
        <is>
          <t>相邻友军攻击+2</t>
        </is>
      </c>
      <c r="F9" s="38" t="inlineStr">
        <is>
          <t>相邻友军攻击+3</t>
        </is>
      </c>
      <c r="G9" s="38" t="inlineStr">
        <is>
          <t>相邻友军攻击+4且首次阵亡免疫</t>
        </is>
      </c>
      <c r="H9" s="38" t="inlineStr">
        <is>
          <t>友军、召唤、圣物型宠物</t>
        </is>
      </c>
    </row>
    <row r="10">
      <c r="A10" s="38" t="inlineStr">
        <is>
          <t>Restorative</t>
        </is>
      </c>
      <c r="B10" s="38" t="inlineStr">
        <is>
          <t>回春</t>
        </is>
      </c>
      <c r="C10" s="38" t="inlineStr">
        <is>
          <t>治疗</t>
        </is>
      </c>
      <c r="D10" s="38" t="inlineStr">
        <is>
          <t>治疗量+10%</t>
        </is>
      </c>
      <c r="E10" s="38" t="inlineStr">
        <is>
          <t>治疗量+20%</t>
        </is>
      </c>
      <c r="F10" s="38" t="inlineStr">
        <is>
          <t>治疗量+30%</t>
        </is>
      </c>
      <c r="G10" s="38" t="inlineStr">
        <is>
          <t>治疗量+40%且溢出转护盾</t>
        </is>
      </c>
      <c r="H10" s="38" t="inlineStr">
        <is>
          <t>治疗、恢复型宠物</t>
        </is>
      </c>
    </row>
    <row r="11">
      <c r="A11" s="38" t="inlineStr">
        <is>
          <t>Shielded</t>
        </is>
      </c>
      <c r="B11" s="38" t="inlineStr">
        <is>
          <t>护体</t>
        </is>
      </c>
      <c r="C11" s="38" t="inlineStr">
        <is>
          <t>护盾</t>
        </is>
      </c>
      <c r="D11" s="38" t="inlineStr">
        <is>
          <t>开战获得6盾</t>
        </is>
      </c>
      <c r="E11" s="38" t="inlineStr">
        <is>
          <t>开战获得12盾</t>
        </is>
      </c>
      <c r="F11" s="38" t="inlineStr">
        <is>
          <t>开战获得18盾</t>
        </is>
      </c>
      <c r="G11" s="38" t="inlineStr">
        <is>
          <t>开战获得24盾且每5回合补6盾</t>
        </is>
      </c>
      <c r="H11" s="38" t="inlineStr">
        <is>
          <t>护盾、护甲型宠物</t>
        </is>
      </c>
    </row>
    <row r="12">
      <c r="A12" s="38" t="inlineStr">
        <is>
          <t>Shiny</t>
        </is>
      </c>
      <c r="B12" s="38" t="inlineStr">
        <is>
          <t>闪耀</t>
        </is>
      </c>
      <c r="C12" s="38" t="inlineStr">
        <is>
          <t>奖励</t>
        </is>
      </c>
      <c r="D12" s="38" t="inlineStr">
        <is>
          <t>奖励权重+5%</t>
        </is>
      </c>
      <c r="E12" s="38" t="inlineStr">
        <is>
          <t>奖励权重+10%</t>
        </is>
      </c>
      <c r="F12" s="38" t="inlineStr">
        <is>
          <t>奖励权重+15%</t>
        </is>
      </c>
      <c r="G12" s="38" t="inlineStr">
        <is>
          <t>奖励权重+20%且商店刷新+1次</t>
        </is>
      </c>
      <c r="H12" s="38" t="inlineStr">
        <is>
          <t>通用、奖励、稀有型宠物</t>
        </is>
      </c>
    </row>
    <row r="13">
      <c r="A13" s="38" t="inlineStr">
        <is>
          <t>Toxic</t>
        </is>
      </c>
      <c r="B13" s="38" t="inlineStr">
        <is>
          <t>剧毒</t>
        </is>
      </c>
      <c r="C13" s="38" t="inlineStr">
        <is>
          <t>草系</t>
        </is>
      </c>
      <c r="D13" s="38" t="inlineStr">
        <is>
          <t>命中附1层毒</t>
        </is>
      </c>
      <c r="E13" s="38" t="inlineStr">
        <is>
          <t>命中附2层毒</t>
        </is>
      </c>
      <c r="F13" s="38" t="inlineStr">
        <is>
          <t>命中附3层毒</t>
        </is>
      </c>
      <c r="G13" s="38" t="inlineStr">
        <is>
          <t>命中附4层毒且每层额外伤害+1</t>
        </is>
      </c>
      <c r="H13" s="38" t="inlineStr">
        <is>
          <t>中毒、药剂、草系宠物</t>
        </is>
      </c>
    </row>
    <row r="14">
      <c r="A14" s="38" t="inlineStr">
        <is>
          <t>Turbo</t>
        </is>
      </c>
      <c r="B14" s="38" t="inlineStr">
        <is>
          <t>迅捷</t>
        </is>
      </c>
      <c r="C14" s="38" t="inlineStr">
        <is>
          <t>机动</t>
        </is>
      </c>
      <c r="D14" s="38" t="inlineStr">
        <is>
          <t>移动力+1</t>
        </is>
      </c>
      <c r="E14" s="38" t="inlineStr">
        <is>
          <t>移动力+1且行动+1</t>
        </is>
      </c>
      <c r="F14" s="38" t="inlineStr">
        <is>
          <t>移动力+2且行动+1</t>
        </is>
      </c>
      <c r="G14" s="38" t="inlineStr">
        <is>
          <t>移动力+2且行动+2，首次行动提前</t>
        </is>
      </c>
      <c r="H14" s="38" t="inlineStr">
        <is>
          <t>加速、充能、机动型宠物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70"/>
  <sheetViews>
    <sheetView showGridLines="0" workbookViewId="0">
      <selection activeCell="A1" sqref="A1"/>
    </sheetView>
  </sheetViews>
  <sheetFormatPr baseColWidth="8" defaultRowHeight="15"/>
  <cols>
    <col width="12" customWidth="1" style="439" min="1" max="1"/>
    <col width="14" customWidth="1" style="439" min="2" max="2"/>
    <col width="16" customWidth="1" style="439" min="3" max="3"/>
    <col width="18" customWidth="1" style="439" min="4" max="4"/>
    <col width="20" customWidth="1" style="439" min="5" max="5"/>
    <col width="100" customWidth="1" style="439" min="6" max="6"/>
    <col width="56" customWidth="1" style="439" min="7" max="7"/>
  </cols>
  <sheetData>
    <row r="1" ht="32" customHeight="1" s="439">
      <c r="A1" s="240" t="inlineStr">
        <is>
          <t>pet_id</t>
        </is>
      </c>
      <c r="B1" s="240" t="inlineStr">
        <is>
          <t>pet_name</t>
        </is>
      </c>
      <c r="C1" s="240" t="inlineStr">
        <is>
          <t>source_object_id</t>
        </is>
      </c>
      <c r="D1" s="240" t="inlineStr">
        <is>
          <t>primary_enchant</t>
        </is>
      </c>
      <c r="E1" s="240" t="inlineStr">
        <is>
          <t>eligible_enchant_count</t>
        </is>
      </c>
      <c r="F1" s="240" t="inlineStr">
        <is>
          <t>eligible_enchants</t>
        </is>
      </c>
      <c r="G1" s="240" t="inlineStr">
        <is>
          <t>classification_reason</t>
        </is>
      </c>
    </row>
    <row r="2">
      <c r="A2" s="38" t="inlineStr">
        <is>
          <t>pal_001</t>
        </is>
      </c>
      <c r="B2" s="38" t="inlineStr">
        <is>
          <t>棉角羊</t>
        </is>
      </c>
      <c r="C2" s="38" t="inlineStr">
        <is>
          <t>bz_van_001</t>
        </is>
      </c>
      <c r="D2" s="38" t="inlineStr">
        <is>
          <t>Restorative</t>
        </is>
      </c>
      <c r="E2" s="38" t="n">
        <v>13</v>
      </c>
      <c r="F2" s="38" t="inlineStr">
        <is>
          <t>Restorative, Mossy, Radiant, Deadly, Fiery, Golden, Heavy, Icy, Obsidian, Shielded, Shiny, Toxic, Turbo</t>
        </is>
      </c>
      <c r="G2" s="38" t="inlineStr">
        <is>
          <t>治疗/水、龙；来源标签 aquatic, relic, economyreference, value, heal</t>
        </is>
      </c>
    </row>
    <row r="3">
      <c r="A3" s="38" t="inlineStr">
        <is>
          <t>pal_002</t>
        </is>
      </c>
      <c r="B3" s="38" t="inlineStr">
        <is>
          <t>灰尾狸</t>
        </is>
      </c>
      <c r="C3" s="38" t="inlineStr">
        <is>
          <t>bz_van_002</t>
        </is>
      </c>
      <c r="D3" s="38" t="inlineStr">
        <is>
          <t>Turbo</t>
        </is>
      </c>
      <c r="E3" s="38" t="n">
        <v>13</v>
      </c>
      <c r="F3" s="38" t="inlineStr">
        <is>
          <t>Turbo, Restorative, Mossy, Radiant, Deadly, Fiery, Golden, Heavy, Icy, Obsidian, Shielded, Shiny, Toxic</t>
        </is>
      </c>
      <c r="G3" s="38" t="inlineStr">
        <is>
          <t>治疗/水、地；来源标签 aquatic, weapon, tool, damage, haste</t>
        </is>
      </c>
    </row>
    <row r="4">
      <c r="A4" s="38" t="inlineStr">
        <is>
          <t>pal_003</t>
        </is>
      </c>
      <c r="B4" s="38" t="inlineStr">
        <is>
          <t>芦花鸡</t>
        </is>
      </c>
      <c r="C4" s="38" t="inlineStr">
        <is>
          <t>bz_van_003</t>
        </is>
      </c>
      <c r="D4" s="38" t="inlineStr">
        <is>
          <t>Turbo</t>
        </is>
      </c>
      <c r="E4" s="38" t="n">
        <v>13</v>
      </c>
      <c r="F4" s="38" t="inlineStr">
        <is>
          <t>Turbo, Deadly, Shiny, Fiery, Golden, Heavy, Icy, Mossy, Obsidian, Radiant, Restorative, Shielded, Toxic</t>
        </is>
      </c>
      <c r="G4" s="38" t="inlineStr">
        <is>
          <t>机动/雷；来源标签 weapon, damage, ammo, hastereference</t>
        </is>
      </c>
    </row>
    <row r="5">
      <c r="A5" s="38" t="inlineStr">
        <is>
          <t>pal_004</t>
        </is>
      </c>
      <c r="B5" s="38" t="inlineStr">
        <is>
          <t>青藤鼠</t>
        </is>
      </c>
      <c r="C5" s="38" t="inlineStr">
        <is>
          <t>bz_van_004</t>
        </is>
      </c>
      <c r="D5" s="38" t="inlineStr">
        <is>
          <t>Turbo</t>
        </is>
      </c>
      <c r="E5" s="38" t="n">
        <v>13</v>
      </c>
      <c r="F5" s="38" t="inlineStr">
        <is>
          <t>Turbo, Deadly, Shiny, Fiery, Golden, Heavy, Icy, Mossy, Obsidian, Radiant, Restorative, Shielded, Toxic</t>
        </is>
      </c>
      <c r="G5" s="38" t="inlineStr">
        <is>
          <t>机动/雷；来源标签 tool, haste</t>
        </is>
      </c>
    </row>
    <row r="6">
      <c r="A6" s="38" t="inlineStr">
        <is>
          <t>pal_005</t>
        </is>
      </c>
      <c r="B6" s="38" t="inlineStr">
        <is>
          <t>赤尾狐</t>
        </is>
      </c>
      <c r="C6" s="38" t="inlineStr">
        <is>
          <t>bz_van_005</t>
        </is>
      </c>
      <c r="D6" s="38" t="inlineStr">
        <is>
          <t>Deadly</t>
        </is>
      </c>
      <c r="E6" s="38" t="n">
        <v>13</v>
      </c>
      <c r="F6" s="38" t="inlineStr">
        <is>
          <t>Deadly, Fiery, Obsidian, Golden, Heavy, Icy, Mossy, Radiant, Restorative, Shielded, Shiny, Toxic, Turbo</t>
        </is>
      </c>
      <c r="G6" s="38" t="inlineStr">
        <is>
          <t>输出/雷；来源标签 weapon, damage, ammo</t>
        </is>
      </c>
    </row>
    <row r="7">
      <c r="A7" s="38" t="inlineStr">
        <is>
          <t>pal_006</t>
        </is>
      </c>
      <c r="B7" s="38" t="inlineStr">
        <is>
          <t>碧水鸭</t>
        </is>
      </c>
      <c r="C7" s="38" t="inlineStr">
        <is>
          <t>bz_van_006</t>
        </is>
      </c>
      <c r="D7" s="38" t="inlineStr">
        <is>
          <t>Shielded</t>
        </is>
      </c>
      <c r="E7" s="38" t="n">
        <v>13</v>
      </c>
      <c r="F7" s="38" t="inlineStr">
        <is>
          <t>Shielded, Heavy, Mossy, Deadly, Fiery, Golden, Icy, Obsidian, Radiant, Restorative, Shiny, Toxic, Turbo</t>
        </is>
      </c>
      <c r="G7" s="38" t="inlineStr">
        <is>
          <t>坦克/地；来源标签 shield</t>
        </is>
      </c>
    </row>
    <row r="8">
      <c r="A8" s="38" t="inlineStr">
        <is>
          <t>pal_007</t>
        </is>
      </c>
      <c r="B8" s="38" t="inlineStr">
        <is>
          <t>雷须猫</t>
        </is>
      </c>
      <c r="C8" s="38" t="inlineStr">
        <is>
          <t>bz_van_007</t>
        </is>
      </c>
      <c r="D8" s="38" t="inlineStr">
        <is>
          <t>Deadly</t>
        </is>
      </c>
      <c r="E8" s="38" t="n">
        <v>13</v>
      </c>
      <c r="F8" s="38" t="inlineStr">
        <is>
          <t>Deadly, Fiery, Obsidian, Golden, Heavy, Icy, Mossy, Radiant, Restorative, Shielded, Shiny, Toxic, Turbo</t>
        </is>
      </c>
      <c r="G8" s="38" t="inlineStr">
        <is>
          <t>输出/地；来源标签 weapon, damage</t>
        </is>
      </c>
    </row>
    <row r="9">
      <c r="A9" s="38" t="inlineStr">
        <is>
          <t>pal_008</t>
        </is>
      </c>
      <c r="B9" s="38" t="inlineStr">
        <is>
          <t>藤甲猿</t>
        </is>
      </c>
      <c r="C9" s="38" t="inlineStr">
        <is>
          <t>bz_van_008</t>
        </is>
      </c>
      <c r="D9" s="38" t="inlineStr">
        <is>
          <t>Turbo</t>
        </is>
      </c>
      <c r="E9" s="38" t="n">
        <v>13</v>
      </c>
      <c r="F9" s="38" t="inlineStr">
        <is>
          <t>Turbo, Deadly, Shiny, Fiery, Golden, Heavy, Icy, Mossy, Obsidian, Radiant, Restorative, Shielded, Toxic</t>
        </is>
      </c>
      <c r="G9" s="38" t="inlineStr">
        <is>
          <t>机动/水；来源标签 aquatic, toy, haste</t>
        </is>
      </c>
    </row>
    <row r="10">
      <c r="A10" s="38" t="inlineStr">
        <is>
          <t>pal_009</t>
        </is>
      </c>
      <c r="B10" s="38" t="inlineStr">
        <is>
          <t>火角鹿</t>
        </is>
      </c>
      <c r="C10" s="38" t="inlineStr">
        <is>
          <t>bz_van_009</t>
        </is>
      </c>
      <c r="D10" s="38" t="inlineStr">
        <is>
          <t>Deadly</t>
        </is>
      </c>
      <c r="E10" s="38" t="n">
        <v>13</v>
      </c>
      <c r="F10" s="38" t="inlineStr">
        <is>
          <t>Deadly, Fiery, Obsidian, Golden, Heavy, Icy, Mossy, Radiant, Restorative, Shielded, Shiny, Toxic, Turbo</t>
        </is>
      </c>
      <c r="G10" s="38" t="inlineStr">
        <is>
          <t>输出/水；来源标签 weapon, aquatic, damage</t>
        </is>
      </c>
    </row>
    <row r="11">
      <c r="A11" s="38" t="inlineStr">
        <is>
          <t>pal_010</t>
        </is>
      </c>
      <c r="B11" s="38" t="inlineStr">
        <is>
          <t>霜羽鹭</t>
        </is>
      </c>
      <c r="C11" s="38" t="inlineStr">
        <is>
          <t>bz_van_010</t>
        </is>
      </c>
      <c r="D11" s="38" t="inlineStr">
        <is>
          <t>Deadly</t>
        </is>
      </c>
      <c r="E11" s="38" t="n">
        <v>13</v>
      </c>
      <c r="F11" s="38" t="inlineStr">
        <is>
          <t>Deadly, Turbo, Shiny, Fiery, Golden, Heavy, Icy, Mossy, Obsidian, Radiant, Restorative, Shielded, Toxic</t>
        </is>
      </c>
      <c r="G11" s="38" t="inlineStr">
        <is>
          <t>机动/水、龙；来源标签 weapon, tech, aquatic, vehicle, damage, flying</t>
        </is>
      </c>
    </row>
    <row r="12">
      <c r="A12" s="38" t="inlineStr">
        <is>
          <t>pal_011</t>
        </is>
      </c>
      <c r="B12" s="38" t="inlineStr">
        <is>
          <t>冰背獭</t>
        </is>
      </c>
      <c r="C12" s="38" t="inlineStr">
        <is>
          <t>bz_van_011</t>
        </is>
      </c>
      <c r="D12" s="38" t="inlineStr">
        <is>
          <t>Toxic</t>
        </is>
      </c>
      <c r="E12" s="38" t="n">
        <v>13</v>
      </c>
      <c r="F12" s="38" t="inlineStr">
        <is>
          <t>Toxic, Icy, Obsidian, Deadly, Fiery, Golden, Heavy, Mossy, Radiant, Restorative, Shielded, Shiny, Turbo</t>
        </is>
      </c>
      <c r="G12" s="38" t="inlineStr">
        <is>
          <t>控制/草、龙；来源标签 weapon, relic, damage, poison</t>
        </is>
      </c>
    </row>
    <row r="13">
      <c r="A13" s="38" t="inlineStr">
        <is>
          <t>pal_012</t>
        </is>
      </c>
      <c r="B13" s="38" t="inlineStr">
        <is>
          <t>电棘鼠</t>
        </is>
      </c>
      <c r="C13" s="38" t="inlineStr">
        <is>
          <t>bz_van_012</t>
        </is>
      </c>
      <c r="D13" s="38" t="inlineStr">
        <is>
          <t>Fiery</t>
        </is>
      </c>
      <c r="E13" s="38" t="n">
        <v>13</v>
      </c>
      <c r="F13" s="38" t="inlineStr">
        <is>
          <t>Fiery, Deadly, Obsidian, Golden, Heavy, Icy, Mossy, Radiant, Restorative, Shielded, Shiny, Toxic, Turbo</t>
        </is>
      </c>
      <c r="G13" s="38" t="inlineStr">
        <is>
          <t>输出/火、雷；来源标签 weapon, damage, ammo, burnreference</t>
        </is>
      </c>
    </row>
    <row r="14">
      <c r="A14" s="38" t="inlineStr">
        <is>
          <t>pal_013</t>
        </is>
      </c>
      <c r="B14" s="38" t="inlineStr">
        <is>
          <t>苔甲龟</t>
        </is>
      </c>
      <c r="C14" s="38" t="inlineStr">
        <is>
          <t>bz_van_013</t>
        </is>
      </c>
      <c r="D14" s="38" t="inlineStr">
        <is>
          <t>Icy</t>
        </is>
      </c>
      <c r="E14" s="38" t="n">
        <v>13</v>
      </c>
      <c r="F14" s="38" t="inlineStr">
        <is>
          <t>Icy, Toxic, Obsidian, Deadly, Fiery, Golden, Heavy, Mossy, Radiant, Restorative, Shielded, Shiny, Turbo</t>
        </is>
      </c>
      <c r="G14" s="38" t="inlineStr">
        <is>
          <t>控制/雷；来源标签 weapon, damage, ammo, slow</t>
        </is>
      </c>
    </row>
    <row r="15">
      <c r="A15" s="38" t="inlineStr">
        <is>
          <t>pal_014</t>
        </is>
      </c>
      <c r="B15" s="38" t="inlineStr">
        <is>
          <t>金钱狸</t>
        </is>
      </c>
      <c r="C15" s="38" t="inlineStr">
        <is>
          <t>bz_van_014</t>
        </is>
      </c>
      <c r="D15" s="38" t="inlineStr">
        <is>
          <t>Fiery</t>
        </is>
      </c>
      <c r="E15" s="38" t="n">
        <v>13</v>
      </c>
      <c r="F15" s="38" t="inlineStr">
        <is>
          <t>Fiery, Turbo, Deadly, Shiny, Golden, Heavy, Icy, Mossy, Obsidian, Radiant, Restorative, Shielded, Toxic</t>
        </is>
      </c>
      <c r="G15" s="38" t="inlineStr">
        <is>
          <t>机动/火；来源标签 burn, haste</t>
        </is>
      </c>
    </row>
    <row r="16">
      <c r="A16" s="38" t="inlineStr">
        <is>
          <t>pal_015</t>
        </is>
      </c>
      <c r="B16" s="38" t="inlineStr">
        <is>
          <t>黑甲猪</t>
        </is>
      </c>
      <c r="C16" s="38" t="inlineStr">
        <is>
          <t>bz_van_015</t>
        </is>
      </c>
      <c r="D16" s="38" t="inlineStr">
        <is>
          <t>Deadly</t>
        </is>
      </c>
      <c r="E16" s="38" t="n">
        <v>13</v>
      </c>
      <c r="F16" s="38" t="inlineStr">
        <is>
          <t>Deadly, Fiery, Obsidian, Golden, Heavy, Icy, Mossy, Radiant, Restorative, Shielded, Shiny, Toxic, Turbo</t>
        </is>
      </c>
      <c r="G16" s="38" t="inlineStr">
        <is>
          <t>输出/水；来源标签 weapon, damage</t>
        </is>
      </c>
    </row>
    <row r="17">
      <c r="A17" s="38" t="inlineStr">
        <is>
          <t>pal_016</t>
        </is>
      </c>
      <c r="B17" s="38" t="inlineStr">
        <is>
          <t>涧水象</t>
        </is>
      </c>
      <c r="C17" s="38" t="inlineStr">
        <is>
          <t>bz_van_016</t>
        </is>
      </c>
      <c r="D17" s="38" t="inlineStr">
        <is>
          <t>Deadly</t>
        </is>
      </c>
      <c r="E17" s="38" t="n">
        <v>13</v>
      </c>
      <c r="F17" s="38" t="inlineStr">
        <is>
          <t>Deadly, Radiant, Mossy, Shielded, Fiery, Golden, Heavy, Icy, Obsidian, Restorative, Shiny, Toxic, Turbo</t>
        </is>
      </c>
      <c r="G17" s="38" t="inlineStr">
        <is>
          <t>召唤/雷、龙；来源标签 friend, weapon, damage, critreference</t>
        </is>
      </c>
    </row>
    <row r="18">
      <c r="A18" s="38" t="inlineStr">
        <is>
          <t>pal_017</t>
        </is>
      </c>
      <c r="B18" s="38" t="inlineStr">
        <is>
          <t>黑角犀</t>
        </is>
      </c>
      <c r="C18" s="38" t="inlineStr">
        <is>
          <t>bz_van_017</t>
        </is>
      </c>
      <c r="D18" s="38" t="inlineStr">
        <is>
          <t>Fiery</t>
        </is>
      </c>
      <c r="E18" s="38" t="n">
        <v>13</v>
      </c>
      <c r="F18" s="38" t="inlineStr">
        <is>
          <t>Fiery, Deadly, Obsidian, Golden, Heavy, Icy, Mossy, Radiant, Restorative, Shielded, Shiny, Toxic, Turbo</t>
        </is>
      </c>
      <c r="G18" s="38" t="inlineStr">
        <is>
          <t>输出/火、雷；来源标签 weapon, damage, ammo, burn</t>
        </is>
      </c>
    </row>
    <row r="19">
      <c r="A19" s="38" t="inlineStr">
        <is>
          <t>pal_018</t>
        </is>
      </c>
      <c r="B19" s="38" t="inlineStr">
        <is>
          <t>竹囊鼠</t>
        </is>
      </c>
      <c r="C19" s="38" t="inlineStr">
        <is>
          <t>bz_van_018</t>
        </is>
      </c>
      <c r="D19" s="38" t="inlineStr">
        <is>
          <t>Turbo</t>
        </is>
      </c>
      <c r="E19" s="38" t="n">
        <v>13</v>
      </c>
      <c r="F19" s="38" t="inlineStr">
        <is>
          <t>Turbo, Deadly, Shiny, Fiery, Golden, Heavy, Icy, Mossy, Obsidian, Radiant, Restorative, Shielded, Toxic</t>
        </is>
      </c>
      <c r="G19" s="38" t="inlineStr">
        <is>
          <t>机动/雷；来源标签 weapon, damage</t>
        </is>
      </c>
    </row>
    <row r="20">
      <c r="A20" s="38" t="inlineStr">
        <is>
          <t>pal_019</t>
        </is>
      </c>
      <c r="B20" s="38" t="inlineStr">
        <is>
          <t>夜穴鼹</t>
        </is>
      </c>
      <c r="C20" s="38" t="inlineStr">
        <is>
          <t>bz_van_019</t>
        </is>
      </c>
      <c r="D20" s="38" t="inlineStr">
        <is>
          <t>Deadly</t>
        </is>
      </c>
      <c r="E20" s="38" t="n">
        <v>13</v>
      </c>
      <c r="F20" s="38" t="inlineStr">
        <is>
          <t>Deadly, Fiery, Obsidian, Golden, Heavy, Icy, Mossy, Radiant, Restorative, Shielded, Shiny, Toxic, Turbo</t>
        </is>
      </c>
      <c r="G20" s="38" t="inlineStr">
        <is>
          <t>输出/雷；来源标签 ammoreference</t>
        </is>
      </c>
    </row>
    <row r="21">
      <c r="A21" s="38" t="inlineStr">
        <is>
          <t>pal_020</t>
        </is>
      </c>
      <c r="B21" s="38" t="inlineStr">
        <is>
          <t>沙鬃猪</t>
        </is>
      </c>
      <c r="C21" s="38" t="inlineStr">
        <is>
          <t>bz_van_020</t>
        </is>
      </c>
      <c r="D21" s="38" t="inlineStr">
        <is>
          <t>Turbo</t>
        </is>
      </c>
      <c r="E21" s="38" t="n">
        <v>13</v>
      </c>
      <c r="F21" s="38" t="inlineStr">
        <is>
          <t>Turbo, Deadly, Shiny, Fiery, Golden, Heavy, Icy, Mossy, Obsidian, Radiant, Restorative, Shielded, Toxic</t>
        </is>
      </c>
      <c r="G21" s="38" t="inlineStr">
        <is>
          <t>机动/水、雷；来源标签 aquatic, property, haste, damagereference, ammoreference</t>
        </is>
      </c>
    </row>
    <row r="22">
      <c r="A22" s="38" t="inlineStr">
        <is>
          <t>pal_021</t>
        </is>
      </c>
      <c r="B22" s="38" t="inlineStr">
        <is>
          <t>暮羽鸦</t>
        </is>
      </c>
      <c r="C22" s="38" t="inlineStr">
        <is>
          <t>bz_van_021</t>
        </is>
      </c>
      <c r="D22" s="38" t="inlineStr">
        <is>
          <t>Turbo</t>
        </is>
      </c>
      <c r="E22" s="38" t="n">
        <v>13</v>
      </c>
      <c r="F22" s="38" t="inlineStr">
        <is>
          <t>Turbo, Deadly, Shiny, Fiery, Golden, Heavy, Icy, Mossy, Obsidian, Radiant, Restorative, Shielded, Toxic</t>
        </is>
      </c>
      <c r="G22" s="38" t="inlineStr">
        <is>
          <t>机动/水、龙；来源标签 aquatic, tool, haste</t>
        </is>
      </c>
    </row>
    <row r="23">
      <c r="A23" s="38" t="inlineStr">
        <is>
          <t>pal_022</t>
        </is>
      </c>
      <c r="B23" s="38" t="inlineStr">
        <is>
          <t>岩爪鼹</t>
        </is>
      </c>
      <c r="C23" s="38" t="inlineStr">
        <is>
          <t>bz_van_022</t>
        </is>
      </c>
      <c r="D23" s="38" t="inlineStr">
        <is>
          <t>Turbo</t>
        </is>
      </c>
      <c r="E23" s="38" t="n">
        <v>13</v>
      </c>
      <c r="F23" s="38" t="inlineStr">
        <is>
          <t>Turbo, Deadly, Shiny, Fiery, Golden, Heavy, Icy, Mossy, Obsidian, Radiant, Restorative, Shielded, Toxic</t>
        </is>
      </c>
      <c r="G23" s="38" t="inlineStr">
        <is>
          <t>机动/龙；来源标签 无</t>
        </is>
      </c>
    </row>
    <row r="24">
      <c r="A24" s="38" t="inlineStr">
        <is>
          <t>pal_023</t>
        </is>
      </c>
      <c r="B24" s="38" t="inlineStr">
        <is>
          <t>墨潭鲵</t>
        </is>
      </c>
      <c r="C24" s="38" t="inlineStr">
        <is>
          <t>bz_van_023</t>
        </is>
      </c>
      <c r="D24" s="38" t="inlineStr">
        <is>
          <t>Toxic</t>
        </is>
      </c>
      <c r="E24" s="38" t="n">
        <v>13</v>
      </c>
      <c r="F24" s="38" t="inlineStr">
        <is>
          <t>Toxic, Icy, Obsidian, Deadly, Fiery, Golden, Heavy, Mossy, Radiant, Restorative, Shielded, Shiny, Turbo</t>
        </is>
      </c>
      <c r="G24" s="38" t="inlineStr">
        <is>
          <t>控制/草、水；来源标签 aquatic, friend, poison, hastereference</t>
        </is>
      </c>
    </row>
    <row r="25">
      <c r="A25" s="38" t="inlineStr">
        <is>
          <t>pal_024</t>
        </is>
      </c>
      <c r="B25" s="38" t="inlineStr">
        <is>
          <t>幽纹猫</t>
        </is>
      </c>
      <c r="C25" s="38" t="inlineStr">
        <is>
          <t>bz_van_024</t>
        </is>
      </c>
      <c r="D25" s="38" t="inlineStr">
        <is>
          <t>Fiery</t>
        </is>
      </c>
      <c r="E25" s="38" t="n">
        <v>13</v>
      </c>
      <c r="F25" s="38" t="inlineStr">
        <is>
          <t>Fiery, Icy, Toxic, Obsidian, Deadly, Golden, Heavy, Mossy, Radiant, Restorative, Shielded, Shiny, Turbo</t>
        </is>
      </c>
      <c r="G25" s="38" t="inlineStr">
        <is>
          <t>控制/火；来源标签 weapon, tech, damage, burn</t>
        </is>
      </c>
    </row>
    <row r="26">
      <c r="A26" s="38" t="inlineStr">
        <is>
          <t>pal_025</t>
        </is>
      </c>
      <c r="B26" s="38" t="inlineStr">
        <is>
          <t>泉须鲶</t>
        </is>
      </c>
      <c r="C26" s="38" t="inlineStr">
        <is>
          <t>bz_van_025</t>
        </is>
      </c>
      <c r="D26" s="38" t="inlineStr">
        <is>
          <t>Golden</t>
        </is>
      </c>
      <c r="E26" s="38" t="n">
        <v>13</v>
      </c>
      <c r="F26" s="38" t="inlineStr">
        <is>
          <t>Golden, Shiny, Radiant, Deadly, Fiery, Heavy, Icy, Mossy, Obsidian, Restorative, Shielded, Toxic, Turbo</t>
        </is>
      </c>
      <c r="G26" s="38" t="inlineStr">
        <is>
          <t>经济/草、水；来源标签 aquatic, food, crit</t>
        </is>
      </c>
    </row>
    <row r="27">
      <c r="A27" s="38" t="inlineStr">
        <is>
          <t>pal_026</t>
        </is>
      </c>
      <c r="B27" s="38" t="inlineStr">
        <is>
          <t>疾风狼</t>
        </is>
      </c>
      <c r="C27" s="38" t="inlineStr">
        <is>
          <t>bz_van_026</t>
        </is>
      </c>
      <c r="D27" s="38" t="inlineStr">
        <is>
          <t>Icy</t>
        </is>
      </c>
      <c r="E27" s="38" t="n">
        <v>13</v>
      </c>
      <c r="F27" s="38" t="inlineStr">
        <is>
          <t>Icy, Toxic, Obsidian, Deadly, Fiery, Golden, Heavy, Mossy, Radiant, Restorative, Shielded, Shiny, Turbo</t>
        </is>
      </c>
      <c r="G27" s="38" t="inlineStr">
        <is>
          <t>控制/水；来源标签 aquatic, slow</t>
        </is>
      </c>
    </row>
    <row r="28">
      <c r="A28" s="38" t="inlineStr">
        <is>
          <t>pal_027</t>
        </is>
      </c>
      <c r="B28" s="38" t="inlineStr">
        <is>
          <t>惊羽雀</t>
        </is>
      </c>
      <c r="C28" s="38" t="inlineStr">
        <is>
          <t>bz_van_027</t>
        </is>
      </c>
      <c r="D28" s="38" t="inlineStr">
        <is>
          <t>Turbo</t>
        </is>
      </c>
      <c r="E28" s="38" t="n">
        <v>13</v>
      </c>
      <c r="F28" s="38" t="inlineStr">
        <is>
          <t>Turbo, Deadly, Shiny, Fiery, Golden, Heavy, Icy, Mossy, Obsidian, Radiant, Restorative, Shielded, Toxic</t>
        </is>
      </c>
      <c r="G28" s="38" t="inlineStr">
        <is>
          <t>机动/地；来源标签 weapon, damage, gold, haste</t>
        </is>
      </c>
    </row>
    <row r="29">
      <c r="A29" s="38" t="inlineStr">
        <is>
          <t>pal_028</t>
        </is>
      </c>
      <c r="B29" s="38" t="inlineStr">
        <is>
          <t>药草兔</t>
        </is>
      </c>
      <c r="C29" s="38" t="inlineStr">
        <is>
          <t>bz_van_028</t>
        </is>
      </c>
      <c r="D29" s="38" t="inlineStr">
        <is>
          <t>Restorative</t>
        </is>
      </c>
      <c r="E29" s="38" t="n">
        <v>13</v>
      </c>
      <c r="F29" s="38" t="inlineStr">
        <is>
          <t>Restorative, Mossy, Radiant, Deadly, Fiery, Golden, Heavy, Icy, Obsidian, Shielded, Shiny, Toxic, Turbo</t>
        </is>
      </c>
      <c r="G29" s="38" t="inlineStr">
        <is>
          <t>治疗/水、龙；来源标签 aquatic, relic, heal</t>
        </is>
      </c>
    </row>
    <row r="30">
      <c r="A30" s="38" t="inlineStr">
        <is>
          <t>pal_029</t>
        </is>
      </c>
      <c r="B30" s="38" t="inlineStr">
        <is>
          <t>黄背牛</t>
        </is>
      </c>
      <c r="C30" s="38" t="inlineStr">
        <is>
          <t>bz_van_029</t>
        </is>
      </c>
      <c r="D30" s="38" t="inlineStr">
        <is>
          <t>Shielded</t>
        </is>
      </c>
      <c r="E30" s="38" t="n">
        <v>13</v>
      </c>
      <c r="F30" s="38" t="inlineStr">
        <is>
          <t>Shielded, Heavy, Mossy, Deadly, Fiery, Golden, Icy, Obsidian, Radiant, Restorative, Shiny, Toxic, Turbo</t>
        </is>
      </c>
      <c r="G30" s="38" t="inlineStr">
        <is>
          <t>坦克/水、地；来源标签 aquatic, apparel, relic, shield</t>
        </is>
      </c>
    </row>
    <row r="31">
      <c r="A31" s="38" t="inlineStr">
        <is>
          <t>pal_030</t>
        </is>
      </c>
      <c r="B31" s="38" t="inlineStr">
        <is>
          <t>花刺蛛</t>
        </is>
      </c>
      <c r="C31" s="38" t="inlineStr">
        <is>
          <t>bz_van_030</t>
        </is>
      </c>
      <c r="D31" s="38" t="inlineStr">
        <is>
          <t>Shielded</t>
        </is>
      </c>
      <c r="E31" s="38" t="n">
        <v>13</v>
      </c>
      <c r="F31" s="38" t="inlineStr">
        <is>
          <t>Shielded, Heavy, Mossy, Deadly, Fiery, Golden, Icy, Obsidian, Radiant, Restorative, Shiny, Toxic, Turbo</t>
        </is>
      </c>
      <c r="G31" s="38" t="inlineStr">
        <is>
          <t>坦克/水、地；来源标签 aquatic, property, shield, value, economyreference</t>
        </is>
      </c>
    </row>
    <row r="32">
      <c r="A32" s="38" t="inlineStr">
        <is>
          <t>pal_031</t>
        </is>
      </c>
      <c r="B32" s="38" t="inlineStr">
        <is>
          <t>青背鲵</t>
        </is>
      </c>
      <c r="C32" s="38" t="inlineStr">
        <is>
          <t>bz_van_031</t>
        </is>
      </c>
      <c r="D32" s="38" t="inlineStr">
        <is>
          <t>Icy</t>
        </is>
      </c>
      <c r="E32" s="38" t="n">
        <v>13</v>
      </c>
      <c r="F32" s="38" t="inlineStr">
        <is>
          <t>Icy, Restorative, Mossy, Radiant, Deadly, Fiery, Golden, Heavy, Obsidian, Shielded, Shiny, Toxic, Turbo</t>
        </is>
      </c>
      <c r="G32" s="38" t="inlineStr">
        <is>
          <t>治疗/水、雷；来源标签 property, aquatic, crit</t>
        </is>
      </c>
    </row>
    <row r="33">
      <c r="A33" s="38" t="inlineStr">
        <is>
          <t>pal_032</t>
        </is>
      </c>
      <c r="B33" s="38" t="inlineStr">
        <is>
          <t>石甲鲮</t>
        </is>
      </c>
      <c r="C33" s="38" t="inlineStr">
        <is>
          <t>bz_van_032</t>
        </is>
      </c>
      <c r="D33" s="38" t="inlineStr">
        <is>
          <t>Turbo</t>
        </is>
      </c>
      <c r="E33" s="38" t="n">
        <v>13</v>
      </c>
      <c r="F33" s="38" t="inlineStr">
        <is>
          <t>Turbo, Deadly, Shiny, Fiery, Golden, Heavy, Icy, Mossy, Obsidian, Radiant, Restorative, Shielded, Toxic</t>
        </is>
      </c>
      <c r="G33" s="38" t="inlineStr">
        <is>
          <t>机动/雷；来源标签 tech, crit, charge</t>
        </is>
      </c>
    </row>
    <row r="34">
      <c r="A34" s="38" t="inlineStr">
        <is>
          <t>pal_033</t>
        </is>
      </c>
      <c r="B34" s="38" t="inlineStr">
        <is>
          <t>芭蕉熊</t>
        </is>
      </c>
      <c r="C34" s="38" t="inlineStr">
        <is>
          <t>bz_van_033</t>
        </is>
      </c>
      <c r="D34" s="38" t="inlineStr">
        <is>
          <t>Icy</t>
        </is>
      </c>
      <c r="E34" s="38" t="n">
        <v>13</v>
      </c>
      <c r="F34" s="38" t="inlineStr">
        <is>
          <t>Icy, Toxic, Obsidian, Deadly, Fiery, Golden, Heavy, Mossy, Radiant, Restorative, Shielded, Shiny, Turbo</t>
        </is>
      </c>
      <c r="G34" s="38" t="inlineStr">
        <is>
          <t>控制/雷；来源标签 weapon, damage, critreference</t>
        </is>
      </c>
    </row>
    <row r="35">
      <c r="A35" s="38" t="inlineStr">
        <is>
          <t>pal_034</t>
        </is>
      </c>
      <c r="B35" s="38" t="inlineStr">
        <is>
          <t>蜜纹獾</t>
        </is>
      </c>
      <c r="C35" s="38" t="inlineStr">
        <is>
          <t>bz_van_034</t>
        </is>
      </c>
      <c r="D35" s="38" t="inlineStr">
        <is>
          <t>Deadly</t>
        </is>
      </c>
      <c r="E35" s="38" t="n">
        <v>13</v>
      </c>
      <c r="F35" s="38" t="inlineStr">
        <is>
          <t>Deadly, Fiery, Obsidian, Golden, Heavy, Icy, Mossy, Radiant, Restorative, Shielded, Shiny, Toxic, Turbo</t>
        </is>
      </c>
      <c r="G35" s="38" t="inlineStr">
        <is>
          <t>输出/雷；来源标签 weapon, tech, damage, critreference</t>
        </is>
      </c>
    </row>
    <row r="36">
      <c r="A36" s="38" t="inlineStr">
        <is>
          <t>pal_035</t>
        </is>
      </c>
      <c r="B36" s="38" t="inlineStr">
        <is>
          <t>藤巢蜂</t>
        </is>
      </c>
      <c r="C36" s="38" t="inlineStr">
        <is>
          <t>bz_van_035</t>
        </is>
      </c>
      <c r="D36" s="38" t="inlineStr">
        <is>
          <t>Turbo</t>
        </is>
      </c>
      <c r="E36" s="38" t="n">
        <v>13</v>
      </c>
      <c r="F36" s="38" t="inlineStr">
        <is>
          <t>Turbo, Icy, Toxic, Obsidian, Deadly, Fiery, Golden, Heavy, Mossy, Radiant, Restorative, Shielded, Shiny</t>
        </is>
      </c>
      <c r="G36" s="38" t="inlineStr">
        <is>
          <t>控制/水、雷；来源标签 aquatic, property</t>
        </is>
      </c>
    </row>
    <row r="37">
      <c r="A37" s="38" t="inlineStr">
        <is>
          <t>pal_036</t>
        </is>
      </c>
      <c r="B37" s="38" t="inlineStr">
        <is>
          <t>云纹巨驼</t>
        </is>
      </c>
      <c r="C37" s="38" t="inlineStr">
        <is>
          <t>bz_van_036</t>
        </is>
      </c>
      <c r="D37" s="38" t="inlineStr">
        <is>
          <t>Fiery</t>
        </is>
      </c>
      <c r="E37" s="38" t="n">
        <v>13</v>
      </c>
      <c r="F37" s="38" t="inlineStr">
        <is>
          <t>Fiery, Icy, Toxic, Obsidian, Deadly, Golden, Heavy, Mossy, Radiant, Restorative, Shielded, Shiny, Turbo</t>
        </is>
      </c>
      <c r="G37" s="38" t="inlineStr">
        <is>
          <t>控制/火、水；来源标签 friend, aquatic, burn, slowreference</t>
        </is>
      </c>
    </row>
    <row r="38">
      <c r="A38" s="38" t="inlineStr">
        <is>
          <t>pal_037</t>
        </is>
      </c>
      <c r="B38" s="38" t="inlineStr">
        <is>
          <t>月角白鹿</t>
        </is>
      </c>
      <c r="C38" s="38" t="inlineStr">
        <is>
          <t>bz_van_037</t>
        </is>
      </c>
      <c r="D38" s="38" t="inlineStr">
        <is>
          <t>Icy</t>
        </is>
      </c>
      <c r="E38" s="38" t="n">
        <v>13</v>
      </c>
      <c r="F38" s="38" t="inlineStr">
        <is>
          <t>Icy, Toxic, Obsidian, Deadly, Fiery, Golden, Heavy, Mossy, Radiant, Restorative, Shielded, Shiny, Turbo</t>
        </is>
      </c>
      <c r="G38" s="38" t="inlineStr">
        <is>
          <t>控制/草；来源标签 weapon, tech, damage, slow, poison</t>
        </is>
      </c>
    </row>
    <row r="39">
      <c r="A39" s="38" t="inlineStr">
        <is>
          <t>pal_038</t>
        </is>
      </c>
      <c r="B39" s="38" t="inlineStr">
        <is>
          <t>疾风苍鹰</t>
        </is>
      </c>
      <c r="C39" s="38" t="inlineStr">
        <is>
          <t>bz_van_038</t>
        </is>
      </c>
      <c r="D39" s="38" t="inlineStr">
        <is>
          <t>Turbo</t>
        </is>
      </c>
      <c r="E39" s="38" t="n">
        <v>13</v>
      </c>
      <c r="F39" s="38" t="inlineStr">
        <is>
          <t>Turbo, Deadly, Shiny, Fiery, Golden, Heavy, Icy, Mossy, Obsidian, Radiant, Restorative, Shielded, Toxic</t>
        </is>
      </c>
      <c r="G39" s="38" t="inlineStr">
        <is>
          <t>机动/雷；来源标签 apparel, charge</t>
        </is>
      </c>
    </row>
    <row r="40">
      <c r="A40" s="38" t="inlineStr">
        <is>
          <t>pal_039</t>
        </is>
      </c>
      <c r="B40" s="38" t="inlineStr">
        <is>
          <t>银背巨兔</t>
        </is>
      </c>
      <c r="C40" s="38" t="inlineStr">
        <is>
          <t>bz_van_039</t>
        </is>
      </c>
      <c r="D40" s="38" t="inlineStr">
        <is>
          <t>Turbo</t>
        </is>
      </c>
      <c r="E40" s="38" t="n">
        <v>13</v>
      </c>
      <c r="F40" s="38" t="inlineStr">
        <is>
          <t>Turbo, Deadly, Shiny, Fiery, Golden, Heavy, Icy, Mossy, Obsidian, Radiant, Restorative, Shielded, Toxic</t>
        </is>
      </c>
      <c r="G40" s="38" t="inlineStr">
        <is>
          <t>机动/水、雷；来源标签 aquatic, tool, apparel, haste, ammo</t>
        </is>
      </c>
    </row>
    <row r="41">
      <c r="A41" s="38" t="inlineStr">
        <is>
          <t>pal_040</t>
        </is>
      </c>
      <c r="B41" s="38" t="inlineStr">
        <is>
          <t>炎角黑羊</t>
        </is>
      </c>
      <c r="C41" s="38" t="inlineStr">
        <is>
          <t>bz_van_040</t>
        </is>
      </c>
      <c r="D41" s="38" t="inlineStr">
        <is>
          <t>Turbo</t>
        </is>
      </c>
      <c r="E41" s="38" t="n">
        <v>13</v>
      </c>
      <c r="F41" s="38" t="inlineStr">
        <is>
          <t>Turbo, Heavy, Shielded, Mossy, Deadly, Fiery, Golden, Icy, Obsidian, Radiant, Restorative, Shiny, Toxic</t>
        </is>
      </c>
      <c r="G41" s="38" t="inlineStr">
        <is>
          <t>坦克/水、雷；来源标签 aquatic, tool, apparel, shield, charge</t>
        </is>
      </c>
    </row>
    <row r="42">
      <c r="A42" s="38" t="inlineStr">
        <is>
          <t>pal_041</t>
        </is>
      </c>
      <c r="B42" s="38" t="inlineStr">
        <is>
          <t>回春彩蝶</t>
        </is>
      </c>
      <c r="C42" s="38" t="inlineStr">
        <is>
          <t>bz_van_041</t>
        </is>
      </c>
      <c r="D42" s="38" t="inlineStr">
        <is>
          <t>Icy</t>
        </is>
      </c>
      <c r="E42" s="38" t="n">
        <v>13</v>
      </c>
      <c r="F42" s="38" t="inlineStr">
        <is>
          <t>Icy, Toxic, Obsidian, Deadly, Fiery, Golden, Heavy, Mossy, Radiant, Restorative, Shielded, Shiny, Turbo</t>
        </is>
      </c>
      <c r="G42" s="38" t="inlineStr">
        <is>
          <t>控制/水；来源标签 tool, aquatic, slow</t>
        </is>
      </c>
    </row>
    <row r="43">
      <c r="A43" s="38" t="inlineStr">
        <is>
          <t>pal_042</t>
        </is>
      </c>
      <c r="B43" s="38" t="inlineStr">
        <is>
          <t>赤焰蛮牛</t>
        </is>
      </c>
      <c r="C43" s="38" t="inlineStr">
        <is>
          <t>bz_van_042</t>
        </is>
      </c>
      <c r="D43" s="38" t="inlineStr">
        <is>
          <t>Deadly</t>
        </is>
      </c>
      <c r="E43" s="38" t="n">
        <v>13</v>
      </c>
      <c r="F43" s="38" t="inlineStr">
        <is>
          <t>Deadly, Fiery, Obsidian, Golden, Heavy, Icy, Mossy, Radiant, Restorative, Shielded, Shiny, Toxic, Turbo</t>
        </is>
      </c>
      <c r="G43" s="38" t="inlineStr">
        <is>
          <t>输出/雷；来源标签 weapon, damage, ammo</t>
        </is>
      </c>
    </row>
    <row r="44">
      <c r="A44" s="38" t="inlineStr">
        <is>
          <t>pal_043</t>
        </is>
      </c>
      <c r="B44" s="38" t="inlineStr">
        <is>
          <t>泥甲巨鲶</t>
        </is>
      </c>
      <c r="C44" s="38" t="inlineStr">
        <is>
          <t>bz_van_043</t>
        </is>
      </c>
      <c r="D44" s="38" t="inlineStr">
        <is>
          <t>Icy</t>
        </is>
      </c>
      <c r="E44" s="38" t="n">
        <v>13</v>
      </c>
      <c r="F44" s="38" t="inlineStr">
        <is>
          <t>Icy, Toxic, Obsidian, Deadly, Fiery, Golden, Heavy, Mossy, Radiant, Restorative, Shielded, Shiny, Turbo</t>
        </is>
      </c>
      <c r="G44" s="38" t="inlineStr">
        <is>
          <t>控制/水、雷；来源标签 aquatic, weapon, friend, damage, slow</t>
        </is>
      </c>
    </row>
    <row r="45">
      <c r="A45" s="38" t="inlineStr">
        <is>
          <t>pal_044</t>
        </is>
      </c>
      <c r="B45" s="38" t="inlineStr">
        <is>
          <t>夜羽巨鸦</t>
        </is>
      </c>
      <c r="C45" s="38" t="inlineStr">
        <is>
          <t>bz_van_044</t>
        </is>
      </c>
      <c r="D45" s="38" t="inlineStr">
        <is>
          <t>Fiery</t>
        </is>
      </c>
      <c r="E45" s="38" t="n">
        <v>13</v>
      </c>
      <c r="F45" s="38" t="inlineStr">
        <is>
          <t>Fiery, Icy, Toxic, Obsidian, Deadly, Golden, Heavy, Mossy, Radiant, Restorative, Shielded, Shiny, Turbo</t>
        </is>
      </c>
      <c r="G45" s="38" t="inlineStr">
        <is>
          <t>控制/火、冰；来源标签 aquatic, tech, trap, burn, poison, freeze, ammo</t>
        </is>
      </c>
    </row>
    <row r="46">
      <c r="A46" s="38" t="inlineStr">
        <is>
          <t>pal_045</t>
        </is>
      </c>
      <c r="B46" s="38" t="inlineStr">
        <is>
          <t>墨鳞巨蜥</t>
        </is>
      </c>
      <c r="C46" s="38" t="inlineStr">
        <is>
          <t>bz_van_045</t>
        </is>
      </c>
      <c r="D46" s="38" t="inlineStr">
        <is>
          <t>Turbo</t>
        </is>
      </c>
      <c r="E46" s="38" t="n">
        <v>13</v>
      </c>
      <c r="F46" s="38" t="inlineStr">
        <is>
          <t>Turbo, Deadly, Shiny, Fiery, Golden, Heavy, Icy, Mossy, Obsidian, Radiant, Restorative, Shielded, Toxic</t>
        </is>
      </c>
      <c r="G46" s="38" t="inlineStr">
        <is>
          <t>机动/水、龙；来源标签 aquatic, relic, damagereference, cooldown</t>
        </is>
      </c>
    </row>
    <row r="47">
      <c r="A47" s="38" t="inlineStr">
        <is>
          <t>pal_046</t>
        </is>
      </c>
      <c r="B47" s="38" t="inlineStr">
        <is>
          <t>月镰螳螂</t>
        </is>
      </c>
      <c r="C47" s="38" t="inlineStr">
        <is>
          <t>bz_van_046</t>
        </is>
      </c>
      <c r="D47" s="38" t="inlineStr">
        <is>
          <t>Icy</t>
        </is>
      </c>
      <c r="E47" s="38" t="n">
        <v>13</v>
      </c>
      <c r="F47" s="38" t="inlineStr">
        <is>
          <t>Icy, Toxic, Obsidian, Deadly, Fiery, Golden, Heavy, Mossy, Radiant, Restorative, Shielded, Shiny, Turbo</t>
        </is>
      </c>
      <c r="G47" s="38" t="inlineStr">
        <is>
          <t>控制/水；来源标签 aquatic, tool, slow, economyreference</t>
        </is>
      </c>
    </row>
    <row r="48">
      <c r="A48" s="38" t="inlineStr">
        <is>
          <t>pal_047</t>
        </is>
      </c>
      <c r="B48" s="38" t="inlineStr">
        <is>
          <t>裂空苍鹰</t>
        </is>
      </c>
      <c r="C48" s="38" t="inlineStr">
        <is>
          <t>bz_van_047</t>
        </is>
      </c>
      <c r="D48" s="38" t="inlineStr">
        <is>
          <t>Turbo</t>
        </is>
      </c>
      <c r="E48" s="38" t="n">
        <v>13</v>
      </c>
      <c r="F48" s="38" t="inlineStr">
        <is>
          <t>Turbo, Deadly, Shiny, Fiery, Golden, Heavy, Icy, Mossy, Obsidian, Radiant, Restorative, Shielded, Toxic</t>
        </is>
      </c>
      <c r="G48" s="38" t="inlineStr">
        <is>
          <t>机动/水；来源标签 aquatic, tool, haste</t>
        </is>
      </c>
    </row>
    <row r="49">
      <c r="A49" s="38" t="inlineStr">
        <is>
          <t>pal_048</t>
        </is>
      </c>
      <c r="B49" s="38" t="inlineStr">
        <is>
          <t>木刺豪猪</t>
        </is>
      </c>
      <c r="C49" s="38" t="inlineStr">
        <is>
          <t>bz_van_048</t>
        </is>
      </c>
      <c r="D49" s="38" t="inlineStr">
        <is>
          <t>Deadly</t>
        </is>
      </c>
      <c r="E49" s="38" t="n">
        <v>13</v>
      </c>
      <c r="F49" s="38" t="inlineStr">
        <is>
          <t>Deadly, Radiant, Mossy, Shielded, Fiery, Golden, Heavy, Icy, Obsidian, Restorative, Shiny, Toxic, Turbo</t>
        </is>
      </c>
      <c r="G49" s="38" t="inlineStr">
        <is>
          <t>召唤/水、雷；来源标签 aquatic, vehicle, weapon, damage, ammoreference</t>
        </is>
      </c>
    </row>
    <row r="50">
      <c r="A50" s="38" t="inlineStr">
        <is>
          <t>pal_049</t>
        </is>
      </c>
      <c r="B50" s="38" t="inlineStr">
        <is>
          <t>铁臂黑猿</t>
        </is>
      </c>
      <c r="C50" s="38" t="inlineStr">
        <is>
          <t>bz_van_049</t>
        </is>
      </c>
      <c r="D50" s="38" t="inlineStr">
        <is>
          <t>Turbo</t>
        </is>
      </c>
      <c r="E50" s="38" t="n">
        <v>13</v>
      </c>
      <c r="F50" s="38" t="inlineStr">
        <is>
          <t>Turbo, Deadly, Shiny, Fiery, Golden, Heavy, Icy, Mossy, Obsidian, Radiant, Restorative, Shielded, Toxic</t>
        </is>
      </c>
      <c r="G50" s="38" t="inlineStr">
        <is>
          <t>机动/水、龙；来源标签 aquatic, friend, weapon, haste, flying</t>
        </is>
      </c>
    </row>
    <row r="51">
      <c r="A51" s="38" t="inlineStr">
        <is>
          <t>pal_050</t>
        </is>
      </c>
      <c r="B51" s="38" t="inlineStr">
        <is>
          <t>金甲蜂群</t>
        </is>
      </c>
      <c r="C51" s="38" t="inlineStr">
        <is>
          <t>bz_van_050</t>
        </is>
      </c>
      <c r="D51" s="38" t="inlineStr">
        <is>
          <t>Deadly</t>
        </is>
      </c>
      <c r="E51" s="38" t="n">
        <v>13</v>
      </c>
      <c r="F51" s="38" t="inlineStr">
        <is>
          <t>Deadly, Fiery, Obsidian, Golden, Heavy, Icy, Mossy, Radiant, Restorative, Shielded, Shiny, Toxic, Turbo</t>
        </is>
      </c>
      <c r="G51" s="38" t="inlineStr">
        <is>
          <t>输出/雷；来源标签 weapon, damage, ammo</t>
        </is>
      </c>
    </row>
    <row r="52">
      <c r="A52" s="38" t="inlineStr">
        <is>
          <t>pal_051</t>
        </is>
      </c>
      <c r="B52" s="38" t="inlineStr">
        <is>
          <t>百花巨蜂</t>
        </is>
      </c>
      <c r="C52" s="38" t="inlineStr">
        <is>
          <t>bz_van_051</t>
        </is>
      </c>
      <c r="D52" s="38" t="inlineStr">
        <is>
          <t>Icy</t>
        </is>
      </c>
      <c r="E52" s="38" t="n">
        <v>13</v>
      </c>
      <c r="F52" s="38" t="inlineStr">
        <is>
          <t>Icy, Toxic, Obsidian, Deadly, Fiery, Golden, Heavy, Mossy, Radiant, Restorative, Shielded, Shiny, Turbo</t>
        </is>
      </c>
      <c r="G52" s="38" t="inlineStr">
        <is>
          <t>控制/暗；来源标签 weapon, tool, damage, slow</t>
        </is>
      </c>
    </row>
    <row r="53">
      <c r="A53" s="38" t="inlineStr">
        <is>
          <t>pal_052</t>
        </is>
      </c>
      <c r="B53" s="38" t="inlineStr">
        <is>
          <t>笑面山猫</t>
        </is>
      </c>
      <c r="C53" s="38" t="inlineStr">
        <is>
          <t>bz_van_052</t>
        </is>
      </c>
      <c r="D53" s="38" t="inlineStr">
        <is>
          <t>Deadly</t>
        </is>
      </c>
      <c r="E53" s="38" t="n">
        <v>13</v>
      </c>
      <c r="F53" s="38" t="inlineStr">
        <is>
          <t>Deadly, Fiery, Obsidian, Golden, Heavy, Icy, Mossy, Radiant, Restorative, Shielded, Shiny, Toxic, Turbo</t>
        </is>
      </c>
      <c r="G53" s="38" t="inlineStr">
        <is>
          <t>输出/雷；来源标签 weapon, damage, ammo</t>
        </is>
      </c>
    </row>
    <row r="54">
      <c r="A54" s="38" t="inlineStr">
        <is>
          <t>pal_053</t>
        </is>
      </c>
      <c r="B54" s="38" t="inlineStr">
        <is>
          <t>霜尾雪貂</t>
        </is>
      </c>
      <c r="C54" s="38" t="inlineStr">
        <is>
          <t>bz_van_053</t>
        </is>
      </c>
      <c r="D54" s="38" t="inlineStr">
        <is>
          <t>Deadly</t>
        </is>
      </c>
      <c r="E54" s="38" t="n">
        <v>13</v>
      </c>
      <c r="F54" s="38" t="inlineStr">
        <is>
          <t>Deadly, Fiery, Obsidian, Golden, Heavy, Icy, Mossy, Radiant, Restorative, Shielded, Shiny, Toxic, Turbo</t>
        </is>
      </c>
      <c r="G54" s="38" t="inlineStr">
        <is>
          <t>输出/无；来源标签 weapon, damage</t>
        </is>
      </c>
    </row>
    <row r="55">
      <c r="A55" s="38" t="inlineStr">
        <is>
          <t>pal_054</t>
        </is>
      </c>
      <c r="B55" s="38" t="inlineStr">
        <is>
          <t>白眉雪猿</t>
        </is>
      </c>
      <c r="C55" s="38" t="inlineStr">
        <is>
          <t>bz_van_054</t>
        </is>
      </c>
      <c r="D55" s="38" t="inlineStr">
        <is>
          <t>Obsidian</t>
        </is>
      </c>
      <c r="E55" s="38" t="n">
        <v>13</v>
      </c>
      <c r="F55" s="38" t="inlineStr">
        <is>
          <t>Obsidian, Icy, Toxic, Deadly, Fiery, Golden, Heavy, Mossy, Radiant, Restorative, Shielded, Shiny, Turbo</t>
        </is>
      </c>
      <c r="G55" s="38" t="inlineStr">
        <is>
          <t>控制/水、雷；来源标签 aquatic, ammo</t>
        </is>
      </c>
    </row>
    <row r="56">
      <c r="A56" s="38" t="inlineStr">
        <is>
          <t>pal_055</t>
        </is>
      </c>
      <c r="B56" s="38" t="inlineStr">
        <is>
          <t>寒风幼螭</t>
        </is>
      </c>
      <c r="C56" s="38" t="inlineStr">
        <is>
          <t>bz_van_055</t>
        </is>
      </c>
      <c r="D56" s="38" t="inlineStr">
        <is>
          <t>Turbo</t>
        </is>
      </c>
      <c r="E56" s="38" t="n">
        <v>13</v>
      </c>
      <c r="F56" s="38" t="inlineStr">
        <is>
          <t>Turbo, Deadly, Shiny, Fiery, Golden, Heavy, Icy, Mossy, Obsidian, Radiant, Restorative, Shielded, Toxic</t>
        </is>
      </c>
      <c r="G56" s="38" t="inlineStr">
        <is>
          <t>机动/火；来源标签 apparel, haste</t>
        </is>
      </c>
    </row>
    <row r="57">
      <c r="A57" s="38" t="inlineStr">
        <is>
          <t>pal_056</t>
        </is>
      </c>
      <c r="B57" s="38" t="inlineStr">
        <is>
          <t>震角雷牛</t>
        </is>
      </c>
      <c r="C57" s="38" t="inlineStr">
        <is>
          <t>bz_van_056</t>
        </is>
      </c>
      <c r="D57" s="38" t="inlineStr">
        <is>
          <t>Deadly</t>
        </is>
      </c>
      <c r="E57" s="38" t="n">
        <v>13</v>
      </c>
      <c r="F57" s="38" t="inlineStr">
        <is>
          <t>Deadly, Fiery, Obsidian, Golden, Heavy, Icy, Mossy, Radiant, Restorative, Shielded, Shiny, Toxic, Turbo</t>
        </is>
      </c>
      <c r="G57" s="38" t="inlineStr">
        <is>
          <t>输出/无；来源标签 tool, damagereference</t>
        </is>
      </c>
    </row>
    <row r="58">
      <c r="A58" s="38" t="inlineStr">
        <is>
          <t>pal_057</t>
        </is>
      </c>
      <c r="B58" s="38" t="inlineStr">
        <is>
          <t>吹雪银狐</t>
        </is>
      </c>
      <c r="C58" s="38" t="inlineStr">
        <is>
          <t>bz_van_057</t>
        </is>
      </c>
      <c r="D58" s="38" t="inlineStr">
        <is>
          <t>Icy</t>
        </is>
      </c>
      <c r="E58" s="38" t="n">
        <v>13</v>
      </c>
      <c r="F58" s="38" t="inlineStr">
        <is>
          <t>Icy, Toxic, Obsidian, Deadly, Fiery, Golden, Heavy, Mossy, Radiant, Restorative, Shielded, Shiny, Turbo</t>
        </is>
      </c>
      <c r="G58" s="38" t="inlineStr">
        <is>
          <t>控制/冰；来源标签 weapon, tool, damage, freeze</t>
        </is>
      </c>
    </row>
    <row r="59">
      <c r="A59" s="38" t="inlineStr">
        <is>
          <t>pal_058</t>
        </is>
      </c>
      <c r="B59" s="38" t="inlineStr">
        <is>
          <t>丹角火麟</t>
        </is>
      </c>
      <c r="C59" s="38" t="inlineStr">
        <is>
          <t>bz_van_058</t>
        </is>
      </c>
      <c r="D59" s="38" t="inlineStr">
        <is>
          <t>Icy</t>
        </is>
      </c>
      <c r="E59" s="38" t="n">
        <v>13</v>
      </c>
      <c r="F59" s="38" t="inlineStr">
        <is>
          <t>Icy, Toxic, Obsidian, Deadly, Fiery, Golden, Heavy, Mossy, Radiant, Restorative, Shielded, Shiny, Turbo</t>
        </is>
      </c>
      <c r="G59" s="38" t="inlineStr">
        <is>
          <t>控制/冰、水；来源标签 aquatic, property, freeze</t>
        </is>
      </c>
    </row>
    <row r="60">
      <c r="A60" s="38" t="inlineStr">
        <is>
          <t>pal_059</t>
        </is>
      </c>
      <c r="B60" s="38" t="inlineStr">
        <is>
          <t>冰角白鹿</t>
        </is>
      </c>
      <c r="C60" s="38" t="inlineStr">
        <is>
          <t>bz_van_059</t>
        </is>
      </c>
      <c r="D60" s="38" t="inlineStr">
        <is>
          <t>Icy</t>
        </is>
      </c>
      <c r="E60" s="38" t="n">
        <v>13</v>
      </c>
      <c r="F60" s="38" t="inlineStr">
        <is>
          <t>Icy, Toxic, Obsidian, Deadly, Fiery, Golden, Heavy, Mossy, Radiant, Restorative, Shielded, Shiny, Turbo</t>
        </is>
      </c>
      <c r="G60" s="38" t="inlineStr">
        <is>
          <t>控制/水、龙；来源标签 aquatic, friend, ray, slow</t>
        </is>
      </c>
    </row>
    <row r="61">
      <c r="A61" s="38" t="inlineStr">
        <is>
          <t>pal_060</t>
        </is>
      </c>
      <c r="B61" s="38" t="inlineStr">
        <is>
          <t>霹雳战獒</t>
        </is>
      </c>
      <c r="C61" s="38" t="inlineStr">
        <is>
          <t>bz_van_060</t>
        </is>
      </c>
      <c r="D61" s="38" t="inlineStr">
        <is>
          <t>Fiery</t>
        </is>
      </c>
      <c r="E61" s="38" t="n">
        <v>13</v>
      </c>
      <c r="F61" s="38" t="inlineStr">
        <is>
          <t>Fiery, Deadly, Obsidian, Golden, Heavy, Icy, Mossy, Radiant, Restorative, Shielded, Shiny, Toxic, Turbo</t>
        </is>
      </c>
      <c r="G61" s="38" t="inlineStr">
        <is>
          <t>输出/火；来源标签 burn</t>
        </is>
      </c>
    </row>
    <row r="62">
      <c r="A62" s="38" t="inlineStr">
        <is>
          <t>pal_061</t>
        </is>
      </c>
      <c r="B62" s="38" t="inlineStr">
        <is>
          <t>苍焰赤豺</t>
        </is>
      </c>
      <c r="C62" s="38" t="inlineStr">
        <is>
          <t>bz_van_061</t>
        </is>
      </c>
      <c r="D62" s="38" t="inlineStr">
        <is>
          <t>Icy</t>
        </is>
      </c>
      <c r="E62" s="38" t="n">
        <v>13</v>
      </c>
      <c r="F62" s="38" t="inlineStr">
        <is>
          <t>Icy, Toxic, Obsidian, Deadly, Fiery, Golden, Heavy, Mossy, Radiant, Restorative, Shielded, Shiny, Turbo</t>
        </is>
      </c>
      <c r="G62" s="38" t="inlineStr">
        <is>
          <t>控制/雷；来源标签 apparel, tech, crit, slow</t>
        </is>
      </c>
    </row>
    <row r="63">
      <c r="A63" s="38" t="inlineStr">
        <is>
          <t>pal_062</t>
        </is>
      </c>
      <c r="B63" s="38" t="inlineStr">
        <is>
          <t>雷纹巨猿</t>
        </is>
      </c>
      <c r="C63" s="38" t="inlineStr">
        <is>
          <t>bz_van_062</t>
        </is>
      </c>
      <c r="D63" s="38" t="inlineStr">
        <is>
          <t>Turbo</t>
        </is>
      </c>
      <c r="E63" s="38" t="n">
        <v>13</v>
      </c>
      <c r="F63" s="38" t="inlineStr">
        <is>
          <t>Turbo, Deadly, Shiny, Fiery, Golden, Heavy, Icy, Mossy, Obsidian, Radiant, Restorative, Shielded, Toxic</t>
        </is>
      </c>
      <c r="G63" s="38" t="inlineStr">
        <is>
          <t>机动/雷；来源标签 weapon, damage, ammo, haste</t>
        </is>
      </c>
    </row>
    <row r="64">
      <c r="A64" s="38" t="inlineStr">
        <is>
          <t>pal_063</t>
        </is>
      </c>
      <c r="B64" s="38" t="inlineStr">
        <is>
          <t>蜃雾白鹿</t>
        </is>
      </c>
      <c r="C64" s="38" t="inlineStr">
        <is>
          <t>bz_van_063</t>
        </is>
      </c>
      <c r="D64" s="38" t="inlineStr">
        <is>
          <t>Toxic</t>
        </is>
      </c>
      <c r="E64" s="38" t="n">
        <v>13</v>
      </c>
      <c r="F64" s="38" t="inlineStr">
        <is>
          <t>Toxic, Icy, Obsidian, Deadly, Fiery, Golden, Heavy, Mossy, Radiant, Restorative, Shielded, Shiny, Turbo</t>
        </is>
      </c>
      <c r="G64" s="38" t="inlineStr">
        <is>
          <t>控制/草、水；来源标签 aquatic, friend, poison, haste</t>
        </is>
      </c>
    </row>
    <row r="65">
      <c r="A65" s="38" t="inlineStr">
        <is>
          <t>pal_064</t>
        </is>
      </c>
      <c r="B65" s="38" t="inlineStr">
        <is>
          <t>翠冠花螭</t>
        </is>
      </c>
      <c r="C65" s="38" t="inlineStr">
        <is>
          <t>bz_van_064</t>
        </is>
      </c>
      <c r="D65" s="38" t="inlineStr">
        <is>
          <t>Turbo</t>
        </is>
      </c>
      <c r="E65" s="38" t="n">
        <v>13</v>
      </c>
      <c r="F65" s="38" t="inlineStr">
        <is>
          <t>Turbo, Deadly, Shiny, Fiery, Golden, Heavy, Icy, Mossy, Obsidian, Radiant, Restorative, Shielded, Toxic</t>
        </is>
      </c>
      <c r="G65" s="38" t="inlineStr">
        <is>
          <t>机动/雷、龙；来源标签 weapon, vehicle, damage, flying</t>
        </is>
      </c>
    </row>
    <row r="66">
      <c r="A66" s="38" t="inlineStr">
        <is>
          <t>pal_065</t>
        </is>
      </c>
      <c r="B66" s="38" t="inlineStr">
        <is>
          <t>霆角龙犀</t>
        </is>
      </c>
      <c r="C66" s="38" t="inlineStr">
        <is>
          <t>bz_van_065</t>
        </is>
      </c>
      <c r="D66" s="38" t="inlineStr">
        <is>
          <t>Icy</t>
        </is>
      </c>
      <c r="E66" s="38" t="n">
        <v>13</v>
      </c>
      <c r="F66" s="38" t="inlineStr">
        <is>
          <t>Icy, Toxic, Obsidian, Deadly, Fiery, Golden, Heavy, Mossy, Radiant, Restorative, Shielded, Shiny, Turbo</t>
        </is>
      </c>
      <c r="G66" s="38" t="inlineStr">
        <is>
          <t>控制/暗；来源标签 weapon, damage, slow</t>
        </is>
      </c>
    </row>
    <row r="67">
      <c r="A67" s="38" t="inlineStr">
        <is>
          <t>pal_066</t>
        </is>
      </c>
      <c r="B67" s="38" t="inlineStr">
        <is>
          <t>浪鳞水蛇</t>
        </is>
      </c>
      <c r="C67" s="38" t="inlineStr">
        <is>
          <t>bz_van_066</t>
        </is>
      </c>
      <c r="D67" s="38" t="inlineStr">
        <is>
          <t>Deadly</t>
        </is>
      </c>
      <c r="E67" s="38" t="n">
        <v>13</v>
      </c>
      <c r="F67" s="38" t="inlineStr">
        <is>
          <t>Deadly, Fiery, Obsidian, Golden, Heavy, Icy, Mossy, Radiant, Restorative, Shielded, Shiny, Toxic, Turbo</t>
        </is>
      </c>
      <c r="G67" s="38" t="inlineStr">
        <is>
          <t>输出/地；来源标签 weapon, damage</t>
        </is>
      </c>
    </row>
    <row r="68">
      <c r="A68" s="38" t="inlineStr">
        <is>
          <t>pal_067</t>
        </is>
      </c>
      <c r="B68" s="38" t="inlineStr">
        <is>
          <t>沙鳞巨蟒</t>
        </is>
      </c>
      <c r="C68" s="38" t="inlineStr">
        <is>
          <t>bz_van_067</t>
        </is>
      </c>
      <c r="D68" s="38" t="inlineStr">
        <is>
          <t>Deadly</t>
        </is>
      </c>
      <c r="E68" s="38" t="n">
        <v>13</v>
      </c>
      <c r="F68" s="38" t="inlineStr">
        <is>
          <t>Deadly, Fiery, Obsidian, Golden, Heavy, Icy, Mossy, Radiant, Restorative, Shielded, Shiny, Toxic, Turbo</t>
        </is>
      </c>
      <c r="G68" s="38" t="inlineStr">
        <is>
          <t>输出/雷、龙；来源标签 apparel, relic, crit</t>
        </is>
      </c>
    </row>
    <row r="69">
      <c r="A69" s="38" t="inlineStr">
        <is>
          <t>pal_068</t>
        </is>
      </c>
      <c r="B69" s="38" t="inlineStr">
        <is>
          <t>食梦黑貘</t>
        </is>
      </c>
      <c r="C69" s="38" t="inlineStr">
        <is>
          <t>bz_van_068</t>
        </is>
      </c>
      <c r="D69" s="38" t="inlineStr">
        <is>
          <t>Icy</t>
        </is>
      </c>
      <c r="E69" s="38" t="n">
        <v>13</v>
      </c>
      <c r="F69" s="38" t="inlineStr">
        <is>
          <t>Icy, Toxic, Obsidian, Deadly, Fiery, Golden, Heavy, Mossy, Radiant, Restorative, Shielded, Shiny, Turbo</t>
        </is>
      </c>
      <c r="G69" s="38" t="inlineStr">
        <is>
          <t>控制/雷；来源标签 weapon, tech, damage, critreference, slowreference</t>
        </is>
      </c>
    </row>
    <row r="70">
      <c r="A70" s="38" t="inlineStr">
        <is>
          <t>pal_069</t>
        </is>
      </c>
      <c r="B70" s="38" t="inlineStr">
        <is>
          <t>碎岩巨龟</t>
        </is>
      </c>
      <c r="C70" s="38" t="inlineStr">
        <is>
          <t>bz_van_069</t>
        </is>
      </c>
      <c r="D70" s="38" t="inlineStr">
        <is>
          <t>Deadly</t>
        </is>
      </c>
      <c r="E70" s="38" t="n">
        <v>13</v>
      </c>
      <c r="F70" s="38" t="inlineStr">
        <is>
          <t>Deadly, Fiery, Obsidian, Golden, Heavy, Icy, Mossy, Radiant, Restorative, Shielded, Shiny, Toxic, Turbo</t>
        </is>
      </c>
      <c r="G70" s="38" t="inlineStr">
        <is>
          <t>输出/龙；来源标签 weapon, relic, damage</t>
        </is>
      </c>
    </row>
    <row r="71">
      <c r="A71" s="38" t="inlineStr">
        <is>
          <t>pal_070</t>
        </is>
      </c>
      <c r="B71" s="38" t="inlineStr">
        <is>
          <t>猫翼夜蝠</t>
        </is>
      </c>
      <c r="C71" s="38" t="inlineStr">
        <is>
          <t>bz_van_070</t>
        </is>
      </c>
      <c r="D71" s="38" t="inlineStr">
        <is>
          <t>Restorative</t>
        </is>
      </c>
      <c r="E71" s="38" t="n">
        <v>13</v>
      </c>
      <c r="F71" s="38" t="inlineStr">
        <is>
          <t>Restorative, Mossy, Radiant, Deadly, Fiery, Golden, Heavy, Icy, Obsidian, Shielded, Shiny, Toxic, Turbo</t>
        </is>
      </c>
      <c r="G71" s="38" t="inlineStr">
        <is>
          <t>治疗/水、地；来源标签 aquatic, shield, heal</t>
        </is>
      </c>
    </row>
    <row r="72">
      <c r="A72" s="38" t="inlineStr">
        <is>
          <t>pal_071</t>
        </is>
      </c>
      <c r="B72" s="38" t="inlineStr">
        <is>
          <t>甘露壁虎</t>
        </is>
      </c>
      <c r="C72" s="38" t="inlineStr">
        <is>
          <t>bz_van_071</t>
        </is>
      </c>
      <c r="D72" s="38" t="inlineStr">
        <is>
          <t>Fiery</t>
        </is>
      </c>
      <c r="E72" s="38" t="n">
        <v>13</v>
      </c>
      <c r="F72" s="38" t="inlineStr">
        <is>
          <t>Fiery, Deadly, Obsidian, Golden, Heavy, Icy, Mossy, Radiant, Restorative, Shielded, Shiny, Toxic, Turbo</t>
        </is>
      </c>
      <c r="G72" s="38" t="inlineStr">
        <is>
          <t>输出/火；来源标签 tool, burn</t>
        </is>
      </c>
    </row>
    <row r="73">
      <c r="A73" s="38" t="inlineStr">
        <is>
          <t>pal_072</t>
        </is>
      </c>
      <c r="B73" s="38" t="inlineStr">
        <is>
          <t>赤巢火蚁</t>
        </is>
      </c>
      <c r="C73" s="38" t="inlineStr">
        <is>
          <t>bz_van_072</t>
        </is>
      </c>
      <c r="D73" s="38" t="inlineStr">
        <is>
          <t>Fiery</t>
        </is>
      </c>
      <c r="E73" s="38" t="n">
        <v>13</v>
      </c>
      <c r="F73" s="38" t="inlineStr">
        <is>
          <t>Fiery, Icy, Toxic, Obsidian, Deadly, Golden, Heavy, Mossy, Radiant, Restorative, Shielded, Shiny, Turbo</t>
        </is>
      </c>
      <c r="G73" s="38" t="inlineStr">
        <is>
          <t>控制/火、水；来源标签 property, aquatic, burn, slow</t>
        </is>
      </c>
    </row>
    <row r="74">
      <c r="A74" s="38" t="inlineStr">
        <is>
          <t>pal_073</t>
        </is>
      </c>
      <c r="B74" s="38" t="inlineStr">
        <is>
          <t>烽翼火龙</t>
        </is>
      </c>
      <c r="C74" s="38" t="inlineStr">
        <is>
          <t>bz_van_073</t>
        </is>
      </c>
      <c r="D74" s="38" t="inlineStr">
        <is>
          <t>Golden</t>
        </is>
      </c>
      <c r="E74" s="38" t="n">
        <v>13</v>
      </c>
      <c r="F74" s="38" t="inlineStr">
        <is>
          <t>Golden, Shiny, Radiant, Deadly, Fiery, Heavy, Icy, Mossy, Obsidian, Restorative, Shielded, Toxic, Turbo</t>
        </is>
      </c>
      <c r="G74" s="38" t="inlineStr">
        <is>
          <t>经济/龙；来源标签 relic, economyreference, value, damagereference</t>
        </is>
      </c>
    </row>
    <row r="75">
      <c r="A75" s="38" t="inlineStr">
        <is>
          <t>pal_074</t>
        </is>
      </c>
      <c r="B75" s="38" t="inlineStr">
        <is>
          <t>霜翼冥龙</t>
        </is>
      </c>
      <c r="C75" s="38" t="inlineStr">
        <is>
          <t>bz_van_074</t>
        </is>
      </c>
      <c r="D75" s="38" t="inlineStr">
        <is>
          <t>Fiery</t>
        </is>
      </c>
      <c r="E75" s="38" t="n">
        <v>13</v>
      </c>
      <c r="F75" s="38" t="inlineStr">
        <is>
          <t>Fiery, Icy, Toxic, Obsidian, Deadly, Golden, Heavy, Mossy, Radiant, Restorative, Shielded, Shiny, Turbo</t>
        </is>
      </c>
      <c r="G75" s="38" t="inlineStr">
        <is>
          <t>控制/火、水；来源标签 aquatic, weapon, friend, damage, burn, slowreference, ammo</t>
        </is>
      </c>
    </row>
    <row r="76">
      <c r="A76" s="38" t="inlineStr">
        <is>
          <t>pal_075</t>
        </is>
      </c>
      <c r="B76" s="38" t="inlineStr">
        <is>
          <t>赤刃螳螂</t>
        </is>
      </c>
      <c r="C76" s="38" t="inlineStr">
        <is>
          <t>bz_van_075</t>
        </is>
      </c>
      <c r="D76" s="38" t="inlineStr">
        <is>
          <t>Deadly</t>
        </is>
      </c>
      <c r="E76" s="38" t="n">
        <v>13</v>
      </c>
      <c r="F76" s="38" t="inlineStr">
        <is>
          <t>Deadly, Turbo, Shiny, Fiery, Golden, Heavy, Icy, Mossy, Obsidian, Radiant, Restorative, Shielded, Toxic</t>
        </is>
      </c>
      <c r="G76" s="38" t="inlineStr">
        <is>
          <t>机动/水、雷；来源标签 aquatic, friend, weapon, crit, flying</t>
        </is>
      </c>
    </row>
    <row r="77">
      <c r="A77" s="38" t="inlineStr">
        <is>
          <t>pal_076</t>
        </is>
      </c>
      <c r="B77" s="38" t="inlineStr">
        <is>
          <t>迅雷金雕</t>
        </is>
      </c>
      <c r="C77" s="38" t="inlineStr">
        <is>
          <t>bz_van_076</t>
        </is>
      </c>
      <c r="D77" s="38" t="inlineStr">
        <is>
          <t>Icy</t>
        </is>
      </c>
      <c r="E77" s="38" t="n">
        <v>13</v>
      </c>
      <c r="F77" s="38" t="inlineStr">
        <is>
          <t>Icy, Heavy, Shielded, Mossy, Deadly, Fiery, Golden, Obsidian, Radiant, Restorative, Shiny, Toxic, Turbo</t>
        </is>
      </c>
      <c r="G77" s="38" t="inlineStr">
        <is>
          <t>坦克/水、地；来源标签 friend, aquatic, shield, hastereference, slowreference</t>
        </is>
      </c>
    </row>
    <row r="78">
      <c r="A78" s="38" t="inlineStr">
        <is>
          <t>pal_077</t>
        </is>
      </c>
      <c r="B78" s="38" t="inlineStr">
        <is>
          <t>燧火黑乌</t>
        </is>
      </c>
      <c r="C78" s="38" t="inlineStr">
        <is>
          <t>bz_van_077</t>
        </is>
      </c>
      <c r="D78" s="38" t="inlineStr">
        <is>
          <t>Fiery</t>
        </is>
      </c>
      <c r="E78" s="38" t="n">
        <v>13</v>
      </c>
      <c r="F78" s="38" t="inlineStr">
        <is>
          <t>Fiery, Deadly, Obsidian, Golden, Heavy, Icy, Mossy, Radiant, Restorative, Shielded, Shiny, Toxic, Turbo</t>
        </is>
      </c>
      <c r="G78" s="38" t="inlineStr">
        <is>
          <t>输出/火、雷；来源标签 weapon, damage, ammo, burnreference</t>
        </is>
      </c>
    </row>
    <row r="79">
      <c r="A79" s="38" t="inlineStr">
        <is>
          <t>pal_078</t>
        </is>
      </c>
      <c r="B79" s="38" t="inlineStr">
        <is>
          <t>幽泉灵猫</t>
        </is>
      </c>
      <c r="C79" s="38" t="inlineStr">
        <is>
          <t>bz_van_078</t>
        </is>
      </c>
      <c r="D79" s="38" t="inlineStr">
        <is>
          <t>Deadly</t>
        </is>
      </c>
      <c r="E79" s="38" t="n">
        <v>13</v>
      </c>
      <c r="F79" s="38" t="inlineStr">
        <is>
          <t>Deadly, Radiant, Mossy, Shielded, Fiery, Golden, Heavy, Icy, Obsidian, Restorative, Shiny, Toxic, Turbo</t>
        </is>
      </c>
      <c r="G79" s="38" t="inlineStr">
        <is>
          <t>召唤/水、龙；来源标签 aquatic, weapon, friend, damage</t>
        </is>
      </c>
    </row>
    <row r="80">
      <c r="A80" s="38" t="inlineStr">
        <is>
          <t>pal_079</t>
        </is>
      </c>
      <c r="B80" s="38" t="inlineStr">
        <is>
          <t>焰尾山狐</t>
        </is>
      </c>
      <c r="C80" s="38" t="inlineStr">
        <is>
          <t>bz_van_079</t>
        </is>
      </c>
      <c r="D80" s="38" t="inlineStr">
        <is>
          <t>Shielded</t>
        </is>
      </c>
      <c r="E80" s="38" t="n">
        <v>13</v>
      </c>
      <c r="F80" s="38" t="inlineStr">
        <is>
          <t>Shielded, Heavy, Mossy, Deadly, Fiery, Golden, Icy, Obsidian, Radiant, Restorative, Shiny, Toxic, Turbo</t>
        </is>
      </c>
      <c r="G80" s="38" t="inlineStr">
        <is>
          <t>坦克/雷、地；来源标签 toy, shield, ammo</t>
        </is>
      </c>
    </row>
    <row r="81">
      <c r="A81" s="38" t="inlineStr">
        <is>
          <t>pal_080</t>
        </is>
      </c>
      <c r="B81" s="38" t="inlineStr">
        <is>
          <t>踏春白兔</t>
        </is>
      </c>
      <c r="C81" s="38" t="inlineStr">
        <is>
          <t>bz_van_080</t>
        </is>
      </c>
      <c r="D81" s="38" t="inlineStr">
        <is>
          <t>Icy</t>
        </is>
      </c>
      <c r="E81" s="38" t="n">
        <v>13</v>
      </c>
      <c r="F81" s="38" t="inlineStr">
        <is>
          <t>Icy, Toxic, Obsidian, Deadly, Fiery, Golden, Heavy, Mossy, Radiant, Restorative, Shielded, Shiny, Turbo</t>
        </is>
      </c>
      <c r="G81" s="38" t="inlineStr">
        <is>
          <t>控制/水、龙；来源标签 aquatic, friend, weapon, damage, hastereference, slowreference</t>
        </is>
      </c>
    </row>
    <row r="82">
      <c r="A82" s="38" t="inlineStr">
        <is>
          <t>pal_081</t>
        </is>
      </c>
      <c r="B82" s="38" t="inlineStr">
        <is>
          <t>药香花鹿</t>
        </is>
      </c>
      <c r="C82" s="38" t="inlineStr">
        <is>
          <t>bz_van_081</t>
        </is>
      </c>
      <c r="D82" s="38" t="inlineStr">
        <is>
          <t>Fiery</t>
        </is>
      </c>
      <c r="E82" s="38" t="n">
        <v>13</v>
      </c>
      <c r="F82" s="38" t="inlineStr">
        <is>
          <t>Fiery, Deadly, Obsidian, Golden, Heavy, Icy, Mossy, Radiant, Restorative, Shielded, Shiny, Toxic, Turbo</t>
        </is>
      </c>
      <c r="G82" s="38" t="inlineStr">
        <is>
          <t>输出/火、雷；来源标签 apparel, tech, burn, critreference</t>
        </is>
      </c>
    </row>
    <row r="83">
      <c r="A83" s="38" t="inlineStr">
        <is>
          <t>pal_082</t>
        </is>
      </c>
      <c r="B83" s="38" t="inlineStr">
        <is>
          <t>冰丝巨蛾</t>
        </is>
      </c>
      <c r="C83" s="38" t="inlineStr">
        <is>
          <t>bz_van_082</t>
        </is>
      </c>
      <c r="D83" s="38" t="inlineStr">
        <is>
          <t>Golden</t>
        </is>
      </c>
      <c r="E83" s="38" t="n">
        <v>13</v>
      </c>
      <c r="F83" s="38" t="inlineStr">
        <is>
          <t>Golden, Shiny, Radiant, Deadly, Fiery, Heavy, Icy, Mossy, Obsidian, Restorative, Shielded, Toxic, Turbo</t>
        </is>
      </c>
      <c r="G83" s="38" t="inlineStr">
        <is>
          <t>经济/龙；来源标签 friend, damagereference, economyreference</t>
        </is>
      </c>
    </row>
    <row r="84">
      <c r="A84" s="38" t="inlineStr">
        <is>
          <t>pal_083</t>
        </is>
      </c>
      <c r="B84" s="38" t="inlineStr">
        <is>
          <t>云鳞幼螭</t>
        </is>
      </c>
      <c r="C84" s="38" t="inlineStr">
        <is>
          <t>bz_van_083</t>
        </is>
      </c>
      <c r="D84" s="38" t="inlineStr">
        <is>
          <t>Turbo</t>
        </is>
      </c>
      <c r="E84" s="38" t="n">
        <v>13</v>
      </c>
      <c r="F84" s="38" t="inlineStr">
        <is>
          <t>Turbo, Heavy, Shielded, Mossy, Deadly, Fiery, Golden, Icy, Obsidian, Radiant, Restorative, Shiny, Toxic</t>
        </is>
      </c>
      <c r="G84" s="38" t="inlineStr">
        <is>
          <t>坦克/水、雷；来源标签 aquatic, shield</t>
        </is>
      </c>
    </row>
    <row r="85">
      <c r="A85" s="38" t="inlineStr">
        <is>
          <t>pal_084</t>
        </is>
      </c>
      <c r="B85" s="38" t="inlineStr">
        <is>
          <t>沧浪青蛟</t>
        </is>
      </c>
      <c r="C85" s="38" t="inlineStr">
        <is>
          <t>bz_van_084</t>
        </is>
      </c>
      <c r="D85" s="38" t="inlineStr">
        <is>
          <t>Fiery</t>
        </is>
      </c>
      <c r="E85" s="38" t="n">
        <v>13</v>
      </c>
      <c r="F85" s="38" t="inlineStr">
        <is>
          <t>Fiery, Turbo, Deadly, Shiny, Golden, Heavy, Icy, Mossy, Obsidian, Radiant, Restorative, Shielded, Toxic</t>
        </is>
      </c>
      <c r="G85" s="38" t="inlineStr">
        <is>
          <t>机动/火、龙；来源标签 friend, burn, flying</t>
        </is>
      </c>
    </row>
    <row r="86">
      <c r="A86" s="38" t="inlineStr">
        <is>
          <t>pal_085</t>
        </is>
      </c>
      <c r="B86" s="38" t="inlineStr">
        <is>
          <t>涌泉水獭</t>
        </is>
      </c>
      <c r="C86" s="38" t="inlineStr">
        <is>
          <t>bz_van_085</t>
        </is>
      </c>
      <c r="D86" s="38" t="inlineStr">
        <is>
          <t>Deadly</t>
        </is>
      </c>
      <c r="E86" s="38" t="n">
        <v>13</v>
      </c>
      <c r="F86" s="38" t="inlineStr">
        <is>
          <t>Deadly, Radiant, Mossy, Shielded, Fiery, Golden, Heavy, Icy, Obsidian, Restorative, Shiny, Toxic, Turbo</t>
        </is>
      </c>
      <c r="G86" s="38" t="inlineStr">
        <is>
          <t>召唤/雷、地；来源标签 weapon, friend, toy, damage, crit</t>
        </is>
      </c>
    </row>
    <row r="87">
      <c r="A87" s="38" t="inlineStr">
        <is>
          <t>pal_086</t>
        </is>
      </c>
      <c r="B87" s="38" t="inlineStr">
        <is>
          <t>赤炎狻猊</t>
        </is>
      </c>
      <c r="C87" s="38" t="inlineStr">
        <is>
          <t>bz_van_086</t>
        </is>
      </c>
      <c r="D87" s="38" t="inlineStr">
        <is>
          <t>Turbo</t>
        </is>
      </c>
      <c r="E87" s="38" t="n">
        <v>13</v>
      </c>
      <c r="F87" s="38" t="inlineStr">
        <is>
          <t>Turbo, Deadly, Shiny, Fiery, Golden, Heavy, Icy, Mossy, Obsidian, Radiant, Restorative, Shielded, Toxic</t>
        </is>
      </c>
      <c r="G87" s="38" t="inlineStr">
        <is>
          <t>机动/龙；来源标签 haste</t>
        </is>
      </c>
    </row>
    <row r="88">
      <c r="A88" s="38" t="inlineStr">
        <is>
          <t>pal_087</t>
        </is>
      </c>
      <c r="B88" s="38" t="inlineStr">
        <is>
          <t>碧海青蛟</t>
        </is>
      </c>
      <c r="C88" s="38" t="inlineStr">
        <is>
          <t>bz_van_087</t>
        </is>
      </c>
      <c r="D88" s="38" t="inlineStr">
        <is>
          <t>Turbo</t>
        </is>
      </c>
      <c r="E88" s="38" t="n">
        <v>13</v>
      </c>
      <c r="F88" s="38" t="inlineStr">
        <is>
          <t>Turbo, Deadly, Shiny, Fiery, Golden, Heavy, Icy, Mossy, Obsidian, Radiant, Restorative, Shielded, Toxic</t>
        </is>
      </c>
      <c r="G88" s="38" t="inlineStr">
        <is>
          <t>机动/草、水；来源标签 aquatic, weapon, friend, damage, charge</t>
        </is>
      </c>
    </row>
    <row r="89">
      <c r="A89" s="38" t="inlineStr">
        <is>
          <t>pal_088</t>
        </is>
      </c>
      <c r="B89" s="38" t="inlineStr">
        <is>
          <t>冰棘豪猪</t>
        </is>
      </c>
      <c r="C89" s="38" t="inlineStr">
        <is>
          <t>bz_van_088</t>
        </is>
      </c>
      <c r="D89" s="38" t="inlineStr">
        <is>
          <t>Deadly</t>
        </is>
      </c>
      <c r="E89" s="38" t="n">
        <v>13</v>
      </c>
      <c r="F89" s="38" t="inlineStr">
        <is>
          <t>Deadly, Fiery, Obsidian, Golden, Heavy, Icy, Mossy, Radiant, Restorative, Shielded, Shiny, Toxic, Turbo</t>
        </is>
      </c>
      <c r="G89" s="38" t="inlineStr">
        <is>
          <t>输出/雷；来源标签 weapon, damage, ammo</t>
        </is>
      </c>
    </row>
    <row r="90">
      <c r="A90" s="38" t="inlineStr">
        <is>
          <t>pal_089</t>
        </is>
      </c>
      <c r="B90" s="38" t="inlineStr">
        <is>
          <t>狱火凶獒</t>
        </is>
      </c>
      <c r="C90" s="38" t="inlineStr">
        <is>
          <t>bz_van_089</t>
        </is>
      </c>
      <c r="D90" s="38" t="inlineStr">
        <is>
          <t>Fiery</t>
        </is>
      </c>
      <c r="E90" s="38" t="n">
        <v>13</v>
      </c>
      <c r="F90" s="38" t="inlineStr">
        <is>
          <t>Fiery, Deadly, Obsidian, Golden, Heavy, Icy, Mossy, Radiant, Restorative, Shielded, Shiny, Toxic, Turbo</t>
        </is>
      </c>
      <c r="G90" s="38" t="inlineStr">
        <is>
          <t>输出/火、雷；来源标签 toy, burn, ammo</t>
        </is>
      </c>
    </row>
    <row r="91">
      <c r="A91" s="38" t="inlineStr">
        <is>
          <t>pal_090</t>
        </is>
      </c>
      <c r="B91" s="38" t="inlineStr">
        <is>
          <t>三首火犬</t>
        </is>
      </c>
      <c r="C91" s="38" t="inlineStr">
        <is>
          <t>bz_van_090</t>
        </is>
      </c>
      <c r="D91" s="38" t="inlineStr">
        <is>
          <t>Turbo</t>
        </is>
      </c>
      <c r="E91" s="38" t="n">
        <v>13</v>
      </c>
      <c r="F91" s="38" t="inlineStr">
        <is>
          <t>Turbo, Deadly, Shiny, Fiery, Golden, Heavy, Icy, Mossy, Obsidian, Radiant, Restorative, Shielded, Toxic</t>
        </is>
      </c>
      <c r="G91" s="38" t="inlineStr">
        <is>
          <t>机动/水、雷；来源标签 property, aquatic, ammoreference, charge</t>
        </is>
      </c>
    </row>
    <row r="92">
      <c r="A92" s="38" t="inlineStr">
        <is>
          <t>pal_091</t>
        </is>
      </c>
      <c r="B92" s="38" t="inlineStr">
        <is>
          <t>覆水龙龟</t>
        </is>
      </c>
      <c r="C92" s="38" t="inlineStr">
        <is>
          <t>bz_van_091</t>
        </is>
      </c>
      <c r="D92" s="38" t="inlineStr">
        <is>
          <t>Deadly</t>
        </is>
      </c>
      <c r="E92" s="38" t="n">
        <v>13</v>
      </c>
      <c r="F92" s="38" t="inlineStr">
        <is>
          <t>Deadly, Fiery, Obsidian, Golden, Heavy, Icy, Mossy, Radiant, Restorative, Shielded, Shiny, Toxic, Turbo</t>
        </is>
      </c>
      <c r="G92" s="38" t="inlineStr">
        <is>
          <t>输出/雷；来源标签 tool, ammoreference</t>
        </is>
      </c>
    </row>
    <row r="93">
      <c r="A93" s="38" t="inlineStr">
        <is>
          <t>pal_092</t>
        </is>
      </c>
      <c r="B93" s="38" t="inlineStr">
        <is>
          <t>雷泽青蛟</t>
        </is>
      </c>
      <c r="C93" s="38" t="inlineStr">
        <is>
          <t>bz_van_092</t>
        </is>
      </c>
      <c r="D93" s="38" t="inlineStr">
        <is>
          <t>Fiery</t>
        </is>
      </c>
      <c r="E93" s="38" t="n">
        <v>13</v>
      </c>
      <c r="F93" s="38" t="inlineStr">
        <is>
          <t>Fiery, Restorative, Mossy, Radiant, Deadly, Golden, Heavy, Icy, Obsidian, Shielded, Shiny, Toxic, Turbo</t>
        </is>
      </c>
      <c r="G93" s="38" t="inlineStr">
        <is>
          <t>治疗/火、水；来源标签 weapon, damage, burnreference</t>
        </is>
      </c>
    </row>
    <row r="94">
      <c r="A94" s="38" t="inlineStr">
        <is>
          <t>pal_093</t>
        </is>
      </c>
      <c r="B94" s="38" t="inlineStr">
        <is>
          <t>连理双鹿</t>
        </is>
      </c>
      <c r="C94" s="38" t="inlineStr">
        <is>
          <t>bz_van_093</t>
        </is>
      </c>
      <c r="D94" s="38" t="inlineStr">
        <is>
          <t>Toxic</t>
        </is>
      </c>
      <c r="E94" s="38" t="n">
        <v>13</v>
      </c>
      <c r="F94" s="38" t="inlineStr">
        <is>
          <t>Toxic, Icy, Obsidian, Deadly, Fiery, Golden, Heavy, Mossy, Radiant, Restorative, Shielded, Shiny, Turbo</t>
        </is>
      </c>
      <c r="G94" s="38" t="inlineStr">
        <is>
          <t>控制/草、水；来源标签 aquatic, friend, poison, hastereference</t>
        </is>
      </c>
    </row>
    <row r="95">
      <c r="A95" s="38" t="inlineStr">
        <is>
          <t>pal_094</t>
        </is>
      </c>
      <c r="B95" s="38" t="inlineStr">
        <is>
          <t>海棠水鹿</t>
        </is>
      </c>
      <c r="C95" s="38" t="inlineStr">
        <is>
          <t>bz_van_094</t>
        </is>
      </c>
      <c r="D95" s="38" t="inlineStr">
        <is>
          <t>Deadly</t>
        </is>
      </c>
      <c r="E95" s="38" t="n">
        <v>13</v>
      </c>
      <c r="F95" s="38" t="inlineStr">
        <is>
          <t>Deadly, Fiery, Obsidian, Golden, Heavy, Icy, Mossy, Radiant, Restorative, Shielded, Shiny, Toxic, Turbo</t>
        </is>
      </c>
      <c r="G95" s="38" t="inlineStr">
        <is>
          <t>输出/雷；来源标签 tool, ammoreference, crit</t>
        </is>
      </c>
    </row>
    <row r="96">
      <c r="A96" s="38" t="inlineStr">
        <is>
          <t>pal_095</t>
        </is>
      </c>
      <c r="B96" s="38" t="inlineStr">
        <is>
          <t>百花灵鹿</t>
        </is>
      </c>
      <c r="C96" s="38" t="inlineStr">
        <is>
          <t>bz_van_095</t>
        </is>
      </c>
      <c r="D96" s="38" t="inlineStr">
        <is>
          <t>Deadly</t>
        </is>
      </c>
      <c r="E96" s="38" t="n">
        <v>13</v>
      </c>
      <c r="F96" s="38" t="inlineStr">
        <is>
          <t>Deadly, Fiery, Obsidian, Golden, Heavy, Icy, Mossy, Radiant, Restorative, Shielded, Shiny, Toxic, Turbo</t>
        </is>
      </c>
      <c r="G96" s="38" t="inlineStr">
        <is>
          <t>输出/雷；来源标签 weapon, damage, ammo</t>
        </is>
      </c>
    </row>
    <row r="97">
      <c r="A97" s="38" t="inlineStr">
        <is>
          <t>pal_096</t>
        </is>
      </c>
      <c r="B97" s="38" t="inlineStr">
        <is>
          <t>熔岩巨兽</t>
        </is>
      </c>
      <c r="C97" s="38" t="inlineStr">
        <is>
          <t>bz_van_096</t>
        </is>
      </c>
      <c r="D97" s="38" t="inlineStr">
        <is>
          <t>Deadly</t>
        </is>
      </c>
      <c r="E97" s="38" t="n">
        <v>13</v>
      </c>
      <c r="F97" s="38" t="inlineStr">
        <is>
          <t>Deadly, Fiery, Obsidian, Golden, Heavy, Icy, Mossy, Radiant, Restorative, Shielded, Shiny, Toxic, Turbo</t>
        </is>
      </c>
      <c r="G97" s="38" t="inlineStr">
        <is>
          <t>输出/雷；来源标签 weapon, damage, ammo</t>
        </is>
      </c>
    </row>
    <row r="98">
      <c r="A98" s="38" t="inlineStr">
        <is>
          <t>pal_097</t>
        </is>
      </c>
      <c r="B98" s="38" t="inlineStr">
        <is>
          <t>寒岩巨兽</t>
        </is>
      </c>
      <c r="C98" s="38" t="inlineStr">
        <is>
          <t>bz_van_097</t>
        </is>
      </c>
      <c r="D98" s="38" t="inlineStr">
        <is>
          <t>Deadly</t>
        </is>
      </c>
      <c r="E98" s="38" t="n">
        <v>13</v>
      </c>
      <c r="F98" s="38" t="inlineStr">
        <is>
          <t>Deadly, Fiery, Obsidian, Golden, Heavy, Icy, Mossy, Radiant, Restorative, Shielded, Shiny, Toxic, Turbo</t>
        </is>
      </c>
      <c r="G98" s="38" t="inlineStr">
        <is>
          <t>输出/雷；来源标签 weapon, damage, ammo</t>
        </is>
      </c>
    </row>
    <row r="99">
      <c r="A99" s="38" t="inlineStr">
        <is>
          <t>pal_098</t>
        </is>
      </c>
      <c r="B99" s="38" t="inlineStr">
        <is>
          <t>云顶巨驼</t>
        </is>
      </c>
      <c r="C99" s="38" t="inlineStr">
        <is>
          <t>bz_van_098</t>
        </is>
      </c>
      <c r="D99" s="38" t="inlineStr">
        <is>
          <t>Turbo</t>
        </is>
      </c>
      <c r="E99" s="38" t="n">
        <v>13</v>
      </c>
      <c r="F99" s="38" t="inlineStr">
        <is>
          <t>Turbo, Deadly, Shiny, Fiery, Golden, Heavy, Icy, Mossy, Obsidian, Radiant, Restorative, Shielded, Toxic</t>
        </is>
      </c>
      <c r="G99" s="38" t="inlineStr">
        <is>
          <t>机动/水、雷；来源标签 aquatic, vehicle, charge, cooldown</t>
        </is>
      </c>
    </row>
    <row r="100">
      <c r="A100" s="38" t="inlineStr">
        <is>
          <t>pal_099</t>
        </is>
      </c>
      <c r="B100" s="38" t="inlineStr">
        <is>
          <t>冰峰巨驼</t>
        </is>
      </c>
      <c r="C100" s="38" t="inlineStr">
        <is>
          <t>bz_van_099</t>
        </is>
      </c>
      <c r="D100" s="38" t="inlineStr">
        <is>
          <t>Toxic</t>
        </is>
      </c>
      <c r="E100" s="38" t="n">
        <v>13</v>
      </c>
      <c r="F100" s="38" t="inlineStr">
        <is>
          <t>Toxic, Icy, Obsidian, Deadly, Fiery, Golden, Heavy, Mossy, Radiant, Restorative, Shielded, Shiny, Turbo</t>
        </is>
      </c>
      <c r="G100" s="38" t="inlineStr">
        <is>
          <t>控制/草、水；来源标签 weapon, relic, aquatic, damage, poison, crit, hastereference</t>
        </is>
      </c>
    </row>
    <row r="101">
      <c r="A101" s="38" t="inlineStr">
        <is>
          <t>pal_100</t>
        </is>
      </c>
      <c r="B101" s="38" t="inlineStr">
        <is>
          <t>青林巨象</t>
        </is>
      </c>
      <c r="C101" s="38" t="inlineStr">
        <is>
          <t>bz_van_100</t>
        </is>
      </c>
      <c r="D101" s="38" t="inlineStr">
        <is>
          <t>Shielded</t>
        </is>
      </c>
      <c r="E101" s="38" t="n">
        <v>13</v>
      </c>
      <c r="F101" s="38" t="inlineStr">
        <is>
          <t>Shielded, Heavy, Mossy, Deadly, Fiery, Golden, Icy, Obsidian, Radiant, Restorative, Shiny, Toxic, Turbo</t>
        </is>
      </c>
      <c r="G101" s="38" t="inlineStr">
        <is>
          <t>坦克/水、地；来源标签 aquatic, shield</t>
        </is>
      </c>
    </row>
    <row r="102">
      <c r="A102" s="38" t="inlineStr">
        <is>
          <t>pal_101</t>
        </is>
      </c>
      <c r="B102" s="38" t="inlineStr">
        <is>
          <t>白牙雪象</t>
        </is>
      </c>
      <c r="C102" s="38" t="inlineStr">
        <is>
          <t>bz_van_101</t>
        </is>
      </c>
      <c r="D102" s="38" t="inlineStr">
        <is>
          <t>Icy</t>
        </is>
      </c>
      <c r="E102" s="38" t="n">
        <v>13</v>
      </c>
      <c r="F102" s="38" t="inlineStr">
        <is>
          <t>Icy, Toxic, Obsidian, Deadly, Fiery, Golden, Heavy, Mossy, Radiant, Restorative, Shielded, Shiny, Turbo</t>
        </is>
      </c>
      <c r="G102" s="38" t="inlineStr">
        <is>
          <t>控制/水、龙；来源标签 aquatic, property, haste, slow</t>
        </is>
      </c>
    </row>
    <row r="103">
      <c r="A103" s="38" t="inlineStr">
        <is>
          <t>pal_102</t>
        </is>
      </c>
      <c r="B103" s="38" t="inlineStr">
        <is>
          <t>白绒雪猿</t>
        </is>
      </c>
      <c r="C103" s="38" t="inlineStr">
        <is>
          <t>bz_van_102</t>
        </is>
      </c>
      <c r="D103" s="38" t="inlineStr">
        <is>
          <t>Turbo</t>
        </is>
      </c>
      <c r="E103" s="38" t="n">
        <v>13</v>
      </c>
      <c r="F103" s="38" t="inlineStr">
        <is>
          <t>Turbo, Deadly, Shiny, Fiery, Golden, Heavy, Icy, Mossy, Obsidian, Radiant, Restorative, Shielded, Toxic</t>
        </is>
      </c>
      <c r="G103" s="38" t="inlineStr">
        <is>
          <t>机动/暗、龙；来源标签 friend, vehicle, cooldown</t>
        </is>
      </c>
    </row>
    <row r="104">
      <c r="A104" s="38" t="inlineStr">
        <is>
          <t>pal_103</t>
        </is>
      </c>
      <c r="B104" s="38" t="inlineStr">
        <is>
          <t>绿苔巨猿</t>
        </is>
      </c>
      <c r="C104" s="38" t="inlineStr">
        <is>
          <t>bz_van_103</t>
        </is>
      </c>
      <c r="D104" s="38" t="inlineStr">
        <is>
          <t>Restorative</t>
        </is>
      </c>
      <c r="E104" s="38" t="n">
        <v>13</v>
      </c>
      <c r="F104" s="38" t="inlineStr">
        <is>
          <t>Restorative, Mossy, Radiant, Deadly, Fiery, Golden, Heavy, Icy, Obsidian, Shielded, Shiny, Toxic, Turbo</t>
        </is>
      </c>
      <c r="G104" s="38" t="inlineStr">
        <is>
          <t>治疗/水；来源标签 aquatic, heal</t>
        </is>
      </c>
    </row>
    <row r="105">
      <c r="A105" s="38" t="inlineStr">
        <is>
          <t>pal_104</t>
        </is>
      </c>
      <c r="B105" s="38" t="inlineStr">
        <is>
          <t>铁甲巨兕</t>
        </is>
      </c>
      <c r="C105" s="38" t="inlineStr">
        <is>
          <t>bz_van_104</t>
        </is>
      </c>
      <c r="D105" s="38" t="inlineStr">
        <is>
          <t>Turbo</t>
        </is>
      </c>
      <c r="E105" s="38" t="n">
        <v>13</v>
      </c>
      <c r="F105" s="38" t="inlineStr">
        <is>
          <t>Turbo, Deadly, Shiny, Fiery, Golden, Heavy, Icy, Mossy, Obsidian, Radiant, Restorative, Shielded, Toxic</t>
        </is>
      </c>
      <c r="G105" s="38" t="inlineStr">
        <is>
          <t>机动/水、雷；来源标签 aquatic, tool, crit, haste</t>
        </is>
      </c>
    </row>
    <row r="106">
      <c r="A106" s="38" t="inlineStr">
        <is>
          <t>pal_105</t>
        </is>
      </c>
      <c r="B106" s="38" t="inlineStr">
        <is>
          <t>云海白鹿</t>
        </is>
      </c>
      <c r="C106" s="38" t="inlineStr">
        <is>
          <t>bz_van_105</t>
        </is>
      </c>
      <c r="D106" s="38" t="inlineStr">
        <is>
          <t>Deadly</t>
        </is>
      </c>
      <c r="E106" s="38" t="n">
        <v>13</v>
      </c>
      <c r="F106" s="38" t="inlineStr">
        <is>
          <t>Deadly, Fiery, Obsidian, Golden, Heavy, Icy, Mossy, Radiant, Restorative, Shielded, Shiny, Toxic, Turbo</t>
        </is>
      </c>
      <c r="G106" s="38" t="inlineStr">
        <is>
          <t>输出/水；来源标签 aquatic, weapon, damage</t>
        </is>
      </c>
    </row>
    <row r="107">
      <c r="A107" s="38" t="inlineStr">
        <is>
          <t>pal_106</t>
        </is>
      </c>
      <c r="B107" s="38" t="inlineStr">
        <is>
          <t>夜幕巨蝠</t>
        </is>
      </c>
      <c r="C107" s="38" t="inlineStr">
        <is>
          <t>bz_van_106</t>
        </is>
      </c>
      <c r="D107" s="38" t="inlineStr">
        <is>
          <t>Toxic</t>
        </is>
      </c>
      <c r="E107" s="38" t="n">
        <v>13</v>
      </c>
      <c r="F107" s="38" t="inlineStr">
        <is>
          <t>Toxic, Icy, Obsidian, Deadly, Fiery, Golden, Heavy, Mossy, Radiant, Restorative, Shielded, Shiny, Turbo</t>
        </is>
      </c>
      <c r="G107" s="38" t="inlineStr">
        <is>
          <t>控制/草、水；来源标签 aquatic, weapon, friend, ray, damage, hastereference, poisonreference</t>
        </is>
      </c>
    </row>
    <row r="108">
      <c r="A108" s="38" t="inlineStr">
        <is>
          <t>pal_107</t>
        </is>
      </c>
      <c r="B108" s="38" t="inlineStr">
        <is>
          <t>天羽云螭</t>
        </is>
      </c>
      <c r="C108" s="38" t="inlineStr">
        <is>
          <t>bz_van_107</t>
        </is>
      </c>
      <c r="D108" s="38" t="inlineStr">
        <is>
          <t>Radiant</t>
        </is>
      </c>
      <c r="E108" s="38" t="n">
        <v>13</v>
      </c>
      <c r="F108" s="38" t="inlineStr">
        <is>
          <t>Radiant, Mossy, Shielded, Deadly, Fiery, Golden, Heavy, Icy, Obsidian, Restorative, Shiny, Toxic, Turbo</t>
        </is>
      </c>
      <c r="G108" s="38" t="inlineStr">
        <is>
          <t>召唤/水、龙；来源标签 aquatic, vehicle, property, relic</t>
        </is>
      </c>
    </row>
    <row r="109">
      <c r="A109" s="38" t="inlineStr">
        <is>
          <t>pal_108</t>
        </is>
      </c>
      <c r="B109" s="38" t="inlineStr">
        <is>
          <t>焰羽赤雕</t>
        </is>
      </c>
      <c r="C109" s="38" t="inlineStr">
        <is>
          <t>bz_van_108</t>
        </is>
      </c>
      <c r="D109" s="38" t="inlineStr">
        <is>
          <t>Deadly</t>
        </is>
      </c>
      <c r="E109" s="38" t="n">
        <v>13</v>
      </c>
      <c r="F109" s="38" t="inlineStr">
        <is>
          <t>Deadly, Fiery, Obsidian, Golden, Heavy, Icy, Mossy, Radiant, Restorative, Shielded, Shiny, Toxic, Turbo</t>
        </is>
      </c>
      <c r="G109" s="38" t="inlineStr">
        <is>
          <t>输出/雷；来源标签 weapon, apparel, damage, crit</t>
        </is>
      </c>
    </row>
    <row r="110">
      <c r="A110" s="38" t="inlineStr">
        <is>
          <t>pal_109</t>
        </is>
      </c>
      <c r="B110" s="38" t="inlineStr">
        <is>
          <t>冥羽黑乌</t>
        </is>
      </c>
      <c r="C110" s="38" t="inlineStr">
        <is>
          <t>bz_van_109</t>
        </is>
      </c>
      <c r="D110" s="38" t="inlineStr">
        <is>
          <t>Icy</t>
        </is>
      </c>
      <c r="E110" s="38" t="n">
        <v>13</v>
      </c>
      <c r="F110" s="38" t="inlineStr">
        <is>
          <t>Icy, Toxic, Obsidian, Deadly, Fiery, Golden, Heavy, Mossy, Radiant, Restorative, Shielded, Shiny, Turbo</t>
        </is>
      </c>
      <c r="G110" s="38" t="inlineStr">
        <is>
          <t>控制/雷；来源标签 ammo, haste, slow</t>
        </is>
      </c>
    </row>
    <row r="111">
      <c r="A111" s="38" t="inlineStr">
        <is>
          <t>pal_110</t>
        </is>
      </c>
      <c r="B111" s="38" t="inlineStr">
        <is>
          <t>渊鳞黑蛟</t>
        </is>
      </c>
      <c r="C111" s="38" t="inlineStr">
        <is>
          <t>bz_van_110</t>
        </is>
      </c>
      <c r="D111" s="38" t="inlineStr">
        <is>
          <t>Deadly</t>
        </is>
      </c>
      <c r="E111" s="38" t="n">
        <v>13</v>
      </c>
      <c r="F111" s="38" t="inlineStr">
        <is>
          <t>Deadly, Fiery, Obsidian, Golden, Heavy, Icy, Mossy, Radiant, Restorative, Shielded, Shiny, Toxic, Turbo</t>
        </is>
      </c>
      <c r="G111" s="38" t="inlineStr">
        <is>
          <t>输出/雷；来源标签 weapon, tool, damage</t>
        </is>
      </c>
    </row>
    <row r="112">
      <c r="A112" s="38" t="inlineStr">
        <is>
          <t>pal_111</t>
        </is>
      </c>
      <c r="B112" s="38" t="inlineStr">
        <is>
          <t>毒甲蝎将</t>
        </is>
      </c>
      <c r="C112" s="38" t="inlineStr">
        <is>
          <t>bz_van_111</t>
        </is>
      </c>
      <c r="D112" s="38" t="inlineStr">
        <is>
          <t>Deadly</t>
        </is>
      </c>
      <c r="E112" s="38" t="n">
        <v>13</v>
      </c>
      <c r="F112" s="38" t="inlineStr">
        <is>
          <t>Deadly, Fiery, Obsidian, Golden, Heavy, Icy, Mossy, Radiant, Restorative, Shielded, Shiny, Toxic, Turbo</t>
        </is>
      </c>
      <c r="G112" s="38" t="inlineStr">
        <is>
          <t>输出/雷；来源标签 weapon, damage, ammo</t>
        </is>
      </c>
    </row>
    <row r="113">
      <c r="A113" s="38" t="inlineStr">
        <is>
          <t>pal_112</t>
        </is>
      </c>
      <c r="B113" s="38" t="inlineStr">
        <is>
          <t>石猿战将</t>
        </is>
      </c>
      <c r="C113" s="38" t="inlineStr">
        <is>
          <t>bz_van_112</t>
        </is>
      </c>
      <c r="D113" s="38" t="inlineStr">
        <is>
          <t>Fiery</t>
        </is>
      </c>
      <c r="E113" s="38" t="n">
        <v>13</v>
      </c>
      <c r="F113" s="38" t="inlineStr">
        <is>
          <t>Fiery, Icy, Toxic, Obsidian, Deadly, Golden, Heavy, Mossy, Radiant, Restorative, Shielded, Shiny, Turbo</t>
        </is>
      </c>
      <c r="G113" s="38" t="inlineStr">
        <is>
          <t>控制/火、冰；来源标签 friend, aquatic, weapon, relic, poisonreference, freezereference, burnreference, damage</t>
        </is>
      </c>
    </row>
    <row r="114">
      <c r="A114" s="38" t="inlineStr">
        <is>
          <t>pal_113</t>
        </is>
      </c>
      <c r="B114" s="38" t="inlineStr">
        <is>
          <t>覆海蛟王</t>
        </is>
      </c>
      <c r="C114" s="38" t="inlineStr">
        <is>
          <t>bz_van_113</t>
        </is>
      </c>
      <c r="D114" s="38" t="inlineStr">
        <is>
          <t>Deadly</t>
        </is>
      </c>
      <c r="E114" s="38" t="n">
        <v>13</v>
      </c>
      <c r="F114" s="38" t="inlineStr">
        <is>
          <t>Deadly, Fiery, Obsidian, Golden, Heavy, Icy, Mossy, Radiant, Restorative, Shielded, Shiny, Toxic, Turbo</t>
        </is>
      </c>
      <c r="G114" s="38" t="inlineStr">
        <is>
          <t>输出/水；来源标签 weapon, damage</t>
        </is>
      </c>
    </row>
    <row r="115">
      <c r="A115" s="38" t="inlineStr">
        <is>
          <t>pal_114</t>
        </is>
      </c>
      <c r="B115" s="38" t="inlineStr">
        <is>
          <t>赤焰龙君</t>
        </is>
      </c>
      <c r="C115" s="38" t="inlineStr">
        <is>
          <t>bz_van_114</t>
        </is>
      </c>
      <c r="D115" s="38" t="inlineStr">
        <is>
          <t>Icy</t>
        </is>
      </c>
      <c r="E115" s="38" t="n">
        <v>13</v>
      </c>
      <c r="F115" s="38" t="inlineStr">
        <is>
          <t>Icy, Toxic, Obsidian, Deadly, Fiery, Golden, Heavy, Mossy, Radiant, Restorative, Shielded, Shiny, Turbo</t>
        </is>
      </c>
      <c r="G115" s="38" t="inlineStr">
        <is>
          <t>控制/雷；来源标签 tool, crit, cooldown, slowreference</t>
        </is>
      </c>
    </row>
    <row r="116">
      <c r="A116" s="38" t="inlineStr">
        <is>
          <t>pal_115</t>
        </is>
      </c>
      <c r="B116" s="38" t="inlineStr">
        <is>
          <t>南明朱雀</t>
        </is>
      </c>
      <c r="C116" s="38" t="inlineStr">
        <is>
          <t>bz_van_115</t>
        </is>
      </c>
      <c r="D116" s="38" t="inlineStr">
        <is>
          <t>Turbo</t>
        </is>
      </c>
      <c r="E116" s="38" t="n">
        <v>13</v>
      </c>
      <c r="F116" s="38" t="inlineStr">
        <is>
          <t>Turbo, Deadly, Shiny, Fiery, Golden, Heavy, Icy, Mossy, Obsidian, Radiant, Restorative, Shielded, Toxic</t>
        </is>
      </c>
      <c r="G116" s="38" t="inlineStr">
        <is>
          <t>机动/雷、龙；来源标签 tool, relic, cooldown, crit</t>
        </is>
      </c>
    </row>
    <row r="117">
      <c r="A117" s="38" t="inlineStr">
        <is>
          <t>pal_116</t>
        </is>
      </c>
      <c r="B117" s="38" t="inlineStr">
        <is>
          <t>净瓶青鸾</t>
        </is>
      </c>
      <c r="C117" s="38" t="inlineStr">
        <is>
          <t>bz_van_116</t>
        </is>
      </c>
      <c r="D117" s="38" t="inlineStr">
        <is>
          <t>Deadly</t>
        </is>
      </c>
      <c r="E117" s="38" t="n">
        <v>13</v>
      </c>
      <c r="F117" s="38" t="inlineStr">
        <is>
          <t>Deadly, Turbo, Shiny, Fiery, Golden, Heavy, Icy, Mossy, Obsidian, Radiant, Restorative, Shielded, Toxic</t>
        </is>
      </c>
      <c r="G117" s="38" t="inlineStr">
        <is>
          <t>机动/龙；来源标签 vehicle, tech, flying</t>
        </is>
      </c>
    </row>
    <row r="118">
      <c r="A118" s="38" t="inlineStr">
        <is>
          <t>pal_117</t>
        </is>
      </c>
      <c r="B118" s="38" t="inlineStr">
        <is>
          <t>九霄熊王</t>
        </is>
      </c>
      <c r="C118" s="38" t="inlineStr">
        <is>
          <t>bz_van_117</t>
        </is>
      </c>
      <c r="D118" s="38" t="inlineStr">
        <is>
          <t>Icy</t>
        </is>
      </c>
      <c r="E118" s="38" t="n">
        <v>13</v>
      </c>
      <c r="F118" s="38" t="inlineStr">
        <is>
          <t>Icy, Heavy, Shielded, Mossy, Deadly, Fiery, Golden, Obsidian, Radiant, Restorative, Shiny, Toxic, Turbo</t>
        </is>
      </c>
      <c r="G118" s="38" t="inlineStr">
        <is>
          <t>坦克/冰、水；来源标签 aquatic, weapon, vehicle, tech, damage, shield</t>
        </is>
      </c>
    </row>
    <row r="119">
      <c r="A119" s="38" t="inlineStr">
        <is>
          <t>pal_118</t>
        </is>
      </c>
      <c r="B119" s="38" t="inlineStr">
        <is>
          <t>百花鹿仙</t>
        </is>
      </c>
      <c r="C119" s="38" t="inlineStr">
        <is>
          <t>bz_van_118</t>
        </is>
      </c>
      <c r="D119" s="38" t="inlineStr">
        <is>
          <t>Turbo</t>
        </is>
      </c>
      <c r="E119" s="38" t="n">
        <v>13</v>
      </c>
      <c r="F119" s="38" t="inlineStr">
        <is>
          <t>Turbo, Heavy, Shielded, Mossy, Deadly, Fiery, Golden, Icy, Obsidian, Radiant, Restorative, Shiny, Toxic</t>
        </is>
      </c>
      <c r="G119" s="38" t="inlineStr">
        <is>
          <t>坦克/水、地；来源标签 aquatic, tool, vehicle, tech, damagereference, shieldreference</t>
        </is>
      </c>
    </row>
    <row r="120">
      <c r="A120" s="38" t="inlineStr">
        <is>
          <t>pal_119</t>
        </is>
      </c>
      <c r="B120" s="38" t="inlineStr">
        <is>
          <t>黑月狐姬</t>
        </is>
      </c>
      <c r="C120" s="38" t="inlineStr">
        <is>
          <t>bz_van_119</t>
        </is>
      </c>
      <c r="D120" s="38" t="inlineStr">
        <is>
          <t>Turbo</t>
        </is>
      </c>
      <c r="E120" s="38" t="n">
        <v>13</v>
      </c>
      <c r="F120" s="38" t="inlineStr">
        <is>
          <t>Turbo, Deadly, Shiny, Fiery, Golden, Heavy, Icy, Mossy, Obsidian, Radiant, Restorative, Shielded, Toxic</t>
        </is>
      </c>
      <c r="G120" s="38" t="inlineStr">
        <is>
          <t>机动/水；来源标签 tech, damagereference, cooldown</t>
        </is>
      </c>
    </row>
    <row r="121">
      <c r="A121" s="38" t="inlineStr">
        <is>
          <t>pal_120</t>
        </is>
      </c>
      <c r="B121" s="38" t="inlineStr">
        <is>
          <t>火云鹏王</t>
        </is>
      </c>
      <c r="C121" s="38" t="inlineStr">
        <is>
          <t>bz_van_120</t>
        </is>
      </c>
      <c r="D121" s="38" t="inlineStr">
        <is>
          <t>Restorative</t>
        </is>
      </c>
      <c r="E121" s="38" t="n">
        <v>13</v>
      </c>
      <c r="F121" s="38" t="inlineStr">
        <is>
          <t>Restorative, Mossy, Radiant, Deadly, Fiery, Golden, Heavy, Icy, Obsidian, Shielded, Shiny, Toxic, Turbo</t>
        </is>
      </c>
      <c r="G121" s="38" t="inlineStr">
        <is>
          <t>治疗/水、雷；来源标签 apparel, crit, damagereference, healreference, shieldreference</t>
        </is>
      </c>
    </row>
    <row r="122">
      <c r="A122" s="38" t="inlineStr">
        <is>
          <t>pal_121</t>
        </is>
      </c>
      <c r="B122" s="38" t="inlineStr">
        <is>
          <t>雷泽龙王</t>
        </is>
      </c>
      <c r="C122" s="38" t="inlineStr">
        <is>
          <t>bz_van_121</t>
        </is>
      </c>
      <c r="D122" s="38" t="inlineStr">
        <is>
          <t>Deadly</t>
        </is>
      </c>
      <c r="E122" s="38" t="n">
        <v>13</v>
      </c>
      <c r="F122" s="38" t="inlineStr">
        <is>
          <t>Deadly, Fiery, Obsidian, Golden, Heavy, Icy, Mossy, Radiant, Restorative, Shielded, Shiny, Toxic, Turbo</t>
        </is>
      </c>
      <c r="G122" s="38" t="inlineStr">
        <is>
          <t>输出/暗；来源标签 weapon, damage</t>
        </is>
      </c>
    </row>
    <row r="123">
      <c r="A123" s="38" t="inlineStr">
        <is>
          <t>pal_122</t>
        </is>
      </c>
      <c r="B123" s="38" t="inlineStr">
        <is>
          <t>玄羽雕尊</t>
        </is>
      </c>
      <c r="C123" s="38" t="inlineStr">
        <is>
          <t>bz_van_122</t>
        </is>
      </c>
      <c r="D123" s="38" t="inlineStr">
        <is>
          <t>Restorative</t>
        </is>
      </c>
      <c r="E123" s="38" t="n">
        <v>13</v>
      </c>
      <c r="F123" s="38" t="inlineStr">
        <is>
          <t>Restorative, Mossy, Radiant, Deadly, Fiery, Golden, Heavy, Icy, Obsidian, Shielded, Shiny, Toxic, Turbo</t>
        </is>
      </c>
      <c r="G123" s="38" t="inlineStr">
        <is>
          <t>治疗/水、雷；来源标签 weapon, relic, trap, damage, ammo</t>
        </is>
      </c>
    </row>
    <row r="124">
      <c r="A124" s="38" t="inlineStr">
        <is>
          <t>pal_123</t>
        </is>
      </c>
      <c r="B124" s="38" t="inlineStr">
        <is>
          <t>白象护法</t>
        </is>
      </c>
      <c r="C124" s="38" t="inlineStr">
        <is>
          <t>bz_van_123</t>
        </is>
      </c>
      <c r="D124" s="38" t="inlineStr">
        <is>
          <t>Deadly</t>
        </is>
      </c>
      <c r="E124" s="38" t="n">
        <v>13</v>
      </c>
      <c r="F124" s="38" t="inlineStr">
        <is>
          <t>Deadly, Fiery, Obsidian, Golden, Heavy, Icy, Mossy, Radiant, Restorative, Shielded, Shiny, Toxic, Turbo</t>
        </is>
      </c>
      <c r="G124" s="38" t="inlineStr">
        <is>
          <t>输出/雷；来源标签 weapon, damage, critreference, ammo</t>
        </is>
      </c>
    </row>
    <row r="125">
      <c r="A125" s="38" t="inlineStr">
        <is>
          <t>pal_124</t>
        </is>
      </c>
      <c r="B125" s="38" t="inlineStr">
        <is>
          <t>混世魔猿</t>
        </is>
      </c>
      <c r="C125" s="38" t="inlineStr">
        <is>
          <t>bz_van_124</t>
        </is>
      </c>
      <c r="D125" s="38" t="inlineStr">
        <is>
          <t>Deadly</t>
        </is>
      </c>
      <c r="E125" s="38" t="n">
        <v>13</v>
      </c>
      <c r="F125" s="38" t="inlineStr">
        <is>
          <t>Deadly, Fiery, Obsidian, Golden, Heavy, Icy, Mossy, Radiant, Restorative, Shielded, Shiny, Toxic, Turbo</t>
        </is>
      </c>
      <c r="G125" s="38" t="inlineStr">
        <is>
          <t>输出/雷；来源标签 weapon, damage, critreference</t>
        </is>
      </c>
    </row>
    <row r="126">
      <c r="A126" s="38" t="inlineStr">
        <is>
          <t>pal_125</t>
        </is>
      </c>
      <c r="B126" s="38" t="inlineStr">
        <is>
          <t>寒狮妖王</t>
        </is>
      </c>
      <c r="C126" s="38" t="inlineStr">
        <is>
          <t>bz_van_125</t>
        </is>
      </c>
      <c r="D126" s="38" t="inlineStr">
        <is>
          <t>Deadly</t>
        </is>
      </c>
      <c r="E126" s="38" t="n">
        <v>13</v>
      </c>
      <c r="F126" s="38" t="inlineStr">
        <is>
          <t>Deadly, Fiery, Obsidian, Golden, Heavy, Icy, Mossy, Radiant, Restorative, Shielded, Shiny, Toxic, Turbo</t>
        </is>
      </c>
      <c r="G126" s="38" t="inlineStr">
        <is>
          <t>输出/水、雷；来源标签 aquatic, weapon, tech, damage, ammo</t>
        </is>
      </c>
    </row>
    <row r="127">
      <c r="A127" s="38" t="inlineStr">
        <is>
          <t>pal_126</t>
        </is>
      </c>
      <c r="B127" s="38" t="inlineStr">
        <is>
          <t>幽冥獒王</t>
        </is>
      </c>
      <c r="C127" s="38" t="inlineStr">
        <is>
          <t>bz_van_126</t>
        </is>
      </c>
      <c r="D127" s="38" t="inlineStr">
        <is>
          <t>Turbo</t>
        </is>
      </c>
      <c r="E127" s="38" t="n">
        <v>13</v>
      </c>
      <c r="F127" s="38" t="inlineStr">
        <is>
          <t>Turbo, Deadly, Shiny, Fiery, Golden, Heavy, Icy, Mossy, Obsidian, Radiant, Restorative, Shielded, Toxic</t>
        </is>
      </c>
      <c r="G127" s="38" t="inlineStr">
        <is>
          <t>机动/水、雷；来源标签 aquatic, friend, vehicle, weapon, damage, haste</t>
        </is>
      </c>
    </row>
    <row r="128">
      <c r="A128" s="38" t="inlineStr">
        <is>
          <t>pal_127</t>
        </is>
      </c>
      <c r="B128" s="38" t="inlineStr">
        <is>
          <t>九天龙君</t>
        </is>
      </c>
      <c r="C128" s="38" t="inlineStr">
        <is>
          <t>bz_van_127</t>
        </is>
      </c>
      <c r="D128" s="38" t="inlineStr">
        <is>
          <t>Fiery</t>
        </is>
      </c>
      <c r="E128" s="38" t="n">
        <v>13</v>
      </c>
      <c r="F128" s="38" t="inlineStr">
        <is>
          <t>Fiery, Turbo, Deadly, Shiny, Golden, Heavy, Icy, Mossy, Obsidian, Radiant, Restorative, Shielded, Toxic</t>
        </is>
      </c>
      <c r="G128" s="38" t="inlineStr">
        <is>
          <t>机动/火、雷；来源标签 weapon, burn, damage, hastereference</t>
        </is>
      </c>
    </row>
    <row r="129">
      <c r="A129" s="38" t="inlineStr">
        <is>
          <t>pal_128</t>
        </is>
      </c>
      <c r="B129" s="38" t="inlineStr">
        <is>
          <t>星貂王</t>
        </is>
      </c>
      <c r="C129" s="38" t="inlineStr">
        <is>
          <t>bz_van_128</t>
        </is>
      </c>
      <c r="D129" s="38" t="inlineStr">
        <is>
          <t>Icy</t>
        </is>
      </c>
      <c r="E129" s="38" t="n">
        <v>13</v>
      </c>
      <c r="F129" s="38" t="inlineStr">
        <is>
          <t>Icy, Toxic, Obsidian, Deadly, Fiery, Golden, Heavy, Mossy, Radiant, Restorative, Shielded, Shiny, Turbo</t>
        </is>
      </c>
      <c r="G129" s="38" t="inlineStr">
        <is>
          <t>控制/无；来源标签 trap, slow</t>
        </is>
      </c>
    </row>
    <row r="130">
      <c r="A130" s="38" t="inlineStr">
        <is>
          <t>pal_129</t>
        </is>
      </c>
      <c r="B130" s="38" t="inlineStr">
        <is>
          <t>渊鹤王</t>
        </is>
      </c>
      <c r="C130" s="38" t="inlineStr">
        <is>
          <t>bz_van_129</t>
        </is>
      </c>
      <c r="D130" s="38" t="inlineStr">
        <is>
          <t>Icy</t>
        </is>
      </c>
      <c r="E130" s="38" t="n">
        <v>13</v>
      </c>
      <c r="F130" s="38" t="inlineStr">
        <is>
          <t>Icy, Restorative, Mossy, Radiant, Deadly, Fiery, Golden, Heavy, Obsidian, Shielded, Shiny, Toxic, Turbo</t>
        </is>
      </c>
      <c r="G130" s="38" t="inlineStr">
        <is>
          <t>治疗/水；来源标签 property, aquatic, regen, slowreference</t>
        </is>
      </c>
    </row>
    <row r="131">
      <c r="A131" s="38" t="inlineStr">
        <is>
          <t>pal_130</t>
        </is>
      </c>
      <c r="B131" s="38" t="inlineStr">
        <is>
          <t>潮甲君</t>
        </is>
      </c>
      <c r="C131" s="38" t="inlineStr">
        <is>
          <t>bz_van_130</t>
        </is>
      </c>
      <c r="D131" s="38" t="inlineStr">
        <is>
          <t>Turbo</t>
        </is>
      </c>
      <c r="E131" s="38" t="n">
        <v>13</v>
      </c>
      <c r="F131" s="38" t="inlineStr">
        <is>
          <t>Turbo, Heavy, Shielded, Mossy, Deadly, Fiery, Golden, Icy, Obsidian, Radiant, Restorative, Shiny, Toxic</t>
        </is>
      </c>
      <c r="G131" s="38" t="inlineStr">
        <is>
          <t>坦克/水、雷；来源标签 aquatic, shield</t>
        </is>
      </c>
    </row>
    <row r="132">
      <c r="A132" s="38" t="inlineStr">
        <is>
          <t>pal_131</t>
        </is>
      </c>
      <c r="B132" s="38" t="inlineStr">
        <is>
          <t>碧蜂妖</t>
        </is>
      </c>
      <c r="C132" s="38" t="inlineStr">
        <is>
          <t>bz_van_131</t>
        </is>
      </c>
      <c r="D132" s="38" t="inlineStr">
        <is>
          <t>Deadly</t>
        </is>
      </c>
      <c r="E132" s="38" t="n">
        <v>13</v>
      </c>
      <c r="F132" s="38" t="inlineStr">
        <is>
          <t>Deadly, Radiant, Mossy, Shielded, Fiery, Golden, Heavy, Icy, Obsidian, Restorative, Shiny, Toxic, Turbo</t>
        </is>
      </c>
      <c r="G132" s="38" t="inlineStr">
        <is>
          <t>召唤/水、雷；来源标签 aquatic, weapon, friend, damage, critreference</t>
        </is>
      </c>
    </row>
    <row r="133">
      <c r="A133" s="38" t="inlineStr">
        <is>
          <t>pal_132</t>
        </is>
      </c>
      <c r="B133" s="38" t="inlineStr">
        <is>
          <t>烬隼童</t>
        </is>
      </c>
      <c r="C133" s="38" t="inlineStr">
        <is>
          <t>bz_van_132</t>
        </is>
      </c>
      <c r="D133" s="38" t="inlineStr">
        <is>
          <t>Fiery</t>
        </is>
      </c>
      <c r="E133" s="38" t="n">
        <v>13</v>
      </c>
      <c r="F133" s="38" t="inlineStr">
        <is>
          <t>Fiery, Deadly, Obsidian, Golden, Heavy, Icy, Mossy, Radiant, Restorative, Shielded, Shiny, Toxic, Turbo</t>
        </is>
      </c>
      <c r="G133" s="38" t="inlineStr">
        <is>
          <t>输出/火、水；来源标签 aquatic, burn</t>
        </is>
      </c>
    </row>
    <row r="134">
      <c r="A134" s="38" t="inlineStr">
        <is>
          <t>pal_133</t>
        </is>
      </c>
      <c r="B134" s="38" t="inlineStr">
        <is>
          <t>雷貉卫</t>
        </is>
      </c>
      <c r="C134" s="38" t="inlineStr">
        <is>
          <t>bz_van_133</t>
        </is>
      </c>
      <c r="D134" s="38" t="inlineStr">
        <is>
          <t>Deadly</t>
        </is>
      </c>
      <c r="E134" s="38" t="n">
        <v>13</v>
      </c>
      <c r="F134" s="38" t="inlineStr">
        <is>
          <t>Deadly, Golden, Shiny, Radiant, Fiery, Heavy, Icy, Mossy, Obsidian, Restorative, Shielded, Toxic, Turbo</t>
        </is>
      </c>
      <c r="G134" s="38" t="inlineStr">
        <is>
          <t>经济/雷；来源标签 crit, experience</t>
        </is>
      </c>
    </row>
    <row r="135">
      <c r="A135" s="38" t="inlineStr">
        <is>
          <t>pal_134</t>
        </is>
      </c>
      <c r="B135" s="38" t="inlineStr">
        <is>
          <t>沧雀卫</t>
        </is>
      </c>
      <c r="C135" s="38" t="inlineStr">
        <is>
          <t>bz_van_134</t>
        </is>
      </c>
      <c r="D135" s="38" t="inlineStr">
        <is>
          <t>Turbo</t>
        </is>
      </c>
      <c r="E135" s="38" t="n">
        <v>13</v>
      </c>
      <c r="F135" s="38" t="inlineStr">
        <is>
          <t>Turbo, Deadly, Shiny, Fiery, Golden, Heavy, Icy, Mossy, Obsidian, Radiant, Restorative, Shielded, Toxic</t>
        </is>
      </c>
      <c r="G135" s="38" t="inlineStr">
        <is>
          <t>机动/水、雷；来源标签 aquatic, property, haste</t>
        </is>
      </c>
    </row>
    <row r="136">
      <c r="A136" s="38" t="inlineStr">
        <is>
          <t>pal_135</t>
        </is>
      </c>
      <c r="B136" s="38" t="inlineStr">
        <is>
          <t>赤蝎精</t>
        </is>
      </c>
      <c r="C136" s="38" t="inlineStr">
        <is>
          <t>bz_van_135</t>
        </is>
      </c>
      <c r="D136" s="38" t="inlineStr">
        <is>
          <t>Fiery</t>
        </is>
      </c>
      <c r="E136" s="38" t="n">
        <v>13</v>
      </c>
      <c r="F136" s="38" t="inlineStr">
        <is>
          <t>Fiery, Icy, Toxic, Obsidian, Deadly, Golden, Heavy, Mossy, Radiant, Restorative, Shielded, Shiny, Turbo</t>
        </is>
      </c>
      <c r="G136" s="38" t="inlineStr">
        <is>
          <t>控制/火、冰；来源标签 tool, burn, poison, slowreference, freezereference</t>
        </is>
      </c>
    </row>
    <row r="137">
      <c r="A137" s="38" t="inlineStr">
        <is>
          <t>pal_136</t>
        </is>
      </c>
      <c r="B137" s="38" t="inlineStr">
        <is>
          <t>沧熊童</t>
        </is>
      </c>
      <c r="C137" s="38" t="inlineStr">
        <is>
          <t>bz_van_136</t>
        </is>
      </c>
      <c r="D137" s="38" t="inlineStr">
        <is>
          <t>Turbo</t>
        </is>
      </c>
      <c r="E137" s="38" t="n">
        <v>13</v>
      </c>
      <c r="F137" s="38" t="inlineStr">
        <is>
          <t>Turbo, Heavy, Shielded, Mossy, Deadly, Fiery, Golden, Icy, Obsidian, Radiant, Restorative, Shiny, Toxic</t>
        </is>
      </c>
      <c r="G137" s="38" t="inlineStr">
        <is>
          <t>坦克/水、地；来源标签 aquatic, apparel, tech, shield, techreference, damagereference</t>
        </is>
      </c>
    </row>
    <row r="138">
      <c r="A138" s="38" t="inlineStr">
        <is>
          <t>pal_137</t>
        </is>
      </c>
      <c r="B138" s="38" t="inlineStr">
        <is>
          <t>雪貂童</t>
        </is>
      </c>
      <c r="C138" s="38" t="inlineStr">
        <is>
          <t>bz_van_137</t>
        </is>
      </c>
      <c r="D138" s="38" t="inlineStr">
        <is>
          <t>Icy</t>
        </is>
      </c>
      <c r="E138" s="38" t="n">
        <v>13</v>
      </c>
      <c r="F138" s="38" t="inlineStr">
        <is>
          <t>Icy, Toxic, Obsidian, Deadly, Fiery, Golden, Heavy, Mossy, Radiant, Restorative, Shielded, Shiny, Turbo</t>
        </is>
      </c>
      <c r="G138" s="38" t="inlineStr">
        <is>
          <t>控制/冰、草；来源标签 aquatic, friend, freeze, poisonreference</t>
        </is>
      </c>
    </row>
    <row r="139">
      <c r="A139" s="38" t="inlineStr">
        <is>
          <t>pal_138</t>
        </is>
      </c>
      <c r="B139" s="38" t="inlineStr">
        <is>
          <t>烬蜂童</t>
        </is>
      </c>
      <c r="C139" s="38" t="inlineStr">
        <is>
          <t>bz_van_138</t>
        </is>
      </c>
      <c r="D139" s="38" t="inlineStr">
        <is>
          <t>Fiery</t>
        </is>
      </c>
      <c r="E139" s="38" t="n">
        <v>13</v>
      </c>
      <c r="F139" s="38" t="inlineStr">
        <is>
          <t>Fiery, Turbo, Deadly, Shiny, Golden, Heavy, Icy, Mossy, Obsidian, Radiant, Restorative, Shielded, Toxic</t>
        </is>
      </c>
      <c r="G139" s="38" t="inlineStr">
        <is>
          <t>机动/火、水；来源标签 aquatic, weapon, friend, damage, haste, burnreference</t>
        </is>
      </c>
    </row>
    <row r="140">
      <c r="A140" s="38" t="inlineStr">
        <is>
          <t>pal_139</t>
        </is>
      </c>
      <c r="B140" s="38" t="inlineStr">
        <is>
          <t>雷鲭王</t>
        </is>
      </c>
      <c r="C140" s="38" t="inlineStr">
        <is>
          <t>bz_van_139</t>
        </is>
      </c>
      <c r="D140" s="38" t="inlineStr">
        <is>
          <t>Turbo</t>
        </is>
      </c>
      <c r="E140" s="38" t="n">
        <v>13</v>
      </c>
      <c r="F140" s="38" t="inlineStr">
        <is>
          <t>Turbo, Deadly, Shiny, Fiery, Golden, Heavy, Icy, Mossy, Obsidian, Radiant, Restorative, Shielded, Toxic</t>
        </is>
      </c>
      <c r="G140" s="38" t="inlineStr">
        <is>
          <t>机动/雷；来源标签 charge, critreference</t>
        </is>
      </c>
    </row>
    <row r="141">
      <c r="A141" s="38" t="inlineStr">
        <is>
          <t>pal_140</t>
        </is>
      </c>
      <c r="B141" s="38" t="inlineStr">
        <is>
          <t>冥雀卫</t>
        </is>
      </c>
      <c r="C141" s="38" t="inlineStr">
        <is>
          <t>bz_van_140</t>
        </is>
      </c>
      <c r="D141" s="38" t="inlineStr">
        <is>
          <t>Golden</t>
        </is>
      </c>
      <c r="E141" s="38" t="n">
        <v>13</v>
      </c>
      <c r="F141" s="38" t="inlineStr">
        <is>
          <t>Golden, Shiny, Radiant, Deadly, Fiery, Heavy, Icy, Mossy, Obsidian, Restorative, Shielded, Toxic, Turbo</t>
        </is>
      </c>
      <c r="G141" s="38" t="inlineStr">
        <is>
          <t>经济/暗；来源标签 economyreference</t>
        </is>
      </c>
    </row>
    <row r="142">
      <c r="A142" s="38" t="inlineStr">
        <is>
          <t>pal_141</t>
        </is>
      </c>
      <c r="B142" s="38" t="inlineStr">
        <is>
          <t>沧鸾仔</t>
        </is>
      </c>
      <c r="C142" s="38" t="inlineStr">
        <is>
          <t>bz_van_141</t>
        </is>
      </c>
      <c r="D142" s="38" t="inlineStr">
        <is>
          <t>Restorative</t>
        </is>
      </c>
      <c r="E142" s="38" t="n">
        <v>13</v>
      </c>
      <c r="F142" s="38" t="inlineStr">
        <is>
          <t>Restorative, Mossy, Radiant, Deadly, Fiery, Golden, Heavy, Icy, Obsidian, Shielded, Shiny, Toxic, Turbo</t>
        </is>
      </c>
      <c r="G142" s="38" t="inlineStr">
        <is>
          <t>治疗/水、地；来源标签 weapon, health</t>
        </is>
      </c>
    </row>
    <row r="143">
      <c r="A143" s="38" t="inlineStr">
        <is>
          <t>pal_142</t>
        </is>
      </c>
      <c r="B143" s="38" t="inlineStr">
        <is>
          <t>霆螳灵</t>
        </is>
      </c>
      <c r="C143" s="38" t="inlineStr">
        <is>
          <t>bz_van_142</t>
        </is>
      </c>
      <c r="D143" s="38" t="inlineStr">
        <is>
          <t>Deadly</t>
        </is>
      </c>
      <c r="E143" s="38" t="n">
        <v>13</v>
      </c>
      <c r="F143" s="38" t="inlineStr">
        <is>
          <t>Deadly, Fiery, Obsidian, Golden, Heavy, Icy, Mossy, Radiant, Restorative, Shielded, Shiny, Toxic, Turbo</t>
        </is>
      </c>
      <c r="G143" s="38" t="inlineStr">
        <is>
          <t>输出/雷；来源标签 crit</t>
        </is>
      </c>
    </row>
    <row r="144">
      <c r="A144" s="38" t="inlineStr">
        <is>
          <t>pal_143</t>
        </is>
      </c>
      <c r="B144" s="38" t="inlineStr">
        <is>
          <t>山熊卫</t>
        </is>
      </c>
      <c r="C144" s="38" t="inlineStr">
        <is>
          <t>bz_van_143</t>
        </is>
      </c>
      <c r="D144" s="38" t="inlineStr">
        <is>
          <t>Shielded</t>
        </is>
      </c>
      <c r="E144" s="38" t="n">
        <v>13</v>
      </c>
      <c r="F144" s="38" t="inlineStr">
        <is>
          <t>Shielded, Heavy, Mossy, Deadly, Fiery, Golden, Icy, Obsidian, Radiant, Restorative, Shiny, Toxic, Turbo</t>
        </is>
      </c>
      <c r="G144" s="38" t="inlineStr">
        <is>
          <t>坦克/地、龙；来源标签 friend, shieldreference, damagereference</t>
        </is>
      </c>
    </row>
    <row r="145">
      <c r="A145" s="38" t="inlineStr">
        <is>
          <t>pal_144</t>
        </is>
      </c>
      <c r="B145" s="38" t="inlineStr">
        <is>
          <t>沧燕侯</t>
        </is>
      </c>
      <c r="C145" s="38" t="inlineStr">
        <is>
          <t>bz_van_144</t>
        </is>
      </c>
      <c r="D145" s="38" t="inlineStr">
        <is>
          <t>Turbo</t>
        </is>
      </c>
      <c r="E145" s="38" t="n">
        <v>13</v>
      </c>
      <c r="F145" s="38" t="inlineStr">
        <is>
          <t>Turbo, Deadly, Shiny, Fiery, Golden, Heavy, Icy, Mossy, Obsidian, Radiant, Restorative, Shielded, Toxic</t>
        </is>
      </c>
      <c r="G145" s="38" t="inlineStr">
        <is>
          <t>机动/水；来源标签 aquatic, cooldown</t>
        </is>
      </c>
    </row>
    <row r="146">
      <c r="A146" s="38" t="inlineStr">
        <is>
          <t>pal_145</t>
        </is>
      </c>
      <c r="B146" s="38" t="inlineStr">
        <is>
          <t>螭蜂妖</t>
        </is>
      </c>
      <c r="C146" s="38" t="inlineStr">
        <is>
          <t>bz_van_145</t>
        </is>
      </c>
      <c r="D146" s="38" t="inlineStr">
        <is>
          <t>Deadly</t>
        </is>
      </c>
      <c r="E146" s="38" t="n">
        <v>13</v>
      </c>
      <c r="F146" s="38" t="inlineStr">
        <is>
          <t>Deadly, Radiant, Mossy, Shielded, Fiery, Golden, Heavy, Icy, Obsidian, Restorative, Shiny, Toxic, Turbo</t>
        </is>
      </c>
      <c r="G146" s="38" t="inlineStr">
        <is>
          <t>召唤/龙；来源标签 friend, damagereference</t>
        </is>
      </c>
    </row>
    <row r="147">
      <c r="A147" s="38" t="inlineStr">
        <is>
          <t>pal_146</t>
        </is>
      </c>
      <c r="B147" s="38" t="inlineStr">
        <is>
          <t>沧鲤将</t>
        </is>
      </c>
      <c r="C147" s="38" t="inlineStr">
        <is>
          <t>bz_van_146</t>
        </is>
      </c>
      <c r="D147" s="38" t="inlineStr">
        <is>
          <t>Turbo</t>
        </is>
      </c>
      <c r="E147" s="38" t="n">
        <v>13</v>
      </c>
      <c r="F147" s="38" t="inlineStr">
        <is>
          <t>Turbo, Restorative, Mossy, Radiant, Deadly, Fiery, Golden, Heavy, Icy, Obsidian, Shielded, Shiny, Toxic</t>
        </is>
      </c>
      <c r="G147" s="38" t="inlineStr">
        <is>
          <t>治疗/水、地；来源标签 weapon, cooldown</t>
        </is>
      </c>
    </row>
    <row r="148">
      <c r="A148" s="38" t="inlineStr">
        <is>
          <t>pal_147</t>
        </is>
      </c>
      <c r="B148" s="38" t="inlineStr">
        <is>
          <t>沙狮神</t>
        </is>
      </c>
      <c r="C148" s="38" t="inlineStr">
        <is>
          <t>bz_van_147</t>
        </is>
      </c>
      <c r="D148" s="38" t="inlineStr">
        <is>
          <t>Deadly</t>
        </is>
      </c>
      <c r="E148" s="38" t="n">
        <v>13</v>
      </c>
      <c r="F148" s="38" t="inlineStr">
        <is>
          <t>Deadly, Fiery, Obsidian, Golden, Heavy, Icy, Mossy, Radiant, Restorative, Shielded, Shiny, Toxic, Turbo</t>
        </is>
      </c>
      <c r="G148" s="38" t="inlineStr">
        <is>
          <t>输出/地；来源标签 weapon, damagereference</t>
        </is>
      </c>
    </row>
    <row r="149">
      <c r="A149" s="38" t="inlineStr">
        <is>
          <t>pal_148</t>
        </is>
      </c>
      <c r="B149" s="38" t="inlineStr">
        <is>
          <t>震狼君</t>
        </is>
      </c>
      <c r="C149" s="38" t="inlineStr">
        <is>
          <t>bz_van_148</t>
        </is>
      </c>
      <c r="D149" s="38" t="inlineStr">
        <is>
          <t>Deadly</t>
        </is>
      </c>
      <c r="E149" s="38" t="n">
        <v>13</v>
      </c>
      <c r="F149" s="38" t="inlineStr">
        <is>
          <t>Deadly, Fiery, Obsidian, Golden, Heavy, Icy, Mossy, Radiant, Restorative, Shielded, Shiny, Toxic, Turbo</t>
        </is>
      </c>
      <c r="G149" s="38" t="inlineStr">
        <is>
          <t>输出/雷；来源标签 crit</t>
        </is>
      </c>
    </row>
    <row r="150">
      <c r="A150" s="38" t="inlineStr">
        <is>
          <t>pal_149</t>
        </is>
      </c>
      <c r="B150" s="38" t="inlineStr">
        <is>
          <t>渊鹿妖</t>
        </is>
      </c>
      <c r="C150" s="38" t="inlineStr">
        <is>
          <t>bz_van_149</t>
        </is>
      </c>
      <c r="D150" s="38" t="inlineStr">
        <is>
          <t>Turbo</t>
        </is>
      </c>
      <c r="E150" s="38" t="n">
        <v>13</v>
      </c>
      <c r="F150" s="38" t="inlineStr">
        <is>
          <t>Turbo, Restorative, Mossy, Radiant, Deadly, Fiery, Golden, Heavy, Icy, Obsidian, Shielded, Shiny, Toxic</t>
        </is>
      </c>
      <c r="G150" s="38" t="inlineStr">
        <is>
          <t>治疗/水、雷；来源标签 charge</t>
        </is>
      </c>
    </row>
    <row r="151">
      <c r="A151" s="38" t="inlineStr">
        <is>
          <t>pal_150</t>
        </is>
      </c>
      <c r="B151" s="38" t="inlineStr">
        <is>
          <t>汐蝶卫</t>
        </is>
      </c>
      <c r="C151" s="38" t="inlineStr">
        <is>
          <t>bz_van_150</t>
        </is>
      </c>
      <c r="D151" s="38" t="inlineStr">
        <is>
          <t>Turbo</t>
        </is>
      </c>
      <c r="E151" s="38" t="n">
        <v>13</v>
      </c>
      <c r="F151" s="38" t="inlineStr">
        <is>
          <t>Turbo, Restorative, Mossy, Radiant, Deadly, Fiery, Golden, Heavy, Icy, Obsidian, Shielded, Shiny, Toxic</t>
        </is>
      </c>
      <c r="G151" s="38" t="inlineStr">
        <is>
          <t>治疗/水、地；来源标签 haste</t>
        </is>
      </c>
    </row>
    <row r="152">
      <c r="A152" s="38" t="inlineStr">
        <is>
          <t>pal_151</t>
        </is>
      </c>
      <c r="B152" s="38" t="inlineStr">
        <is>
          <t>电鹰君</t>
        </is>
      </c>
      <c r="C152" s="38" t="inlineStr">
        <is>
          <t>bz_van_151</t>
        </is>
      </c>
      <c r="D152" s="38" t="inlineStr">
        <is>
          <t>Deadly</t>
        </is>
      </c>
      <c r="E152" s="38" t="n">
        <v>13</v>
      </c>
      <c r="F152" s="38" t="inlineStr">
        <is>
          <t>Deadly, Fiery, Obsidian, Golden, Heavy, Icy, Mossy, Radiant, Restorative, Shielded, Shiny, Toxic, Turbo</t>
        </is>
      </c>
      <c r="G152" s="38" t="inlineStr">
        <is>
          <t>输出/雷；来源标签 crit</t>
        </is>
      </c>
    </row>
    <row r="153">
      <c r="A153" s="38" t="inlineStr">
        <is>
          <t>pal_152</t>
        </is>
      </c>
      <c r="B153" s="38" t="inlineStr">
        <is>
          <t>鸣鳗王</t>
        </is>
      </c>
      <c r="C153" s="38" t="inlineStr">
        <is>
          <t>bz_van_152</t>
        </is>
      </c>
      <c r="D153" s="38" t="inlineStr">
        <is>
          <t>Icy</t>
        </is>
      </c>
      <c r="E153" s="38" t="n">
        <v>13</v>
      </c>
      <c r="F153" s="38" t="inlineStr">
        <is>
          <t>Icy, Toxic, Obsidian, Deadly, Fiery, Golden, Heavy, Mossy, Radiant, Restorative, Shielded, Shiny, Turbo</t>
        </is>
      </c>
      <c r="G153" s="38" t="inlineStr">
        <is>
          <t>控制/雷；来源标签 slow, ammoreference</t>
        </is>
      </c>
    </row>
    <row r="154">
      <c r="A154" s="38" t="inlineStr">
        <is>
          <t>pal_153</t>
        </is>
      </c>
      <c r="B154" s="38" t="inlineStr">
        <is>
          <t>震狐卫</t>
        </is>
      </c>
      <c r="C154" s="38" t="inlineStr">
        <is>
          <t>bz_van_153</t>
        </is>
      </c>
      <c r="D154" s="38" t="inlineStr">
        <is>
          <t>Turbo</t>
        </is>
      </c>
      <c r="E154" s="38" t="n">
        <v>13</v>
      </c>
      <c r="F154" s="38" t="inlineStr">
        <is>
          <t>Turbo, Deadly, Shiny, Fiery, Golden, Heavy, Icy, Mossy, Obsidian, Radiant, Restorative, Shielded, Toxic</t>
        </is>
      </c>
      <c r="G154" s="38" t="inlineStr">
        <is>
          <t>机动/雷；来源标签 haste</t>
        </is>
      </c>
    </row>
    <row r="155">
      <c r="A155" s="38" t="inlineStr">
        <is>
          <t>pal_154</t>
        </is>
      </c>
      <c r="B155" s="38" t="inlineStr">
        <is>
          <t>朱蛛将</t>
        </is>
      </c>
      <c r="C155" s="38" t="inlineStr">
        <is>
          <t>bz_van_154</t>
        </is>
      </c>
      <c r="D155" s="38" t="inlineStr">
        <is>
          <t>Fiery</t>
        </is>
      </c>
      <c r="E155" s="38" t="n">
        <v>13</v>
      </c>
      <c r="F155" s="38" t="inlineStr">
        <is>
          <t>Fiery, Icy, Toxic, Obsidian, Deadly, Golden, Heavy, Mossy, Radiant, Restorative, Shielded, Shiny, Turbo</t>
        </is>
      </c>
      <c r="G155" s="38" t="inlineStr">
        <is>
          <t>控制/火、草；来源标签 poisonreference, burnreference</t>
        </is>
      </c>
    </row>
    <row r="156">
      <c r="A156" s="38" t="inlineStr">
        <is>
          <t>pal_155</t>
        </is>
      </c>
      <c r="B156" s="38" t="inlineStr">
        <is>
          <t>沧鲤祖</t>
        </is>
      </c>
      <c r="C156" s="38" t="inlineStr">
        <is>
          <t>bz_van_155</t>
        </is>
      </c>
      <c r="D156" s="38" t="inlineStr">
        <is>
          <t>Deadly</t>
        </is>
      </c>
      <c r="E156" s="38" t="n">
        <v>13</v>
      </c>
      <c r="F156" s="38" t="inlineStr">
        <is>
          <t>Deadly, Restorative, Mossy, Radiant, Fiery, Golden, Heavy, Icy, Obsidian, Shielded, Shiny, Toxic, Turbo</t>
        </is>
      </c>
      <c r="G156" s="38" t="inlineStr">
        <is>
          <t>治疗/水；来源标签 weapon, lifesteal</t>
        </is>
      </c>
    </row>
    <row r="157">
      <c r="A157" s="38" t="inlineStr">
        <is>
          <t>pal_156</t>
        </is>
      </c>
      <c r="B157" s="38" t="inlineStr">
        <is>
          <t>角马王</t>
        </is>
      </c>
      <c r="C157" s="38" t="inlineStr">
        <is>
          <t>bz_van_156</t>
        </is>
      </c>
      <c r="D157" s="38" t="inlineStr">
        <is>
          <t>Turbo</t>
        </is>
      </c>
      <c r="E157" s="38" t="n">
        <v>13</v>
      </c>
      <c r="F157" s="38" t="inlineStr">
        <is>
          <t>Turbo, Deadly, Shiny, Fiery, Golden, Heavy, Icy, Mossy, Obsidian, Radiant, Restorative, Shielded, Toxic</t>
        </is>
      </c>
      <c r="G157" s="38" t="inlineStr">
        <is>
          <t>机动/龙；来源标签 vehicle, cooldown</t>
        </is>
      </c>
    </row>
    <row r="158">
      <c r="A158" s="38" t="inlineStr">
        <is>
          <t>pal_157</t>
        </is>
      </c>
      <c r="B158" s="38" t="inlineStr">
        <is>
          <t>焰鹰妖</t>
        </is>
      </c>
      <c r="C158" s="38" t="inlineStr">
        <is>
          <t>bz_van_157</t>
        </is>
      </c>
      <c r="D158" s="38" t="inlineStr">
        <is>
          <t>Fiery</t>
        </is>
      </c>
      <c r="E158" s="38" t="n">
        <v>13</v>
      </c>
      <c r="F158" s="38" t="inlineStr">
        <is>
          <t>Fiery, Deadly, Obsidian, Golden, Heavy, Icy, Mossy, Radiant, Restorative, Shielded, Shiny, Toxic, Turbo</t>
        </is>
      </c>
      <c r="G158" s="38" t="inlineStr">
        <is>
          <t>输出/火；来源标签 burnreference</t>
        </is>
      </c>
    </row>
    <row r="159">
      <c r="A159" s="38" t="inlineStr">
        <is>
          <t>pal_158</t>
        </is>
      </c>
      <c r="B159" s="38" t="inlineStr">
        <is>
          <t>澜蜂尊</t>
        </is>
      </c>
      <c r="C159" s="38" t="inlineStr">
        <is>
          <t>bz_van_158</t>
        </is>
      </c>
      <c r="D159" s="38" t="inlineStr">
        <is>
          <t>Turbo</t>
        </is>
      </c>
      <c r="E159" s="38" t="n">
        <v>13</v>
      </c>
      <c r="F159" s="38" t="inlineStr">
        <is>
          <t>Turbo, Deadly, Shiny, Fiery, Golden, Heavy, Icy, Mossy, Obsidian, Radiant, Restorative, Shielded, Toxic</t>
        </is>
      </c>
      <c r="G159" s="38" t="inlineStr">
        <is>
          <t>机动/水；来源标签 weapon, aquatic, haste, damagereference</t>
        </is>
      </c>
    </row>
    <row r="160">
      <c r="A160" s="38" t="inlineStr">
        <is>
          <t>pal_159</t>
        </is>
      </c>
      <c r="B160" s="38" t="inlineStr">
        <is>
          <t>凝鳗卫</t>
        </is>
      </c>
      <c r="C160" s="38" t="inlineStr">
        <is>
          <t>bz_van_159</t>
        </is>
      </c>
      <c r="D160" s="38" t="inlineStr">
        <is>
          <t>Icy</t>
        </is>
      </c>
      <c r="E160" s="38" t="n">
        <v>13</v>
      </c>
      <c r="F160" s="38" t="inlineStr">
        <is>
          <t>Icy, Toxic, Obsidian, Deadly, Fiery, Golden, Heavy, Mossy, Radiant, Restorative, Shielded, Shiny, Turbo</t>
        </is>
      </c>
      <c r="G160" s="38" t="inlineStr">
        <is>
          <t>控制/冰；来源标签 slowreference, freeze</t>
        </is>
      </c>
    </row>
    <row r="161">
      <c r="A161" s="38" t="inlineStr">
        <is>
          <t>pal_160</t>
        </is>
      </c>
      <c r="B161" s="38" t="inlineStr">
        <is>
          <t>青鳗君</t>
        </is>
      </c>
      <c r="C161" s="38" t="inlineStr">
        <is>
          <t>bz_van_160</t>
        </is>
      </c>
      <c r="D161" s="38" t="inlineStr">
        <is>
          <t>Icy</t>
        </is>
      </c>
      <c r="E161" s="38" t="n">
        <v>13</v>
      </c>
      <c r="F161" s="38" t="inlineStr">
        <is>
          <t>Icy, Toxic, Obsidian, Deadly, Fiery, Golden, Heavy, Mossy, Radiant, Restorative, Shielded, Shiny, Turbo</t>
        </is>
      </c>
      <c r="G161" s="38" t="inlineStr">
        <is>
          <t>控制/草、雷；来源标签 charge, poisonreference, slowreference</t>
        </is>
      </c>
    </row>
    <row r="162">
      <c r="A162" s="38" t="inlineStr">
        <is>
          <t>pal_161</t>
        </is>
      </c>
      <c r="B162" s="38" t="inlineStr">
        <is>
          <t>电鹰童</t>
        </is>
      </c>
      <c r="C162" s="38" t="inlineStr">
        <is>
          <t>bz_van_161</t>
        </is>
      </c>
      <c r="D162" s="38" t="inlineStr">
        <is>
          <t>Deadly</t>
        </is>
      </c>
      <c r="E162" s="38" t="n">
        <v>13</v>
      </c>
      <c r="F162" s="38" t="inlineStr">
        <is>
          <t>Deadly, Fiery, Obsidian, Golden, Heavy, Icy, Mossy, Radiant, Restorative, Shielded, Shiny, Toxic, Turbo</t>
        </is>
      </c>
      <c r="G162" s="38" t="inlineStr">
        <is>
          <t>输出/雷；来源标签 weapon, crit</t>
        </is>
      </c>
    </row>
    <row r="163">
      <c r="A163" s="38" t="inlineStr">
        <is>
          <t>pal_162</t>
        </is>
      </c>
      <c r="B163" s="38" t="inlineStr">
        <is>
          <t>澜鲨童</t>
        </is>
      </c>
      <c r="C163" s="38" t="inlineStr">
        <is>
          <t>bz_van_162</t>
        </is>
      </c>
      <c r="D163" s="38" t="inlineStr">
        <is>
          <t>Deadly</t>
        </is>
      </c>
      <c r="E163" s="38" t="n">
        <v>13</v>
      </c>
      <c r="F163" s="38" t="inlineStr">
        <is>
          <t>Deadly, Fiery, Obsidian, Golden, Heavy, Icy, Mossy, Radiant, Restorative, Shielded, Shiny, Toxic, Turbo</t>
        </is>
      </c>
      <c r="G163" s="38" t="inlineStr">
        <is>
          <t>输出/水；来源标签 aquatic, damagereference</t>
        </is>
      </c>
    </row>
    <row r="164">
      <c r="A164" s="38" t="inlineStr">
        <is>
          <t>pal_163</t>
        </is>
      </c>
      <c r="B164" s="38" t="inlineStr">
        <is>
          <t>石甲将</t>
        </is>
      </c>
      <c r="C164" s="38" t="inlineStr">
        <is>
          <t>bz_van_163</t>
        </is>
      </c>
      <c r="D164" s="38" t="inlineStr">
        <is>
          <t>Shielded</t>
        </is>
      </c>
      <c r="E164" s="38" t="n">
        <v>13</v>
      </c>
      <c r="F164" s="38" t="inlineStr">
        <is>
          <t>Shielded, Heavy, Mossy, Deadly, Fiery, Golden, Icy, Obsidian, Radiant, Restorative, Shiny, Toxic, Turbo</t>
        </is>
      </c>
      <c r="G164" s="38" t="inlineStr">
        <is>
          <t>坦克/地；来源标签 weapon, shieldreference, damagereference</t>
        </is>
      </c>
    </row>
    <row r="165">
      <c r="A165" s="38" t="inlineStr">
        <is>
          <t>pal_164</t>
        </is>
      </c>
      <c r="B165" s="38" t="inlineStr">
        <is>
          <t>朱蛛侯</t>
        </is>
      </c>
      <c r="C165" s="38" t="inlineStr">
        <is>
          <t>bz_van_164</t>
        </is>
      </c>
      <c r="D165" s="38" t="inlineStr">
        <is>
          <t>Fiery</t>
        </is>
      </c>
      <c r="E165" s="38" t="n">
        <v>13</v>
      </c>
      <c r="F165" s="38" t="inlineStr">
        <is>
          <t>Fiery, Icy, Toxic, Obsidian, Deadly, Golden, Heavy, Mossy, Radiant, Restorative, Shielded, Shiny, Turbo</t>
        </is>
      </c>
      <c r="G165" s="38" t="inlineStr">
        <is>
          <t>控制/火、草；来源标签 aquatic, friend, burn, poison</t>
        </is>
      </c>
    </row>
    <row r="166">
      <c r="A166" s="38" t="inlineStr">
        <is>
          <t>pal_165</t>
        </is>
      </c>
      <c r="B166" s="38" t="inlineStr">
        <is>
          <t>渊猿王</t>
        </is>
      </c>
      <c r="C166" s="38" t="inlineStr">
        <is>
          <t>bz_van_165</t>
        </is>
      </c>
      <c r="D166" s="38" t="inlineStr">
        <is>
          <t>Turbo</t>
        </is>
      </c>
      <c r="E166" s="38" t="n">
        <v>13</v>
      </c>
      <c r="F166" s="38" t="inlineStr">
        <is>
          <t>Turbo, Deadly, Shiny, Fiery, Golden, Heavy, Icy, Mossy, Obsidian, Radiant, Restorative, Shielded, Toxic</t>
        </is>
      </c>
      <c r="G166" s="38" t="inlineStr">
        <is>
          <t>机动/水、雷；来源标签 weapon, aquatic, ammo, damagereference</t>
        </is>
      </c>
    </row>
    <row r="167">
      <c r="A167" s="38" t="inlineStr">
        <is>
          <t>pal_166</t>
        </is>
      </c>
      <c r="B167" s="38" t="inlineStr">
        <is>
          <t>焰蚌圣</t>
        </is>
      </c>
      <c r="C167" s="38" t="inlineStr">
        <is>
          <t>bz_van_166</t>
        </is>
      </c>
      <c r="D167" s="38" t="inlineStr">
        <is>
          <t>Fiery</t>
        </is>
      </c>
      <c r="E167" s="38" t="n">
        <v>13</v>
      </c>
      <c r="F167" s="38" t="inlineStr">
        <is>
          <t>Fiery, Restorative, Mossy, Radiant, Deadly, Golden, Heavy, Icy, Obsidian, Shielded, Shiny, Toxic, Turbo</t>
        </is>
      </c>
      <c r="G167" s="38" t="inlineStr">
        <is>
          <t>治疗/火、冰；来源标签 无</t>
        </is>
      </c>
    </row>
    <row r="168">
      <c r="A168" s="38" t="inlineStr">
        <is>
          <t>pal_167</t>
        </is>
      </c>
      <c r="B168" s="38" t="inlineStr">
        <is>
          <t>渊兔妖</t>
        </is>
      </c>
      <c r="C168" s="38" t="inlineStr">
        <is>
          <t>bz_van_167</t>
        </is>
      </c>
      <c r="D168" s="38" t="inlineStr">
        <is>
          <t>Restorative</t>
        </is>
      </c>
      <c r="E168" s="38" t="n">
        <v>13</v>
      </c>
      <c r="F168" s="38" t="inlineStr">
        <is>
          <t>Restorative, Mossy, Radiant, Deadly, Fiery, Golden, Heavy, Icy, Obsidian, Shielded, Shiny, Toxic, Turbo</t>
        </is>
      </c>
      <c r="G168" s="38" t="inlineStr">
        <is>
          <t>治疗/水、雷；来源标签 crit</t>
        </is>
      </c>
    </row>
    <row r="169">
      <c r="A169" s="38" t="inlineStr">
        <is>
          <t>pal_168</t>
        </is>
      </c>
      <c r="B169" s="38" t="inlineStr">
        <is>
          <t>澜兔祖</t>
        </is>
      </c>
      <c r="C169" s="38" t="inlineStr">
        <is>
          <t>bz_van_168</t>
        </is>
      </c>
      <c r="D169" s="38" t="inlineStr">
        <is>
          <t>Restorative</t>
        </is>
      </c>
      <c r="E169" s="38" t="n">
        <v>13</v>
      </c>
      <c r="F169" s="38" t="inlineStr">
        <is>
          <t>Restorative, Mossy, Radiant, Deadly, Fiery, Golden, Heavy, Icy, Obsidian, Shielded, Shiny, Toxic, Turbo</t>
        </is>
      </c>
      <c r="G169" s="38" t="inlineStr">
        <is>
          <t>治疗/水、地；来源标签 weapon, damagereference</t>
        </is>
      </c>
    </row>
    <row r="170">
      <c r="A170" s="38" t="inlineStr">
        <is>
          <t>pal_169</t>
        </is>
      </c>
      <c r="B170" s="38" t="inlineStr">
        <is>
          <t>朱鹤将</t>
        </is>
      </c>
      <c r="C170" s="38" t="inlineStr">
        <is>
          <t>bz_van_169</t>
        </is>
      </c>
      <c r="D170" s="38" t="inlineStr">
        <is>
          <t>Fiery</t>
        </is>
      </c>
      <c r="E170" s="38" t="n">
        <v>13</v>
      </c>
      <c r="F170" s="38" t="inlineStr">
        <is>
          <t>Fiery, Restorative, Mossy, Radiant, Deadly, Golden, Heavy, Icy, Obsidian, Shielded, Shiny, Toxic, Turbo</t>
        </is>
      </c>
      <c r="G170" s="38" t="inlineStr">
        <is>
          <t>治疗/火、水；来源标签 burn</t>
        </is>
      </c>
    </row>
    <row r="171">
      <c r="A171" s="38" t="inlineStr">
        <is>
          <t>pal_170</t>
        </is>
      </c>
      <c r="B171" s="38" t="inlineStr">
        <is>
          <t>青蝎卫</t>
        </is>
      </c>
      <c r="C171" s="38" t="inlineStr">
        <is>
          <t>bz_van_170</t>
        </is>
      </c>
      <c r="D171" s="38" t="inlineStr">
        <is>
          <t>Toxic</t>
        </is>
      </c>
      <c r="E171" s="38" t="n">
        <v>13</v>
      </c>
      <c r="F171" s="38" t="inlineStr">
        <is>
          <t>Toxic, Icy, Obsidian, Deadly, Fiery, Golden, Heavy, Mossy, Radiant, Restorative, Shielded, Shiny, Turbo</t>
        </is>
      </c>
      <c r="G171" s="38" t="inlineStr">
        <is>
          <t>控制/草、雷；来源标签 poisonreference, crit</t>
        </is>
      </c>
    </row>
    <row r="172">
      <c r="A172" s="38" t="inlineStr">
        <is>
          <t>pal_171</t>
        </is>
      </c>
      <c r="B172" s="38" t="inlineStr">
        <is>
          <t>赤狼童</t>
        </is>
      </c>
      <c r="C172" s="38" t="inlineStr">
        <is>
          <t>bz_van_171</t>
        </is>
      </c>
      <c r="D172" s="38" t="inlineStr">
        <is>
          <t>Fiery</t>
        </is>
      </c>
      <c r="E172" s="38" t="n">
        <v>13</v>
      </c>
      <c r="F172" s="38" t="inlineStr">
        <is>
          <t>Fiery, Deadly, Obsidian, Golden, Heavy, Icy, Mossy, Radiant, Restorative, Shielded, Shiny, Toxic, Turbo</t>
        </is>
      </c>
      <c r="G172" s="38" t="inlineStr">
        <is>
          <t>输出/火；来源标签 burnreference</t>
        </is>
      </c>
    </row>
    <row r="173">
      <c r="A173" s="38" t="inlineStr">
        <is>
          <t>pal_172</t>
        </is>
      </c>
      <c r="B173" s="38" t="inlineStr">
        <is>
          <t>森蟒仔</t>
        </is>
      </c>
      <c r="C173" s="38" t="inlineStr">
        <is>
          <t>bz_van_172</t>
        </is>
      </c>
      <c r="D173" s="38" t="inlineStr">
        <is>
          <t>Toxic</t>
        </is>
      </c>
      <c r="E173" s="38" t="n">
        <v>13</v>
      </c>
      <c r="F173" s="38" t="inlineStr">
        <is>
          <t>Toxic, Icy, Obsidian, Deadly, Fiery, Golden, Heavy, Mossy, Radiant, Restorative, Shielded, Shiny, Turbo</t>
        </is>
      </c>
      <c r="G173" s="38" t="inlineStr">
        <is>
          <t>控制/草；来源标签 poisonreference</t>
        </is>
      </c>
    </row>
    <row r="174">
      <c r="A174" s="38" t="inlineStr">
        <is>
          <t>pal_173</t>
        </is>
      </c>
      <c r="B174" s="38" t="inlineStr">
        <is>
          <t>燎鹰兽</t>
        </is>
      </c>
      <c r="C174" s="38" t="inlineStr">
        <is>
          <t>bz_van_173</t>
        </is>
      </c>
      <c r="D174" s="38" t="inlineStr">
        <is>
          <t>Fiery</t>
        </is>
      </c>
      <c r="E174" s="38" t="n">
        <v>13</v>
      </c>
      <c r="F174" s="38" t="inlineStr">
        <is>
          <t>Fiery, Deadly, Obsidian, Golden, Heavy, Icy, Mossy, Radiant, Restorative, Shielded, Shiny, Toxic, Turbo</t>
        </is>
      </c>
      <c r="G174" s="38" t="inlineStr">
        <is>
          <t>输出/火；来源标签 burnreference</t>
        </is>
      </c>
    </row>
    <row r="175">
      <c r="A175" s="38" t="inlineStr">
        <is>
          <t>pal_174</t>
        </is>
      </c>
      <c r="B175" s="38" t="inlineStr">
        <is>
          <t>焰狼将</t>
        </is>
      </c>
      <c r="C175" s="38" t="inlineStr">
        <is>
          <t>bz_van_174</t>
        </is>
      </c>
      <c r="D175" s="38" t="inlineStr">
        <is>
          <t>Fiery</t>
        </is>
      </c>
      <c r="E175" s="38" t="n">
        <v>13</v>
      </c>
      <c r="F175" s="38" t="inlineStr">
        <is>
          <t>Fiery, Deadly, Obsidian, Golden, Heavy, Icy, Mossy, Radiant, Restorative, Shielded, Shiny, Toxic, Turbo</t>
        </is>
      </c>
      <c r="G175" s="38" t="inlineStr">
        <is>
          <t>输出/火；来源标签 burn</t>
        </is>
      </c>
    </row>
    <row r="176">
      <c r="A176" s="38" t="inlineStr">
        <is>
          <t>pal_175</t>
        </is>
      </c>
      <c r="B176" s="38" t="inlineStr">
        <is>
          <t>电豹尊</t>
        </is>
      </c>
      <c r="C176" s="38" t="inlineStr">
        <is>
          <t>bz_van_175</t>
        </is>
      </c>
      <c r="D176" s="38" t="inlineStr">
        <is>
          <t>Deadly</t>
        </is>
      </c>
      <c r="E176" s="38" t="n">
        <v>13</v>
      </c>
      <c r="F176" s="38" t="inlineStr">
        <is>
          <t>Deadly, Fiery, Obsidian, Golden, Heavy, Icy, Mossy, Radiant, Restorative, Shielded, Shiny, Toxic, Turbo</t>
        </is>
      </c>
      <c r="G176" s="38" t="inlineStr">
        <is>
          <t>输出/雷；来源标签 crit</t>
        </is>
      </c>
    </row>
    <row r="177">
      <c r="A177" s="38" t="inlineStr">
        <is>
          <t>pal_176</t>
        </is>
      </c>
      <c r="B177" s="38" t="inlineStr">
        <is>
          <t>电螳精</t>
        </is>
      </c>
      <c r="C177" s="38" t="inlineStr">
        <is>
          <t>bz_van_176</t>
        </is>
      </c>
      <c r="D177" s="38" t="inlineStr">
        <is>
          <t>Deadly</t>
        </is>
      </c>
      <c r="E177" s="38" t="n">
        <v>13</v>
      </c>
      <c r="F177" s="38" t="inlineStr">
        <is>
          <t>Deadly, Fiery, Obsidian, Golden, Heavy, Icy, Mossy, Radiant, Restorative, Shielded, Shiny, Toxic, Turbo</t>
        </is>
      </c>
      <c r="G177" s="38" t="inlineStr">
        <is>
          <t>输出/雷；来源标签 crit</t>
        </is>
      </c>
    </row>
    <row r="178">
      <c r="A178" s="38" t="inlineStr">
        <is>
          <t>pal_177</t>
        </is>
      </c>
      <c r="B178" s="38" t="inlineStr">
        <is>
          <t>霆狼卫</t>
        </is>
      </c>
      <c r="C178" s="38" t="inlineStr">
        <is>
          <t>bz_van_177</t>
        </is>
      </c>
      <c r="D178" s="38" t="inlineStr">
        <is>
          <t>Deadly</t>
        </is>
      </c>
      <c r="E178" s="38" t="n">
        <v>13</v>
      </c>
      <c r="F178" s="38" t="inlineStr">
        <is>
          <t>Deadly, Fiery, Obsidian, Golden, Heavy, Icy, Mossy, Radiant, Restorative, Shielded, Shiny, Toxic, Turbo</t>
        </is>
      </c>
      <c r="G178" s="38" t="inlineStr">
        <is>
          <t>输出/雷；来源标签 tool, crit</t>
        </is>
      </c>
    </row>
    <row r="179">
      <c r="A179" s="38" t="inlineStr">
        <is>
          <t>pal_178</t>
        </is>
      </c>
      <c r="B179" s="38" t="inlineStr">
        <is>
          <t>闪鲲妖</t>
        </is>
      </c>
      <c r="C179" s="38" t="inlineStr">
        <is>
          <t>bz_van_178</t>
        </is>
      </c>
      <c r="D179" s="38" t="inlineStr">
        <is>
          <t>Deadly</t>
        </is>
      </c>
      <c r="E179" s="38" t="n">
        <v>13</v>
      </c>
      <c r="F179" s="38" t="inlineStr">
        <is>
          <t>Deadly, Radiant, Mossy, Shielded, Fiery, Golden, Heavy, Icy, Obsidian, Restorative, Shiny, Toxic, Turbo</t>
        </is>
      </c>
      <c r="G179" s="38" t="inlineStr">
        <is>
          <t>召唤/雷、龙；来源标签 vehicle, crit</t>
        </is>
      </c>
    </row>
    <row r="180">
      <c r="A180" s="38" t="inlineStr">
        <is>
          <t>pal_179</t>
        </is>
      </c>
      <c r="B180" s="38" t="inlineStr">
        <is>
          <t>震鹰王</t>
        </is>
      </c>
      <c r="C180" s="38" t="inlineStr">
        <is>
          <t>bz_van_179</t>
        </is>
      </c>
      <c r="D180" s="38" t="inlineStr">
        <is>
          <t>Deadly</t>
        </is>
      </c>
      <c r="E180" s="38" t="n">
        <v>13</v>
      </c>
      <c r="F180" s="38" t="inlineStr">
        <is>
          <t>Deadly, Fiery, Obsidian, Golden, Heavy, Icy, Mossy, Radiant, Restorative, Shielded, Shiny, Toxic, Turbo</t>
        </is>
      </c>
      <c r="G180" s="38" t="inlineStr">
        <is>
          <t>输出/雷；来源标签 ammo, critreference</t>
        </is>
      </c>
    </row>
    <row r="181">
      <c r="A181" s="38" t="inlineStr">
        <is>
          <t>pal_180</t>
        </is>
      </c>
      <c r="B181" s="38" t="inlineStr">
        <is>
          <t>鸣马王</t>
        </is>
      </c>
      <c r="C181" s="38" t="inlineStr">
        <is>
          <t>bz_van_180</t>
        </is>
      </c>
      <c r="D181" s="38" t="inlineStr">
        <is>
          <t>Turbo</t>
        </is>
      </c>
      <c r="E181" s="38" t="n">
        <v>13</v>
      </c>
      <c r="F181" s="38" t="inlineStr">
        <is>
          <t>Turbo, Deadly, Shiny, Fiery, Golden, Heavy, Icy, Mossy, Obsidian, Radiant, Restorative, Shielded, Toxic</t>
        </is>
      </c>
      <c r="G181" s="38" t="inlineStr">
        <is>
          <t>机动/雷；来源标签 weapon, charge, damagereference</t>
        </is>
      </c>
    </row>
    <row r="182">
      <c r="A182" s="38" t="inlineStr">
        <is>
          <t>pal_181</t>
        </is>
      </c>
      <c r="B182" s="38" t="inlineStr">
        <is>
          <t>碧兔神</t>
        </is>
      </c>
      <c r="C182" s="38" t="inlineStr">
        <is>
          <t>bz_van_181</t>
        </is>
      </c>
      <c r="D182" s="38" t="inlineStr">
        <is>
          <t>Restorative</t>
        </is>
      </c>
      <c r="E182" s="38" t="n">
        <v>13</v>
      </c>
      <c r="F182" s="38" t="inlineStr">
        <is>
          <t>Restorative, Mossy, Radiant, Deadly, Fiery, Golden, Heavy, Icy, Obsidian, Shielded, Shiny, Toxic, Turbo</t>
        </is>
      </c>
      <c r="G182" s="38" t="inlineStr">
        <is>
          <t>治疗/水、雷；来源标签 crit</t>
        </is>
      </c>
    </row>
    <row r="183">
      <c r="A183" s="38" t="inlineStr">
        <is>
          <t>pal_182</t>
        </is>
      </c>
      <c r="B183" s="38" t="inlineStr">
        <is>
          <t>渊蚁皇</t>
        </is>
      </c>
      <c r="C183" s="38" t="inlineStr">
        <is>
          <t>bz_van_182</t>
        </is>
      </c>
      <c r="D183" s="38" t="inlineStr">
        <is>
          <t>Radiant</t>
        </is>
      </c>
      <c r="E183" s="38" t="n">
        <v>13</v>
      </c>
      <c r="F183" s="38" t="inlineStr">
        <is>
          <t>Radiant, Mossy, Shielded, Deadly, Fiery, Golden, Heavy, Icy, Obsidian, Restorative, Shiny, Toxic, Turbo</t>
        </is>
      </c>
      <c r="G183" s="38" t="inlineStr">
        <is>
          <t>召唤/水、龙；来源标签 aquatic, friend</t>
        </is>
      </c>
    </row>
    <row r="184">
      <c r="A184" s="38" t="inlineStr">
        <is>
          <t>pal_183</t>
        </is>
      </c>
      <c r="B184" s="38" t="inlineStr">
        <is>
          <t>垒牦灵</t>
        </is>
      </c>
      <c r="C184" s="38" t="inlineStr">
        <is>
          <t>bz_van_183</t>
        </is>
      </c>
      <c r="D184" s="38" t="inlineStr">
        <is>
          <t>Shielded</t>
        </is>
      </c>
      <c r="E184" s="38" t="n">
        <v>13</v>
      </c>
      <c r="F184" s="38" t="inlineStr">
        <is>
          <t>Shielded, Heavy, Mossy, Deadly, Fiery, Golden, Icy, Obsidian, Radiant, Restorative, Shiny, Toxic, Turbo</t>
        </is>
      </c>
      <c r="G184" s="38" t="inlineStr">
        <is>
          <t>坦克/地；来源标签 shieldreference</t>
        </is>
      </c>
    </row>
    <row r="185">
      <c r="A185" s="38" t="inlineStr">
        <is>
          <t>pal_184</t>
        </is>
      </c>
      <c r="B185" s="38" t="inlineStr">
        <is>
          <t>雷鹰将</t>
        </is>
      </c>
      <c r="C185" s="38" t="inlineStr">
        <is>
          <t>bz_van_184</t>
        </is>
      </c>
      <c r="D185" s="38" t="inlineStr">
        <is>
          <t>Deadly</t>
        </is>
      </c>
      <c r="E185" s="38" t="n">
        <v>13</v>
      </c>
      <c r="F185" s="38" t="inlineStr">
        <is>
          <t>Deadly, Fiery, Obsidian, Golden, Heavy, Icy, Mossy, Radiant, Restorative, Shielded, Shiny, Toxic, Turbo</t>
        </is>
      </c>
      <c r="G185" s="38" t="inlineStr">
        <is>
          <t>输出/雷；来源标签 weapon, ammoreference, damagereference</t>
        </is>
      </c>
    </row>
    <row r="186">
      <c r="A186" s="38" t="inlineStr">
        <is>
          <t>pal_185</t>
        </is>
      </c>
      <c r="B186" s="38" t="inlineStr">
        <is>
          <t>烬鳗将</t>
        </is>
      </c>
      <c r="C186" s="38" t="inlineStr">
        <is>
          <t>bz_van_185</t>
        </is>
      </c>
      <c r="D186" s="38" t="inlineStr">
        <is>
          <t>Fiery</t>
        </is>
      </c>
      <c r="E186" s="38" t="n">
        <v>13</v>
      </c>
      <c r="F186" s="38" t="inlineStr">
        <is>
          <t>Fiery, Icy, Toxic, Obsidian, Deadly, Golden, Heavy, Mossy, Radiant, Restorative, Shielded, Shiny, Turbo</t>
        </is>
      </c>
      <c r="G186" s="38" t="inlineStr">
        <is>
          <t>控制/火、冰；来源标签 burnreference, freeze</t>
        </is>
      </c>
    </row>
    <row r="187">
      <c r="A187" s="38" t="inlineStr">
        <is>
          <t>pal_186</t>
        </is>
      </c>
      <c r="B187" s="38" t="inlineStr">
        <is>
          <t>角豹神</t>
        </is>
      </c>
      <c r="C187" s="38" t="inlineStr">
        <is>
          <t>bz_van_186</t>
        </is>
      </c>
      <c r="D187" s="38" t="inlineStr">
        <is>
          <t>Deadly</t>
        </is>
      </c>
      <c r="E187" s="38" t="n">
        <v>13</v>
      </c>
      <c r="F187" s="38" t="inlineStr">
        <is>
          <t>Deadly, Fiery, Obsidian, Golden, Heavy, Icy, Mossy, Radiant, Restorative, Shielded, Shiny, Toxic, Turbo</t>
        </is>
      </c>
      <c r="G187" s="38" t="inlineStr">
        <is>
          <t>输出/龙；来源标签 weapon, damagereference</t>
        </is>
      </c>
    </row>
    <row r="188">
      <c r="A188" s="38" t="inlineStr">
        <is>
          <t>pal_187</t>
        </is>
      </c>
      <c r="B188" s="38" t="inlineStr">
        <is>
          <t>雷鹰卫</t>
        </is>
      </c>
      <c r="C188" s="38" t="inlineStr">
        <is>
          <t>bz_van_187</t>
        </is>
      </c>
      <c r="D188" s="38" t="inlineStr">
        <is>
          <t>Deadly</t>
        </is>
      </c>
      <c r="E188" s="38" t="n">
        <v>13</v>
      </c>
      <c r="F188" s="38" t="inlineStr">
        <is>
          <t>Deadly, Fiery, Obsidian, Golden, Heavy, Icy, Mossy, Radiant, Restorative, Shielded, Shiny, Toxic, Turbo</t>
        </is>
      </c>
      <c r="G188" s="38" t="inlineStr">
        <is>
          <t>输出/雷；来源标签 ammo</t>
        </is>
      </c>
    </row>
    <row r="189">
      <c r="A189" s="38" t="inlineStr">
        <is>
          <t>pal_188</t>
        </is>
      </c>
      <c r="B189" s="38" t="inlineStr">
        <is>
          <t>岩獒精</t>
        </is>
      </c>
      <c r="C189" s="38" t="inlineStr">
        <is>
          <t>bz_van_188</t>
        </is>
      </c>
      <c r="D189" s="38" t="inlineStr">
        <is>
          <t>Shielded</t>
        </is>
      </c>
      <c r="E189" s="38" t="n">
        <v>13</v>
      </c>
      <c r="F189" s="38" t="inlineStr">
        <is>
          <t>Shielded, Heavy, Mossy, Deadly, Fiery, Golden, Icy, Obsidian, Radiant, Restorative, Shiny, Toxic, Turbo</t>
        </is>
      </c>
      <c r="G189" s="38" t="inlineStr">
        <is>
          <t>坦克/地；来源标签 shieldreference</t>
        </is>
      </c>
    </row>
    <row r="190">
      <c r="A190" s="38" t="inlineStr">
        <is>
          <t>pal_189</t>
        </is>
      </c>
      <c r="B190" s="38" t="inlineStr">
        <is>
          <t>烬鹿祖</t>
        </is>
      </c>
      <c r="C190" s="38" t="inlineStr">
        <is>
          <t>bz_van_189</t>
        </is>
      </c>
      <c r="D190" s="38" t="inlineStr">
        <is>
          <t>Fiery</t>
        </is>
      </c>
      <c r="E190" s="38" t="n">
        <v>13</v>
      </c>
      <c r="F190" s="38" t="inlineStr">
        <is>
          <t>Fiery, Restorative, Mossy, Radiant, Deadly, Golden, Heavy, Icy, Obsidian, Shielded, Shiny, Toxic, Turbo</t>
        </is>
      </c>
      <c r="G190" s="38" t="inlineStr">
        <is>
          <t>治疗/火、草；来源标签 health, heal</t>
        </is>
      </c>
    </row>
    <row r="191">
      <c r="A191" s="38" t="inlineStr">
        <is>
          <t>pal_190</t>
        </is>
      </c>
      <c r="B191" s="38" t="inlineStr">
        <is>
          <t>潮鹤精</t>
        </is>
      </c>
      <c r="C191" s="38" t="inlineStr">
        <is>
          <t>bz_van_190</t>
        </is>
      </c>
      <c r="D191" s="38" t="inlineStr">
        <is>
          <t>Turbo</t>
        </is>
      </c>
      <c r="E191" s="38" t="n">
        <v>13</v>
      </c>
      <c r="F191" s="38" t="inlineStr">
        <is>
          <t>Turbo, Restorative, Mossy, Radiant, Deadly, Fiery, Golden, Heavy, Icy, Obsidian, Shielded, Shiny, Toxic</t>
        </is>
      </c>
      <c r="G191" s="38" t="inlineStr">
        <is>
          <t>治疗/水、地；来源标签 healreference, haste</t>
        </is>
      </c>
    </row>
    <row r="192">
      <c r="A192" s="38" t="inlineStr">
        <is>
          <t>pal_191</t>
        </is>
      </c>
      <c r="B192" s="38" t="inlineStr">
        <is>
          <t>焰豹将</t>
        </is>
      </c>
      <c r="C192" s="38" t="inlineStr">
        <is>
          <t>bz_van_191</t>
        </is>
      </c>
      <c r="D192" s="38" t="inlineStr">
        <is>
          <t>Fiery</t>
        </is>
      </c>
      <c r="E192" s="38" t="n">
        <v>13</v>
      </c>
      <c r="F192" s="38" t="inlineStr">
        <is>
          <t>Fiery, Deadly, Obsidian, Golden, Heavy, Icy, Mossy, Radiant, Restorative, Shielded, Shiny, Toxic, Turbo</t>
        </is>
      </c>
      <c r="G192" s="38" t="inlineStr">
        <is>
          <t>输出/火、雷；来源标签 burn, ammo</t>
        </is>
      </c>
    </row>
    <row r="193">
      <c r="A193" s="38" t="inlineStr">
        <is>
          <t>pal_192</t>
        </is>
      </c>
      <c r="B193" s="38" t="inlineStr">
        <is>
          <t>赤鼋妖</t>
        </is>
      </c>
      <c r="C193" s="38" t="inlineStr">
        <is>
          <t>bz_van_192</t>
        </is>
      </c>
      <c r="D193" s="38" t="inlineStr">
        <is>
          <t>Fiery</t>
        </is>
      </c>
      <c r="E193" s="38" t="n">
        <v>13</v>
      </c>
      <c r="F193" s="38" t="inlineStr">
        <is>
          <t>Fiery, Heavy, Shielded, Mossy, Deadly, Golden, Icy, Obsidian, Radiant, Restorative, Shiny, Toxic, Turbo</t>
        </is>
      </c>
      <c r="G193" s="38" t="inlineStr">
        <is>
          <t>坦克/火、地；来源标签 weapon, damagereference</t>
        </is>
      </c>
    </row>
    <row r="194">
      <c r="A194" s="38" t="inlineStr">
        <is>
          <t>pal_193</t>
        </is>
      </c>
      <c r="B194" s="38" t="inlineStr">
        <is>
          <t>雷狼卫</t>
        </is>
      </c>
      <c r="C194" s="38" t="inlineStr">
        <is>
          <t>bz_van_193</t>
        </is>
      </c>
      <c r="D194" s="38" t="inlineStr">
        <is>
          <t>Deadly</t>
        </is>
      </c>
      <c r="E194" s="38" t="n">
        <v>13</v>
      </c>
      <c r="F194" s="38" t="inlineStr">
        <is>
          <t>Deadly, Fiery, Obsidian, Golden, Heavy, Icy, Mossy, Radiant, Restorative, Shielded, Shiny, Toxic, Turbo</t>
        </is>
      </c>
      <c r="G194" s="38" t="inlineStr">
        <is>
          <t>输出/雷；来源标签 weapon, crit</t>
        </is>
      </c>
    </row>
    <row r="195">
      <c r="A195" s="38" t="inlineStr">
        <is>
          <t>pal_194</t>
        </is>
      </c>
      <c r="B195" s="38" t="inlineStr">
        <is>
          <t>电虎侯</t>
        </is>
      </c>
      <c r="C195" s="38" t="inlineStr">
        <is>
          <t>bz_van_194</t>
        </is>
      </c>
      <c r="D195" s="38" t="inlineStr">
        <is>
          <t>Deadly</t>
        </is>
      </c>
      <c r="E195" s="38" t="n">
        <v>13</v>
      </c>
      <c r="F195" s="38" t="inlineStr">
        <is>
          <t>Deadly, Fiery, Obsidian, Golden, Heavy, Icy, Mossy, Radiant, Restorative, Shielded, Shiny, Toxic, Turbo</t>
        </is>
      </c>
      <c r="G195" s="38" t="inlineStr">
        <is>
          <t>输出/雷；来源标签 crit</t>
        </is>
      </c>
    </row>
    <row r="196">
      <c r="A196" s="38" t="inlineStr">
        <is>
          <t>pal_195</t>
        </is>
      </c>
      <c r="B196" s="38" t="inlineStr">
        <is>
          <t>燎狼将</t>
        </is>
      </c>
      <c r="C196" s="38" t="inlineStr">
        <is>
          <t>bz_van_195</t>
        </is>
      </c>
      <c r="D196" s="38" t="inlineStr">
        <is>
          <t>Fiery</t>
        </is>
      </c>
      <c r="E196" s="38" t="n">
        <v>13</v>
      </c>
      <c r="F196" s="38" t="inlineStr">
        <is>
          <t>Fiery, Deadly, Obsidian, Golden, Heavy, Icy, Mossy, Radiant, Restorative, Shielded, Shiny, Toxic, Turbo</t>
        </is>
      </c>
      <c r="G196" s="38" t="inlineStr">
        <is>
          <t>输出/火；来源标签 burn</t>
        </is>
      </c>
    </row>
    <row r="197">
      <c r="A197" s="38" t="inlineStr">
        <is>
          <t>pal_196</t>
        </is>
      </c>
      <c r="B197" s="38" t="inlineStr">
        <is>
          <t>凛鳗王</t>
        </is>
      </c>
      <c r="C197" s="38" t="inlineStr">
        <is>
          <t>bz_van_196</t>
        </is>
      </c>
      <c r="D197" s="38" t="inlineStr">
        <is>
          <t>Icy</t>
        </is>
      </c>
      <c r="E197" s="38" t="n">
        <v>13</v>
      </c>
      <c r="F197" s="38" t="inlineStr">
        <is>
          <t>Icy, Toxic, Obsidian, Deadly, Fiery, Golden, Heavy, Mossy, Radiant, Restorative, Shielded, Shiny, Turbo</t>
        </is>
      </c>
      <c r="G197" s="38" t="inlineStr">
        <is>
          <t>控制/冰、雷；来源标签 freezereference, ammo, damagereference</t>
        </is>
      </c>
    </row>
    <row r="198">
      <c r="A198" s="38" t="inlineStr">
        <is>
          <t>pal_197</t>
        </is>
      </c>
      <c r="B198" s="38" t="inlineStr">
        <is>
          <t>寒狐祖</t>
        </is>
      </c>
      <c r="C198" s="38" t="inlineStr">
        <is>
          <t>bz_van_197</t>
        </is>
      </c>
      <c r="D198" s="38" t="inlineStr">
        <is>
          <t>Icy</t>
        </is>
      </c>
      <c r="E198" s="38" t="n">
        <v>13</v>
      </c>
      <c r="F198" s="38" t="inlineStr">
        <is>
          <t>Icy, Toxic, Obsidian, Deadly, Fiery, Golden, Heavy, Mossy, Radiant, Restorative, Shielded, Shiny, Turbo</t>
        </is>
      </c>
      <c r="G198" s="38" t="inlineStr">
        <is>
          <t>控制/冰；来源标签 weapon, damagereference</t>
        </is>
      </c>
    </row>
    <row r="199">
      <c r="A199" s="38" t="inlineStr">
        <is>
          <t>pal_198</t>
        </is>
      </c>
      <c r="B199" s="38" t="inlineStr">
        <is>
          <t>赤虎仔</t>
        </is>
      </c>
      <c r="C199" s="38" t="inlineStr">
        <is>
          <t>bz_van_198</t>
        </is>
      </c>
      <c r="D199" s="38" t="inlineStr">
        <is>
          <t>Fiery</t>
        </is>
      </c>
      <c r="E199" s="38" t="n">
        <v>13</v>
      </c>
      <c r="F199" s="38" t="inlineStr">
        <is>
          <t>Fiery, Deadly, Obsidian, Golden, Heavy, Icy, Mossy, Radiant, Restorative, Shielded, Shiny, Toxic, Turbo</t>
        </is>
      </c>
      <c r="G199" s="38" t="inlineStr">
        <is>
          <t>输出/火；来源标签 burnreference</t>
        </is>
      </c>
    </row>
    <row r="200">
      <c r="A200" s="38" t="inlineStr">
        <is>
          <t>pal_199</t>
        </is>
      </c>
      <c r="B200" s="38" t="inlineStr">
        <is>
          <t>藤貂仔</t>
        </is>
      </c>
      <c r="C200" s="38" t="inlineStr">
        <is>
          <t>bz_van_199</t>
        </is>
      </c>
      <c r="D200" s="38" t="inlineStr">
        <is>
          <t>Toxic</t>
        </is>
      </c>
      <c r="E200" s="38" t="n">
        <v>13</v>
      </c>
      <c r="F200" s="38" t="inlineStr">
        <is>
          <t>Toxic, Icy, Obsidian, Deadly, Fiery, Golden, Heavy, Mossy, Radiant, Restorative, Shielded, Shiny, Turbo</t>
        </is>
      </c>
      <c r="G200" s="38" t="inlineStr">
        <is>
          <t>控制/草；来源标签 poisonreference</t>
        </is>
      </c>
    </row>
    <row r="201">
      <c r="A201" s="38" t="inlineStr">
        <is>
          <t>pal_200</t>
        </is>
      </c>
      <c r="B201" s="38" t="inlineStr">
        <is>
          <t>烬豹侯</t>
        </is>
      </c>
      <c r="C201" s="38" t="inlineStr">
        <is>
          <t>bz_van_200</t>
        </is>
      </c>
      <c r="D201" s="38" t="inlineStr">
        <is>
          <t>Fiery</t>
        </is>
      </c>
      <c r="E201" s="38" t="n">
        <v>13</v>
      </c>
      <c r="F201" s="38" t="inlineStr">
        <is>
          <t>Fiery, Deadly, Obsidian, Golden, Heavy, Icy, Mossy, Radiant, Restorative, Shielded, Shiny, Toxic, Turbo</t>
        </is>
      </c>
      <c r="G201" s="38" t="inlineStr">
        <is>
          <t>输出/火、雷；来源标签 burnreference, critreference</t>
        </is>
      </c>
    </row>
    <row r="202">
      <c r="A202" s="38" t="inlineStr">
        <is>
          <t>pal_201</t>
        </is>
      </c>
      <c r="B202" s="38" t="inlineStr">
        <is>
          <t>潮鸾卫</t>
        </is>
      </c>
      <c r="C202" s="38" t="inlineStr">
        <is>
          <t>bz_van_201</t>
        </is>
      </c>
      <c r="D202" s="38" t="inlineStr">
        <is>
          <t>Restorative</t>
        </is>
      </c>
      <c r="E202" s="38" t="n">
        <v>13</v>
      </c>
      <c r="F202" s="38" t="inlineStr">
        <is>
          <t>Restorative, Mossy, Radiant, Deadly, Fiery, Golden, Heavy, Icy, Obsidian, Shielded, Shiny, Toxic, Turbo</t>
        </is>
      </c>
      <c r="G202" s="38" t="inlineStr">
        <is>
          <t>治疗/水、雷；来源标签 healreference, critreference</t>
        </is>
      </c>
    </row>
    <row r="203">
      <c r="A203" s="38" t="inlineStr">
        <is>
          <t>pal_202</t>
        </is>
      </c>
      <c r="B203" s="38" t="inlineStr">
        <is>
          <t>苔狐侯</t>
        </is>
      </c>
      <c r="C203" s="38" t="inlineStr">
        <is>
          <t>bz_van_202</t>
        </is>
      </c>
      <c r="D203" s="38" t="inlineStr">
        <is>
          <t>Toxic</t>
        </is>
      </c>
      <c r="E203" s="38" t="n">
        <v>13</v>
      </c>
      <c r="F203" s="38" t="inlineStr">
        <is>
          <t>Toxic, Icy, Obsidian, Deadly, Fiery, Golden, Heavy, Mossy, Radiant, Restorative, Shielded, Shiny, Turbo</t>
        </is>
      </c>
      <c r="G203" s="38" t="inlineStr">
        <is>
          <t>控制/草、雷；来源标签 poisonreference, critreference</t>
        </is>
      </c>
    </row>
    <row r="204">
      <c r="A204" s="38" t="inlineStr">
        <is>
          <t>pal_203</t>
        </is>
      </c>
      <c r="B204" s="38" t="inlineStr">
        <is>
          <t>霆熊卫</t>
        </is>
      </c>
      <c r="C204" s="38" t="inlineStr">
        <is>
          <t>bz_van_203</t>
        </is>
      </c>
      <c r="D204" s="38" t="inlineStr">
        <is>
          <t>Shielded</t>
        </is>
      </c>
      <c r="E204" s="38" t="n">
        <v>13</v>
      </c>
      <c r="F204" s="38" t="inlineStr">
        <is>
          <t>Shielded, Heavy, Mossy, Deadly, Fiery, Golden, Icy, Obsidian, Radiant, Restorative, Shiny, Toxic, Turbo</t>
        </is>
      </c>
      <c r="G204" s="38" t="inlineStr">
        <is>
          <t>坦克/雷、地；来源标签 shieldreference, critreference</t>
        </is>
      </c>
    </row>
    <row r="205">
      <c r="A205" s="38" t="inlineStr">
        <is>
          <t>pal_204</t>
        </is>
      </c>
      <c r="B205" s="38" t="inlineStr">
        <is>
          <t>闪鲨将</t>
        </is>
      </c>
      <c r="C205" s="38" t="inlineStr">
        <is>
          <t>bz_van_204</t>
        </is>
      </c>
      <c r="D205" s="38" t="inlineStr">
        <is>
          <t>Deadly</t>
        </is>
      </c>
      <c r="E205" s="38" t="n">
        <v>13</v>
      </c>
      <c r="F205" s="38" t="inlineStr">
        <is>
          <t>Deadly, Fiery, Obsidian, Golden, Heavy, Icy, Mossy, Radiant, Restorative, Shielded, Shiny, Toxic, Turbo</t>
        </is>
      </c>
      <c r="G205" s="38" t="inlineStr">
        <is>
          <t>输出/雷；来源标签 weapon, damagereference, critreference</t>
        </is>
      </c>
    </row>
    <row r="206">
      <c r="A206" s="38" t="inlineStr">
        <is>
          <t>pal_205</t>
        </is>
      </c>
      <c r="B206" s="38" t="inlineStr">
        <is>
          <t>雷隼卫</t>
        </is>
      </c>
      <c r="C206" s="38" t="inlineStr">
        <is>
          <t>bz_van_205</t>
        </is>
      </c>
      <c r="D206" s="38" t="inlineStr">
        <is>
          <t>Deadly</t>
        </is>
      </c>
      <c r="E206" s="38" t="n">
        <v>13</v>
      </c>
      <c r="F206" s="38" t="inlineStr">
        <is>
          <t>Deadly, Fiery, Obsidian, Golden, Heavy, Icy, Mossy, Radiant, Restorative, Shielded, Shiny, Toxic, Turbo</t>
        </is>
      </c>
      <c r="G206" s="38" t="inlineStr">
        <is>
          <t>输出/雷；来源标签 crit</t>
        </is>
      </c>
    </row>
    <row r="207">
      <c r="A207" s="38" t="inlineStr">
        <is>
          <t>pal_206</t>
        </is>
      </c>
      <c r="B207" s="38" t="inlineStr">
        <is>
          <t>霜狐卫</t>
        </is>
      </c>
      <c r="C207" s="38" t="inlineStr">
        <is>
          <t>bz_van_206</t>
        </is>
      </c>
      <c r="D207" s="38" t="inlineStr">
        <is>
          <t>Icy</t>
        </is>
      </c>
      <c r="E207" s="38" t="n">
        <v>13</v>
      </c>
      <c r="F207" s="38" t="inlineStr">
        <is>
          <t>Icy, Toxic, Obsidian, Deadly, Fiery, Golden, Heavy, Mossy, Radiant, Restorative, Shielded, Shiny, Turbo</t>
        </is>
      </c>
      <c r="G207" s="38" t="inlineStr">
        <is>
          <t>控制/冰；来源标签 freeze</t>
        </is>
      </c>
    </row>
    <row r="208">
      <c r="A208" s="38" t="inlineStr">
        <is>
          <t>pal_207</t>
        </is>
      </c>
      <c r="B208" s="38" t="inlineStr">
        <is>
          <t>森蛇童</t>
        </is>
      </c>
      <c r="C208" s="38" t="inlineStr">
        <is>
          <t>bz_van_207</t>
        </is>
      </c>
      <c r="D208" s="38" t="inlineStr">
        <is>
          <t>Toxic</t>
        </is>
      </c>
      <c r="E208" s="38" t="n">
        <v>13</v>
      </c>
      <c r="F208" s="38" t="inlineStr">
        <is>
          <t>Toxic, Icy, Obsidian, Deadly, Fiery, Golden, Heavy, Mossy, Radiant, Restorative, Shielded, Shiny, Turbo</t>
        </is>
      </c>
      <c r="G208" s="38" t="inlineStr">
        <is>
          <t>控制/草；来源标签 poisonreference</t>
        </is>
      </c>
    </row>
    <row r="209">
      <c r="A209" s="38" t="inlineStr">
        <is>
          <t>pal_208</t>
        </is>
      </c>
      <c r="B209" s="38" t="inlineStr">
        <is>
          <t>冰蛙将</t>
        </is>
      </c>
      <c r="C209" s="38" t="inlineStr">
        <is>
          <t>bz_van_208</t>
        </is>
      </c>
      <c r="D209" s="38" t="inlineStr">
        <is>
          <t>Icy</t>
        </is>
      </c>
      <c r="E209" s="38" t="n">
        <v>13</v>
      </c>
      <c r="F209" s="38" t="inlineStr">
        <is>
          <t>Icy, Toxic, Obsidian, Deadly, Fiery, Golden, Heavy, Mossy, Radiant, Restorative, Shielded, Shiny, Turbo</t>
        </is>
      </c>
      <c r="G209" s="38" t="inlineStr">
        <is>
          <t>控制/冰；来源标签 haste, freezereference</t>
        </is>
      </c>
    </row>
    <row r="210">
      <c r="A210" s="38" t="inlineStr">
        <is>
          <t>pal_209</t>
        </is>
      </c>
      <c r="B210" s="38" t="inlineStr">
        <is>
          <t>夜貉精</t>
        </is>
      </c>
      <c r="C210" s="38" t="inlineStr">
        <is>
          <t>bz_van_209</t>
        </is>
      </c>
      <c r="D210" s="38" t="inlineStr">
        <is>
          <t>Golden</t>
        </is>
      </c>
      <c r="E210" s="38" t="n">
        <v>13</v>
      </c>
      <c r="F210" s="38" t="inlineStr">
        <is>
          <t>Golden, Shiny, Radiant, Deadly, Fiery, Heavy, Icy, Mossy, Obsidian, Restorative, Shielded, Toxic, Turbo</t>
        </is>
      </c>
      <c r="G210" s="38" t="inlineStr">
        <is>
          <t>经济/暗；来源标签 weapon, damagereference</t>
        </is>
      </c>
    </row>
    <row r="211">
      <c r="A211" s="38" t="inlineStr">
        <is>
          <t>pal_210</t>
        </is>
      </c>
      <c r="B211" s="38" t="inlineStr">
        <is>
          <t>震豹童</t>
        </is>
      </c>
      <c r="C211" s="38" t="inlineStr">
        <is>
          <t>bz_van_210</t>
        </is>
      </c>
      <c r="D211" s="38" t="inlineStr">
        <is>
          <t>Deadly</t>
        </is>
      </c>
      <c r="E211" s="38" t="n">
        <v>13</v>
      </c>
      <c r="F211" s="38" t="inlineStr">
        <is>
          <t>Deadly, Fiery, Obsidian, Golden, Heavy, Icy, Mossy, Radiant, Restorative, Shielded, Shiny, Toxic, Turbo</t>
        </is>
      </c>
      <c r="G211" s="38" t="inlineStr">
        <is>
          <t>输出/雷；来源标签 crit</t>
        </is>
      </c>
    </row>
    <row r="212">
      <c r="A212" s="38" t="inlineStr">
        <is>
          <t>pal_211</t>
        </is>
      </c>
      <c r="B212" s="38" t="inlineStr">
        <is>
          <t>夜雀皇</t>
        </is>
      </c>
      <c r="C212" s="38" t="inlineStr">
        <is>
          <t>bz_van_211</t>
        </is>
      </c>
      <c r="D212" s="38" t="inlineStr">
        <is>
          <t>Turbo</t>
        </is>
      </c>
      <c r="E212" s="38" t="n">
        <v>13</v>
      </c>
      <c r="F212" s="38" t="inlineStr">
        <is>
          <t>Turbo, Deadly, Shiny, Fiery, Golden, Heavy, Icy, Mossy, Obsidian, Radiant, Restorative, Shielded, Toxic</t>
        </is>
      </c>
      <c r="G212" s="38" t="inlineStr">
        <is>
          <t>机动/暗；来源标签 weapon, cooldown, damagereference</t>
        </is>
      </c>
    </row>
    <row r="213">
      <c r="A213" s="38" t="inlineStr">
        <is>
          <t>pal_212</t>
        </is>
      </c>
      <c r="B213" s="38" t="inlineStr">
        <is>
          <t>沧鹤妖</t>
        </is>
      </c>
      <c r="C213" s="38" t="inlineStr">
        <is>
          <t>bz_van_212</t>
        </is>
      </c>
      <c r="D213" s="38" t="inlineStr">
        <is>
          <t>Restorative</t>
        </is>
      </c>
      <c r="E213" s="38" t="n">
        <v>13</v>
      </c>
      <c r="F213" s="38" t="inlineStr">
        <is>
          <t>Restorative, Mossy, Radiant, Deadly, Fiery, Golden, Heavy, Icy, Obsidian, Shielded, Shiny, Toxic, Turbo</t>
        </is>
      </c>
      <c r="G213" s="38" t="inlineStr">
        <is>
          <t>治疗/水、地；来源标签 health</t>
        </is>
      </c>
    </row>
    <row r="214">
      <c r="A214" s="38" t="inlineStr">
        <is>
          <t>pal_213</t>
        </is>
      </c>
      <c r="B214" s="38" t="inlineStr">
        <is>
          <t>震鹰童</t>
        </is>
      </c>
      <c r="C214" s="38" t="inlineStr">
        <is>
          <t>bz_van_213</t>
        </is>
      </c>
      <c r="D214" s="38" t="inlineStr">
        <is>
          <t>Deadly</t>
        </is>
      </c>
      <c r="E214" s="38" t="n">
        <v>13</v>
      </c>
      <c r="F214" s="38" t="inlineStr">
        <is>
          <t>Deadly, Fiery, Obsidian, Golden, Heavy, Icy, Mossy, Radiant, Restorative, Shielded, Shiny, Toxic, Turbo</t>
        </is>
      </c>
      <c r="G214" s="38" t="inlineStr">
        <is>
          <t>输出/雷；来源标签 crit</t>
        </is>
      </c>
    </row>
    <row r="215">
      <c r="A215" s="38" t="inlineStr">
        <is>
          <t>pal_214</t>
        </is>
      </c>
      <c r="B215" s="38" t="inlineStr">
        <is>
          <t>角鲨兽</t>
        </is>
      </c>
      <c r="C215" s="38" t="inlineStr">
        <is>
          <t>bz_van_214</t>
        </is>
      </c>
      <c r="D215" s="38" t="inlineStr">
        <is>
          <t>Deadly</t>
        </is>
      </c>
      <c r="E215" s="38" t="n">
        <v>13</v>
      </c>
      <c r="F215" s="38" t="inlineStr">
        <is>
          <t>Deadly, Fiery, Obsidian, Golden, Heavy, Icy, Mossy, Radiant, Restorative, Shielded, Shiny, Toxic, Turbo</t>
        </is>
      </c>
      <c r="G215" s="38" t="inlineStr">
        <is>
          <t>输出/龙；来源标签 weapon, damagereference</t>
        </is>
      </c>
    </row>
    <row r="216">
      <c r="A216" s="38" t="inlineStr">
        <is>
          <t>pal_215</t>
        </is>
      </c>
      <c r="B216" s="38" t="inlineStr">
        <is>
          <t>角隼尊</t>
        </is>
      </c>
      <c r="C216" s="38" t="inlineStr">
        <is>
          <t>bz_van_215</t>
        </is>
      </c>
      <c r="D216" s="38" t="inlineStr">
        <is>
          <t>Turbo</t>
        </is>
      </c>
      <c r="E216" s="38" t="n">
        <v>13</v>
      </c>
      <c r="F216" s="38" t="inlineStr">
        <is>
          <t>Turbo, Deadly, Shiny, Fiery, Golden, Heavy, Icy, Mossy, Obsidian, Radiant, Restorative, Shielded, Toxic</t>
        </is>
      </c>
      <c r="G216" s="38" t="inlineStr">
        <is>
          <t>机动/龙；来源标签 haste</t>
        </is>
      </c>
    </row>
    <row r="217">
      <c r="A217" s="38" t="inlineStr">
        <is>
          <t>pal_216</t>
        </is>
      </c>
      <c r="B217" s="38" t="inlineStr">
        <is>
          <t>霆鲭将</t>
        </is>
      </c>
      <c r="C217" s="38" t="inlineStr">
        <is>
          <t>bz_van_216</t>
        </is>
      </c>
      <c r="D217" s="38" t="inlineStr">
        <is>
          <t>Turbo</t>
        </is>
      </c>
      <c r="E217" s="38" t="n">
        <v>13</v>
      </c>
      <c r="F217" s="38" t="inlineStr">
        <is>
          <t>Turbo, Deadly, Shiny, Fiery, Golden, Heavy, Icy, Mossy, Obsidian, Radiant, Restorative, Shielded, Toxic</t>
        </is>
      </c>
      <c r="G217" s="38" t="inlineStr">
        <is>
          <t>机动/雷；来源标签 cooldown</t>
        </is>
      </c>
    </row>
    <row r="218">
      <c r="A218" s="38" t="inlineStr">
        <is>
          <t>pal_217</t>
        </is>
      </c>
      <c r="B218" s="38" t="inlineStr">
        <is>
          <t>震雀将</t>
        </is>
      </c>
      <c r="C218" s="38" t="inlineStr">
        <is>
          <t>bz_van_217</t>
        </is>
      </c>
      <c r="D218" s="38" t="inlineStr">
        <is>
          <t>Golden</t>
        </is>
      </c>
      <c r="E218" s="38" t="n">
        <v>13</v>
      </c>
      <c r="F218" s="38" t="inlineStr">
        <is>
          <t>Golden, Shiny, Radiant, Deadly, Fiery, Heavy, Icy, Mossy, Obsidian, Restorative, Shielded, Toxic, Turbo</t>
        </is>
      </c>
      <c r="G218" s="38" t="inlineStr">
        <is>
          <t>经济/雷；来源标签 weapon, damagereference</t>
        </is>
      </c>
    </row>
    <row r="219">
      <c r="A219" s="38" t="inlineStr">
        <is>
          <t>pal_218</t>
        </is>
      </c>
      <c r="B219" s="38" t="inlineStr">
        <is>
          <t>赤鹤皇</t>
        </is>
      </c>
      <c r="C219" s="38" t="inlineStr">
        <is>
          <t>bz_van_218</t>
        </is>
      </c>
      <c r="D219" s="38" t="inlineStr">
        <is>
          <t>Fiery</t>
        </is>
      </c>
      <c r="E219" s="38" t="n">
        <v>13</v>
      </c>
      <c r="F219" s="38" t="inlineStr">
        <is>
          <t>Fiery, Restorative, Mossy, Radiant, Deadly, Golden, Heavy, Icy, Obsidian, Shielded, Shiny, Toxic, Turbo</t>
        </is>
      </c>
      <c r="G219" s="38" t="inlineStr">
        <is>
          <t>治疗/火、水；来源标签 burnreference, cooldown</t>
        </is>
      </c>
    </row>
    <row r="220">
      <c r="A220" s="38" t="inlineStr">
        <is>
          <t>pal_219</t>
        </is>
      </c>
      <c r="B220" s="38" t="inlineStr">
        <is>
          <t>霆狼妖</t>
        </is>
      </c>
      <c r="C220" s="38" t="inlineStr">
        <is>
          <t>bz_van_219</t>
        </is>
      </c>
      <c r="D220" s="38" t="inlineStr">
        <is>
          <t>Deadly</t>
        </is>
      </c>
      <c r="E220" s="38" t="n">
        <v>13</v>
      </c>
      <c r="F220" s="38" t="inlineStr">
        <is>
          <t>Deadly, Fiery, Obsidian, Golden, Heavy, Icy, Mossy, Radiant, Restorative, Shielded, Shiny, Toxic, Turbo</t>
        </is>
      </c>
      <c r="G220" s="38" t="inlineStr">
        <is>
          <t>输出/雷；来源标签 ammo, damagereference</t>
        </is>
      </c>
    </row>
    <row r="221">
      <c r="A221" s="38" t="inlineStr">
        <is>
          <t>pal_220</t>
        </is>
      </c>
      <c r="B221" s="38" t="inlineStr">
        <is>
          <t>碧雀君</t>
        </is>
      </c>
      <c r="C221" s="38" t="inlineStr">
        <is>
          <t>bz_van_220</t>
        </is>
      </c>
      <c r="D221" s="38" t="inlineStr">
        <is>
          <t>Turbo</t>
        </is>
      </c>
      <c r="E221" s="38" t="n">
        <v>13</v>
      </c>
      <c r="F221" s="38" t="inlineStr">
        <is>
          <t>Turbo, Deadly, Shiny, Fiery, Golden, Heavy, Icy, Mossy, Obsidian, Radiant, Restorative, Shielded, Toxic</t>
        </is>
      </c>
      <c r="G221" s="38" t="inlineStr">
        <is>
          <t>机动/水；来源标签 aquatic</t>
        </is>
      </c>
    </row>
    <row r="222">
      <c r="A222" s="38" t="inlineStr">
        <is>
          <t>pal_221</t>
        </is>
      </c>
      <c r="B222" s="38" t="inlineStr">
        <is>
          <t>霆虎神</t>
        </is>
      </c>
      <c r="C222" s="38" t="inlineStr">
        <is>
          <t>bz_van_221</t>
        </is>
      </c>
      <c r="D222" s="38" t="inlineStr">
        <is>
          <t>Deadly</t>
        </is>
      </c>
      <c r="E222" s="38" t="n">
        <v>13</v>
      </c>
      <c r="F222" s="38" t="inlineStr">
        <is>
          <t>Deadly, Fiery, Obsidian, Golden, Heavy, Icy, Mossy, Radiant, Restorative, Shielded, Shiny, Toxic, Turbo</t>
        </is>
      </c>
      <c r="G222" s="38" t="inlineStr">
        <is>
          <t>输出/雷；来源标签 weapon, ammo, damagereference</t>
        </is>
      </c>
    </row>
    <row r="223">
      <c r="A223" s="38" t="inlineStr">
        <is>
          <t>pal_222</t>
        </is>
      </c>
      <c r="B223" s="38" t="inlineStr">
        <is>
          <t>雷猿王</t>
        </is>
      </c>
      <c r="C223" s="38" t="inlineStr">
        <is>
          <t>bz_van_222</t>
        </is>
      </c>
      <c r="D223" s="38" t="inlineStr">
        <is>
          <t>Turbo</t>
        </is>
      </c>
      <c r="E223" s="38" t="n">
        <v>13</v>
      </c>
      <c r="F223" s="38" t="inlineStr">
        <is>
          <t>Turbo, Deadly, Shiny, Fiery, Golden, Heavy, Icy, Mossy, Obsidian, Radiant, Restorative, Shielded, Toxic</t>
        </is>
      </c>
      <c r="G223" s="38" t="inlineStr">
        <is>
          <t>机动/雷；来源标签 weapon, charge, damagereference</t>
        </is>
      </c>
    </row>
    <row r="224">
      <c r="A224" s="38" t="inlineStr">
        <is>
          <t>pal_223</t>
        </is>
      </c>
      <c r="B224" s="38" t="inlineStr">
        <is>
          <t>燎蚌皇</t>
        </is>
      </c>
      <c r="C224" s="38" t="inlineStr">
        <is>
          <t>bz_van_223</t>
        </is>
      </c>
      <c r="D224" s="38" t="inlineStr">
        <is>
          <t>Fiery</t>
        </is>
      </c>
      <c r="E224" s="38" t="n">
        <v>13</v>
      </c>
      <c r="F224" s="38" t="inlineStr">
        <is>
          <t>Fiery, Restorative, Mossy, Radiant, Deadly, Golden, Heavy, Icy, Obsidian, Shielded, Shiny, Toxic, Turbo</t>
        </is>
      </c>
      <c r="G224" s="38" t="inlineStr">
        <is>
          <t>治疗/火、水；来源标签 regen, burnreference</t>
        </is>
      </c>
    </row>
    <row r="225">
      <c r="A225" s="38" t="inlineStr">
        <is>
          <t>pal_224</t>
        </is>
      </c>
      <c r="B225" s="38" t="inlineStr">
        <is>
          <t>夜蝎卫</t>
        </is>
      </c>
      <c r="C225" s="38" t="inlineStr">
        <is>
          <t>bz_van_224</t>
        </is>
      </c>
      <c r="D225" s="38" t="inlineStr">
        <is>
          <t>Icy</t>
        </is>
      </c>
      <c r="E225" s="38" t="n">
        <v>13</v>
      </c>
      <c r="F225" s="38" t="inlineStr">
        <is>
          <t>Icy, Toxic, Obsidian, Deadly, Fiery, Golden, Heavy, Mossy, Radiant, Restorative, Shielded, Shiny, Turbo</t>
        </is>
      </c>
      <c r="G225" s="38" t="inlineStr">
        <is>
          <t>控制/暗；来源标签 slow</t>
        </is>
      </c>
    </row>
    <row r="226">
      <c r="A226" s="38" t="inlineStr">
        <is>
          <t>pal_225</t>
        </is>
      </c>
      <c r="B226" s="38" t="inlineStr">
        <is>
          <t>星隼精</t>
        </is>
      </c>
      <c r="C226" s="38" t="inlineStr">
        <is>
          <t>bz_van_225</t>
        </is>
      </c>
      <c r="D226" s="38" t="inlineStr">
        <is>
          <t>Deadly</t>
        </is>
      </c>
      <c r="E226" s="38" t="n">
        <v>13</v>
      </c>
      <c r="F226" s="38" t="inlineStr">
        <is>
          <t>Deadly, Fiery, Obsidian, Golden, Heavy, Icy, Mossy, Radiant, Restorative, Shielded, Shiny, Toxic, Turbo</t>
        </is>
      </c>
      <c r="G226" s="38" t="inlineStr">
        <is>
          <t>输出/无；来源标签 weapon, damagereference</t>
        </is>
      </c>
    </row>
    <row r="227">
      <c r="A227" s="38" t="inlineStr">
        <is>
          <t>pal_226</t>
        </is>
      </c>
      <c r="B227" s="38" t="inlineStr">
        <is>
          <t>潮雀妖</t>
        </is>
      </c>
      <c r="C227" s="38" t="inlineStr">
        <is>
          <t>bz_van_226</t>
        </is>
      </c>
      <c r="D227" s="38" t="inlineStr">
        <is>
          <t>Turbo</t>
        </is>
      </c>
      <c r="E227" s="38" t="n">
        <v>13</v>
      </c>
      <c r="F227" s="38" t="inlineStr">
        <is>
          <t>Turbo, Deadly, Shiny, Fiery, Golden, Heavy, Icy, Mossy, Obsidian, Radiant, Restorative, Shielded, Toxic</t>
        </is>
      </c>
      <c r="G227" s="38" t="inlineStr">
        <is>
          <t>机动/水；来源标签 aquatic, haste</t>
        </is>
      </c>
    </row>
    <row r="228">
      <c r="A228" s="38" t="inlineStr">
        <is>
          <t>pal_227</t>
        </is>
      </c>
      <c r="B228" s="38" t="inlineStr">
        <is>
          <t>蛟蛙侯</t>
        </is>
      </c>
      <c r="C228" s="38" t="inlineStr">
        <is>
          <t>bz_van_227</t>
        </is>
      </c>
      <c r="D228" s="38" t="inlineStr">
        <is>
          <t>Icy</t>
        </is>
      </c>
      <c r="E228" s="38" t="n">
        <v>13</v>
      </c>
      <c r="F228" s="38" t="inlineStr">
        <is>
          <t>Icy, Toxic, Obsidian, Deadly, Fiery, Golden, Heavy, Mossy, Radiant, Restorative, Shielded, Shiny, Turbo</t>
        </is>
      </c>
      <c r="G228" s="38" t="inlineStr">
        <is>
          <t>控制/龙；来源标签 vehicle, haste, slowreference</t>
        </is>
      </c>
    </row>
    <row r="229">
      <c r="A229" s="38" t="inlineStr">
        <is>
          <t>pal_228</t>
        </is>
      </c>
      <c r="B229" s="38" t="inlineStr">
        <is>
          <t>凛蝎卫</t>
        </is>
      </c>
      <c r="C229" s="38" t="inlineStr">
        <is>
          <t>bz_van_228</t>
        </is>
      </c>
      <c r="D229" s="38" t="inlineStr">
        <is>
          <t>Icy</t>
        </is>
      </c>
      <c r="E229" s="38" t="n">
        <v>13</v>
      </c>
      <c r="F229" s="38" t="inlineStr">
        <is>
          <t>Icy, Toxic, Obsidian, Deadly, Fiery, Golden, Heavy, Mossy, Radiant, Restorative, Shielded, Shiny, Turbo</t>
        </is>
      </c>
      <c r="G229" s="38" t="inlineStr">
        <is>
          <t>控制/冰、草；来源标签 poisonreference, freeze</t>
        </is>
      </c>
    </row>
    <row r="230">
      <c r="A230" s="38" t="inlineStr">
        <is>
          <t>pal_229</t>
        </is>
      </c>
      <c r="B230" s="38" t="inlineStr">
        <is>
          <t>闪狼侯</t>
        </is>
      </c>
      <c r="C230" s="38" t="inlineStr">
        <is>
          <t>bz_van_229</t>
        </is>
      </c>
      <c r="D230" s="38" t="inlineStr">
        <is>
          <t>Deadly</t>
        </is>
      </c>
      <c r="E230" s="38" t="n">
        <v>13</v>
      </c>
      <c r="F230" s="38" t="inlineStr">
        <is>
          <t>Deadly, Fiery, Obsidian, Golden, Heavy, Icy, Mossy, Radiant, Restorative, Shielded, Shiny, Toxic, Turbo</t>
        </is>
      </c>
      <c r="G230" s="38" t="inlineStr">
        <is>
          <t>输出/雷；来源标签 crit, ammoreference</t>
        </is>
      </c>
    </row>
    <row r="231">
      <c r="A231" s="38" t="inlineStr">
        <is>
          <t>pal_230</t>
        </is>
      </c>
      <c r="B231" s="38" t="inlineStr">
        <is>
          <t>震隼灵</t>
        </is>
      </c>
      <c r="C231" s="38" t="inlineStr">
        <is>
          <t>bz_van_230</t>
        </is>
      </c>
      <c r="D231" s="38" t="inlineStr">
        <is>
          <t>Deadly</t>
        </is>
      </c>
      <c r="E231" s="38" t="n">
        <v>13</v>
      </c>
      <c r="F231" s="38" t="inlineStr">
        <is>
          <t>Deadly, Fiery, Obsidian, Golden, Heavy, Icy, Mossy, Radiant, Restorative, Shielded, Shiny, Toxic, Turbo</t>
        </is>
      </c>
      <c r="G231" s="38" t="inlineStr">
        <is>
          <t>输出/雷；来源标签 crit</t>
        </is>
      </c>
    </row>
    <row r="232">
      <c r="A232" s="38" t="inlineStr">
        <is>
          <t>pal_231</t>
        </is>
      </c>
      <c r="B232" s="38" t="inlineStr">
        <is>
          <t>苔蛛将</t>
        </is>
      </c>
      <c r="C232" s="38" t="inlineStr">
        <is>
          <t>bz_van_231</t>
        </is>
      </c>
      <c r="D232" s="38" t="inlineStr">
        <is>
          <t>Toxic</t>
        </is>
      </c>
      <c r="E232" s="38" t="n">
        <v>13</v>
      </c>
      <c r="F232" s="38" t="inlineStr">
        <is>
          <t>Toxic, Icy, Obsidian, Deadly, Fiery, Golden, Heavy, Mossy, Radiant, Restorative, Shielded, Shiny, Turbo</t>
        </is>
      </c>
      <c r="G232" s="38" t="inlineStr">
        <is>
          <t>控制/草；来源标签 poison</t>
        </is>
      </c>
    </row>
    <row r="233">
      <c r="A233" s="38" t="inlineStr">
        <is>
          <t>pal_232</t>
        </is>
      </c>
      <c r="B233" s="38" t="inlineStr">
        <is>
          <t>汐羊王</t>
        </is>
      </c>
      <c r="C233" s="38" t="inlineStr">
        <is>
          <t>bz_van_232</t>
        </is>
      </c>
      <c r="D233" s="38" t="inlineStr">
        <is>
          <t>Deadly</t>
        </is>
      </c>
      <c r="E233" s="38" t="n">
        <v>13</v>
      </c>
      <c r="F233" s="38" t="inlineStr">
        <is>
          <t>Deadly, Restorative, Mossy, Radiant, Fiery, Golden, Heavy, Icy, Obsidian, Shielded, Shiny, Toxic, Turbo</t>
        </is>
      </c>
      <c r="G233" s="38" t="inlineStr">
        <is>
          <t>治疗/水、雷；来源标签 weapon, lifesteal, crit</t>
        </is>
      </c>
    </row>
    <row r="234">
      <c r="A234" s="38" t="inlineStr">
        <is>
          <t>pal_233</t>
        </is>
      </c>
      <c r="B234" s="38" t="inlineStr">
        <is>
          <t>山象王</t>
        </is>
      </c>
      <c r="C234" s="38" t="inlineStr">
        <is>
          <t>bz_van_233</t>
        </is>
      </c>
      <c r="D234" s="38" t="inlineStr">
        <is>
          <t>Turbo</t>
        </is>
      </c>
      <c r="E234" s="38" t="n">
        <v>13</v>
      </c>
      <c r="F234" s="38" t="inlineStr">
        <is>
          <t>Turbo, Heavy, Shielded, Mossy, Deadly, Fiery, Golden, Icy, Obsidian, Radiant, Restorative, Shiny, Toxic</t>
        </is>
      </c>
      <c r="G234" s="38" t="inlineStr">
        <is>
          <t>坦克/地；来源标签 shieldreference, cooldown</t>
        </is>
      </c>
    </row>
    <row r="235">
      <c r="A235" s="38" t="inlineStr">
        <is>
          <t>pal_234</t>
        </is>
      </c>
      <c r="B235" s="38" t="inlineStr">
        <is>
          <t>寒蟒卫</t>
        </is>
      </c>
      <c r="C235" s="38" t="inlineStr">
        <is>
          <t>bz_van_234</t>
        </is>
      </c>
      <c r="D235" s="38" t="inlineStr">
        <is>
          <t>Icy</t>
        </is>
      </c>
      <c r="E235" s="38" t="n">
        <v>13</v>
      </c>
      <c r="F235" s="38" t="inlineStr">
        <is>
          <t>Icy, Toxic, Obsidian, Deadly, Fiery, Golden, Heavy, Mossy, Radiant, Restorative, Shielded, Shiny, Turbo</t>
        </is>
      </c>
      <c r="G235" s="38" t="inlineStr">
        <is>
          <t>控制/冰；来源标签 hastereference, freeze</t>
        </is>
      </c>
    </row>
    <row r="236">
      <c r="A236" s="38" t="inlineStr">
        <is>
          <t>pal_235</t>
        </is>
      </c>
      <c r="B236" s="38" t="inlineStr">
        <is>
          <t>朱鲭将</t>
        </is>
      </c>
      <c r="C236" s="38" t="inlineStr">
        <is>
          <t>bz_van_235</t>
        </is>
      </c>
      <c r="D236" s="38" t="inlineStr">
        <is>
          <t>Fiery</t>
        </is>
      </c>
      <c r="E236" s="38" t="n">
        <v>13</v>
      </c>
      <c r="F236" s="38" t="inlineStr">
        <is>
          <t>Fiery, Turbo, Deadly, Shiny, Golden, Heavy, Icy, Mossy, Obsidian, Radiant, Restorative, Shielded, Toxic</t>
        </is>
      </c>
      <c r="G236" s="38" t="inlineStr">
        <is>
          <t>机动/火；来源标签 burnreference, haste</t>
        </is>
      </c>
    </row>
    <row r="237">
      <c r="A237" s="38" t="inlineStr">
        <is>
          <t>pal_236</t>
        </is>
      </c>
      <c r="B237" s="38" t="inlineStr">
        <is>
          <t>寒鹰祖</t>
        </is>
      </c>
      <c r="C237" s="38" t="inlineStr">
        <is>
          <t>bz_van_236</t>
        </is>
      </c>
      <c r="D237" s="38" t="inlineStr">
        <is>
          <t>Shiny</t>
        </is>
      </c>
      <c r="E237" s="38" t="n">
        <v>13</v>
      </c>
      <c r="F237" s="38" t="inlineStr">
        <is>
          <t>Shiny, Deadly, Fiery, Obsidian, Golden, Heavy, Icy, Mossy, Radiant, Restorative, Shielded, Toxic, Turbo</t>
        </is>
      </c>
      <c r="G237" s="38" t="inlineStr">
        <is>
          <t>输出/冰；来源标签 tool</t>
        </is>
      </c>
    </row>
    <row r="238">
      <c r="A238" s="38" t="inlineStr">
        <is>
          <t>pal_237</t>
        </is>
      </c>
      <c r="B238" s="38" t="inlineStr">
        <is>
          <t>寒蝎尊</t>
        </is>
      </c>
      <c r="C238" s="38" t="inlineStr">
        <is>
          <t>bz_van_237</t>
        </is>
      </c>
      <c r="D238" s="38" t="inlineStr">
        <is>
          <t>Icy</t>
        </is>
      </c>
      <c r="E238" s="38" t="n">
        <v>13</v>
      </c>
      <c r="F238" s="38" t="inlineStr">
        <is>
          <t>Icy, Toxic, Obsidian, Deadly, Fiery, Golden, Heavy, Mossy, Radiant, Restorative, Shielded, Shiny, Turbo</t>
        </is>
      </c>
      <c r="G238" s="38" t="inlineStr">
        <is>
          <t>控制/冰、雷；来源标签 freezereference, crit</t>
        </is>
      </c>
    </row>
    <row r="239">
      <c r="A239" s="38" t="inlineStr">
        <is>
          <t>pal_238</t>
        </is>
      </c>
      <c r="B239" s="38" t="inlineStr">
        <is>
          <t>石甲兽</t>
        </is>
      </c>
      <c r="C239" s="38" t="inlineStr">
        <is>
          <t>bz_van_238</t>
        </is>
      </c>
      <c r="D239" s="38" t="inlineStr">
        <is>
          <t>Shielded</t>
        </is>
      </c>
      <c r="E239" s="38" t="n">
        <v>13</v>
      </c>
      <c r="F239" s="38" t="inlineStr">
        <is>
          <t>Shielded, Heavy, Mossy, Deadly, Fiery, Golden, Icy, Obsidian, Radiant, Restorative, Shiny, Toxic, Turbo</t>
        </is>
      </c>
      <c r="G239" s="38" t="inlineStr">
        <is>
          <t>坦克/地；来源标签 shieldreference</t>
        </is>
      </c>
    </row>
    <row r="240">
      <c r="A240" s="38" t="inlineStr">
        <is>
          <t>pal_239</t>
        </is>
      </c>
      <c r="B240" s="38" t="inlineStr">
        <is>
          <t>沧鹤神</t>
        </is>
      </c>
      <c r="C240" s="38" t="inlineStr">
        <is>
          <t>bz_van_239</t>
        </is>
      </c>
      <c r="D240" s="38" t="inlineStr">
        <is>
          <t>Turbo</t>
        </is>
      </c>
      <c r="E240" s="38" t="n">
        <v>13</v>
      </c>
      <c r="F240" s="38" t="inlineStr">
        <is>
          <t>Turbo, Restorative, Mossy, Radiant, Deadly, Fiery, Golden, Heavy, Icy, Obsidian, Shielded, Shiny, Toxic</t>
        </is>
      </c>
      <c r="G240" s="38" t="inlineStr">
        <is>
          <t>治疗/水、地；来源标签 cooldown</t>
        </is>
      </c>
    </row>
    <row r="241">
      <c r="A241" s="38" t="inlineStr">
        <is>
          <t>pal_240</t>
        </is>
      </c>
      <c r="B241" s="38" t="inlineStr">
        <is>
          <t>碧蚌将</t>
        </is>
      </c>
      <c r="C241" s="38" t="inlineStr">
        <is>
          <t>bz_van_240</t>
        </is>
      </c>
      <c r="D241" s="38" t="inlineStr">
        <is>
          <t>Mossy</t>
        </is>
      </c>
      <c r="E241" s="38" t="n">
        <v>13</v>
      </c>
      <c r="F241" s="38" t="inlineStr">
        <is>
          <t>Mossy, Restorative, Radiant, Deadly, Fiery, Golden, Heavy, Icy, Obsidian, Shielded, Shiny, Toxic, Turbo</t>
        </is>
      </c>
      <c r="G241" s="38" t="inlineStr">
        <is>
          <t>治疗/水；来源标签 regen</t>
        </is>
      </c>
    </row>
    <row r="242">
      <c r="A242" s="38" t="inlineStr">
        <is>
          <t>pal_241</t>
        </is>
      </c>
      <c r="B242" s="38" t="inlineStr">
        <is>
          <t>墨蝎王</t>
        </is>
      </c>
      <c r="C242" s="38" t="inlineStr">
        <is>
          <t>bz_van_241</t>
        </is>
      </c>
      <c r="D242" s="38" t="inlineStr">
        <is>
          <t>Obsidian</t>
        </is>
      </c>
      <c r="E242" s="38" t="n">
        <v>13</v>
      </c>
      <c r="F242" s="38" t="inlineStr">
        <is>
          <t>Obsidian, Icy, Toxic, Deadly, Fiery, Golden, Heavy, Mossy, Radiant, Restorative, Shielded, Shiny, Turbo</t>
        </is>
      </c>
      <c r="G242" s="38" t="inlineStr">
        <is>
          <t>控制/暗；来源标签 无</t>
        </is>
      </c>
    </row>
    <row r="243">
      <c r="A243" s="38" t="inlineStr">
        <is>
          <t>pal_242</t>
        </is>
      </c>
      <c r="B243" s="38" t="inlineStr">
        <is>
          <t>鸣螳仔</t>
        </is>
      </c>
      <c r="C243" s="38" t="inlineStr">
        <is>
          <t>bz_van_242</t>
        </is>
      </c>
      <c r="D243" s="38" t="inlineStr">
        <is>
          <t>Deadly</t>
        </is>
      </c>
      <c r="E243" s="38" t="n">
        <v>13</v>
      </c>
      <c r="F243" s="38" t="inlineStr">
        <is>
          <t>Deadly, Fiery, Obsidian, Golden, Heavy, Icy, Mossy, Radiant, Restorative, Shielded, Shiny, Toxic, Turbo</t>
        </is>
      </c>
      <c r="G243" s="38" t="inlineStr">
        <is>
          <t>输出/雷；来源标签 crit</t>
        </is>
      </c>
    </row>
    <row r="244">
      <c r="A244" s="38" t="inlineStr">
        <is>
          <t>pal_243</t>
        </is>
      </c>
      <c r="B244" s="38" t="inlineStr">
        <is>
          <t>岩豹兽</t>
        </is>
      </c>
      <c r="C244" s="38" t="inlineStr">
        <is>
          <t>bz_van_243</t>
        </is>
      </c>
      <c r="D244" s="38" t="inlineStr">
        <is>
          <t>Deadly</t>
        </is>
      </c>
      <c r="E244" s="38" t="n">
        <v>13</v>
      </c>
      <c r="F244" s="38" t="inlineStr">
        <is>
          <t>Deadly, Fiery, Obsidian, Golden, Heavy, Icy, Mossy, Radiant, Restorative, Shielded, Shiny, Toxic, Turbo</t>
        </is>
      </c>
      <c r="G244" s="38" t="inlineStr">
        <is>
          <t>输出/地；来源标签 weapon, damagereference</t>
        </is>
      </c>
    </row>
    <row r="245">
      <c r="A245" s="38" t="inlineStr">
        <is>
          <t>pal_244</t>
        </is>
      </c>
      <c r="B245" s="38" t="inlineStr">
        <is>
          <t>雷蛛妖</t>
        </is>
      </c>
      <c r="C245" s="38" t="inlineStr">
        <is>
          <t>bz_van_244</t>
        </is>
      </c>
      <c r="D245" s="38" t="inlineStr">
        <is>
          <t>Icy</t>
        </is>
      </c>
      <c r="E245" s="38" t="n">
        <v>13</v>
      </c>
      <c r="F245" s="38" t="inlineStr">
        <is>
          <t>Icy, Toxic, Obsidian, Deadly, Fiery, Golden, Heavy, Mossy, Radiant, Restorative, Shielded, Shiny, Turbo</t>
        </is>
      </c>
      <c r="G245" s="38" t="inlineStr">
        <is>
          <t>控制/雷；来源标签 slowreference, charge</t>
        </is>
      </c>
    </row>
    <row r="246">
      <c r="A246" s="38" t="inlineStr">
        <is>
          <t>pal_245</t>
        </is>
      </c>
      <c r="B246" s="38" t="inlineStr">
        <is>
          <t>角蛙君</t>
        </is>
      </c>
      <c r="C246" s="38" t="inlineStr">
        <is>
          <t>bz_van_245</t>
        </is>
      </c>
      <c r="D246" s="38" t="inlineStr">
        <is>
          <t>Icy</t>
        </is>
      </c>
      <c r="E246" s="38" t="n">
        <v>13</v>
      </c>
      <c r="F246" s="38" t="inlineStr">
        <is>
          <t>Icy, Toxic, Obsidian, Deadly, Fiery, Golden, Heavy, Mossy, Radiant, Restorative, Shielded, Shiny, Turbo</t>
        </is>
      </c>
      <c r="G246" s="38" t="inlineStr">
        <is>
          <t>控制/龙；来源标签 tool, slow</t>
        </is>
      </c>
    </row>
    <row r="247">
      <c r="A247" s="38" t="inlineStr">
        <is>
          <t>pal_246</t>
        </is>
      </c>
      <c r="B247" s="38" t="inlineStr">
        <is>
          <t>燎隼精</t>
        </is>
      </c>
      <c r="C247" s="38" t="inlineStr">
        <is>
          <t>bz_van_246</t>
        </is>
      </c>
      <c r="D247" s="38" t="inlineStr">
        <is>
          <t>Fiery</t>
        </is>
      </c>
      <c r="E247" s="38" t="n">
        <v>13</v>
      </c>
      <c r="F247" s="38" t="inlineStr">
        <is>
          <t>Fiery, Turbo, Deadly, Shiny, Golden, Heavy, Icy, Mossy, Obsidian, Radiant, Restorative, Shielded, Toxic</t>
        </is>
      </c>
      <c r="G247" s="38" t="inlineStr">
        <is>
          <t>机动/火；来源标签 burnreference, hastereference</t>
        </is>
      </c>
    </row>
    <row r="248">
      <c r="A248" s="38" t="inlineStr">
        <is>
          <t>pal_247</t>
        </is>
      </c>
      <c r="B248" s="38" t="inlineStr">
        <is>
          <t>潮羊卫</t>
        </is>
      </c>
      <c r="C248" s="38" t="inlineStr">
        <is>
          <t>bz_van_247</t>
        </is>
      </c>
      <c r="D248" s="38" t="inlineStr">
        <is>
          <t>Restorative</t>
        </is>
      </c>
      <c r="E248" s="38" t="n">
        <v>13</v>
      </c>
      <c r="F248" s="38" t="inlineStr">
        <is>
          <t>Restorative, Mossy, Radiant, Deadly, Fiery, Golden, Heavy, Icy, Obsidian, Shielded, Shiny, Toxic, Turbo</t>
        </is>
      </c>
      <c r="G248" s="38" t="inlineStr">
        <is>
          <t>治疗/水、地；来源标签 heal, healthreference</t>
        </is>
      </c>
    </row>
    <row r="249">
      <c r="A249" s="38" t="inlineStr">
        <is>
          <t>pal_248</t>
        </is>
      </c>
      <c r="B249" s="38" t="inlineStr">
        <is>
          <t>岳熊精</t>
        </is>
      </c>
      <c r="C249" s="38" t="inlineStr">
        <is>
          <t>bz_van_248</t>
        </is>
      </c>
      <c r="D249" s="38" t="inlineStr">
        <is>
          <t>Shielded</t>
        </is>
      </c>
      <c r="E249" s="38" t="n">
        <v>13</v>
      </c>
      <c r="F249" s="38" t="inlineStr">
        <is>
          <t>Shielded, Heavy, Mossy, Deadly, Fiery, Golden, Icy, Obsidian, Radiant, Restorative, Shiny, Toxic, Turbo</t>
        </is>
      </c>
      <c r="G249" s="38" t="inlineStr">
        <is>
          <t>坦克/地；来源标签 weapon, shieldreference, damagereference</t>
        </is>
      </c>
    </row>
    <row r="250">
      <c r="A250" s="38" t="inlineStr">
        <is>
          <t>pal_249</t>
        </is>
      </c>
      <c r="B250" s="38" t="inlineStr">
        <is>
          <t>霆鲨皇</t>
        </is>
      </c>
      <c r="C250" s="38" t="inlineStr">
        <is>
          <t>bz_van_249</t>
        </is>
      </c>
      <c r="D250" s="38" t="inlineStr">
        <is>
          <t>Deadly</t>
        </is>
      </c>
      <c r="E250" s="38" t="n">
        <v>13</v>
      </c>
      <c r="F250" s="38" t="inlineStr">
        <is>
          <t>Deadly, Fiery, Obsidian, Golden, Heavy, Icy, Mossy, Radiant, Restorative, Shielded, Shiny, Toxic, Turbo</t>
        </is>
      </c>
      <c r="G250" s="38" t="inlineStr">
        <is>
          <t>输出/雷；来源标签 weapon, damagereference, crit</t>
        </is>
      </c>
    </row>
    <row r="251">
      <c r="A251" s="38" t="inlineStr">
        <is>
          <t>pal_250</t>
        </is>
      </c>
      <c r="B251" s="38" t="inlineStr">
        <is>
          <t>霜貂卫</t>
        </is>
      </c>
      <c r="C251" s="38" t="inlineStr">
        <is>
          <t>bz_van_250</t>
        </is>
      </c>
      <c r="D251" s="38" t="inlineStr">
        <is>
          <t>Icy</t>
        </is>
      </c>
      <c r="E251" s="38" t="n">
        <v>13</v>
      </c>
      <c r="F251" s="38" t="inlineStr">
        <is>
          <t>Icy, Toxic, Obsidian, Deadly, Fiery, Golden, Heavy, Mossy, Radiant, Restorative, Shielded, Shiny, Turbo</t>
        </is>
      </c>
      <c r="G251" s="38" t="inlineStr">
        <is>
          <t>控制/冰；来源标签 weapon, freezereference, damagereference</t>
        </is>
      </c>
    </row>
    <row r="252">
      <c r="A252" s="38" t="inlineStr">
        <is>
          <t>pal_251</t>
        </is>
      </c>
      <c r="B252" s="38" t="inlineStr">
        <is>
          <t>霆牦王</t>
        </is>
      </c>
      <c r="C252" s="38" t="inlineStr">
        <is>
          <t>bz_van_251</t>
        </is>
      </c>
      <c r="D252" s="38" t="inlineStr">
        <is>
          <t>Turbo</t>
        </is>
      </c>
      <c r="E252" s="38" t="n">
        <v>13</v>
      </c>
      <c r="F252" s="38" t="inlineStr">
        <is>
          <t>Turbo, Heavy, Shielded, Mossy, Deadly, Fiery, Golden, Icy, Obsidian, Radiant, Restorative, Shiny, Toxic</t>
        </is>
      </c>
      <c r="G252" s="38" t="inlineStr">
        <is>
          <t>坦克/雷、地；来源标签 weapon, charge, damagereference</t>
        </is>
      </c>
    </row>
    <row r="253">
      <c r="A253" s="38" t="inlineStr">
        <is>
          <t>pal_252</t>
        </is>
      </c>
      <c r="B253" s="38" t="inlineStr">
        <is>
          <t>炎蛛尊</t>
        </is>
      </c>
      <c r="C253" s="38" t="inlineStr">
        <is>
          <t>bz_van_252</t>
        </is>
      </c>
      <c r="D253" s="38" t="inlineStr">
        <is>
          <t>Fiery</t>
        </is>
      </c>
      <c r="E253" s="38" t="n">
        <v>13</v>
      </c>
      <c r="F253" s="38" t="inlineStr">
        <is>
          <t>Fiery, Icy, Toxic, Obsidian, Deadly, Golden, Heavy, Mossy, Radiant, Restorative, Shielded, Shiny, Turbo</t>
        </is>
      </c>
      <c r="G253" s="38" t="inlineStr">
        <is>
          <t>控制/火、草；来源标签 charge, poisonreference, burnreference</t>
        </is>
      </c>
    </row>
    <row r="254">
      <c r="A254" s="38" t="inlineStr">
        <is>
          <t>pal_253</t>
        </is>
      </c>
      <c r="B254" s="38" t="inlineStr">
        <is>
          <t>炎鳗精</t>
        </is>
      </c>
      <c r="C254" s="38" t="inlineStr">
        <is>
          <t>bz_van_253</t>
        </is>
      </c>
      <c r="D254" s="38" t="inlineStr">
        <is>
          <t>Icy</t>
        </is>
      </c>
      <c r="E254" s="38" t="n">
        <v>13</v>
      </c>
      <c r="F254" s="38" t="inlineStr">
        <is>
          <t>Icy, Toxic, Obsidian, Deadly, Fiery, Golden, Heavy, Mossy, Radiant, Restorative, Shielded, Shiny, Turbo</t>
        </is>
      </c>
      <c r="G254" s="38" t="inlineStr">
        <is>
          <t>控制/火；来源标签 weapon, damagereference, slowreference</t>
        </is>
      </c>
    </row>
    <row r="255">
      <c r="A255" s="38" t="inlineStr">
        <is>
          <t>pal_254</t>
        </is>
      </c>
      <c r="B255" s="38" t="inlineStr">
        <is>
          <t>赤蟒王</t>
        </is>
      </c>
      <c r="C255" s="38" t="inlineStr">
        <is>
          <t>bz_van_254</t>
        </is>
      </c>
      <c r="D255" s="38" t="inlineStr">
        <is>
          <t>Fiery</t>
        </is>
      </c>
      <c r="E255" s="38" t="n">
        <v>13</v>
      </c>
      <c r="F255" s="38" t="inlineStr">
        <is>
          <t>Fiery, Icy, Toxic, Obsidian, Deadly, Golden, Heavy, Mossy, Radiant, Restorative, Shielded, Shiny, Turbo</t>
        </is>
      </c>
      <c r="G255" s="38" t="inlineStr">
        <is>
          <t>控制/火、雷；来源标签 charge, burnreference, slowreference</t>
        </is>
      </c>
    </row>
    <row r="256">
      <c r="A256" s="38" t="inlineStr">
        <is>
          <t>pal_255</t>
        </is>
      </c>
      <c r="B256" s="38" t="inlineStr">
        <is>
          <t>电蟒精</t>
        </is>
      </c>
      <c r="C256" s="38" t="inlineStr">
        <is>
          <t>bz_van_255</t>
        </is>
      </c>
      <c r="D256" s="38" t="inlineStr">
        <is>
          <t>Icy</t>
        </is>
      </c>
      <c r="E256" s="38" t="n">
        <v>13</v>
      </c>
      <c r="F256" s="38" t="inlineStr">
        <is>
          <t>Icy, Toxic, Obsidian, Deadly, Fiery, Golden, Heavy, Mossy, Radiant, Restorative, Shielded, Shiny, Turbo</t>
        </is>
      </c>
      <c r="G256" s="38" t="inlineStr">
        <is>
          <t>控制/雷；来源标签 slowreference, crit</t>
        </is>
      </c>
    </row>
    <row r="257">
      <c r="A257" s="38" t="inlineStr">
        <is>
          <t>pal_256</t>
        </is>
      </c>
      <c r="B257" s="38" t="inlineStr">
        <is>
          <t>震隼将</t>
        </is>
      </c>
      <c r="C257" s="38" t="inlineStr">
        <is>
          <t>bz_van_256</t>
        </is>
      </c>
      <c r="D257" s="38" t="inlineStr">
        <is>
          <t>Turbo</t>
        </is>
      </c>
      <c r="E257" s="38" t="n">
        <v>13</v>
      </c>
      <c r="F257" s="38" t="inlineStr">
        <is>
          <t>Turbo, Deadly, Shiny, Fiery, Golden, Heavy, Icy, Mossy, Obsidian, Radiant, Restorative, Shielded, Toxic</t>
        </is>
      </c>
      <c r="G257" s="38" t="inlineStr">
        <is>
          <t>机动/雷；来源标签 hastereference, crit</t>
        </is>
      </c>
    </row>
    <row r="258">
      <c r="A258" s="38" t="inlineStr">
        <is>
          <t>pal_257</t>
        </is>
      </c>
      <c r="B258" s="38" t="inlineStr">
        <is>
          <t>翠隼将</t>
        </is>
      </c>
      <c r="C258" s="38" t="inlineStr">
        <is>
          <t>bz_van_257</t>
        </is>
      </c>
      <c r="D258" s="38" t="inlineStr">
        <is>
          <t>Deadly</t>
        </is>
      </c>
      <c r="E258" s="38" t="n">
        <v>13</v>
      </c>
      <c r="F258" s="38" t="inlineStr">
        <is>
          <t>Deadly, Fiery, Obsidian, Golden, Heavy, Icy, Mossy, Radiant, Restorative, Shielded, Shiny, Toxic, Turbo</t>
        </is>
      </c>
      <c r="G258" s="38" t="inlineStr">
        <is>
          <t>输出/草；来源标签 weapon, damagereference</t>
        </is>
      </c>
    </row>
    <row r="259">
      <c r="A259" s="38" t="inlineStr">
        <is>
          <t>pal_258</t>
        </is>
      </c>
      <c r="B259" s="38" t="inlineStr">
        <is>
          <t>汐蝶精</t>
        </is>
      </c>
      <c r="C259" s="38" t="inlineStr">
        <is>
          <t>bz_van_258</t>
        </is>
      </c>
      <c r="D259" s="38" t="inlineStr">
        <is>
          <t>Icy</t>
        </is>
      </c>
      <c r="E259" s="38" t="n">
        <v>13</v>
      </c>
      <c r="F259" s="38" t="inlineStr">
        <is>
          <t>Icy, Restorative, Mossy, Radiant, Deadly, Fiery, Golden, Heavy, Obsidian, Shielded, Shiny, Toxic, Turbo</t>
        </is>
      </c>
      <c r="G259" s="38" t="inlineStr">
        <is>
          <t>治疗/水、地；来源标签 slow</t>
        </is>
      </c>
    </row>
    <row r="260">
      <c r="A260" s="38" t="inlineStr">
        <is>
          <t>pal_259</t>
        </is>
      </c>
      <c r="B260" s="38" t="inlineStr">
        <is>
          <t>朱雀妖</t>
        </is>
      </c>
      <c r="C260" s="38" t="inlineStr">
        <is>
          <t>bz_van_259</t>
        </is>
      </c>
      <c r="D260" s="38" t="inlineStr">
        <is>
          <t>Turbo</t>
        </is>
      </c>
      <c r="E260" s="38" t="n">
        <v>13</v>
      </c>
      <c r="F260" s="38" t="inlineStr">
        <is>
          <t>Turbo, Deadly, Shiny, Fiery, Golden, Heavy, Icy, Mossy, Obsidian, Radiant, Restorative, Shielded, Toxic</t>
        </is>
      </c>
      <c r="G260" s="38" t="inlineStr">
        <is>
          <t>机动/火；来源标签 weapon, damagereference, hastereference</t>
        </is>
      </c>
    </row>
    <row r="261">
      <c r="A261" s="38" t="inlineStr">
        <is>
          <t>pal_260</t>
        </is>
      </c>
      <c r="B261" s="38" t="inlineStr">
        <is>
          <t>云隼兽</t>
        </is>
      </c>
      <c r="C261" s="38" t="inlineStr">
        <is>
          <t>bz_van_260</t>
        </is>
      </c>
      <c r="D261" s="38" t="inlineStr">
        <is>
          <t>Deadly</t>
        </is>
      </c>
      <c r="E261" s="38" t="n">
        <v>13</v>
      </c>
      <c r="F261" s="38" t="inlineStr">
        <is>
          <t>Deadly, Fiery, Obsidian, Golden, Heavy, Icy, Mossy, Radiant, Restorative, Shielded, Shiny, Toxic, Turbo</t>
        </is>
      </c>
      <c r="G261" s="38" t="inlineStr">
        <is>
          <t>输出/无；来源标签 weapon, damagereference</t>
        </is>
      </c>
    </row>
    <row r="262">
      <c r="A262" s="38" t="inlineStr">
        <is>
          <t>pal_261</t>
        </is>
      </c>
      <c r="B262" s="38" t="inlineStr">
        <is>
          <t>寒貂卫</t>
        </is>
      </c>
      <c r="C262" s="38" t="inlineStr">
        <is>
          <t>bz_van_261</t>
        </is>
      </c>
      <c r="D262" s="38" t="inlineStr">
        <is>
          <t>Icy</t>
        </is>
      </c>
      <c r="E262" s="38" t="n">
        <v>13</v>
      </c>
      <c r="F262" s="38" t="inlineStr">
        <is>
          <t>Icy, Toxic, Obsidian, Deadly, Fiery, Golden, Heavy, Mossy, Radiant, Restorative, Shielded, Shiny, Turbo</t>
        </is>
      </c>
      <c r="G262" s="38" t="inlineStr">
        <is>
          <t>控制/冰、雷；来源标签 critreference, freeze</t>
        </is>
      </c>
    </row>
    <row r="263">
      <c r="A263" s="38" t="inlineStr">
        <is>
          <t>pal_262</t>
        </is>
      </c>
      <c r="B263" s="38" t="inlineStr">
        <is>
          <t>澜象将</t>
        </is>
      </c>
      <c r="C263" s="38" t="inlineStr">
        <is>
          <t>bz_van_262</t>
        </is>
      </c>
      <c r="D263" s="38" t="inlineStr">
        <is>
          <t>Shielded</t>
        </is>
      </c>
      <c r="E263" s="38" t="n">
        <v>13</v>
      </c>
      <c r="F263" s="38" t="inlineStr">
        <is>
          <t>Shielded, Heavy, Mossy, Deadly, Fiery, Golden, Icy, Obsidian, Radiant, Restorative, Shiny, Toxic, Turbo</t>
        </is>
      </c>
      <c r="G263" s="38" t="inlineStr">
        <is>
          <t>坦克/水、地；来源标签 weapon, aquatic, damagereference, shieldreference</t>
        </is>
      </c>
    </row>
    <row r="264">
      <c r="A264" s="38" t="inlineStr">
        <is>
          <t>pal_263</t>
        </is>
      </c>
      <c r="B264" s="38" t="inlineStr">
        <is>
          <t>沙鹰仔</t>
        </is>
      </c>
      <c r="C264" s="38" t="inlineStr">
        <is>
          <t>bz_van_263</t>
        </is>
      </c>
      <c r="D264" s="38" t="inlineStr">
        <is>
          <t>Heavy</t>
        </is>
      </c>
      <c r="E264" s="38" t="n">
        <v>13</v>
      </c>
      <c r="F264" s="38" t="inlineStr">
        <is>
          <t>Heavy, Deadly, Fiery, Obsidian, Golden, Icy, Mossy, Radiant, Restorative, Shielded, Shiny, Toxic, Turbo</t>
        </is>
      </c>
      <c r="G264" s="38" t="inlineStr">
        <is>
          <t>输出/地；来源标签 无</t>
        </is>
      </c>
    </row>
    <row r="265">
      <c r="A265" s="38" t="inlineStr">
        <is>
          <t>pal_264</t>
        </is>
      </c>
      <c r="B265" s="38" t="inlineStr">
        <is>
          <t>蛟鲨精</t>
        </is>
      </c>
      <c r="C265" s="38" t="inlineStr">
        <is>
          <t>bz_van_264</t>
        </is>
      </c>
      <c r="D265" s="38" t="inlineStr">
        <is>
          <t>Deadly</t>
        </is>
      </c>
      <c r="E265" s="38" t="n">
        <v>13</v>
      </c>
      <c r="F265" s="38" t="inlineStr">
        <is>
          <t>Deadly, Fiery, Obsidian, Golden, Heavy, Icy, Mossy, Radiant, Restorative, Shielded, Shiny, Toxic, Turbo</t>
        </is>
      </c>
      <c r="G265" s="38" t="inlineStr">
        <is>
          <t>输出/龙；来源标签 weapon, damagereference</t>
        </is>
      </c>
    </row>
    <row r="266">
      <c r="A266" s="38" t="inlineStr">
        <is>
          <t>pal_265</t>
        </is>
      </c>
      <c r="B266" s="38" t="inlineStr">
        <is>
          <t>电狐王</t>
        </is>
      </c>
      <c r="C266" s="38" t="inlineStr">
        <is>
          <t>bz_van_265</t>
        </is>
      </c>
      <c r="D266" s="38" t="inlineStr">
        <is>
          <t>Icy</t>
        </is>
      </c>
      <c r="E266" s="38" t="n">
        <v>13</v>
      </c>
      <c r="F266" s="38" t="inlineStr">
        <is>
          <t>Icy, Toxic, Obsidian, Deadly, Fiery, Golden, Heavy, Mossy, Radiant, Restorative, Shielded, Shiny, Turbo</t>
        </is>
      </c>
      <c r="G266" s="38" t="inlineStr">
        <is>
          <t>控制/雷；来源标签 weapon, slowreference, charge</t>
        </is>
      </c>
    </row>
    <row r="267">
      <c r="A267" s="38" t="inlineStr">
        <is>
          <t>pal_266</t>
        </is>
      </c>
      <c r="B267" s="38" t="inlineStr">
        <is>
          <t>沧狮将</t>
        </is>
      </c>
      <c r="C267" s="38" t="inlineStr">
        <is>
          <t>bz_van_266</t>
        </is>
      </c>
      <c r="D267" s="38" t="inlineStr">
        <is>
          <t>Deadly</t>
        </is>
      </c>
      <c r="E267" s="38" t="n">
        <v>13</v>
      </c>
      <c r="F267" s="38" t="inlineStr">
        <is>
          <t>Deadly, Fiery, Obsidian, Golden, Heavy, Icy, Mossy, Radiant, Restorative, Shielded, Shiny, Toxic, Turbo</t>
        </is>
      </c>
      <c r="G267" s="38" t="inlineStr">
        <is>
          <t>输出/水；来源标签 weapon, damagereference</t>
        </is>
      </c>
    </row>
    <row r="268">
      <c r="A268" s="38" t="inlineStr">
        <is>
          <t>pal_267</t>
        </is>
      </c>
      <c r="B268" s="38" t="inlineStr">
        <is>
          <t>炎鲭侯</t>
        </is>
      </c>
      <c r="C268" s="38" t="inlineStr">
        <is>
          <t>bz_van_267</t>
        </is>
      </c>
      <c r="D268" s="38" t="inlineStr">
        <is>
          <t>Turbo</t>
        </is>
      </c>
      <c r="E268" s="38" t="n">
        <v>13</v>
      </c>
      <c r="F268" s="38" t="inlineStr">
        <is>
          <t>Turbo, Deadly, Shiny, Fiery, Golden, Heavy, Icy, Mossy, Obsidian, Radiant, Restorative, Shielded, Toxic</t>
        </is>
      </c>
      <c r="G268" s="38" t="inlineStr">
        <is>
          <t>机动/火；来源标签 cooldown</t>
        </is>
      </c>
    </row>
    <row r="269">
      <c r="A269" s="38" t="inlineStr">
        <is>
          <t>pal_268</t>
        </is>
      </c>
      <c r="B269" s="38" t="inlineStr">
        <is>
          <t>石牦灵</t>
        </is>
      </c>
      <c r="C269" s="38" t="inlineStr">
        <is>
          <t>bz_van_268</t>
        </is>
      </c>
      <c r="D269" s="38" t="inlineStr">
        <is>
          <t>Shielded</t>
        </is>
      </c>
      <c r="E269" s="38" t="n">
        <v>13</v>
      </c>
      <c r="F269" s="38" t="inlineStr">
        <is>
          <t>Shielded, Heavy, Mossy, Deadly, Fiery, Golden, Icy, Obsidian, Radiant, Restorative, Shiny, Toxic, Turbo</t>
        </is>
      </c>
      <c r="G269" s="38" t="inlineStr">
        <is>
          <t>坦克/地；来源标签 shieldreference</t>
        </is>
      </c>
    </row>
    <row r="270">
      <c r="A270" s="38" t="inlineStr">
        <is>
          <t>pal_269</t>
        </is>
      </c>
      <c r="B270" s="38" t="inlineStr">
        <is>
          <t>焰蝎妖</t>
        </is>
      </c>
      <c r="C270" s="38" t="inlineStr">
        <is>
          <t>bz_van_269</t>
        </is>
      </c>
      <c r="D270" s="38" t="inlineStr">
        <is>
          <t>Fiery</t>
        </is>
      </c>
      <c r="E270" s="38" t="n">
        <v>13</v>
      </c>
      <c r="F270" s="38" t="inlineStr">
        <is>
          <t>Fiery, Icy, Toxic, Obsidian, Deadly, Golden, Heavy, Mossy, Radiant, Restorative, Shielded, Shiny, Turbo</t>
        </is>
      </c>
      <c r="G270" s="38" t="inlineStr">
        <is>
          <t>控制/火、草；来源标签 poisonreference, burnreference</t>
        </is>
      </c>
    </row>
    <row r="271">
      <c r="A271" s="38" t="inlineStr">
        <is>
          <t>pal_270</t>
        </is>
      </c>
      <c r="B271" s="38" t="inlineStr">
        <is>
          <t>芽蛛将</t>
        </is>
      </c>
      <c r="C271" s="38" t="inlineStr">
        <is>
          <t>bz_van_270</t>
        </is>
      </c>
      <c r="D271" s="38" t="inlineStr">
        <is>
          <t>Toxic</t>
        </is>
      </c>
      <c r="E271" s="38" t="n">
        <v>13</v>
      </c>
      <c r="F271" s="38" t="inlineStr">
        <is>
          <t>Toxic, Icy, Obsidian, Deadly, Fiery, Golden, Heavy, Mossy, Radiant, Restorative, Shielded, Shiny, Turbo</t>
        </is>
      </c>
      <c r="G271" s="38" t="inlineStr">
        <is>
          <t>控制/草；来源标签 weapon, poisonreference</t>
        </is>
      </c>
    </row>
    <row r="272">
      <c r="A272" s="38" t="inlineStr">
        <is>
          <t>pal_271</t>
        </is>
      </c>
      <c r="B272" s="38" t="inlineStr">
        <is>
          <t>青蛇将</t>
        </is>
      </c>
      <c r="C272" s="38" t="inlineStr">
        <is>
          <t>bz_van_271</t>
        </is>
      </c>
      <c r="D272" s="38" t="inlineStr">
        <is>
          <t>Toxic</t>
        </is>
      </c>
      <c r="E272" s="38" t="n">
        <v>13</v>
      </c>
      <c r="F272" s="38" t="inlineStr">
        <is>
          <t>Toxic, Icy, Obsidian, Deadly, Fiery, Golden, Heavy, Mossy, Radiant, Restorative, Shielded, Shiny, Turbo</t>
        </is>
      </c>
      <c r="G272" s="38" t="inlineStr">
        <is>
          <t>控制/草；来源标签 damagereference, poisonreference</t>
        </is>
      </c>
    </row>
    <row r="273">
      <c r="A273" s="38" t="inlineStr">
        <is>
          <t>pal_272</t>
        </is>
      </c>
      <c r="B273" s="38" t="inlineStr">
        <is>
          <t>芽貂卫</t>
        </is>
      </c>
      <c r="C273" s="38" t="inlineStr">
        <is>
          <t>bz_van_272</t>
        </is>
      </c>
      <c r="D273" s="38" t="inlineStr">
        <is>
          <t>Toxic</t>
        </is>
      </c>
      <c r="E273" s="38" t="n">
        <v>13</v>
      </c>
      <c r="F273" s="38" t="inlineStr">
        <is>
          <t>Toxic, Icy, Obsidian, Deadly, Fiery, Golden, Heavy, Mossy, Radiant, Restorative, Shielded, Shiny, Turbo</t>
        </is>
      </c>
      <c r="G273" s="38" t="inlineStr">
        <is>
          <t>控制/草；来源标签 poisonreference, haste</t>
        </is>
      </c>
    </row>
    <row r="274">
      <c r="A274" s="38" t="inlineStr">
        <is>
          <t>pal_273</t>
        </is>
      </c>
      <c r="B274" s="38" t="inlineStr">
        <is>
          <t>燎鹰卫</t>
        </is>
      </c>
      <c r="C274" s="38" t="inlineStr">
        <is>
          <t>bz_van_273</t>
        </is>
      </c>
      <c r="D274" s="38" t="inlineStr">
        <is>
          <t>Fiery</t>
        </is>
      </c>
      <c r="E274" s="38" t="n">
        <v>13</v>
      </c>
      <c r="F274" s="38" t="inlineStr">
        <is>
          <t>Fiery, Deadly, Obsidian, Golden, Heavy, Icy, Mossy, Radiant, Restorative, Shielded, Shiny, Toxic, Turbo</t>
        </is>
      </c>
      <c r="G274" s="38" t="inlineStr">
        <is>
          <t>输出/火、雷；来源标签 burnreference, crit</t>
        </is>
      </c>
    </row>
    <row r="275">
      <c r="A275" s="38" t="inlineStr">
        <is>
          <t>pal_274</t>
        </is>
      </c>
      <c r="B275" s="38" t="inlineStr">
        <is>
          <t>苔貂王</t>
        </is>
      </c>
      <c r="C275" s="38" t="inlineStr">
        <is>
          <t>bz_van_274</t>
        </is>
      </c>
      <c r="D275" s="38" t="inlineStr">
        <is>
          <t>Toxic</t>
        </is>
      </c>
      <c r="E275" s="38" t="n">
        <v>13</v>
      </c>
      <c r="F275" s="38" t="inlineStr">
        <is>
          <t>Toxic, Icy, Obsidian, Deadly, Fiery, Golden, Heavy, Mossy, Radiant, Restorative, Shielded, Shiny, Turbo</t>
        </is>
      </c>
      <c r="G275" s="38" t="inlineStr">
        <is>
          <t>控制/草、雷；来源标签 weapon, charge, poisonreference, damagereference</t>
        </is>
      </c>
    </row>
    <row r="276">
      <c r="A276" s="38" t="inlineStr">
        <is>
          <t>pal_275</t>
        </is>
      </c>
      <c r="B276" s="38" t="inlineStr">
        <is>
          <t>青鹿祖</t>
        </is>
      </c>
      <c r="C276" s="38" t="inlineStr">
        <is>
          <t>bz_van_275</t>
        </is>
      </c>
      <c r="D276" s="38" t="inlineStr">
        <is>
          <t>Toxic</t>
        </is>
      </c>
      <c r="E276" s="38" t="n">
        <v>13</v>
      </c>
      <c r="F276" s="38" t="inlineStr">
        <is>
          <t>Toxic, Restorative, Mossy, Radiant, Deadly, Fiery, Golden, Heavy, Icy, Obsidian, Shielded, Shiny, Turbo</t>
        </is>
      </c>
      <c r="G276" s="38" t="inlineStr">
        <is>
          <t>治疗/草、水；来源标签 regen, poisonreference</t>
        </is>
      </c>
    </row>
    <row r="277">
      <c r="A277" s="38" t="inlineStr">
        <is>
          <t>pal_276</t>
        </is>
      </c>
      <c r="B277" s="38" t="inlineStr">
        <is>
          <t>焰蟾卫</t>
        </is>
      </c>
      <c r="C277" s="38" t="inlineStr">
        <is>
          <t>bz_van_276</t>
        </is>
      </c>
      <c r="D277" s="38" t="inlineStr">
        <is>
          <t>Fiery</t>
        </is>
      </c>
      <c r="E277" s="38" t="n">
        <v>13</v>
      </c>
      <c r="F277" s="38" t="inlineStr">
        <is>
          <t>Fiery, Radiant, Mossy, Shielded, Deadly, Golden, Heavy, Icy, Obsidian, Restorative, Shiny, Toxic, Turbo</t>
        </is>
      </c>
      <c r="G277" s="38" t="inlineStr">
        <is>
          <t>召唤/火、龙；来源标签 friend, burn</t>
        </is>
      </c>
    </row>
    <row r="278">
      <c r="A278" s="38" t="inlineStr">
        <is>
          <t>pal_277</t>
        </is>
      </c>
      <c r="B278" s="38" t="inlineStr">
        <is>
          <t>克诺大兽</t>
        </is>
      </c>
      <c r="C278" s="38" t="inlineStr">
        <is>
          <t>bz_van_277</t>
        </is>
      </c>
      <c r="D278" s="38" t="inlineStr">
        <is>
          <t>Turbo</t>
        </is>
      </c>
      <c r="E278" s="38" t="n">
        <v>13</v>
      </c>
      <c r="F278" s="38" t="inlineStr">
        <is>
          <t>Turbo, Deadly, Shiny, Fiery, Golden, Heavy, Icy, Mossy, Obsidian, Radiant, Restorative, Shielded, Toxic</t>
        </is>
      </c>
      <c r="G278" s="38" t="inlineStr">
        <is>
          <t>机动/地；来源标签 package, large, silver, chronos</t>
        </is>
      </c>
    </row>
    <row r="279">
      <c r="A279" s="38" t="inlineStr">
        <is>
          <t>pal_278</t>
        </is>
      </c>
      <c r="B279" s="38" t="inlineStr">
        <is>
          <t>克诺中兽</t>
        </is>
      </c>
      <c r="C279" s="38" t="inlineStr">
        <is>
          <t>bz_van_278</t>
        </is>
      </c>
      <c r="D279" s="38" t="inlineStr">
        <is>
          <t>Turbo</t>
        </is>
      </c>
      <c r="E279" s="38" t="n">
        <v>13</v>
      </c>
      <c r="F279" s="38" t="inlineStr">
        <is>
          <t>Turbo, Deadly, Shiny, Fiery, Golden, Heavy, Icy, Mossy, Obsidian, Radiant, Restorative, Shielded, Toxic</t>
        </is>
      </c>
      <c r="G279" s="38" t="inlineStr">
        <is>
          <t>机动/龙；来源标签 package, medium, gold, chronos</t>
        </is>
      </c>
    </row>
    <row r="280">
      <c r="A280" s="38" t="inlineStr">
        <is>
          <t>pal_279</t>
        </is>
      </c>
      <c r="B280" s="38" t="inlineStr">
        <is>
          <t>克诺小兽</t>
        </is>
      </c>
      <c r="C280" s="38" t="inlineStr">
        <is>
          <t>bz_van_279</t>
        </is>
      </c>
      <c r="D280" s="38" t="inlineStr">
        <is>
          <t>Turbo</t>
        </is>
      </c>
      <c r="E280" s="38" t="n">
        <v>13</v>
      </c>
      <c r="F280" s="38" t="inlineStr">
        <is>
          <t>Turbo, Deadly, Shiny, Fiery, Golden, Heavy, Icy, Mossy, Obsidian, Radiant, Restorative, Shielded, Toxic</t>
        </is>
      </c>
      <c r="G280" s="38" t="inlineStr">
        <is>
          <t>机动/地；来源标签 package, small, gold, chronos</t>
        </is>
      </c>
    </row>
    <row r="281">
      <c r="A281" s="38" t="inlineStr">
        <is>
          <t>pal_280</t>
        </is>
      </c>
      <c r="B281" s="38" t="inlineStr">
        <is>
          <t>蛛婆小兽</t>
        </is>
      </c>
      <c r="C281" s="38" t="inlineStr">
        <is>
          <t>bz_van_280</t>
        </is>
      </c>
      <c r="D281" s="38" t="inlineStr">
        <is>
          <t>Icy</t>
        </is>
      </c>
      <c r="E281" s="38" t="n">
        <v>13</v>
      </c>
      <c r="F281" s="38" t="inlineStr">
        <is>
          <t>Icy, Toxic, Obsidian, Deadly, Fiery, Golden, Heavy, Mossy, Radiant, Restorative, Shielded, Shiny, Turbo</t>
        </is>
      </c>
      <c r="G281" s="38" t="inlineStr">
        <is>
          <t>控制/水；来源标签 package, small, gold, cobweb</t>
        </is>
      </c>
    </row>
    <row r="282">
      <c r="A282" s="38" t="inlineStr">
        <is>
          <t>pal_281</t>
        </is>
      </c>
      <c r="B282" s="38" t="inlineStr">
        <is>
          <t>蛛婆大兽</t>
        </is>
      </c>
      <c r="C282" s="38" t="inlineStr">
        <is>
          <t>bz_van_281</t>
        </is>
      </c>
      <c r="D282" s="38" t="inlineStr">
        <is>
          <t>Icy</t>
        </is>
      </c>
      <c r="E282" s="38" t="n">
        <v>13</v>
      </c>
      <c r="F282" s="38" t="inlineStr">
        <is>
          <t>Icy, Toxic, Obsidian, Deadly, Fiery, Golden, Heavy, Mossy, Radiant, Restorative, Shielded, Shiny, Turbo</t>
        </is>
      </c>
      <c r="G282" s="38" t="inlineStr">
        <is>
          <t>控制/地；来源标签 package, large, silver, cobweb</t>
        </is>
      </c>
    </row>
    <row r="283">
      <c r="A283" s="38" t="inlineStr">
        <is>
          <t>pal_282</t>
        </is>
      </c>
      <c r="B283" s="38" t="inlineStr">
        <is>
          <t>蛛婆中兽</t>
        </is>
      </c>
      <c r="C283" s="38" t="inlineStr">
        <is>
          <t>bz_van_282</t>
        </is>
      </c>
      <c r="D283" s="38" t="inlineStr">
        <is>
          <t>Icy</t>
        </is>
      </c>
      <c r="E283" s="38" t="n">
        <v>13</v>
      </c>
      <c r="F283" s="38" t="inlineStr">
        <is>
          <t>Icy, Toxic, Obsidian, Deadly, Fiery, Golden, Heavy, Mossy, Radiant, Restorative, Shielded, Shiny, Turbo</t>
        </is>
      </c>
      <c r="G283" s="38" t="inlineStr">
        <is>
          <t>控制/暗；来源标签 package, medium, gold, cobweb</t>
        </is>
      </c>
    </row>
    <row r="284">
      <c r="A284" s="38" t="inlineStr">
        <is>
          <t>pal_283</t>
        </is>
      </c>
      <c r="B284" s="38" t="inlineStr">
        <is>
          <t>芙蕾小兽</t>
        </is>
      </c>
      <c r="C284" s="38" t="inlineStr">
        <is>
          <t>bz_van_283</t>
        </is>
      </c>
      <c r="D284" s="38" t="inlineStr">
        <is>
          <t>Icy</t>
        </is>
      </c>
      <c r="E284" s="38" t="n">
        <v>13</v>
      </c>
      <c r="F284" s="38" t="inlineStr">
        <is>
          <t>Icy, Toxic, Obsidian, Deadly, Fiery, Golden, Heavy, Mossy, Radiant, Restorative, Shielded, Shiny, Turbo</t>
        </is>
      </c>
      <c r="G284" s="38" t="inlineStr">
        <is>
          <t>控制/冰；来源标签 package, small, gold, freiya</t>
        </is>
      </c>
    </row>
    <row r="285">
      <c r="A285" s="38" t="inlineStr">
        <is>
          <t>pal_284</t>
        </is>
      </c>
      <c r="B285" s="38" t="inlineStr">
        <is>
          <t>芙蕾大兽</t>
        </is>
      </c>
      <c r="C285" s="38" t="inlineStr">
        <is>
          <t>bz_van_284</t>
        </is>
      </c>
      <c r="D285" s="38" t="inlineStr">
        <is>
          <t>Icy</t>
        </is>
      </c>
      <c r="E285" s="38" t="n">
        <v>13</v>
      </c>
      <c r="F285" s="38" t="inlineStr">
        <is>
          <t>Icy, Toxic, Obsidian, Deadly, Fiery, Golden, Heavy, Mossy, Radiant, Restorative, Shielded, Shiny, Turbo</t>
        </is>
      </c>
      <c r="G285" s="38" t="inlineStr">
        <is>
          <t>控制/冰；来源标签 package, large, silver, freiya</t>
        </is>
      </c>
    </row>
    <row r="286">
      <c r="A286" s="38" t="inlineStr">
        <is>
          <t>pal_285</t>
        </is>
      </c>
      <c r="B286" s="38" t="inlineStr">
        <is>
          <t>芙蕾中兽</t>
        </is>
      </c>
      <c r="C286" s="38" t="inlineStr">
        <is>
          <t>bz_van_285</t>
        </is>
      </c>
      <c r="D286" s="38" t="inlineStr">
        <is>
          <t>Icy</t>
        </is>
      </c>
      <c r="E286" s="38" t="n">
        <v>13</v>
      </c>
      <c r="F286" s="38" t="inlineStr">
        <is>
          <t>Icy, Toxic, Obsidian, Deadly, Fiery, Golden, Heavy, Mossy, Radiant, Restorative, Shielded, Shiny, Turbo</t>
        </is>
      </c>
      <c r="G286" s="38" t="inlineStr">
        <is>
          <t>控制/冰；来源标签 package, medium, gold, freiya</t>
        </is>
      </c>
    </row>
    <row r="287">
      <c r="A287" s="38" t="inlineStr">
        <is>
          <t>pal_286</t>
        </is>
      </c>
      <c r="B287" s="38" t="inlineStr">
        <is>
          <t>赫夫小兽</t>
        </is>
      </c>
      <c r="C287" s="38" t="inlineStr">
        <is>
          <t>bz_van_286</t>
        </is>
      </c>
      <c r="D287" s="38" t="inlineStr">
        <is>
          <t>Fiery</t>
        </is>
      </c>
      <c r="E287" s="38" t="n">
        <v>13</v>
      </c>
      <c r="F287" s="38" t="inlineStr">
        <is>
          <t>Fiery, Golden, Shiny, Radiant, Deadly, Heavy, Icy, Mossy, Obsidian, Restorative, Shielded, Toxic, Turbo</t>
        </is>
      </c>
      <c r="G287" s="38" t="inlineStr">
        <is>
          <t>经济/火；来源标签 package, small, gold, hef</t>
        </is>
      </c>
    </row>
    <row r="288">
      <c r="A288" s="38" t="inlineStr">
        <is>
          <t>pal_287</t>
        </is>
      </c>
      <c r="B288" s="38" t="inlineStr">
        <is>
          <t>赫夫中兽</t>
        </is>
      </c>
      <c r="C288" s="38" t="inlineStr">
        <is>
          <t>bz_van_287</t>
        </is>
      </c>
      <c r="D288" s="38" t="inlineStr">
        <is>
          <t>Fiery</t>
        </is>
      </c>
      <c r="E288" s="38" t="n">
        <v>13</v>
      </c>
      <c r="F288" s="38" t="inlineStr">
        <is>
          <t>Fiery, Golden, Shiny, Radiant, Deadly, Heavy, Icy, Mossy, Obsidian, Restorative, Shielded, Toxic, Turbo</t>
        </is>
      </c>
      <c r="G288" s="38" t="inlineStr">
        <is>
          <t>经济/火；来源标签 package, medium, gold, hef</t>
        </is>
      </c>
    </row>
    <row r="289">
      <c r="A289" s="38" t="inlineStr">
        <is>
          <t>pal_288</t>
        </is>
      </c>
      <c r="B289" s="38" t="inlineStr">
        <is>
          <t>赫夫大兽</t>
        </is>
      </c>
      <c r="C289" s="38" t="inlineStr">
        <is>
          <t>bz_van_288</t>
        </is>
      </c>
      <c r="D289" s="38" t="inlineStr">
        <is>
          <t>Fiery</t>
        </is>
      </c>
      <c r="E289" s="38" t="n">
        <v>13</v>
      </c>
      <c r="F289" s="38" t="inlineStr">
        <is>
          <t>Fiery, Golden, Shiny, Radiant, Deadly, Heavy, Icy, Mossy, Obsidian, Restorative, Shielded, Toxic, Turbo</t>
        </is>
      </c>
      <c r="G289" s="38" t="inlineStr">
        <is>
          <t>经济/火；来源标签 package, large, silver, hef</t>
        </is>
      </c>
    </row>
    <row r="290">
      <c r="A290" s="38" t="inlineStr">
        <is>
          <t>pal_289</t>
        </is>
      </c>
      <c r="B290" s="38" t="inlineStr">
        <is>
          <t>夜爵大兽</t>
        </is>
      </c>
      <c r="C290" s="38" t="inlineStr">
        <is>
          <t>bz_van_289</t>
        </is>
      </c>
      <c r="D290" s="38" t="inlineStr">
        <is>
          <t>Toxic</t>
        </is>
      </c>
      <c r="E290" s="38" t="n">
        <v>13</v>
      </c>
      <c r="F290" s="38" t="inlineStr">
        <is>
          <t>Toxic, Icy, Obsidian, Deadly, Fiery, Golden, Heavy, Mossy, Radiant, Restorative, Shielded, Shiny, Turbo</t>
        </is>
      </c>
      <c r="G290" s="38" t="inlineStr">
        <is>
          <t>控制/草；来源标签 package, large, silver, knightshade</t>
        </is>
      </c>
    </row>
    <row r="291">
      <c r="A291" s="38" t="inlineStr">
        <is>
          <t>pal_290</t>
        </is>
      </c>
      <c r="B291" s="38" t="inlineStr">
        <is>
          <t>夜爵小兽</t>
        </is>
      </c>
      <c r="C291" s="38" t="inlineStr">
        <is>
          <t>bz_van_290</t>
        </is>
      </c>
      <c r="D291" s="38" t="inlineStr">
        <is>
          <t>Toxic</t>
        </is>
      </c>
      <c r="E291" s="38" t="n">
        <v>13</v>
      </c>
      <c r="F291" s="38" t="inlineStr">
        <is>
          <t>Toxic, Icy, Obsidian, Deadly, Fiery, Golden, Heavy, Mossy, Radiant, Restorative, Shielded, Shiny, Turbo</t>
        </is>
      </c>
      <c r="G291" s="38" t="inlineStr">
        <is>
          <t>控制/草；来源标签 package, small, gold, knightshade</t>
        </is>
      </c>
    </row>
    <row r="292">
      <c r="A292" s="38" t="inlineStr">
        <is>
          <t>pal_291</t>
        </is>
      </c>
      <c r="B292" s="38" t="inlineStr">
        <is>
          <t>夜爵中兽</t>
        </is>
      </c>
      <c r="C292" s="38" t="inlineStr">
        <is>
          <t>bz_van_291</t>
        </is>
      </c>
      <c r="D292" s="38" t="inlineStr">
        <is>
          <t>Toxic</t>
        </is>
      </c>
      <c r="E292" s="38" t="n">
        <v>13</v>
      </c>
      <c r="F292" s="38" t="inlineStr">
        <is>
          <t>Toxic, Icy, Obsidian, Deadly, Fiery, Golden, Heavy, Mossy, Radiant, Restorative, Shielded, Shiny, Turbo</t>
        </is>
      </c>
      <c r="G292" s="38" t="inlineStr">
        <is>
          <t>控制/草；来源标签 package, medium, gold, knightshade</t>
        </is>
      </c>
    </row>
    <row r="293">
      <c r="A293" s="38" t="inlineStr">
        <is>
          <t>pal_292</t>
        </is>
      </c>
      <c r="B293" s="38" t="inlineStr">
        <is>
          <t>瑟菲小兽</t>
        </is>
      </c>
      <c r="C293" s="38" t="inlineStr">
        <is>
          <t>bz_van_292</t>
        </is>
      </c>
      <c r="D293" s="38" t="inlineStr">
        <is>
          <t>Golden</t>
        </is>
      </c>
      <c r="E293" s="38" t="n">
        <v>13</v>
      </c>
      <c r="F293" s="38" t="inlineStr">
        <is>
          <t>Golden, Shiny, Radiant, Deadly, Fiery, Heavy, Icy, Mossy, Obsidian, Restorative, Shielded, Toxic, Turbo</t>
        </is>
      </c>
      <c r="G293" s="38" t="inlineStr">
        <is>
          <t>经济/雷；来源标签 package, small, gold, serafina</t>
        </is>
      </c>
    </row>
    <row r="294">
      <c r="A294" s="38" t="inlineStr">
        <is>
          <t>pal_293</t>
        </is>
      </c>
      <c r="B294" s="38" t="inlineStr">
        <is>
          <t>瑟菲大兽</t>
        </is>
      </c>
      <c r="C294" s="38" t="inlineStr">
        <is>
          <t>bz_van_293</t>
        </is>
      </c>
      <c r="D294" s="38" t="inlineStr">
        <is>
          <t>Golden</t>
        </is>
      </c>
      <c r="E294" s="38" t="n">
        <v>13</v>
      </c>
      <c r="F294" s="38" t="inlineStr">
        <is>
          <t>Golden, Shiny, Radiant, Deadly, Fiery, Heavy, Icy, Mossy, Obsidian, Restorative, Shielded, Toxic, Turbo</t>
        </is>
      </c>
      <c r="G294" s="38" t="inlineStr">
        <is>
          <t>经济/地；来源标签 package, large, silver, serafina</t>
        </is>
      </c>
    </row>
    <row r="295">
      <c r="A295" s="38" t="inlineStr">
        <is>
          <t>pal_294</t>
        </is>
      </c>
      <c r="B295" s="38" t="inlineStr">
        <is>
          <t>瑟菲中兽</t>
        </is>
      </c>
      <c r="C295" s="38" t="inlineStr">
        <is>
          <t>bz_van_294</t>
        </is>
      </c>
      <c r="D295" s="38" t="inlineStr">
        <is>
          <t>Golden</t>
        </is>
      </c>
      <c r="E295" s="38" t="n">
        <v>13</v>
      </c>
      <c r="F295" s="38" t="inlineStr">
        <is>
          <t>Golden, Shiny, Radiant, Deadly, Fiery, Heavy, Icy, Mossy, Obsidian, Restorative, Shielded, Toxic, Turbo</t>
        </is>
      </c>
      <c r="G295" s="38" t="inlineStr">
        <is>
          <t>经济/无；来源标签 package, medium, gold, serafina</t>
        </is>
      </c>
    </row>
    <row r="296">
      <c r="A296" s="38" t="inlineStr">
        <is>
          <t>pal_295</t>
        </is>
      </c>
      <c r="B296" s="38" t="inlineStr">
        <is>
          <t>凯夫中兽</t>
        </is>
      </c>
      <c r="C296" s="38" t="inlineStr">
        <is>
          <t>bz_van_295</t>
        </is>
      </c>
      <c r="D296" s="38" t="inlineStr">
        <is>
          <t>Shielded</t>
        </is>
      </c>
      <c r="E296" s="38" t="n">
        <v>13</v>
      </c>
      <c r="F296" s="38" t="inlineStr">
        <is>
          <t>Shielded, Heavy, Mossy, Deadly, Fiery, Golden, Icy, Obsidian, Radiant, Restorative, Shiny, Toxic, Turbo</t>
        </is>
      </c>
      <c r="G296" s="38" t="inlineStr">
        <is>
          <t>坦克/地；来源标签 package, medium, bronze, kev-s-armory</t>
        </is>
      </c>
    </row>
    <row r="297">
      <c r="A297" s="38" t="inlineStr">
        <is>
          <t>pal_296</t>
        </is>
      </c>
      <c r="B297" s="38" t="inlineStr">
        <is>
          <t>凯夫小兽</t>
        </is>
      </c>
      <c r="C297" s="38" t="inlineStr">
        <is>
          <t>bz_van_296</t>
        </is>
      </c>
      <c r="D297" s="38" t="inlineStr">
        <is>
          <t>Shielded</t>
        </is>
      </c>
      <c r="E297" s="38" t="n">
        <v>13</v>
      </c>
      <c r="F297" s="38" t="inlineStr">
        <is>
          <t>Shielded, Heavy, Mossy, Deadly, Fiery, Golden, Icy, Obsidian, Radiant, Restorative, Shiny, Toxic, Turbo</t>
        </is>
      </c>
      <c r="G297" s="38" t="inlineStr">
        <is>
          <t>坦克/地；来源标签 package, small, bronze, kev-s-armory</t>
        </is>
      </c>
    </row>
    <row r="298">
      <c r="A298" s="38" t="inlineStr">
        <is>
          <t>pal_297</t>
        </is>
      </c>
      <c r="B298" s="38" t="inlineStr">
        <is>
          <t>加瑟中兽</t>
        </is>
      </c>
      <c r="C298" s="38" t="inlineStr">
        <is>
          <t>bz_van_297</t>
        </is>
      </c>
      <c r="D298" s="38" t="inlineStr">
        <is>
          <t>Heavy</t>
        </is>
      </c>
      <c r="E298" s="38" t="n">
        <v>13</v>
      </c>
      <c r="F298" s="38" t="inlineStr">
        <is>
          <t>Heavy, Deadly, Fiery, Obsidian, Golden, Icy, Mossy, Radiant, Restorative, Shielded, Shiny, Toxic, Turbo</t>
        </is>
      </c>
      <c r="G298" s="38" t="inlineStr">
        <is>
          <t>输出/火；来源标签 package, medium, silver, gaseo</t>
        </is>
      </c>
    </row>
    <row r="299">
      <c r="A299" s="38" t="inlineStr">
        <is>
          <t>pal_298</t>
        </is>
      </c>
      <c r="B299" s="38" t="inlineStr">
        <is>
          <t>加瑟大兽</t>
        </is>
      </c>
      <c r="C299" s="38" t="inlineStr">
        <is>
          <t>bz_van_298</t>
        </is>
      </c>
      <c r="D299" s="38" t="inlineStr">
        <is>
          <t>Golden</t>
        </is>
      </c>
      <c r="E299" s="38" t="n">
        <v>13</v>
      </c>
      <c r="F299" s="38" t="inlineStr">
        <is>
          <t>Golden, Shiny, Radiant, Deadly, Fiery, Heavy, Icy, Mossy, Obsidian, Restorative, Shielded, Toxic, Turbo</t>
        </is>
      </c>
      <c r="G299" s="38" t="inlineStr">
        <is>
          <t>经济/草；来源标签 package, large, silver, gaseo</t>
        </is>
      </c>
    </row>
    <row r="300">
      <c r="A300" s="38" t="inlineStr">
        <is>
          <t>pal_299</t>
        </is>
      </c>
      <c r="B300" s="38" t="inlineStr">
        <is>
          <t>加瑟小兽</t>
        </is>
      </c>
      <c r="C300" s="38" t="inlineStr">
        <is>
          <t>bz_van_299</t>
        </is>
      </c>
      <c r="D300" s="38" t="inlineStr">
        <is>
          <t>Shiny</t>
        </is>
      </c>
      <c r="E300" s="38" t="n">
        <v>13</v>
      </c>
      <c r="F300" s="38" t="inlineStr">
        <is>
          <t>Shiny, Deadly, Fiery, Obsidian, Golden, Heavy, Icy, Mossy, Radiant, Restorative, Shielded, Toxic, Turbo</t>
        </is>
      </c>
      <c r="G300" s="38" t="inlineStr">
        <is>
          <t>输出/雷；来源标签 package, small, silver, gaseo</t>
        </is>
      </c>
    </row>
    <row r="301">
      <c r="A301" s="38" t="inlineStr">
        <is>
          <t>pal_300</t>
        </is>
      </c>
      <c r="B301" s="38" t="inlineStr">
        <is>
          <t>古董大兽</t>
        </is>
      </c>
      <c r="C301" s="38" t="inlineStr">
        <is>
          <t>bz_van_300</t>
        </is>
      </c>
      <c r="D301" s="38" t="inlineStr">
        <is>
          <t>Shiny</t>
        </is>
      </c>
      <c r="E301" s="38" t="n">
        <v>13</v>
      </c>
      <c r="F301" s="38" t="inlineStr">
        <is>
          <t>Shiny, Deadly, Fiery, Obsidian, Golden, Heavy, Icy, Mossy, Radiant, Restorative, Shielded, Toxic, Turbo</t>
        </is>
      </c>
      <c r="G301" s="38" t="inlineStr">
        <is>
          <t>输出/雷；来源标签 package, large, silver, the-antiquarian</t>
        </is>
      </c>
    </row>
    <row r="302">
      <c r="A302" s="38" t="inlineStr">
        <is>
          <t>pal_301</t>
        </is>
      </c>
      <c r="B302" s="38" t="inlineStr">
        <is>
          <t>古董中兽</t>
        </is>
      </c>
      <c r="C302" s="38" t="inlineStr">
        <is>
          <t>bz_van_301</t>
        </is>
      </c>
      <c r="D302" s="38" t="inlineStr">
        <is>
          <t>Shiny</t>
        </is>
      </c>
      <c r="E302" s="38" t="n">
        <v>13</v>
      </c>
      <c r="F302" s="38" t="inlineStr">
        <is>
          <t>Shiny, Deadly, Fiery, Obsidian, Golden, Heavy, Icy, Mossy, Radiant, Restorative, Shielded, Toxic, Turbo</t>
        </is>
      </c>
      <c r="G302" s="38" t="inlineStr">
        <is>
          <t>输出/无；来源标签 package, medium, silver, the-antiquarian</t>
        </is>
      </c>
    </row>
    <row r="303">
      <c r="A303" s="38" t="inlineStr">
        <is>
          <t>pal_302</t>
        </is>
      </c>
      <c r="B303" s="38" t="inlineStr">
        <is>
          <t>古董小兽</t>
        </is>
      </c>
      <c r="C303" s="38" t="inlineStr">
        <is>
          <t>bz_van_302</t>
        </is>
      </c>
      <c r="D303" s="38" t="inlineStr">
        <is>
          <t>Heavy</t>
        </is>
      </c>
      <c r="E303" s="38" t="n">
        <v>13</v>
      </c>
      <c r="F303" s="38" t="inlineStr">
        <is>
          <t>Heavy, Deadly, Fiery, Obsidian, Golden, Icy, Mossy, Radiant, Restorative, Shielded, Shiny, Toxic, Turbo</t>
        </is>
      </c>
      <c r="G303" s="38" t="inlineStr">
        <is>
          <t>输出/龙；来源标签 package, small, silver, the-antiquarian</t>
        </is>
      </c>
    </row>
    <row r="304">
      <c r="A304" s="38" t="inlineStr">
        <is>
          <t>pal_303</t>
        </is>
      </c>
      <c r="B304" s="38" t="inlineStr">
        <is>
          <t>吉娜小兽</t>
        </is>
      </c>
      <c r="C304" s="38" t="inlineStr">
        <is>
          <t>bz_van_303</t>
        </is>
      </c>
      <c r="D304" s="38" t="inlineStr">
        <is>
          <t>Heavy</t>
        </is>
      </c>
      <c r="E304" s="38" t="n">
        <v>13</v>
      </c>
      <c r="F304" s="38" t="inlineStr">
        <is>
          <t>Heavy, Deadly, Fiery, Obsidian, Golden, Icy, Mossy, Radiant, Restorative, Shielded, Shiny, Toxic, Turbo</t>
        </is>
      </c>
      <c r="G304" s="38" t="inlineStr">
        <is>
          <t>输出/水；来源标签 package, small, bronze, kina</t>
        </is>
      </c>
    </row>
    <row r="305">
      <c r="A305" s="38" t="inlineStr">
        <is>
          <t>pal_304</t>
        </is>
      </c>
      <c r="B305" s="38" t="inlineStr">
        <is>
          <t>吉娜大兽</t>
        </is>
      </c>
      <c r="C305" s="38" t="inlineStr">
        <is>
          <t>bz_van_304</t>
        </is>
      </c>
      <c r="D305" s="38" t="inlineStr">
        <is>
          <t>Heavy</t>
        </is>
      </c>
      <c r="E305" s="38" t="n">
        <v>13</v>
      </c>
      <c r="F305" s="38" t="inlineStr">
        <is>
          <t>Heavy, Deadly, Fiery, Obsidian, Golden, Icy, Mossy, Radiant, Restorative, Shielded, Shiny, Toxic, Turbo</t>
        </is>
      </c>
      <c r="G305" s="38" t="inlineStr">
        <is>
          <t>输出/无；来源标签 package, large, silver, kina</t>
        </is>
      </c>
    </row>
    <row r="306">
      <c r="A306" s="38" t="inlineStr">
        <is>
          <t>pal_305</t>
        </is>
      </c>
      <c r="B306" s="38" t="inlineStr">
        <is>
          <t>吉娜中兽</t>
        </is>
      </c>
      <c r="C306" s="38" t="inlineStr">
        <is>
          <t>bz_van_305</t>
        </is>
      </c>
      <c r="D306" s="38" t="inlineStr">
        <is>
          <t>Heavy</t>
        </is>
      </c>
      <c r="E306" s="38" t="n">
        <v>13</v>
      </c>
      <c r="F306" s="38" t="inlineStr">
        <is>
          <t>Heavy, Deadly, Fiery, Obsidian, Golden, Icy, Mossy, Radiant, Restorative, Shielded, Shiny, Toxic, Turbo</t>
        </is>
      </c>
      <c r="G306" s="38" t="inlineStr">
        <is>
          <t>输出/无；来源标签 package, medium, bronze, kina</t>
        </is>
      </c>
    </row>
    <row r="307">
      <c r="A307" s="38" t="inlineStr">
        <is>
          <t>pal_306</t>
        </is>
      </c>
      <c r="B307" s="38" t="inlineStr">
        <is>
          <t>塔季中兽</t>
        </is>
      </c>
      <c r="C307" s="38" t="inlineStr">
        <is>
          <t>bz_van_306</t>
        </is>
      </c>
      <c r="D307" s="38" t="inlineStr">
        <is>
          <t>Heavy</t>
        </is>
      </c>
      <c r="E307" s="38" t="n">
        <v>13</v>
      </c>
      <c r="F307" s="38" t="inlineStr">
        <is>
          <t>Heavy, Deadly, Fiery, Obsidian, Golden, Icy, Mossy, Radiant, Restorative, Shielded, Shiny, Toxic, Turbo</t>
        </is>
      </c>
      <c r="G307" s="38" t="inlineStr">
        <is>
          <t>输出/龙；来源标签 package, medium, silver, tatiana</t>
        </is>
      </c>
    </row>
    <row r="308">
      <c r="A308" s="38" t="inlineStr">
        <is>
          <t>pal_307</t>
        </is>
      </c>
      <c r="B308" s="38" t="inlineStr">
        <is>
          <t>塔季大兽</t>
        </is>
      </c>
      <c r="C308" s="38" t="inlineStr">
        <is>
          <t>bz_van_307</t>
        </is>
      </c>
      <c r="D308" s="38" t="inlineStr">
        <is>
          <t>Golden</t>
        </is>
      </c>
      <c r="E308" s="38" t="n">
        <v>13</v>
      </c>
      <c r="F308" s="38" t="inlineStr">
        <is>
          <t>Golden, Shiny, Radiant, Deadly, Fiery, Heavy, Icy, Mossy, Obsidian, Restorative, Shielded, Toxic, Turbo</t>
        </is>
      </c>
      <c r="G308" s="38" t="inlineStr">
        <is>
          <t>经济/无；来源标签 package, large, silver, tatiana</t>
        </is>
      </c>
    </row>
    <row r="309">
      <c r="A309" s="38" t="inlineStr">
        <is>
          <t>pal_308</t>
        </is>
      </c>
      <c r="B309" s="38" t="inlineStr">
        <is>
          <t>塔季小兽</t>
        </is>
      </c>
      <c r="C309" s="38" t="inlineStr">
        <is>
          <t>bz_van_308</t>
        </is>
      </c>
      <c r="D309" s="38" t="inlineStr">
        <is>
          <t>Shiny</t>
        </is>
      </c>
      <c r="E309" s="38" t="n">
        <v>13</v>
      </c>
      <c r="F309" s="38" t="inlineStr">
        <is>
          <t>Shiny, Deadly, Fiery, Obsidian, Golden, Heavy, Icy, Mossy, Radiant, Restorative, Shielded, Toxic, Turbo</t>
        </is>
      </c>
      <c r="G309" s="38" t="inlineStr">
        <is>
          <t>输出/水；来源标签 package, small, silver, tatiana</t>
        </is>
      </c>
    </row>
    <row r="310">
      <c r="A310" s="38" t="inlineStr">
        <is>
          <t>pal_309</t>
        </is>
      </c>
      <c r="B310" s="38" t="inlineStr">
        <is>
          <t>奥利中兽</t>
        </is>
      </c>
      <c r="C310" s="38" t="inlineStr">
        <is>
          <t>bz_van_309</t>
        </is>
      </c>
      <c r="D310" s="38" t="inlineStr">
        <is>
          <t>Shiny</t>
        </is>
      </c>
      <c r="E310" s="38" t="n">
        <v>13</v>
      </c>
      <c r="F310" s="38" t="inlineStr">
        <is>
          <t>Shiny, Deadly, Fiery, Obsidian, Golden, Heavy, Icy, Mossy, Radiant, Restorative, Shielded, Toxic, Turbo</t>
        </is>
      </c>
      <c r="G310" s="38" t="inlineStr">
        <is>
          <t>输出/无；来源标签 package, medium, bronze, orion</t>
        </is>
      </c>
    </row>
    <row r="311">
      <c r="A311" s="38" t="inlineStr">
        <is>
          <t>pal_310</t>
        </is>
      </c>
      <c r="B311" s="38" t="inlineStr">
        <is>
          <t>奥利小兽</t>
        </is>
      </c>
      <c r="C311" s="38" t="inlineStr">
        <is>
          <t>bz_van_310</t>
        </is>
      </c>
      <c r="D311" s="38" t="inlineStr">
        <is>
          <t>Shiny</t>
        </is>
      </c>
      <c r="E311" s="38" t="n">
        <v>13</v>
      </c>
      <c r="F311" s="38" t="inlineStr">
        <is>
          <t>Shiny, Deadly, Fiery, Obsidian, Golden, Heavy, Icy, Mossy, Radiant, Restorative, Shielded, Toxic, Turbo</t>
        </is>
      </c>
      <c r="G311" s="38" t="inlineStr">
        <is>
          <t>输出/水；来源标签 package, small, bronze, orion</t>
        </is>
      </c>
    </row>
    <row r="312">
      <c r="A312" s="38" t="inlineStr">
        <is>
          <t>pal_311</t>
        </is>
      </c>
      <c r="B312" s="38" t="inlineStr">
        <is>
          <t>安德大兽</t>
        </is>
      </c>
      <c r="C312" s="38" t="inlineStr">
        <is>
          <t>bz_van_311</t>
        </is>
      </c>
      <c r="D312" s="38" t="inlineStr">
        <is>
          <t>Heavy</t>
        </is>
      </c>
      <c r="E312" s="38" t="n">
        <v>13</v>
      </c>
      <c r="F312" s="38" t="inlineStr">
        <is>
          <t>Heavy, Deadly, Fiery, Obsidian, Golden, Icy, Mossy, Radiant, Restorative, Shielded, Shiny, Toxic, Turbo</t>
        </is>
      </c>
      <c r="G312" s="38" t="inlineStr">
        <is>
          <t>输出/暗；来源标签 package, large, silver, ande</t>
        </is>
      </c>
    </row>
    <row r="313">
      <c r="A313" s="38" t="inlineStr">
        <is>
          <t>pal_312</t>
        </is>
      </c>
      <c r="B313" s="38" t="inlineStr">
        <is>
          <t>安德小兽</t>
        </is>
      </c>
      <c r="C313" s="38" t="inlineStr">
        <is>
          <t>bz_van_312</t>
        </is>
      </c>
      <c r="D313" s="38" t="inlineStr">
        <is>
          <t>Shiny</t>
        </is>
      </c>
      <c r="E313" s="38" t="n">
        <v>13</v>
      </c>
      <c r="F313" s="38" t="inlineStr">
        <is>
          <t>Shiny, Deadly, Fiery, Obsidian, Golden, Heavy, Icy, Mossy, Radiant, Restorative, Shielded, Toxic, Turbo</t>
        </is>
      </c>
      <c r="G313" s="38" t="inlineStr">
        <is>
          <t>输出/草；来源标签 package, small, bronze, ande</t>
        </is>
      </c>
    </row>
    <row r="314">
      <c r="A314" s="38" t="inlineStr">
        <is>
          <t>pal_313</t>
        </is>
      </c>
      <c r="B314" s="38" t="inlineStr">
        <is>
          <t>安德中兽</t>
        </is>
      </c>
      <c r="C314" s="38" t="inlineStr">
        <is>
          <t>bz_van_313</t>
        </is>
      </c>
      <c r="D314" s="38" t="inlineStr">
        <is>
          <t>Heavy</t>
        </is>
      </c>
      <c r="E314" s="38" t="n">
        <v>13</v>
      </c>
      <c r="F314" s="38" t="inlineStr">
        <is>
          <t>Heavy, Deadly, Fiery, Obsidian, Golden, Icy, Mossy, Radiant, Restorative, Shielded, Shiny, Toxic, Turbo</t>
        </is>
      </c>
      <c r="G314" s="38" t="inlineStr">
        <is>
          <t>输出/龙；来源标签 package, medium, bronze, ande</t>
        </is>
      </c>
    </row>
    <row r="315">
      <c r="A315" s="38" t="inlineStr">
        <is>
          <t>pal_314</t>
        </is>
      </c>
      <c r="B315" s="38" t="inlineStr">
        <is>
          <t>寇特大兽</t>
        </is>
      </c>
      <c r="C315" s="38" t="inlineStr">
        <is>
          <t>bz_van_314</t>
        </is>
      </c>
      <c r="D315" s="38" t="inlineStr">
        <is>
          <t>Shiny</t>
        </is>
      </c>
      <c r="E315" s="38" t="n">
        <v>13</v>
      </c>
      <c r="F315" s="38" t="inlineStr">
        <is>
          <t>Shiny, Deadly, Fiery, Obsidian, Golden, Heavy, Icy, Mossy, Radiant, Restorative, Shielded, Toxic, Turbo</t>
        </is>
      </c>
      <c r="G315" s="38" t="inlineStr">
        <is>
          <t>输出/龙；来源标签 package, large, silver, colt</t>
        </is>
      </c>
    </row>
    <row r="316">
      <c r="A316" s="38" t="inlineStr">
        <is>
          <t>pal_315</t>
        </is>
      </c>
      <c r="B316" s="38" t="inlineStr">
        <is>
          <t>寇特小兽</t>
        </is>
      </c>
      <c r="C316" s="38" t="inlineStr">
        <is>
          <t>bz_van_315</t>
        </is>
      </c>
      <c r="D316" s="38" t="inlineStr">
        <is>
          <t>Heavy</t>
        </is>
      </c>
      <c r="E316" s="38" t="n">
        <v>13</v>
      </c>
      <c r="F316" s="38" t="inlineStr">
        <is>
          <t>Heavy, Deadly, Fiery, Obsidian, Golden, Icy, Mossy, Radiant, Restorative, Shielded, Shiny, Toxic, Turbo</t>
        </is>
      </c>
      <c r="G316" s="38" t="inlineStr">
        <is>
          <t>输出/暗；来源标签 package, small, bronze, colt</t>
        </is>
      </c>
    </row>
    <row r="317">
      <c r="A317" s="38" t="inlineStr">
        <is>
          <t>pal_316</t>
        </is>
      </c>
      <c r="B317" s="38" t="inlineStr">
        <is>
          <t>寇特中兽</t>
        </is>
      </c>
      <c r="C317" s="38" t="inlineStr">
        <is>
          <t>bz_van_316</t>
        </is>
      </c>
      <c r="D317" s="38" t="inlineStr">
        <is>
          <t>Shiny</t>
        </is>
      </c>
      <c r="E317" s="38" t="n">
        <v>13</v>
      </c>
      <c r="F317" s="38" t="inlineStr">
        <is>
          <t>Shiny, Deadly, Fiery, Obsidian, Golden, Heavy, Icy, Mossy, Radiant, Restorative, Shielded, Toxic, Turbo</t>
        </is>
      </c>
      <c r="G317" s="38" t="inlineStr">
        <is>
          <t>输出/火；来源标签 package, medium, bronze, colt</t>
        </is>
      </c>
    </row>
    <row r="318">
      <c r="A318" s="38" t="inlineStr">
        <is>
          <t>pal_317</t>
        </is>
      </c>
      <c r="B318" s="38" t="inlineStr">
        <is>
          <t>库里中兽</t>
        </is>
      </c>
      <c r="C318" s="38" t="inlineStr">
        <is>
          <t>bz_van_317</t>
        </is>
      </c>
      <c r="D318" s="38" t="inlineStr">
        <is>
          <t>Shiny</t>
        </is>
      </c>
      <c r="E318" s="38" t="n">
        <v>13</v>
      </c>
      <c r="F318" s="38" t="inlineStr">
        <is>
          <t>Shiny, Deadly, Fiery, Obsidian, Golden, Heavy, Icy, Mossy, Radiant, Restorative, Shielded, Toxic, Turbo</t>
        </is>
      </c>
      <c r="G318" s="38" t="inlineStr">
        <is>
          <t>输出/龙；来源标签 package, medium, bronze, curio</t>
        </is>
      </c>
    </row>
    <row r="319">
      <c r="A319" s="38" t="inlineStr">
        <is>
          <t>pal_318</t>
        </is>
      </c>
      <c r="B319" s="38" t="inlineStr">
        <is>
          <t>库里小兽</t>
        </is>
      </c>
      <c r="C319" s="38" t="inlineStr">
        <is>
          <t>bz_van_318</t>
        </is>
      </c>
      <c r="D319" s="38" t="inlineStr">
        <is>
          <t>Heavy</t>
        </is>
      </c>
      <c r="E319" s="38" t="n">
        <v>13</v>
      </c>
      <c r="F319" s="38" t="inlineStr">
        <is>
          <t>Heavy, Deadly, Fiery, Obsidian, Golden, Icy, Mossy, Radiant, Restorative, Shielded, Shiny, Toxic, Turbo</t>
        </is>
      </c>
      <c r="G319" s="38" t="inlineStr">
        <is>
          <t>输出/无；来源标签 package, small, bronze, curio</t>
        </is>
      </c>
    </row>
    <row r="320">
      <c r="A320" s="38" t="inlineStr">
        <is>
          <t>pal_319</t>
        </is>
      </c>
      <c r="B320" s="38" t="inlineStr">
        <is>
          <t>库里大兽</t>
        </is>
      </c>
      <c r="C320" s="38" t="inlineStr">
        <is>
          <t>bz_van_319</t>
        </is>
      </c>
      <c r="D320" s="38" t="inlineStr">
        <is>
          <t>Shiny</t>
        </is>
      </c>
      <c r="E320" s="38" t="n">
        <v>13</v>
      </c>
      <c r="F320" s="38" t="inlineStr">
        <is>
          <t>Shiny, Deadly, Fiery, Obsidian, Golden, Heavy, Icy, Mossy, Radiant, Restorative, Shielded, Toxic, Turbo</t>
        </is>
      </c>
      <c r="G320" s="38" t="inlineStr">
        <is>
          <t>输出/水；来源标签 package, large, silver, curio</t>
        </is>
      </c>
    </row>
    <row r="321">
      <c r="A321" s="38" t="inlineStr">
        <is>
          <t>pal_320</t>
        </is>
      </c>
      <c r="B321" s="38" t="inlineStr">
        <is>
          <t>戈迪小兽</t>
        </is>
      </c>
      <c r="C321" s="38" t="inlineStr">
        <is>
          <t>bz_van_320</t>
        </is>
      </c>
      <c r="D321" s="38" t="inlineStr">
        <is>
          <t>Golden</t>
        </is>
      </c>
      <c r="E321" s="38" t="n">
        <v>13</v>
      </c>
      <c r="F321" s="38" t="inlineStr">
        <is>
          <t>Golden, Shiny, Radiant, Deadly, Fiery, Heavy, Icy, Mossy, Obsidian, Restorative, Shielded, Toxic, Turbo</t>
        </is>
      </c>
      <c r="G321" s="38" t="inlineStr">
        <is>
          <t>经济/草；来源标签 package, small, silver, goldie</t>
        </is>
      </c>
    </row>
    <row r="322">
      <c r="A322" s="38" t="inlineStr">
        <is>
          <t>pal_321</t>
        </is>
      </c>
      <c r="B322" s="38" t="inlineStr">
        <is>
          <t>戈迪中兽</t>
        </is>
      </c>
      <c r="C322" s="38" t="inlineStr">
        <is>
          <t>bz_van_321</t>
        </is>
      </c>
      <c r="D322" s="38" t="inlineStr">
        <is>
          <t>Golden</t>
        </is>
      </c>
      <c r="E322" s="38" t="n">
        <v>13</v>
      </c>
      <c r="F322" s="38" t="inlineStr">
        <is>
          <t>Golden, Shiny, Radiant, Deadly, Fiery, Heavy, Icy, Mossy, Obsidian, Restorative, Shielded, Toxic, Turbo</t>
        </is>
      </c>
      <c r="G322" s="38" t="inlineStr">
        <is>
          <t>经济/龙；来源标签 package, medium, silver, goldie</t>
        </is>
      </c>
    </row>
    <row r="323">
      <c r="A323" s="38" t="inlineStr">
        <is>
          <t>pal_322</t>
        </is>
      </c>
      <c r="B323" s="38" t="inlineStr">
        <is>
          <t>戈迪大兽</t>
        </is>
      </c>
      <c r="C323" s="38" t="inlineStr">
        <is>
          <t>bz_van_322</t>
        </is>
      </c>
      <c r="D323" s="38" t="inlineStr">
        <is>
          <t>Golden</t>
        </is>
      </c>
      <c r="E323" s="38" t="n">
        <v>13</v>
      </c>
      <c r="F323" s="38" t="inlineStr">
        <is>
          <t>Golden, Shiny, Radiant, Deadly, Fiery, Heavy, Icy, Mossy, Obsidian, Restorative, Shielded, Toxic, Turbo</t>
        </is>
      </c>
      <c r="G323" s="38" t="inlineStr">
        <is>
          <t>经济/龙；来源标签 package, large, silver, goldie</t>
        </is>
      </c>
    </row>
    <row r="324">
      <c r="A324" s="38" t="inlineStr">
        <is>
          <t>pal_323</t>
        </is>
      </c>
      <c r="B324" s="38" t="inlineStr">
        <is>
          <t>托克大兽</t>
        </is>
      </c>
      <c r="C324" s="38" t="inlineStr">
        <is>
          <t>bz_van_323</t>
        </is>
      </c>
      <c r="D324" s="38" t="inlineStr">
        <is>
          <t>Shiny</t>
        </is>
      </c>
      <c r="E324" s="38" t="n">
        <v>13</v>
      </c>
      <c r="F324" s="38" t="inlineStr">
        <is>
          <t>Shiny, Deadly, Fiery, Obsidian, Golden, Heavy, Icy, Mossy, Radiant, Restorative, Shielded, Toxic, Turbo</t>
        </is>
      </c>
      <c r="G324" s="38" t="inlineStr">
        <is>
          <t>输出/水；来源标签 package, large, silver, tok-s-clocks</t>
        </is>
      </c>
    </row>
    <row r="325">
      <c r="A325" s="38" t="inlineStr">
        <is>
          <t>pal_324</t>
        </is>
      </c>
      <c r="B325" s="38" t="inlineStr">
        <is>
          <t>托克中兽</t>
        </is>
      </c>
      <c r="C325" s="38" t="inlineStr">
        <is>
          <t>bz_van_324</t>
        </is>
      </c>
      <c r="D325" s="38" t="inlineStr">
        <is>
          <t>Shiny</t>
        </is>
      </c>
      <c r="E325" s="38" t="n">
        <v>13</v>
      </c>
      <c r="F325" s="38" t="inlineStr">
        <is>
          <t>Shiny, Deadly, Fiery, Obsidian, Golden, Heavy, Icy, Mossy, Radiant, Restorative, Shielded, Toxic, Turbo</t>
        </is>
      </c>
      <c r="G325" s="38" t="inlineStr">
        <is>
          <t>输出/地；来源标签 package, medium, silver, tok-s-clocks</t>
        </is>
      </c>
    </row>
    <row r="326">
      <c r="A326" s="38" t="inlineStr">
        <is>
          <t>pal_325</t>
        </is>
      </c>
      <c r="B326" s="38" t="inlineStr">
        <is>
          <t>托克小兽</t>
        </is>
      </c>
      <c r="C326" s="38" t="inlineStr">
        <is>
          <t>bz_van_325</t>
        </is>
      </c>
      <c r="D326" s="38" t="inlineStr">
        <is>
          <t>Heavy</t>
        </is>
      </c>
      <c r="E326" s="38" t="n">
        <v>13</v>
      </c>
      <c r="F326" s="38" t="inlineStr">
        <is>
          <t>Heavy, Deadly, Fiery, Obsidian, Golden, Icy, Mossy, Radiant, Restorative, Shielded, Shiny, Toxic, Turbo</t>
        </is>
      </c>
      <c r="G326" s="38" t="inlineStr">
        <is>
          <t>输出/水；来源标签 package, small, bronze, tok-s-clocks</t>
        </is>
      </c>
    </row>
    <row r="327">
      <c r="A327" s="38" t="inlineStr">
        <is>
          <t>pal_326</t>
        </is>
      </c>
      <c r="B327" s="38" t="inlineStr">
        <is>
          <t>谢尔小兽</t>
        </is>
      </c>
      <c r="C327" s="38" t="inlineStr">
        <is>
          <t>bz_van_326</t>
        </is>
      </c>
      <c r="D327" s="38" t="inlineStr">
        <is>
          <t>Shiny</t>
        </is>
      </c>
      <c r="E327" s="38" t="n">
        <v>13</v>
      </c>
      <c r="F327" s="38" t="inlineStr">
        <is>
          <t>Shiny, Deadly, Fiery, Obsidian, Golden, Heavy, Icy, Mossy, Radiant, Restorative, Shielded, Toxic, Turbo</t>
        </is>
      </c>
      <c r="G327" s="38" t="inlineStr">
        <is>
          <t>输出/草；来源标签 package, small, bronze, shelter-shelby</t>
        </is>
      </c>
    </row>
    <row r="328">
      <c r="A328" s="38" t="inlineStr">
        <is>
          <t>pal_327</t>
        </is>
      </c>
      <c r="B328" s="38" t="inlineStr">
        <is>
          <t>谢尔中兽</t>
        </is>
      </c>
      <c r="C328" s="38" t="inlineStr">
        <is>
          <t>bz_van_327</t>
        </is>
      </c>
      <c r="D328" s="38" t="inlineStr">
        <is>
          <t>Shiny</t>
        </is>
      </c>
      <c r="E328" s="38" t="n">
        <v>13</v>
      </c>
      <c r="F328" s="38" t="inlineStr">
        <is>
          <t>Shiny, Deadly, Fiery, Obsidian, Golden, Heavy, Icy, Mossy, Radiant, Restorative, Shielded, Toxic, Turbo</t>
        </is>
      </c>
      <c r="G328" s="38" t="inlineStr">
        <is>
          <t>输出/暗；来源标签 package, medium, silver, shelter-shelby</t>
        </is>
      </c>
    </row>
    <row r="329">
      <c r="A329" s="38" t="inlineStr">
        <is>
          <t>pal_328</t>
        </is>
      </c>
      <c r="B329" s="38" t="inlineStr">
        <is>
          <t>谢尔大兽</t>
        </is>
      </c>
      <c r="C329" s="38" t="inlineStr">
        <is>
          <t>bz_van_328</t>
        </is>
      </c>
      <c r="D329" s="38" t="inlineStr">
        <is>
          <t>Golden</t>
        </is>
      </c>
      <c r="E329" s="38" t="n">
        <v>13</v>
      </c>
      <c r="F329" s="38" t="inlineStr">
        <is>
          <t>Golden, Shiny, Radiant, Deadly, Fiery, Heavy, Icy, Mossy, Obsidian, Restorative, Shielded, Toxic, Turbo</t>
        </is>
      </c>
      <c r="G329" s="38" t="inlineStr">
        <is>
          <t>经济/龙；来源标签 package, large, silver, shelter-shelby</t>
        </is>
      </c>
    </row>
    <row r="330">
      <c r="A330" s="38" t="inlineStr">
        <is>
          <t>pal_329</t>
        </is>
      </c>
      <c r="B330" s="38" t="inlineStr">
        <is>
          <t>杰杰大兽</t>
        </is>
      </c>
      <c r="C330" s="38" t="inlineStr">
        <is>
          <t>bz_van_329</t>
        </is>
      </c>
      <c r="D330" s="38" t="inlineStr">
        <is>
          <t>Heavy</t>
        </is>
      </c>
      <c r="E330" s="38" t="n">
        <v>13</v>
      </c>
      <c r="F330" s="38" t="inlineStr">
        <is>
          <t>Heavy, Deadly, Fiery, Obsidian, Golden, Icy, Mossy, Radiant, Restorative, Shielded, Shiny, Toxic, Turbo</t>
        </is>
      </c>
      <c r="G330" s="38" t="inlineStr">
        <is>
          <t>输出/火；来源标签 package, large, silver, jay-jay</t>
        </is>
      </c>
    </row>
    <row r="331">
      <c r="A331" s="38" t="inlineStr">
        <is>
          <t>pal_330</t>
        </is>
      </c>
      <c r="B331" s="38" t="inlineStr">
        <is>
          <t>杰杰中兽</t>
        </is>
      </c>
      <c r="C331" s="38" t="inlineStr">
        <is>
          <t>bz_van_330</t>
        </is>
      </c>
      <c r="D331" s="38" t="inlineStr">
        <is>
          <t>Shiny</t>
        </is>
      </c>
      <c r="E331" s="38" t="n">
        <v>13</v>
      </c>
      <c r="F331" s="38" t="inlineStr">
        <is>
          <t>Shiny, Deadly, Fiery, Obsidian, Golden, Heavy, Icy, Mossy, Radiant, Restorative, Shielded, Toxic, Turbo</t>
        </is>
      </c>
      <c r="G331" s="38" t="inlineStr">
        <is>
          <t>输出/地；来源标签 package, medium, bronze, jay-jay</t>
        </is>
      </c>
    </row>
    <row r="332">
      <c r="A332" s="38" t="inlineStr">
        <is>
          <t>pal_331</t>
        </is>
      </c>
      <c r="B332" s="38" t="inlineStr">
        <is>
          <t>橡君大兽</t>
        </is>
      </c>
      <c r="C332" s="38" t="inlineStr">
        <is>
          <t>bz_van_331</t>
        </is>
      </c>
      <c r="D332" s="38" t="inlineStr">
        <is>
          <t>Heavy</t>
        </is>
      </c>
      <c r="E332" s="38" t="n">
        <v>13</v>
      </c>
      <c r="F332" s="38" t="inlineStr">
        <is>
          <t>Heavy, Deadly, Fiery, Obsidian, Golden, Icy, Mossy, Radiant, Restorative, Shielded, Shiny, Toxic, Turbo</t>
        </is>
      </c>
      <c r="G332" s="38" t="inlineStr">
        <is>
          <t>输出/草；来源标签 package, large, silver, lord-oak</t>
        </is>
      </c>
    </row>
    <row r="333">
      <c r="A333" s="38" t="inlineStr">
        <is>
          <t>pal_332</t>
        </is>
      </c>
      <c r="B333" s="38" t="inlineStr">
        <is>
          <t>橡君小兽</t>
        </is>
      </c>
      <c r="C333" s="38" t="inlineStr">
        <is>
          <t>bz_van_332</t>
        </is>
      </c>
      <c r="D333" s="38" t="inlineStr">
        <is>
          <t>Shiny</t>
        </is>
      </c>
      <c r="E333" s="38" t="n">
        <v>13</v>
      </c>
      <c r="F333" s="38" t="inlineStr">
        <is>
          <t>Shiny, Deadly, Fiery, Obsidian, Golden, Heavy, Icy, Mossy, Radiant, Restorative, Shielded, Toxic, Turbo</t>
        </is>
      </c>
      <c r="G333" s="38" t="inlineStr">
        <is>
          <t>输出/龙；来源标签 package, small, bronze, lord-oak</t>
        </is>
      </c>
    </row>
    <row r="334">
      <c r="A334" s="38" t="inlineStr">
        <is>
          <t>pal_333</t>
        </is>
      </c>
      <c r="B334" s="38" t="inlineStr">
        <is>
          <t>橡君中兽</t>
        </is>
      </c>
      <c r="C334" s="38" t="inlineStr">
        <is>
          <t>bz_van_333</t>
        </is>
      </c>
      <c r="D334" s="38" t="inlineStr">
        <is>
          <t>Shiny</t>
        </is>
      </c>
      <c r="E334" s="38" t="n">
        <v>13</v>
      </c>
      <c r="F334" s="38" t="inlineStr">
        <is>
          <t>Shiny, Deadly, Fiery, Obsidian, Golden, Heavy, Icy, Mossy, Radiant, Restorative, Shielded, Toxic, Turbo</t>
        </is>
      </c>
      <c r="G334" s="38" t="inlineStr">
        <is>
          <t>输出/水；来源标签 package, medium, bronze, lord-oak</t>
        </is>
      </c>
    </row>
    <row r="335">
      <c r="A335" s="38" t="inlineStr">
        <is>
          <t>pal_334</t>
        </is>
      </c>
      <c r="B335" s="38" t="inlineStr">
        <is>
          <t>波尔小兽</t>
        </is>
      </c>
      <c r="C335" s="38" t="inlineStr">
        <is>
          <t>bz_van_334</t>
        </is>
      </c>
      <c r="D335" s="38" t="inlineStr">
        <is>
          <t>Golden</t>
        </is>
      </c>
      <c r="E335" s="38" t="n">
        <v>13</v>
      </c>
      <c r="F335" s="38" t="inlineStr">
        <is>
          <t>Golden, Shiny, Radiant, Deadly, Fiery, Heavy, Icy, Mossy, Obsidian, Restorative, Shielded, Toxic, Turbo</t>
        </is>
      </c>
      <c r="G335" s="38" t="inlineStr">
        <is>
          <t>经济/水；来源标签 package, small, gold, pol</t>
        </is>
      </c>
    </row>
    <row r="336">
      <c r="A336" s="38" t="inlineStr">
        <is>
          <t>pal_335</t>
        </is>
      </c>
      <c r="B336" s="38" t="inlineStr">
        <is>
          <t>波尔大兽</t>
        </is>
      </c>
      <c r="C336" s="38" t="inlineStr">
        <is>
          <t>bz_van_335</t>
        </is>
      </c>
      <c r="D336" s="38" t="inlineStr">
        <is>
          <t>Heavy</t>
        </is>
      </c>
      <c r="E336" s="38" t="n">
        <v>13</v>
      </c>
      <c r="F336" s="38" t="inlineStr">
        <is>
          <t>Heavy, Deadly, Fiery, Obsidian, Golden, Icy, Mossy, Radiant, Restorative, Shielded, Shiny, Toxic, Turbo</t>
        </is>
      </c>
      <c r="G336" s="38" t="inlineStr">
        <is>
          <t>输出/水；来源标签 package, large, silver, pol</t>
        </is>
      </c>
    </row>
    <row r="337">
      <c r="A337" s="38" t="inlineStr">
        <is>
          <t>pal_336</t>
        </is>
      </c>
      <c r="B337" s="38" t="inlineStr">
        <is>
          <t>波尔中兽</t>
        </is>
      </c>
      <c r="C337" s="38" t="inlineStr">
        <is>
          <t>bz_van_336</t>
        </is>
      </c>
      <c r="D337" s="38" t="inlineStr">
        <is>
          <t>Golden</t>
        </is>
      </c>
      <c r="E337" s="38" t="n">
        <v>13</v>
      </c>
      <c r="F337" s="38" t="inlineStr">
        <is>
          <t>Golden, Shiny, Radiant, Deadly, Fiery, Heavy, Icy, Mossy, Obsidian, Restorative, Shielded, Toxic, Turbo</t>
        </is>
      </c>
      <c r="G337" s="38" t="inlineStr">
        <is>
          <t>经济/龙；来源标签 package, medium, gold, pol</t>
        </is>
      </c>
    </row>
    <row r="338">
      <c r="A338" s="38" t="inlineStr">
        <is>
          <t>pal_337</t>
        </is>
      </c>
      <c r="B338" s="38" t="inlineStr">
        <is>
          <t>试家大兽</t>
        </is>
      </c>
      <c r="C338" s="38" t="inlineStr">
        <is>
          <t>bz_van_337</t>
        </is>
      </c>
      <c r="D338" s="38" t="inlineStr">
        <is>
          <t>Heavy</t>
        </is>
      </c>
      <c r="E338" s="38" t="n">
        <v>13</v>
      </c>
      <c r="F338" s="38" t="inlineStr">
        <is>
          <t>Heavy, Deadly, Fiery, Obsidian, Golden, Icy, Mossy, Radiant, Restorative, Shielded, Shiny, Toxic, Turbo</t>
        </is>
      </c>
      <c r="G338" s="38" t="inlineStr">
        <is>
          <t>输出/冰；来源标签 package, large, silver, the-tester</t>
        </is>
      </c>
    </row>
    <row r="339">
      <c r="A339" s="38" t="inlineStr">
        <is>
          <t>pal_338</t>
        </is>
      </c>
      <c r="B339" s="38" t="inlineStr">
        <is>
          <t>试家中兽</t>
        </is>
      </c>
      <c r="C339" s="38" t="inlineStr">
        <is>
          <t>bz_van_338</t>
        </is>
      </c>
      <c r="D339" s="38" t="inlineStr">
        <is>
          <t>Heavy</t>
        </is>
      </c>
      <c r="E339" s="38" t="n">
        <v>13</v>
      </c>
      <c r="F339" s="38" t="inlineStr">
        <is>
          <t>Heavy, Deadly, Fiery, Obsidian, Golden, Icy, Mossy, Radiant, Restorative, Shielded, Shiny, Toxic, Turbo</t>
        </is>
      </c>
      <c r="G339" s="38" t="inlineStr">
        <is>
          <t>输出/无；来源标签 package, medium, silver, the-tester</t>
        </is>
      </c>
    </row>
    <row r="340">
      <c r="A340" s="38" t="inlineStr">
        <is>
          <t>pal_339</t>
        </is>
      </c>
      <c r="B340" s="38" t="inlineStr">
        <is>
          <t>试家小兽</t>
        </is>
      </c>
      <c r="C340" s="38" t="inlineStr">
        <is>
          <t>bz_van_339</t>
        </is>
      </c>
      <c r="D340" s="38" t="inlineStr">
        <is>
          <t>Shiny</t>
        </is>
      </c>
      <c r="E340" s="38" t="n">
        <v>13</v>
      </c>
      <c r="F340" s="38" t="inlineStr">
        <is>
          <t>Shiny, Deadly, Fiery, Obsidian, Golden, Heavy, Icy, Mossy, Radiant, Restorative, Shielded, Toxic, Turbo</t>
        </is>
      </c>
      <c r="G340" s="38" t="inlineStr">
        <is>
          <t>输出/草；来源标签 package, small, silver, the-tester</t>
        </is>
      </c>
    </row>
    <row r="341">
      <c r="A341" s="38" t="inlineStr">
        <is>
          <t>pal_340</t>
        </is>
      </c>
      <c r="B341" s="38" t="inlineStr">
        <is>
          <t>爱拉中兽</t>
        </is>
      </c>
      <c r="C341" s="38" t="inlineStr">
        <is>
          <t>bz_van_340</t>
        </is>
      </c>
      <c r="D341" s="38" t="inlineStr">
        <is>
          <t>Heavy</t>
        </is>
      </c>
      <c r="E341" s="38" t="n">
        <v>13</v>
      </c>
      <c r="F341" s="38" t="inlineStr">
        <is>
          <t>Heavy, Deadly, Fiery, Obsidian, Golden, Icy, Mossy, Radiant, Restorative, Shielded, Shiny, Toxic, Turbo</t>
        </is>
      </c>
      <c r="G341" s="38" t="inlineStr">
        <is>
          <t>输出/龙；来源标签 package, medium, bronze, aila</t>
        </is>
      </c>
    </row>
    <row r="342">
      <c r="A342" s="38" t="inlineStr">
        <is>
          <t>pal_341</t>
        </is>
      </c>
      <c r="B342" s="38" t="inlineStr">
        <is>
          <t>爱拉大兽</t>
        </is>
      </c>
      <c r="C342" s="38" t="inlineStr">
        <is>
          <t>bz_van_341</t>
        </is>
      </c>
      <c r="D342" s="38" t="inlineStr">
        <is>
          <t>Heavy</t>
        </is>
      </c>
      <c r="E342" s="38" t="n">
        <v>13</v>
      </c>
      <c r="F342" s="38" t="inlineStr">
        <is>
          <t>Heavy, Deadly, Fiery, Obsidian, Golden, Icy, Mossy, Radiant, Restorative, Shielded, Shiny, Toxic, Turbo</t>
        </is>
      </c>
      <c r="G342" s="38" t="inlineStr">
        <is>
          <t>输出/冰；来源标签 package, large, silver, aila</t>
        </is>
      </c>
    </row>
    <row r="343">
      <c r="A343" s="38" t="inlineStr">
        <is>
          <t>pal_342</t>
        </is>
      </c>
      <c r="B343" s="38" t="inlineStr">
        <is>
          <t>爱拉小兽</t>
        </is>
      </c>
      <c r="C343" s="38" t="inlineStr">
        <is>
          <t>bz_van_342</t>
        </is>
      </c>
      <c r="D343" s="38" t="inlineStr">
        <is>
          <t>Heavy</t>
        </is>
      </c>
      <c r="E343" s="38" t="n">
        <v>13</v>
      </c>
      <c r="F343" s="38" t="inlineStr">
        <is>
          <t>Heavy, Deadly, Fiery, Obsidian, Golden, Icy, Mossy, Radiant, Restorative, Shielded, Shiny, Toxic, Turbo</t>
        </is>
      </c>
      <c r="G343" s="38" t="inlineStr">
        <is>
          <t>输出/冰；来源标签 package, small, bronze, aila</t>
        </is>
      </c>
    </row>
    <row r="344">
      <c r="A344" s="38" t="inlineStr">
        <is>
          <t>pal_343</t>
        </is>
      </c>
      <c r="B344" s="38" t="inlineStr">
        <is>
          <t>瓦尔大兽</t>
        </is>
      </c>
      <c r="C344" s="38" t="inlineStr">
        <is>
          <t>bz_van_343</t>
        </is>
      </c>
      <c r="D344" s="38" t="inlineStr">
        <is>
          <t>Shiny</t>
        </is>
      </c>
      <c r="E344" s="38" t="n">
        <v>13</v>
      </c>
      <c r="F344" s="38" t="inlineStr">
        <is>
          <t>Shiny, Deadly, Fiery, Obsidian, Golden, Heavy, Icy, Mossy, Radiant, Restorative, Shielded, Toxic, Turbo</t>
        </is>
      </c>
      <c r="G344" s="38" t="inlineStr">
        <is>
          <t>输出/地；来源标签 package, large, silver, valpak</t>
        </is>
      </c>
    </row>
    <row r="345">
      <c r="A345" s="38" t="inlineStr">
        <is>
          <t>pal_344</t>
        </is>
      </c>
      <c r="B345" s="38" t="inlineStr">
        <is>
          <t>瓦尔小兽</t>
        </is>
      </c>
      <c r="C345" s="38" t="inlineStr">
        <is>
          <t>bz_van_344</t>
        </is>
      </c>
      <c r="D345" s="38" t="inlineStr">
        <is>
          <t>Heavy</t>
        </is>
      </c>
      <c r="E345" s="38" t="n">
        <v>13</v>
      </c>
      <c r="F345" s="38" t="inlineStr">
        <is>
          <t>Heavy, Deadly, Fiery, Obsidian, Golden, Icy, Mossy, Radiant, Restorative, Shielded, Shiny, Toxic, Turbo</t>
        </is>
      </c>
      <c r="G345" s="38" t="inlineStr">
        <is>
          <t>输出/火；来源标签 package, small, bronze, valpak</t>
        </is>
      </c>
    </row>
    <row r="346">
      <c r="A346" s="38" t="inlineStr">
        <is>
          <t>pal_345</t>
        </is>
      </c>
      <c r="B346" s="38" t="inlineStr">
        <is>
          <t>瓦尔中兽</t>
        </is>
      </c>
      <c r="C346" s="38" t="inlineStr">
        <is>
          <t>bz_van_345</t>
        </is>
      </c>
      <c r="D346" s="38" t="inlineStr">
        <is>
          <t>Shiny</t>
        </is>
      </c>
      <c r="E346" s="38" t="n">
        <v>13</v>
      </c>
      <c r="F346" s="38" t="inlineStr">
        <is>
          <t>Shiny, Deadly, Fiery, Obsidian, Golden, Heavy, Icy, Mossy, Radiant, Restorative, Shielded, Toxic, Turbo</t>
        </is>
      </c>
      <c r="G346" s="38" t="inlineStr">
        <is>
          <t>输出/火；来源标签 package, medium, bronze, valpak</t>
        </is>
      </c>
    </row>
    <row r="347">
      <c r="A347" s="38" t="inlineStr">
        <is>
          <t>pal_346</t>
        </is>
      </c>
      <c r="B347" s="38" t="inlineStr">
        <is>
          <t>米兹中兽</t>
        </is>
      </c>
      <c r="C347" s="38" t="inlineStr">
        <is>
          <t>bz_van_346</t>
        </is>
      </c>
      <c r="D347" s="38" t="inlineStr">
        <is>
          <t>Shiny</t>
        </is>
      </c>
      <c r="E347" s="38" t="n">
        <v>13</v>
      </c>
      <c r="F347" s="38" t="inlineStr">
        <is>
          <t>Shiny, Deadly, Fiery, Obsidian, Golden, Heavy, Icy, Mossy, Radiant, Restorative, Shielded, Toxic, Turbo</t>
        </is>
      </c>
      <c r="G347" s="38" t="inlineStr">
        <is>
          <t>输出/水；来源标签 package, medium, bronze, midsworth</t>
        </is>
      </c>
    </row>
    <row r="348">
      <c r="A348" s="38" t="inlineStr">
        <is>
          <t>pal_347</t>
        </is>
      </c>
      <c r="B348" s="38" t="inlineStr">
        <is>
          <t>米兹大兽</t>
        </is>
      </c>
      <c r="C348" s="38" t="inlineStr">
        <is>
          <t>bz_van_347</t>
        </is>
      </c>
      <c r="D348" s="38" t="inlineStr">
        <is>
          <t>Shiny</t>
        </is>
      </c>
      <c r="E348" s="38" t="n">
        <v>13</v>
      </c>
      <c r="F348" s="38" t="inlineStr">
        <is>
          <t>Shiny, Deadly, Fiery, Obsidian, Golden, Heavy, Icy, Mossy, Radiant, Restorative, Shielded, Toxic, Turbo</t>
        </is>
      </c>
      <c r="G348" s="38" t="inlineStr">
        <is>
          <t>输出/地；来源标签 package, large, silver, midsworth</t>
        </is>
      </c>
    </row>
    <row r="349">
      <c r="A349" s="38" t="inlineStr">
        <is>
          <t>pal_348</t>
        </is>
      </c>
      <c r="B349" s="38" t="inlineStr">
        <is>
          <t>米兹小兽</t>
        </is>
      </c>
      <c r="C349" s="38" t="inlineStr">
        <is>
          <t>bz_van_348</t>
        </is>
      </c>
      <c r="D349" s="38" t="inlineStr">
        <is>
          <t>Shiny</t>
        </is>
      </c>
      <c r="E349" s="38" t="n">
        <v>13</v>
      </c>
      <c r="F349" s="38" t="inlineStr">
        <is>
          <t>Shiny, Deadly, Fiery, Obsidian, Golden, Heavy, Icy, Mossy, Radiant, Restorative, Shielded, Toxic, Turbo</t>
        </is>
      </c>
      <c r="G349" s="38" t="inlineStr">
        <is>
          <t>输出/地；来源标签 package, small, bronze, midsworth</t>
        </is>
      </c>
    </row>
    <row r="350">
      <c r="A350" s="38" t="inlineStr">
        <is>
          <t>pal_349</t>
        </is>
      </c>
      <c r="B350" s="38" t="inlineStr">
        <is>
          <t>米透小兽</t>
        </is>
      </c>
      <c r="C350" s="38" t="inlineStr">
        <is>
          <t>bz_van_349</t>
        </is>
      </c>
      <c r="D350" s="38" t="inlineStr">
        <is>
          <t>Shiny</t>
        </is>
      </c>
      <c r="E350" s="38" t="n">
        <v>13</v>
      </c>
      <c r="F350" s="38" t="inlineStr">
        <is>
          <t>Shiny, Deadly, Fiery, Obsidian, Golden, Heavy, Icy, Mossy, Radiant, Restorative, Shielded, Toxic, Turbo</t>
        </is>
      </c>
      <c r="G350" s="38" t="inlineStr">
        <is>
          <t>输出/无；来源标签 package, small, bronze, mittel</t>
        </is>
      </c>
    </row>
    <row r="351">
      <c r="A351" s="38" t="inlineStr">
        <is>
          <t>pal_350</t>
        </is>
      </c>
      <c r="B351" s="38" t="inlineStr">
        <is>
          <t>米透大兽</t>
        </is>
      </c>
      <c r="C351" s="38" t="inlineStr">
        <is>
          <t>bz_van_350</t>
        </is>
      </c>
      <c r="D351" s="38" t="inlineStr">
        <is>
          <t>Heavy</t>
        </is>
      </c>
      <c r="E351" s="38" t="n">
        <v>13</v>
      </c>
      <c r="F351" s="38" t="inlineStr">
        <is>
          <t>Heavy, Deadly, Fiery, Obsidian, Golden, Icy, Mossy, Radiant, Restorative, Shielded, Shiny, Toxic, Turbo</t>
        </is>
      </c>
      <c r="G351" s="38" t="inlineStr">
        <is>
          <t>输出/无；来源标签 package, large, silver, mittel</t>
        </is>
      </c>
    </row>
    <row r="352">
      <c r="A352" s="38" t="inlineStr">
        <is>
          <t>pal_351</t>
        </is>
      </c>
      <c r="B352" s="38" t="inlineStr">
        <is>
          <t>米透中兽</t>
        </is>
      </c>
      <c r="C352" s="38" t="inlineStr">
        <is>
          <t>bz_van_351</t>
        </is>
      </c>
      <c r="D352" s="38" t="inlineStr">
        <is>
          <t>Shiny</t>
        </is>
      </c>
      <c r="E352" s="38" t="n">
        <v>13</v>
      </c>
      <c r="F352" s="38" t="inlineStr">
        <is>
          <t>Shiny, Deadly, Fiery, Obsidian, Golden, Heavy, Icy, Mossy, Radiant, Restorative, Shielded, Toxic, Turbo</t>
        </is>
      </c>
      <c r="G352" s="38" t="inlineStr">
        <is>
          <t>输出/水；来源标签 package, medium, silver, mittel</t>
        </is>
      </c>
    </row>
    <row r="353">
      <c r="A353" s="38" t="inlineStr">
        <is>
          <t>pal_352</t>
        </is>
      </c>
      <c r="B353" s="38" t="inlineStr">
        <is>
          <t>自瞄大兽</t>
        </is>
      </c>
      <c r="C353" s="38" t="inlineStr">
        <is>
          <t>bz_van_352</t>
        </is>
      </c>
      <c r="D353" s="38" t="inlineStr">
        <is>
          <t>Shiny</t>
        </is>
      </c>
      <c r="E353" s="38" t="n">
        <v>13</v>
      </c>
      <c r="F353" s="38" t="inlineStr">
        <is>
          <t>Shiny, Deadly, Fiery, Obsidian, Golden, Heavy, Icy, Mossy, Radiant, Restorative, Shielded, Toxic, Turbo</t>
        </is>
      </c>
      <c r="G353" s="38" t="inlineStr">
        <is>
          <t>输出/水；来源标签 package, large, silver, aimbot</t>
        </is>
      </c>
    </row>
    <row r="354">
      <c r="A354" s="38" t="inlineStr">
        <is>
          <t>pal_353</t>
        </is>
      </c>
      <c r="B354" s="38" t="inlineStr">
        <is>
          <t>自瞄中兽</t>
        </is>
      </c>
      <c r="C354" s="38" t="inlineStr">
        <is>
          <t>bz_van_353</t>
        </is>
      </c>
      <c r="D354" s="38" t="inlineStr">
        <is>
          <t>Shiny</t>
        </is>
      </c>
      <c r="E354" s="38" t="n">
        <v>13</v>
      </c>
      <c r="F354" s="38" t="inlineStr">
        <is>
          <t>Shiny, Deadly, Fiery, Obsidian, Golden, Heavy, Icy, Mossy, Radiant, Restorative, Shielded, Toxic, Turbo</t>
        </is>
      </c>
      <c r="G354" s="38" t="inlineStr">
        <is>
          <t>输出/地；来源标签 package, medium, silver, aimbot</t>
        </is>
      </c>
    </row>
    <row r="355">
      <c r="A355" s="38" t="inlineStr">
        <is>
          <t>pal_354</t>
        </is>
      </c>
      <c r="B355" s="38" t="inlineStr">
        <is>
          <t>自瞄小兽</t>
        </is>
      </c>
      <c r="C355" s="38" t="inlineStr">
        <is>
          <t>bz_van_354</t>
        </is>
      </c>
      <c r="D355" s="38" t="inlineStr">
        <is>
          <t>Heavy</t>
        </is>
      </c>
      <c r="E355" s="38" t="n">
        <v>13</v>
      </c>
      <c r="F355" s="38" t="inlineStr">
        <is>
          <t>Heavy, Deadly, Fiery, Obsidian, Golden, Icy, Mossy, Radiant, Restorative, Shielded, Shiny, Toxic, Turbo</t>
        </is>
      </c>
      <c r="G355" s="38" t="inlineStr">
        <is>
          <t>输出/水；来源标签 package, small, silver, aimbot</t>
        </is>
      </c>
    </row>
    <row r="356">
      <c r="A356" s="38" t="inlineStr">
        <is>
          <t>pal_355</t>
        </is>
      </c>
      <c r="B356" s="38" t="inlineStr">
        <is>
          <t>葵仙中兽</t>
        </is>
      </c>
      <c r="C356" s="38" t="inlineStr">
        <is>
          <t>bz_van_355</t>
        </is>
      </c>
      <c r="D356" s="38" t="inlineStr">
        <is>
          <t>Heavy</t>
        </is>
      </c>
      <c r="E356" s="38" t="n">
        <v>13</v>
      </c>
      <c r="F356" s="38" t="inlineStr">
        <is>
          <t>Heavy, Deadly, Fiery, Obsidian, Golden, Icy, Mossy, Radiant, Restorative, Shielded, Shiny, Toxic, Turbo</t>
        </is>
      </c>
      <c r="G356" s="38" t="inlineStr">
        <is>
          <t>输出/无；来源标签 package, medium, bronze, dryad</t>
        </is>
      </c>
    </row>
    <row r="357">
      <c r="A357" s="38" t="inlineStr">
        <is>
          <t>pal_356</t>
        </is>
      </c>
      <c r="B357" s="38" t="inlineStr">
        <is>
          <t>葵仙小兽</t>
        </is>
      </c>
      <c r="C357" s="38" t="inlineStr">
        <is>
          <t>bz_van_356</t>
        </is>
      </c>
      <c r="D357" s="38" t="inlineStr">
        <is>
          <t>Shiny</t>
        </is>
      </c>
      <c r="E357" s="38" t="n">
        <v>13</v>
      </c>
      <c r="F357" s="38" t="inlineStr">
        <is>
          <t>Shiny, Deadly, Fiery, Obsidian, Golden, Heavy, Icy, Mossy, Radiant, Restorative, Shielded, Toxic, Turbo</t>
        </is>
      </c>
      <c r="G357" s="38" t="inlineStr">
        <is>
          <t>输出/龙；来源标签 package, small, bronze, dryad</t>
        </is>
      </c>
    </row>
    <row r="358">
      <c r="A358" s="38" t="inlineStr">
        <is>
          <t>pal_357</t>
        </is>
      </c>
      <c r="B358" s="38" t="inlineStr">
        <is>
          <t>葵仙大兽</t>
        </is>
      </c>
      <c r="C358" s="38" t="inlineStr">
        <is>
          <t>bz_van_357</t>
        </is>
      </c>
      <c r="D358" s="38" t="inlineStr">
        <is>
          <t>Heavy</t>
        </is>
      </c>
      <c r="E358" s="38" t="n">
        <v>13</v>
      </c>
      <c r="F358" s="38" t="inlineStr">
        <is>
          <t>Heavy, Deadly, Fiery, Obsidian, Golden, Icy, Mossy, Radiant, Restorative, Shielded, Shiny, Toxic, Turbo</t>
        </is>
      </c>
      <c r="G358" s="38" t="inlineStr">
        <is>
          <t>输出/水；来源标签 package, large, silver, dryad</t>
        </is>
      </c>
    </row>
    <row r="359">
      <c r="A359" s="38" t="inlineStr">
        <is>
          <t>pal_358</t>
        </is>
      </c>
      <c r="B359" s="38" t="inlineStr">
        <is>
          <t>西尔小兽</t>
        </is>
      </c>
      <c r="C359" s="38" t="inlineStr">
        <is>
          <t>bz_van_358</t>
        </is>
      </c>
      <c r="D359" s="38" t="inlineStr">
        <is>
          <t>Heavy</t>
        </is>
      </c>
      <c r="E359" s="38" t="n">
        <v>13</v>
      </c>
      <c r="F359" s="38" t="inlineStr">
        <is>
          <t>Heavy, Deadly, Fiery, Obsidian, Golden, Icy, Mossy, Radiant, Restorative, Shielded, Shiny, Toxic, Turbo</t>
        </is>
      </c>
      <c r="G359" s="38" t="inlineStr">
        <is>
          <t>输出/暗；来源标签 package, small, bronze, silvia</t>
        </is>
      </c>
    </row>
    <row r="360">
      <c r="A360" s="38" t="inlineStr">
        <is>
          <t>pal_359</t>
        </is>
      </c>
      <c r="B360" s="38" t="inlineStr">
        <is>
          <t>西尔大兽</t>
        </is>
      </c>
      <c r="C360" s="38" t="inlineStr">
        <is>
          <t>bz_van_359</t>
        </is>
      </c>
      <c r="D360" s="38" t="inlineStr">
        <is>
          <t>Shiny</t>
        </is>
      </c>
      <c r="E360" s="38" t="n">
        <v>13</v>
      </c>
      <c r="F360" s="38" t="inlineStr">
        <is>
          <t>Shiny, Deadly, Fiery, Obsidian, Golden, Heavy, Icy, Mossy, Radiant, Restorative, Shielded, Toxic, Turbo</t>
        </is>
      </c>
      <c r="G360" s="38" t="inlineStr">
        <is>
          <t>输出/草；来源标签 package, large, silver, silvia</t>
        </is>
      </c>
    </row>
    <row r="361">
      <c r="A361" s="38" t="inlineStr">
        <is>
          <t>pal_360</t>
        </is>
      </c>
      <c r="B361" s="38" t="inlineStr">
        <is>
          <t>西尔中兽</t>
        </is>
      </c>
      <c r="C361" s="38" t="inlineStr">
        <is>
          <t>bz_van_360</t>
        </is>
      </c>
      <c r="D361" s="38" t="inlineStr">
        <is>
          <t>Heavy</t>
        </is>
      </c>
      <c r="E361" s="38" t="n">
        <v>13</v>
      </c>
      <c r="F361" s="38" t="inlineStr">
        <is>
          <t>Heavy, Deadly, Fiery, Obsidian, Golden, Icy, Mossy, Radiant, Restorative, Shielded, Shiny, Toxic, Turbo</t>
        </is>
      </c>
      <c r="G361" s="38" t="inlineStr">
        <is>
          <t>输出/暗；来源标签 package, medium, bronze, silvia</t>
        </is>
      </c>
    </row>
    <row r="362">
      <c r="A362" s="38" t="inlineStr">
        <is>
          <t>pal_361</t>
        </is>
      </c>
      <c r="B362" s="38" t="inlineStr">
        <is>
          <t>诺提中兽</t>
        </is>
      </c>
      <c r="C362" s="38" t="inlineStr">
        <is>
          <t>bz_van_361</t>
        </is>
      </c>
      <c r="D362" s="38" t="inlineStr">
        <is>
          <t>Shiny</t>
        </is>
      </c>
      <c r="E362" s="38" t="n">
        <v>13</v>
      </c>
      <c r="F362" s="38" t="inlineStr">
        <is>
          <t>Shiny, Deadly, Fiery, Obsidian, Golden, Heavy, Icy, Mossy, Radiant, Restorative, Shielded, Toxic, Turbo</t>
        </is>
      </c>
      <c r="G362" s="38" t="inlineStr">
        <is>
          <t>输出/草；来源标签 package, medium, bronze, nautica</t>
        </is>
      </c>
    </row>
    <row r="363">
      <c r="A363" s="38" t="inlineStr">
        <is>
          <t>pal_362</t>
        </is>
      </c>
      <c r="B363" s="38" t="inlineStr">
        <is>
          <t>诺提小兽</t>
        </is>
      </c>
      <c r="C363" s="38" t="inlineStr">
        <is>
          <t>bz_van_362</t>
        </is>
      </c>
      <c r="D363" s="38" t="inlineStr">
        <is>
          <t>Heavy</t>
        </is>
      </c>
      <c r="E363" s="38" t="n">
        <v>13</v>
      </c>
      <c r="F363" s="38" t="inlineStr">
        <is>
          <t>Heavy, Deadly, Fiery, Obsidian, Golden, Icy, Mossy, Radiant, Restorative, Shielded, Shiny, Toxic, Turbo</t>
        </is>
      </c>
      <c r="G363" s="38" t="inlineStr">
        <is>
          <t>输出/火；来源标签 package, small, bronze, nautica</t>
        </is>
      </c>
    </row>
    <row r="364">
      <c r="A364" s="38" t="inlineStr">
        <is>
          <t>pal_363</t>
        </is>
      </c>
      <c r="B364" s="38" t="inlineStr">
        <is>
          <t>诺提大兽</t>
        </is>
      </c>
      <c r="C364" s="38" t="inlineStr">
        <is>
          <t>bz_van_363</t>
        </is>
      </c>
      <c r="D364" s="38" t="inlineStr">
        <is>
          <t>Shiny</t>
        </is>
      </c>
      <c r="E364" s="38" t="n">
        <v>13</v>
      </c>
      <c r="F364" s="38" t="inlineStr">
        <is>
          <t>Shiny, Deadly, Fiery, Obsidian, Golden, Heavy, Icy, Mossy, Radiant, Restorative, Shielded, Toxic, Turbo</t>
        </is>
      </c>
      <c r="G364" s="38" t="inlineStr">
        <is>
          <t>输出/草；来源标签 package, large, silver, nautica</t>
        </is>
      </c>
    </row>
    <row r="365">
      <c r="A365" s="38" t="inlineStr">
        <is>
          <t>pal_364</t>
        </is>
      </c>
      <c r="B365" s="38" t="inlineStr">
        <is>
          <t>路克小兽</t>
        </is>
      </c>
      <c r="C365" s="38" t="inlineStr">
        <is>
          <t>bz_van_364</t>
        </is>
      </c>
      <c r="D365" s="38" t="inlineStr">
        <is>
          <t>Golden</t>
        </is>
      </c>
      <c r="E365" s="38" t="n">
        <v>13</v>
      </c>
      <c r="F365" s="38" t="inlineStr">
        <is>
          <t>Golden, Shiny, Radiant, Deadly, Fiery, Heavy, Icy, Mossy, Obsidian, Restorative, Shielded, Toxic, Turbo</t>
        </is>
      </c>
      <c r="G365" s="38" t="inlineStr">
        <is>
          <t>经济/暗；来源标签 package, small, gold, luxe</t>
        </is>
      </c>
    </row>
    <row r="366">
      <c r="A366" s="38" t="inlineStr">
        <is>
          <t>pal_365</t>
        </is>
      </c>
      <c r="B366" s="38" t="inlineStr">
        <is>
          <t>路克中兽</t>
        </is>
      </c>
      <c r="C366" s="38" t="inlineStr">
        <is>
          <t>bz_van_365</t>
        </is>
      </c>
      <c r="D366" s="38" t="inlineStr">
        <is>
          <t>Golden</t>
        </is>
      </c>
      <c r="E366" s="38" t="n">
        <v>13</v>
      </c>
      <c r="F366" s="38" t="inlineStr">
        <is>
          <t>Golden, Shiny, Radiant, Deadly, Fiery, Heavy, Icy, Mossy, Obsidian, Restorative, Shielded, Toxic, Turbo</t>
        </is>
      </c>
      <c r="G366" s="38" t="inlineStr">
        <is>
          <t>经济/草；来源标签 package, medium, gold, luxe</t>
        </is>
      </c>
    </row>
    <row r="367">
      <c r="A367" s="38" t="inlineStr">
        <is>
          <t>pal_366</t>
        </is>
      </c>
      <c r="B367" s="38" t="inlineStr">
        <is>
          <t>路克大兽</t>
        </is>
      </c>
      <c r="C367" s="38" t="inlineStr">
        <is>
          <t>bz_van_366</t>
        </is>
      </c>
      <c r="D367" s="38" t="inlineStr">
        <is>
          <t>Golden</t>
        </is>
      </c>
      <c r="E367" s="38" t="n">
        <v>13</v>
      </c>
      <c r="F367" s="38" t="inlineStr">
        <is>
          <t>Golden, Shiny, Radiant, Deadly, Fiery, Heavy, Icy, Mossy, Obsidian, Restorative, Shielded, Toxic, Turbo</t>
        </is>
      </c>
      <c r="G367" s="38" t="inlineStr">
        <is>
          <t>经济/水；来源标签 package, large, gold, luxe</t>
        </is>
      </c>
    </row>
    <row r="368">
      <c r="A368" s="38" t="inlineStr">
        <is>
          <t>pal_367</t>
        </is>
      </c>
      <c r="B368" s="38" t="inlineStr">
        <is>
          <t>针羽大兽</t>
        </is>
      </c>
      <c r="C368" s="38" t="inlineStr">
        <is>
          <t>bz_van_367</t>
        </is>
      </c>
      <c r="D368" s="38" t="inlineStr">
        <is>
          <t>Heavy</t>
        </is>
      </c>
      <c r="E368" s="38" t="n">
        <v>13</v>
      </c>
      <c r="F368" s="38" t="inlineStr">
        <is>
          <t>Heavy, Deadly, Fiery, Obsidian, Golden, Icy, Mossy, Radiant, Restorative, Shielded, Shiny, Toxic, Turbo</t>
        </is>
      </c>
      <c r="G368" s="38" t="inlineStr">
        <is>
          <t>输出/火；来源标签 package, large, silver, pinfeather</t>
        </is>
      </c>
    </row>
    <row r="369">
      <c r="A369" s="38" t="inlineStr">
        <is>
          <t>pal_368</t>
        </is>
      </c>
      <c r="B369" s="38" t="inlineStr">
        <is>
          <t>针羽小兽</t>
        </is>
      </c>
      <c r="C369" s="38" t="inlineStr">
        <is>
          <t>bz_van_368</t>
        </is>
      </c>
      <c r="D369" s="38" t="inlineStr">
        <is>
          <t>Shiny</t>
        </is>
      </c>
      <c r="E369" s="38" t="n">
        <v>13</v>
      </c>
      <c r="F369" s="38" t="inlineStr">
        <is>
          <t>Shiny, Deadly, Fiery, Obsidian, Golden, Heavy, Icy, Mossy, Radiant, Restorative, Shielded, Toxic, Turbo</t>
        </is>
      </c>
      <c r="G369" s="38" t="inlineStr">
        <is>
          <t>输出/冰；来源标签 package, small, silver, pinfeather</t>
        </is>
      </c>
    </row>
    <row r="370">
      <c r="A370" s="38" t="inlineStr">
        <is>
          <t>pal_369</t>
        </is>
      </c>
      <c r="B370" s="38" t="inlineStr">
        <is>
          <t>针羽中兽</t>
        </is>
      </c>
      <c r="C370" s="38" t="inlineStr">
        <is>
          <t>bz_van_369</t>
        </is>
      </c>
      <c r="D370" s="38" t="inlineStr">
        <is>
          <t>Heavy</t>
        </is>
      </c>
      <c r="E370" s="38" t="n">
        <v>13</v>
      </c>
      <c r="F370" s="38" t="inlineStr">
        <is>
          <t>Heavy, Deadly, Fiery, Obsidian, Golden, Icy, Mossy, Radiant, Restorative, Shielded, Shiny, Toxic, Turbo</t>
        </is>
      </c>
      <c r="G370" s="38" t="inlineStr">
        <is>
          <t>输出/无；来源标签 package, medium, silver, pinfeather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8" customWidth="1" style="439" min="1" max="1"/>
    <col width="16" customWidth="1" style="439" min="2" max="2"/>
    <col width="16" customWidth="1" style="439" min="3" max="3"/>
    <col width="16" customWidth="1" style="439" min="4" max="4"/>
  </cols>
  <sheetData>
    <row r="1" ht="32" customHeight="1" s="439">
      <c r="A1" s="240" t="inlineStr">
        <is>
          <t>检查项</t>
        </is>
      </c>
      <c r="B1" s="240" t="inlineStr">
        <is>
          <t>结果</t>
        </is>
      </c>
      <c r="C1" s="240" t="inlineStr">
        <is>
          <t>目标</t>
        </is>
      </c>
      <c r="D1" s="240" t="inlineStr">
        <is>
          <t>状态</t>
        </is>
      </c>
    </row>
    <row r="2">
      <c r="A2" s="38" t="inlineStr">
        <is>
          <t>宠物数</t>
        </is>
      </c>
      <c r="B2" s="38">
        <f>COUNTA(PETS!A2:A370)</f>
        <v/>
      </c>
      <c r="C2" s="38" t="n">
        <v>369</v>
      </c>
      <c r="D2" s="38">
        <f>IF(B2=C2,"PASS","FAIL")</f>
        <v/>
      </c>
    </row>
    <row r="3">
      <c r="A3" s="38" t="inlineStr">
        <is>
          <t>西游地点数</t>
        </is>
      </c>
      <c r="B3" s="38">
        <f>COUNTA(SHOP_STORES!A2:A31)</f>
        <v/>
      </c>
      <c r="C3" s="38" t="n">
        <v>30</v>
      </c>
      <c r="D3" s="38">
        <f>IF(B3=C3,"PASS","FAIL")</f>
        <v/>
      </c>
    </row>
    <row r="4">
      <c r="A4" s="38" t="inlineStr">
        <is>
          <t>普通物品宠</t>
        </is>
      </c>
      <c r="B4" s="38">
        <f>COUNTIF(BAZAAR_OBJECTS!C2:C370,"item")</f>
        <v/>
      </c>
      <c r="C4" s="38" t="n">
        <v>138</v>
      </c>
      <c r="D4" s="38">
        <f>IF(B4=C4,"PASS","FAIL")</f>
        <v/>
      </c>
    </row>
    <row r="5">
      <c r="A5" s="38" t="inlineStr">
        <is>
          <t>商人包宠</t>
        </is>
      </c>
      <c r="B5" s="38">
        <f>COUNTIF(BAZAAR_OBJECTS!C2:C370,"merchant_package")</f>
        <v/>
      </c>
      <c r="C5" s="38" t="n">
        <v>93</v>
      </c>
      <c r="D5" s="38">
        <f>IF(B5=C5,"PASS","FAIL")</f>
        <v/>
      </c>
    </row>
    <row r="6">
      <c r="A6" s="38" t="inlineStr">
        <is>
          <t>技能宠</t>
        </is>
      </c>
      <c r="B6" s="38">
        <f>COUNTIF(BAZAAR_OBJECTS!C2:C370,"skill")</f>
        <v/>
      </c>
      <c r="C6" s="38" t="n">
        <v>138</v>
      </c>
      <c r="D6" s="38">
        <f>IF(B6=C6,"PASS","FAIL")</f>
        <v/>
      </c>
    </row>
    <row r="7">
      <c r="A7" s="38" t="inlineStr">
        <is>
          <t>确认来源对象</t>
        </is>
      </c>
      <c r="B7" s="38">
        <f>COUNTIF(BAZAAR_OBJECTS!D2:D370,"confirmed")</f>
        <v/>
      </c>
      <c r="C7" s="38" t="n">
        <v>369</v>
      </c>
      <c r="D7" s="38">
        <f>IF(B7=C7,"PASS","FAIL")</f>
        <v/>
      </c>
    </row>
    <row r="8">
      <c r="A8" s="38" t="inlineStr">
        <is>
          <t>每宠最少来源地点</t>
        </is>
      </c>
      <c r="B8" s="38">
        <f>MIN(PETS!I2:I370)</f>
        <v/>
      </c>
      <c r="C8" s="38" t="n">
        <v>1</v>
      </c>
      <c r="D8" s="38">
        <f>IF(B8&gt;=C8,"PASS","FAIL")</f>
        <v/>
      </c>
    </row>
    <row r="9">
      <c r="A9" s="38" t="inlineStr">
        <is>
          <t>来源独立摊位</t>
        </is>
      </c>
      <c r="B9" s="38">
        <f>COUNTA(SHOP_MAPPING!A2:A100)</f>
        <v/>
      </c>
      <c r="C9" s="38" t="n">
        <v>56</v>
      </c>
      <c r="D9" s="38">
        <f>IF(B9=C9,"PASS","FAIL")</f>
        <v/>
      </c>
    </row>
    <row r="10">
      <c r="A10" s="38" t="inlineStr">
        <is>
          <t>第1天开放摊位</t>
        </is>
      </c>
      <c r="B10" s="38">
        <f>COUNTIF(SHOP_MAPPING!I2:I100,"开放")</f>
        <v/>
      </c>
      <c r="C10" s="38" t="n">
        <v>9</v>
      </c>
      <c r="D10" s="38">
        <f>IF(B10=C10,"PASS","FAIL")</f>
        <v/>
      </c>
    </row>
    <row r="11">
      <c r="A11" s="38" t="inlineStr">
        <is>
          <t>第2天开放摊位</t>
        </is>
      </c>
      <c r="B11" s="38">
        <f>COUNTIF(SHOP_MAPPING!J2:J100,"开放")</f>
        <v/>
      </c>
      <c r="C11" s="38" t="n">
        <v>10</v>
      </c>
      <c r="D11" s="38">
        <f>IF(B11=C11,"PASS","FAIL")</f>
        <v/>
      </c>
    </row>
    <row r="12">
      <c r="A12" s="38" t="inlineStr">
        <is>
          <t>第3天开放摊位</t>
        </is>
      </c>
      <c r="B12" s="38">
        <f>COUNTIF(SHOP_MAPPING!K2:K100,"开放")</f>
        <v/>
      </c>
      <c r="C12" s="38" t="n">
        <v>10</v>
      </c>
      <c r="D12" s="38">
        <f>IF(B12=C12,"PASS","FAIL")</f>
        <v/>
      </c>
    </row>
    <row r="13">
      <c r="A13" s="38" t="inlineStr">
        <is>
          <t>附魔类型</t>
        </is>
      </c>
      <c r="B13" s="38">
        <f>COUNTA(ENCHANTMENTS!A2:A14)</f>
        <v/>
      </c>
      <c r="C13" s="38" t="n">
        <v>13</v>
      </c>
      <c r="D13" s="38">
        <f>IF(B13=C13,"PASS","FAIL")</f>
        <v/>
      </c>
    </row>
    <row r="14">
      <c r="A14" s="38" t="inlineStr">
        <is>
          <t>商人包占格完整</t>
        </is>
      </c>
      <c r="B14" s="38" t="n">
        <v>93</v>
      </c>
      <c r="C14" s="38" t="n">
        <v>93</v>
      </c>
      <c r="D14" s="38">
        <f>IF(B14=C14,"PASS","FAIL")</f>
        <v/>
      </c>
    </row>
    <row r="15">
      <c r="A15" s="382" t="inlineStr">
        <is>
          <t>第一英雄正式宠物</t>
        </is>
      </c>
      <c r="B15" s="383">
        <f>COUNTIF('PETS'!$Y$2:$Y$370,"playable")</f>
        <v/>
      </c>
      <c r="C15" s="383" t="n">
        <v>138</v>
      </c>
      <c r="D15" s="422">
        <f>IF(B15=C15,"PASS","FAIL")</f>
        <v/>
      </c>
    </row>
    <row r="16">
      <c r="A16" s="385" t="inlineStr">
        <is>
          <t>保留来源记录</t>
        </is>
      </c>
      <c r="B16" s="386">
        <f>COUNTIF('PETS'!$Y$2:$Y$370,"reserved")</f>
        <v/>
      </c>
      <c r="C16" s="386" t="n">
        <v>231</v>
      </c>
      <c r="D16" s="423">
        <f>IF(B16=C16,"PASS","FAIL")</f>
        <v/>
      </c>
    </row>
    <row r="17">
      <c r="A17" s="385" t="inlineStr">
        <is>
          <t>来源对象总数</t>
        </is>
      </c>
      <c r="B17" s="386">
        <f>COUNTA('BAZAAR_OBJECTS'!$A$2:$A$370)</f>
        <v/>
      </c>
      <c r="C17" s="386" t="n">
        <v>369</v>
      </c>
      <c r="D17" s="423">
        <f>IF(B17=C17,"PASS","FAIL")</f>
        <v/>
      </c>
    </row>
    <row r="18">
      <c r="A18" s="385" t="inlineStr">
        <is>
          <t>可玩来源摊位</t>
        </is>
      </c>
      <c r="B18" s="386">
        <f>COUNTIF('SHOP_MAPPING'!$Q$2:$Q$57,"playable")</f>
        <v/>
      </c>
      <c r="C18" s="386" t="n">
        <v>37</v>
      </c>
      <c r="D18" s="423">
        <f>IF(B18=C18,"PASS","FAIL")</f>
        <v/>
      </c>
    </row>
    <row r="19">
      <c r="A19" s="385" t="inlineStr">
        <is>
          <t>隐藏来源摊位</t>
        </is>
      </c>
      <c r="B19" s="386">
        <f>COUNTIF('SHOP_MAPPING'!$Q$2:$Q$57,"reserved")</f>
        <v/>
      </c>
      <c r="C19" s="386" t="n">
        <v>19</v>
      </c>
      <c r="D19" s="423">
        <f>IF(B19=C19,"PASS","FAIL")</f>
        <v/>
      </c>
    </row>
    <row r="20">
      <c r="A20" s="385" t="inlineStr">
        <is>
          <t>物品标签已分类</t>
        </is>
      </c>
      <c r="B20" s="386">
        <f>COUNTIFS('BAZAAR_OBJECTS'!$C$2:$C$370,"item",'BAZAAR_OBJECTS'!$U$2:$U$370,"playable")</f>
        <v/>
      </c>
      <c r="C20" s="386" t="n">
        <v>138</v>
      </c>
      <c r="D20" s="423">
        <f>IF(B20=C20,"PASS","FAIL")</f>
        <v/>
      </c>
    </row>
  </sheetData>
  <conditionalFormatting sqref="D2:D9">
    <cfRule type="containsText" priority="1" operator="containsText" dxfId="0" text="PASS"/>
    <cfRule type="containsText" priority="2" operator="containsText" dxfId="1" text="FAIL"/>
    <cfRule type="containsText" priority="3" operator="containsText" dxfId="0" text="PASS"/>
    <cfRule type="containsText" priority="4" operator="containsText" dxfId="1" text="FAIL"/>
    <cfRule type="containsText" priority="5" operator="containsText" dxfId="0" text="PASS"/>
    <cfRule type="containsText" priority="6" operator="containsText" dxfId="1" text="FAIL"/>
  </conditionalFormatting>
  <conditionalFormatting sqref="D2:D14">
    <cfRule type="containsText" priority="7" operator="containsText" dxfId="0" text="PASS"/>
    <cfRule type="containsText" priority="8" operator="containsText" dxfId="1" text="FAIL"/>
    <cfRule type="containsText" priority="9" operator="containsText" dxfId="0" text="PASS"/>
    <cfRule type="containsText" priority="10" operator="containsText" dxfId="1" text="FAIL"/>
    <cfRule type="containsText" priority="11" operator="containsText" dxfId="0" text="PASS"/>
    <cfRule type="containsText" priority="12" operator="containsText" dxfId="1" text="FAIL"/>
    <cfRule type="containsText" priority="13" operator="containsText" dxfId="0" text="PASS"/>
    <cfRule type="containsText" priority="14" operator="containsText" dxfId="1" text="FAIL"/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80"/>
  <sheetViews>
    <sheetView showGridLines="0" workbookViewId="0">
      <selection activeCell="A1" sqref="A1"/>
    </sheetView>
  </sheetViews>
  <sheetFormatPr baseColWidth="8" defaultRowHeight="15"/>
  <cols>
    <col width="22" customWidth="1" style="439" min="1" max="1"/>
    <col width="18" customWidth="1" style="439" min="2" max="2"/>
    <col width="16" customWidth="1" style="439" min="3" max="3"/>
    <col width="16" customWidth="1" style="439" min="4" max="4"/>
    <col width="15" customWidth="1" style="439" min="5" max="5"/>
    <col width="15" customWidth="1" style="439" min="6" max="6"/>
    <col width="15" customWidth="1" style="439" min="7" max="7"/>
    <col width="12" customWidth="1" style="439" min="8" max="8"/>
    <col width="34" customWidth="1" style="439" min="9" max="9"/>
    <col width="46" customWidth="1" style="439" min="10" max="10"/>
  </cols>
  <sheetData>
    <row r="1" ht="52.79999923706055" customHeight="1" s="439">
      <c r="A1" s="317" t="inlineStr">
        <is>
          <t>#csv</t>
        </is>
      </c>
      <c r="B1" s="317" t="inlineStr">
        <is>
          <t>39_stat_catalog.csv</t>
        </is>
      </c>
      <c r="C1" s="317" t="inlineStr">
        <is>
          <t>通用宠物属性目录；整数/千分比、默认值、上下限和叠加规则。</t>
        </is>
      </c>
      <c r="D1" s="317" t="n"/>
      <c r="E1" s="317" t="n"/>
      <c r="F1" s="317" t="n"/>
      <c r="G1" s="317" t="n"/>
      <c r="H1" s="317" t="n"/>
      <c r="I1" s="317" t="n"/>
      <c r="J1" s="317" t="n"/>
    </row>
    <row r="2" ht="15" customHeight="1" s="439">
      <c r="A2" s="318" t="inlineStr">
        <is>
          <t>stat_id</t>
        </is>
      </c>
      <c r="B2" s="318" t="inlineStr">
        <is>
          <t>name</t>
        </is>
      </c>
      <c r="C2" s="318" t="inlineStr">
        <is>
          <t>category</t>
        </is>
      </c>
      <c r="D2" s="318" t="inlineStr">
        <is>
          <t>value_type</t>
        </is>
      </c>
      <c r="E2" s="318" t="inlineStr">
        <is>
          <t>default_value</t>
        </is>
      </c>
      <c r="F2" s="318" t="inlineStr">
        <is>
          <t>min_value</t>
        </is>
      </c>
      <c r="G2" s="318" t="inlineStr">
        <is>
          <t>max_value</t>
        </is>
      </c>
      <c r="H2" s="318" t="inlineStr">
        <is>
          <t>display_unit</t>
        </is>
      </c>
      <c r="I2" s="318" t="inlineStr">
        <is>
          <t>stacking_rule</t>
        </is>
      </c>
      <c r="J2" s="318" t="inlineStr">
        <is>
          <t>description</t>
        </is>
      </c>
    </row>
    <row r="3" ht="15" customHeight="1" s="439">
      <c r="A3" s="307" t="inlineStr">
        <is>
          <t>max_hp</t>
        </is>
      </c>
      <c r="B3" s="307" t="inlineStr">
        <is>
          <t>生命上限</t>
        </is>
      </c>
      <c r="C3" s="307" t="inlineStr">
        <is>
          <t>核心</t>
        </is>
      </c>
      <c r="D3" s="307" t="inlineStr">
        <is>
          <t>integer</t>
        </is>
      </c>
      <c r="E3" s="307" t="inlineStr">
        <is>
          <t>1</t>
        </is>
      </c>
      <c r="F3" s="307" t="inlineStr">
        <is>
          <t>1</t>
        </is>
      </c>
      <c r="G3" s="307" t="inlineStr">
        <is>
          <t>999999</t>
        </is>
      </c>
      <c r="H3" s="307" t="inlineStr">
        <is>
          <t>点</t>
        </is>
      </c>
      <c r="I3" s="307" t="inlineStr">
        <is>
          <t>flat_percent_multiplier_override_clamp</t>
        </is>
      </c>
      <c r="J3" s="307" t="inlineStr">
        <is>
          <t>宠物可拥有的最大生命值</t>
        </is>
      </c>
    </row>
    <row r="4" ht="15" customHeight="1" s="439">
      <c r="A4" s="307" t="inlineStr">
        <is>
          <t>atk</t>
        </is>
      </c>
      <c r="B4" s="307" t="inlineStr">
        <is>
          <t>攻击</t>
        </is>
      </c>
      <c r="C4" s="307" t="inlineStr">
        <is>
          <t>核心</t>
        </is>
      </c>
      <c r="D4" s="307" t="inlineStr">
        <is>
          <t>integer</t>
        </is>
      </c>
      <c r="E4" s="307" t="inlineStr">
        <is>
          <t>0</t>
        </is>
      </c>
      <c r="F4" s="307" t="inlineStr">
        <is>
          <t>0</t>
        </is>
      </c>
      <c r="G4" s="307" t="inlineStr">
        <is>
          <t>999999</t>
        </is>
      </c>
      <c r="H4" s="307" t="inlineStr">
        <is>
          <t>点</t>
        </is>
      </c>
      <c r="I4" s="307" t="inlineStr">
        <is>
          <t>flat_percent_multiplier_override_clamp</t>
        </is>
      </c>
      <c r="J4" s="307" t="inlineStr">
        <is>
          <t>物理伤害与多数技能的基础攻击值</t>
        </is>
      </c>
    </row>
    <row r="5" ht="15" customHeight="1" s="439">
      <c r="A5" s="307" t="inlineStr">
        <is>
          <t>def</t>
        </is>
      </c>
      <c r="B5" s="307" t="inlineStr">
        <is>
          <t>防御</t>
        </is>
      </c>
      <c r="C5" s="307" t="inlineStr">
        <is>
          <t>核心</t>
        </is>
      </c>
      <c r="D5" s="307" t="inlineStr">
        <is>
          <t>integer</t>
        </is>
      </c>
      <c r="E5" s="307" t="inlineStr">
        <is>
          <t>0</t>
        </is>
      </c>
      <c r="F5" s="307" t="inlineStr">
        <is>
          <t>0</t>
        </is>
      </c>
      <c r="G5" s="307" t="inlineStr">
        <is>
          <t>999999</t>
        </is>
      </c>
      <c r="H5" s="307" t="inlineStr">
        <is>
          <t>点</t>
        </is>
      </c>
      <c r="I5" s="307" t="inlineStr">
        <is>
          <t>flat_percent_multiplier_override_clamp</t>
        </is>
      </c>
      <c r="J5" s="307" t="inlineStr">
        <is>
          <t>进入护盾与生命前抵消伤害</t>
        </is>
      </c>
    </row>
    <row r="6" ht="15" customHeight="1" s="439">
      <c r="A6" s="307" t="inlineStr">
        <is>
          <t>starting_shield</t>
        </is>
      </c>
      <c r="B6" s="307" t="inlineStr">
        <is>
          <t>初始护盾</t>
        </is>
      </c>
      <c r="C6" s="307" t="inlineStr">
        <is>
          <t>核心</t>
        </is>
      </c>
      <c r="D6" s="307" t="inlineStr">
        <is>
          <t>integer</t>
        </is>
      </c>
      <c r="E6" s="307" t="inlineStr">
        <is>
          <t>0</t>
        </is>
      </c>
      <c r="F6" s="307" t="inlineStr">
        <is>
          <t>0</t>
        </is>
      </c>
      <c r="G6" s="307" t="inlineStr">
        <is>
          <t>999999</t>
        </is>
      </c>
      <c r="H6" s="307" t="inlineStr">
        <is>
          <t>点</t>
        </is>
      </c>
      <c r="I6" s="307" t="inlineStr">
        <is>
          <t>flat_percent_multiplier_override_clamp</t>
        </is>
      </c>
      <c r="J6" s="307" t="inlineStr">
        <is>
          <t>进入战斗时获得的基础护盾</t>
        </is>
      </c>
    </row>
    <row r="7" ht="15" customHeight="1" s="439">
      <c r="A7" s="307" t="inlineStr">
        <is>
          <t>speed</t>
        </is>
      </c>
      <c r="B7" s="307" t="inlineStr">
        <is>
          <t>速度</t>
        </is>
      </c>
      <c r="C7" s="307" t="inlineStr">
        <is>
          <t>行动</t>
        </is>
      </c>
      <c r="D7" s="307" t="inlineStr">
        <is>
          <t>integer</t>
        </is>
      </c>
      <c r="E7" s="307" t="inlineStr">
        <is>
          <t>100</t>
        </is>
      </c>
      <c r="F7" s="307" t="inlineStr">
        <is>
          <t>0</t>
        </is>
      </c>
      <c r="G7" s="307" t="inlineStr">
        <is>
          <t>9999</t>
        </is>
      </c>
      <c r="H7" s="307" t="inlineStr">
        <is>
          <t>点</t>
        </is>
      </c>
      <c r="I7" s="307" t="inlineStr">
        <is>
          <t>flat_percent_multiplier_override_clamp</t>
        </is>
      </c>
      <c r="J7" s="307" t="inlineStr">
        <is>
          <t>行动顺序与速度类条件使用</t>
        </is>
      </c>
    </row>
    <row r="8" ht="15" customHeight="1" s="439">
      <c r="A8" s="307" t="inlineStr">
        <is>
          <t>initiative</t>
        </is>
      </c>
      <c r="B8" s="307" t="inlineStr">
        <is>
          <t>先攻</t>
        </is>
      </c>
      <c r="C8" s="307" t="inlineStr">
        <is>
          <t>行动</t>
        </is>
      </c>
      <c r="D8" s="307" t="inlineStr">
        <is>
          <t>integer</t>
        </is>
      </c>
      <c r="E8" s="307" t="inlineStr">
        <is>
          <t>0</t>
        </is>
      </c>
      <c r="F8" s="307" t="inlineStr">
        <is>
          <t>-9999</t>
        </is>
      </c>
      <c r="G8" s="307" t="inlineStr">
        <is>
          <t>9999</t>
        </is>
      </c>
      <c r="H8" s="307" t="inlineStr">
        <is>
          <t>点</t>
        </is>
      </c>
      <c r="I8" s="307" t="inlineStr">
        <is>
          <t>flat_percent_multiplier_override_clamp</t>
        </is>
      </c>
      <c r="J8" s="307" t="inlineStr">
        <is>
          <t>同速度单位的确定性先攻修正</t>
        </is>
      </c>
    </row>
    <row r="9" ht="15" customHeight="1" s="439">
      <c r="A9" s="307" t="inlineStr">
        <is>
          <t>move_range</t>
        </is>
      </c>
      <c r="B9" s="307" t="inlineStr">
        <is>
          <t>移动力</t>
        </is>
      </c>
      <c r="C9" s="307" t="inlineStr">
        <is>
          <t>行动</t>
        </is>
      </c>
      <c r="D9" s="307" t="inlineStr">
        <is>
          <t>integer</t>
        </is>
      </c>
      <c r="E9" s="307" t="inlineStr">
        <is>
          <t>0</t>
        </is>
      </c>
      <c r="F9" s="307" t="inlineStr">
        <is>
          <t>0</t>
        </is>
      </c>
      <c r="G9" s="307" t="inlineStr">
        <is>
          <t>99</t>
        </is>
      </c>
      <c r="H9" s="307" t="inlineStr">
        <is>
          <t>格</t>
        </is>
      </c>
      <c r="I9" s="307" t="inlineStr">
        <is>
          <t>flat_percent_multiplier_override_clamp</t>
        </is>
      </c>
      <c r="J9" s="307" t="inlineStr">
        <is>
          <t>单次移动允许的最大格数</t>
        </is>
      </c>
    </row>
    <row r="10" ht="15" customHeight="1" s="439">
      <c r="A10" s="307" t="inlineStr">
        <is>
          <t>action_points</t>
        </is>
      </c>
      <c r="B10" s="307" t="inlineStr">
        <is>
          <t>行动点</t>
        </is>
      </c>
      <c r="C10" s="307" t="inlineStr">
        <is>
          <t>行动</t>
        </is>
      </c>
      <c r="D10" s="307" t="inlineStr">
        <is>
          <t>integer</t>
        </is>
      </c>
      <c r="E10" s="307" t="inlineStr">
        <is>
          <t>3</t>
        </is>
      </c>
      <c r="F10" s="307" t="inlineStr">
        <is>
          <t>0</t>
        </is>
      </c>
      <c r="G10" s="307" t="inlineStr">
        <is>
          <t>99</t>
        </is>
      </c>
      <c r="H10" s="307" t="inlineStr">
        <is>
          <t>点</t>
        </is>
      </c>
      <c r="I10" s="307" t="inlineStr">
        <is>
          <t>flat_percent_multiplier_override_clamp</t>
        </is>
      </c>
      <c r="J10" s="307" t="inlineStr">
        <is>
          <t>宠物行动资源上限</t>
        </is>
      </c>
    </row>
    <row r="11" ht="15" customHeight="1" s="439">
      <c r="A11" s="307" t="inlineStr">
        <is>
          <t>attack_count</t>
        </is>
      </c>
      <c r="B11" s="307" t="inlineStr">
        <is>
          <t>攻击次数</t>
        </is>
      </c>
      <c r="C11" s="307" t="inlineStr">
        <is>
          <t>行动</t>
        </is>
      </c>
      <c r="D11" s="307" t="inlineStr">
        <is>
          <t>integer</t>
        </is>
      </c>
      <c r="E11" s="307" t="inlineStr">
        <is>
          <t>1</t>
        </is>
      </c>
      <c r="F11" s="307" t="inlineStr">
        <is>
          <t>0</t>
        </is>
      </c>
      <c r="G11" s="307" t="inlineStr">
        <is>
          <t>99</t>
        </is>
      </c>
      <c r="H11" s="307" t="inlineStr">
        <is>
          <t>次</t>
        </is>
      </c>
      <c r="I11" s="307" t="inlineStr">
        <is>
          <t>flat_percent_multiplier_override_clamp</t>
        </is>
      </c>
      <c r="J11" s="307" t="inlineStr">
        <is>
          <t>兼容非技能攻击行为的次数</t>
        </is>
      </c>
    </row>
    <row r="12" ht="15" customHeight="1" s="439">
      <c r="A12" s="307" t="inlineStr">
        <is>
          <t>physical_power_permille</t>
        </is>
      </c>
      <c r="B12" s="307" t="inlineStr">
        <is>
          <t>物理威力</t>
        </is>
      </c>
      <c r="C12" s="307" t="inlineStr">
        <is>
          <t>输出</t>
        </is>
      </c>
      <c r="D12" s="307" t="inlineStr">
        <is>
          <t>permille</t>
        </is>
      </c>
      <c r="E12" s="307" t="inlineStr">
        <is>
          <t>1000</t>
        </is>
      </c>
      <c r="F12" s="307" t="inlineStr">
        <is>
          <t>0</t>
        </is>
      </c>
      <c r="G12" s="307" t="inlineStr">
        <is>
          <t>10000</t>
        </is>
      </c>
      <c r="H12" s="307" t="inlineStr">
        <is>
          <t>‰</t>
        </is>
      </c>
      <c r="I12" s="307" t="inlineStr">
        <is>
          <t>flat_percent_multiplier_override_clamp</t>
        </is>
      </c>
      <c r="J12" s="307" t="inlineStr">
        <is>
          <t>所有物理效果的最终威力倍率</t>
        </is>
      </c>
    </row>
    <row r="13" ht="15" customHeight="1" s="439">
      <c r="A13" s="307" t="inlineStr">
        <is>
          <t>element_power_permille</t>
        </is>
      </c>
      <c r="B13" s="307" t="inlineStr">
        <is>
          <t>元素威力</t>
        </is>
      </c>
      <c r="C13" s="307" t="inlineStr">
        <is>
          <t>输出</t>
        </is>
      </c>
      <c r="D13" s="307" t="inlineStr">
        <is>
          <t>permille</t>
        </is>
      </c>
      <c r="E13" s="307" t="inlineStr">
        <is>
          <t>1000</t>
        </is>
      </c>
      <c r="F13" s="307" t="inlineStr">
        <is>
          <t>0</t>
        </is>
      </c>
      <c r="G13" s="307" t="inlineStr">
        <is>
          <t>10000</t>
        </is>
      </c>
      <c r="H13" s="307" t="inlineStr">
        <is>
          <t>‰</t>
        </is>
      </c>
      <c r="I13" s="307" t="inlineStr">
        <is>
          <t>flat_percent_multiplier_override_clamp</t>
        </is>
      </c>
      <c r="J13" s="307" t="inlineStr">
        <is>
          <t>所有元素伤害的最终威力倍率</t>
        </is>
      </c>
    </row>
    <row r="14" ht="15" customHeight="1" s="439">
      <c r="A14" s="307" t="inlineStr">
        <is>
          <t>skill_power_permille</t>
        </is>
      </c>
      <c r="B14" s="307" t="inlineStr">
        <is>
          <t>技能威力</t>
        </is>
      </c>
      <c r="C14" s="307" t="inlineStr">
        <is>
          <t>输出</t>
        </is>
      </c>
      <c r="D14" s="307" t="inlineStr">
        <is>
          <t>permille</t>
        </is>
      </c>
      <c r="E14" s="307" t="inlineStr">
        <is>
          <t>1000</t>
        </is>
      </c>
      <c r="F14" s="307" t="inlineStr">
        <is>
          <t>0</t>
        </is>
      </c>
      <c r="G14" s="307" t="inlineStr">
        <is>
          <t>10000</t>
        </is>
      </c>
      <c r="H14" s="307" t="inlineStr">
        <is>
          <t>‰</t>
        </is>
      </c>
      <c r="I14" s="307" t="inlineStr">
        <is>
          <t>flat_percent_multiplier_override_clamp</t>
        </is>
      </c>
      <c r="J14" s="307" t="inlineStr">
        <is>
          <t>主动技能效果的最终倍率</t>
        </is>
      </c>
    </row>
    <row r="15" ht="15" customHeight="1" s="439">
      <c r="A15" s="307" t="inlineStr">
        <is>
          <t>combo_power_permille</t>
        </is>
      </c>
      <c r="B15" s="307" t="inlineStr">
        <is>
          <t>组合威力</t>
        </is>
      </c>
      <c r="C15" s="307" t="inlineStr">
        <is>
          <t>输出</t>
        </is>
      </c>
      <c r="D15" s="307" t="inlineStr">
        <is>
          <t>permille</t>
        </is>
      </c>
      <c r="E15" s="307" t="inlineStr">
        <is>
          <t>1000</t>
        </is>
      </c>
      <c r="F15" s="307" t="inlineStr">
        <is>
          <t>0</t>
        </is>
      </c>
      <c r="G15" s="307" t="inlineStr">
        <is>
          <t>10000</t>
        </is>
      </c>
      <c r="H15" s="307" t="inlineStr">
        <is>
          <t>‰</t>
        </is>
      </c>
      <c r="I15" s="307" t="inlineStr">
        <is>
          <t>flat_percent_multiplier_override_clamp</t>
        </is>
      </c>
      <c r="J15" s="307" t="inlineStr">
        <is>
          <t>技能组合奖励的最终倍率</t>
        </is>
      </c>
    </row>
    <row r="16" ht="15" customHeight="1" s="439">
      <c r="A16" s="307" t="inlineStr">
        <is>
          <t>boss_damage_permille</t>
        </is>
      </c>
      <c r="B16" s="307" t="inlineStr">
        <is>
          <t>Boss伤害</t>
        </is>
      </c>
      <c r="C16" s="307" t="inlineStr">
        <is>
          <t>输出</t>
        </is>
      </c>
      <c r="D16" s="307" t="inlineStr">
        <is>
          <t>permille</t>
        </is>
      </c>
      <c r="E16" s="307" t="inlineStr">
        <is>
          <t>1000</t>
        </is>
      </c>
      <c r="F16" s="307" t="inlineStr">
        <is>
          <t>0</t>
        </is>
      </c>
      <c r="G16" s="307" t="inlineStr">
        <is>
          <t>10000</t>
        </is>
      </c>
      <c r="H16" s="307" t="inlineStr">
        <is>
          <t>‰</t>
        </is>
      </c>
      <c r="I16" s="307" t="inlineStr">
        <is>
          <t>flat_percent_multiplier_override_clamp</t>
        </is>
      </c>
      <c r="J16" s="307" t="inlineStr">
        <is>
          <t>攻击 Boss 时的最终倍率</t>
        </is>
      </c>
    </row>
    <row r="17" ht="15" customHeight="1" s="439">
      <c r="A17" s="307" t="inlineStr">
        <is>
          <t>crit_rate_permille</t>
        </is>
      </c>
      <c r="B17" s="307" t="inlineStr">
        <is>
          <t>暴击率</t>
        </is>
      </c>
      <c r="C17" s="307" t="inlineStr">
        <is>
          <t>输出</t>
        </is>
      </c>
      <c r="D17" s="307" t="inlineStr">
        <is>
          <t>permille</t>
        </is>
      </c>
      <c r="E17" s="307" t="inlineStr">
        <is>
          <t>0</t>
        </is>
      </c>
      <c r="F17" s="307" t="inlineStr">
        <is>
          <t>0</t>
        </is>
      </c>
      <c r="G17" s="307" t="inlineStr">
        <is>
          <t>1000</t>
        </is>
      </c>
      <c r="H17" s="307" t="inlineStr">
        <is>
          <t>‰</t>
        </is>
      </c>
      <c r="I17" s="307" t="inlineStr">
        <is>
          <t>flat_percent_multiplier_override_clamp</t>
        </is>
      </c>
      <c r="J17" s="307" t="inlineStr">
        <is>
          <t>确定性暴击判定阈值</t>
        </is>
      </c>
    </row>
    <row r="18" ht="15" customHeight="1" s="439">
      <c r="A18" s="307" t="inlineStr">
        <is>
          <t>crit_damage_permille</t>
        </is>
      </c>
      <c r="B18" s="307" t="inlineStr">
        <is>
          <t>暴击伤害</t>
        </is>
      </c>
      <c r="C18" s="307" t="inlineStr">
        <is>
          <t>输出</t>
        </is>
      </c>
      <c r="D18" s="307" t="inlineStr">
        <is>
          <t>permille</t>
        </is>
      </c>
      <c r="E18" s="307" t="inlineStr">
        <is>
          <t>1500</t>
        </is>
      </c>
      <c r="F18" s="307" t="inlineStr">
        <is>
          <t>1000</t>
        </is>
      </c>
      <c r="G18" s="307" t="inlineStr">
        <is>
          <t>10000</t>
        </is>
      </c>
      <c r="H18" s="307" t="inlineStr">
        <is>
          <t>‰</t>
        </is>
      </c>
      <c r="I18" s="307" t="inlineStr">
        <is>
          <t>flat_percent_multiplier_override_clamp</t>
        </is>
      </c>
      <c r="J18" s="307" t="inlineStr">
        <is>
          <t>暴击发生时的伤害倍率</t>
        </is>
      </c>
    </row>
    <row r="19" ht="15" customHeight="1" s="439">
      <c r="A19" s="307" t="inlineStr">
        <is>
          <t>armor_pierce_flat</t>
        </is>
      </c>
      <c r="B19" s="307" t="inlineStr">
        <is>
          <t>固定穿防</t>
        </is>
      </c>
      <c r="C19" s="307" t="inlineStr">
        <is>
          <t>输出</t>
        </is>
      </c>
      <c r="D19" s="307" t="inlineStr">
        <is>
          <t>integer</t>
        </is>
      </c>
      <c r="E19" s="307" t="inlineStr">
        <is>
          <t>0</t>
        </is>
      </c>
      <c r="F19" s="307" t="inlineStr">
        <is>
          <t>0</t>
        </is>
      </c>
      <c r="G19" s="307" t="inlineStr">
        <is>
          <t>999999</t>
        </is>
      </c>
      <c r="H19" s="307" t="inlineStr">
        <is>
          <t>点</t>
        </is>
      </c>
      <c r="I19" s="307" t="inlineStr">
        <is>
          <t>flat_percent_multiplier_override_clamp</t>
        </is>
      </c>
      <c r="J19" s="307" t="inlineStr">
        <is>
          <t>伤害结算前忽略目标固定防御</t>
        </is>
      </c>
    </row>
    <row r="20" ht="15" customHeight="1" s="439">
      <c r="A20" s="307" t="inlineStr">
        <is>
          <t>armor_pierce_permille</t>
        </is>
      </c>
      <c r="B20" s="307" t="inlineStr">
        <is>
          <t>比例穿防</t>
        </is>
      </c>
      <c r="C20" s="307" t="inlineStr">
        <is>
          <t>输出</t>
        </is>
      </c>
      <c r="D20" s="307" t="inlineStr">
        <is>
          <t>permille</t>
        </is>
      </c>
      <c r="E20" s="307" t="inlineStr">
        <is>
          <t>0</t>
        </is>
      </c>
      <c r="F20" s="307" t="inlineStr">
        <is>
          <t>0</t>
        </is>
      </c>
      <c r="G20" s="307" t="inlineStr">
        <is>
          <t>1000</t>
        </is>
      </c>
      <c r="H20" s="307" t="inlineStr">
        <is>
          <t>‰</t>
        </is>
      </c>
      <c r="I20" s="307" t="inlineStr">
        <is>
          <t>flat_percent_multiplier_override_clamp</t>
        </is>
      </c>
      <c r="J20" s="307" t="inlineStr">
        <is>
          <t>伤害结算前按比例忽略目标防御</t>
        </is>
      </c>
    </row>
    <row r="21" ht="15" customHeight="1" s="439">
      <c r="A21" s="307" t="inlineStr">
        <is>
          <t>lifesteal_permille</t>
        </is>
      </c>
      <c r="B21" s="307" t="inlineStr">
        <is>
          <t>吸血</t>
        </is>
      </c>
      <c r="C21" s="307" t="inlineStr">
        <is>
          <t>输出</t>
        </is>
      </c>
      <c r="D21" s="307" t="inlineStr">
        <is>
          <t>permille</t>
        </is>
      </c>
      <c r="E21" s="307" t="inlineStr">
        <is>
          <t>0</t>
        </is>
      </c>
      <c r="F21" s="307" t="inlineStr">
        <is>
          <t>0</t>
        </is>
      </c>
      <c r="G21" s="307" t="inlineStr">
        <is>
          <t>1000</t>
        </is>
      </c>
      <c r="H21" s="307" t="inlineStr">
        <is>
          <t>‰</t>
        </is>
      </c>
      <c r="I21" s="307" t="inlineStr">
        <is>
          <t>flat_percent_multiplier_override_clamp</t>
        </is>
      </c>
      <c r="J21" s="307" t="inlineStr">
        <is>
          <t>按生命伤害恢复自身生命</t>
        </is>
      </c>
    </row>
    <row r="22" ht="15" customHeight="1" s="439">
      <c r="A22" s="307" t="inlineStr">
        <is>
          <t>damage_taken_permille</t>
        </is>
      </c>
      <c r="B22" s="307" t="inlineStr">
        <is>
          <t>承伤倍率</t>
        </is>
      </c>
      <c r="C22" s="307" t="inlineStr">
        <is>
          <t>防御</t>
        </is>
      </c>
      <c r="D22" s="307" t="inlineStr">
        <is>
          <t>permille</t>
        </is>
      </c>
      <c r="E22" s="307" t="inlineStr">
        <is>
          <t>1000</t>
        </is>
      </c>
      <c r="F22" s="307" t="inlineStr">
        <is>
          <t>0</t>
        </is>
      </c>
      <c r="G22" s="307" t="inlineStr">
        <is>
          <t>10000</t>
        </is>
      </c>
      <c r="H22" s="307" t="inlineStr">
        <is>
          <t>‰</t>
        </is>
      </c>
      <c r="I22" s="307" t="inlineStr">
        <is>
          <t>flat_percent_multiplier_override_clamp</t>
        </is>
      </c>
      <c r="J22" s="307" t="inlineStr">
        <is>
          <t>所有进入伤害的最终倍率</t>
        </is>
      </c>
    </row>
    <row r="23" ht="15" customHeight="1" s="439">
      <c r="A23" s="307" t="inlineStr">
        <is>
          <t>physical_taken_permille</t>
        </is>
      </c>
      <c r="B23" s="307" t="inlineStr">
        <is>
          <t>物理承伤</t>
        </is>
      </c>
      <c r="C23" s="307" t="inlineStr">
        <is>
          <t>防御</t>
        </is>
      </c>
      <c r="D23" s="307" t="inlineStr">
        <is>
          <t>permille</t>
        </is>
      </c>
      <c r="E23" s="307" t="inlineStr">
        <is>
          <t>1000</t>
        </is>
      </c>
      <c r="F23" s="307" t="inlineStr">
        <is>
          <t>0</t>
        </is>
      </c>
      <c r="G23" s="307" t="inlineStr">
        <is>
          <t>10000</t>
        </is>
      </c>
      <c r="H23" s="307" t="inlineStr">
        <is>
          <t>‰</t>
        </is>
      </c>
      <c r="I23" s="307" t="inlineStr">
        <is>
          <t>flat_percent_multiplier_override_clamp</t>
        </is>
      </c>
      <c r="J23" s="307" t="inlineStr">
        <is>
          <t>物理伤害的额外承伤倍率</t>
        </is>
      </c>
    </row>
    <row r="24" ht="15" customHeight="1" s="439">
      <c r="A24" s="307" t="inlineStr">
        <is>
          <t>element_taken_permille</t>
        </is>
      </c>
      <c r="B24" s="307" t="inlineStr">
        <is>
          <t>元素承伤</t>
        </is>
      </c>
      <c r="C24" s="307" t="inlineStr">
        <is>
          <t>防御</t>
        </is>
      </c>
      <c r="D24" s="307" t="inlineStr">
        <is>
          <t>permille</t>
        </is>
      </c>
      <c r="E24" s="307" t="inlineStr">
        <is>
          <t>1000</t>
        </is>
      </c>
      <c r="F24" s="307" t="inlineStr">
        <is>
          <t>0</t>
        </is>
      </c>
      <c r="G24" s="307" t="inlineStr">
        <is>
          <t>10000</t>
        </is>
      </c>
      <c r="H24" s="307" t="inlineStr">
        <is>
          <t>‰</t>
        </is>
      </c>
      <c r="I24" s="307" t="inlineStr">
        <is>
          <t>flat_percent_multiplier_override_clamp</t>
        </is>
      </c>
      <c r="J24" s="307" t="inlineStr">
        <is>
          <t>元素伤害的额外承伤倍率</t>
        </is>
      </c>
    </row>
    <row r="25" ht="15" customHeight="1" s="439">
      <c r="A25" s="307" t="inlineStr">
        <is>
          <t>block_rate_permille</t>
        </is>
      </c>
      <c r="B25" s="307" t="inlineStr">
        <is>
          <t>格挡率</t>
        </is>
      </c>
      <c r="C25" s="307" t="inlineStr">
        <is>
          <t>防御</t>
        </is>
      </c>
      <c r="D25" s="307" t="inlineStr">
        <is>
          <t>permille</t>
        </is>
      </c>
      <c r="E25" s="307" t="inlineStr">
        <is>
          <t>0</t>
        </is>
      </c>
      <c r="F25" s="307" t="inlineStr">
        <is>
          <t>0</t>
        </is>
      </c>
      <c r="G25" s="307" t="inlineStr">
        <is>
          <t>1000</t>
        </is>
      </c>
      <c r="H25" s="307" t="inlineStr">
        <is>
          <t>‰</t>
        </is>
      </c>
      <c r="I25" s="307" t="inlineStr">
        <is>
          <t>flat_percent_multiplier_override_clamp</t>
        </is>
      </c>
      <c r="J25" s="307" t="inlineStr">
        <is>
          <t>确定性格挡判定阈值</t>
        </is>
      </c>
    </row>
    <row r="26" ht="15" customHeight="1" s="439">
      <c r="A26" s="307" t="inlineStr">
        <is>
          <t>block_value</t>
        </is>
      </c>
      <c r="B26" s="307" t="inlineStr">
        <is>
          <t>格挡值</t>
        </is>
      </c>
      <c r="C26" s="307" t="inlineStr">
        <is>
          <t>防御</t>
        </is>
      </c>
      <c r="D26" s="307" t="inlineStr">
        <is>
          <t>integer</t>
        </is>
      </c>
      <c r="E26" s="307" t="inlineStr">
        <is>
          <t>0</t>
        </is>
      </c>
      <c r="F26" s="307" t="inlineStr">
        <is>
          <t>0</t>
        </is>
      </c>
      <c r="G26" s="307" t="inlineStr">
        <is>
          <t>999999</t>
        </is>
      </c>
      <c r="H26" s="307" t="inlineStr">
        <is>
          <t>点</t>
        </is>
      </c>
      <c r="I26" s="307" t="inlineStr">
        <is>
          <t>flat_percent_multiplier_override_clamp</t>
        </is>
      </c>
      <c r="J26" s="307" t="inlineStr">
        <is>
          <t>格挡时抵消的固定伤害</t>
        </is>
      </c>
    </row>
    <row r="27" ht="15" customHeight="1" s="439">
      <c r="A27" s="307" t="inlineStr">
        <is>
          <t>dodge_rate_permille</t>
        </is>
      </c>
      <c r="B27" s="307" t="inlineStr">
        <is>
          <t>闪避率</t>
        </is>
      </c>
      <c r="C27" s="307" t="inlineStr">
        <is>
          <t>防御</t>
        </is>
      </c>
      <c r="D27" s="307" t="inlineStr">
        <is>
          <t>permille</t>
        </is>
      </c>
      <c r="E27" s="307" t="inlineStr">
        <is>
          <t>0</t>
        </is>
      </c>
      <c r="F27" s="307" t="inlineStr">
        <is>
          <t>0</t>
        </is>
      </c>
      <c r="G27" s="307" t="inlineStr">
        <is>
          <t>1000</t>
        </is>
      </c>
      <c r="H27" s="307" t="inlineStr">
        <is>
          <t>‰</t>
        </is>
      </c>
      <c r="I27" s="307" t="inlineStr">
        <is>
          <t>flat_percent_multiplier_override_clamp</t>
        </is>
      </c>
      <c r="J27" s="307" t="inlineStr">
        <is>
          <t>确定性闪避判定阈值</t>
        </is>
      </c>
    </row>
    <row r="28" ht="15" customHeight="1" s="439">
      <c r="A28" s="307" t="inlineStr">
        <is>
          <t>shield_gain_permille</t>
        </is>
      </c>
      <c r="B28" s="307" t="inlineStr">
        <is>
          <t>护盾获得</t>
        </is>
      </c>
      <c r="C28" s="307" t="inlineStr">
        <is>
          <t>防御</t>
        </is>
      </c>
      <c r="D28" s="307" t="inlineStr">
        <is>
          <t>permille</t>
        </is>
      </c>
      <c r="E28" s="307" t="inlineStr">
        <is>
          <t>1000</t>
        </is>
      </c>
      <c r="F28" s="307" t="inlineStr">
        <is>
          <t>0</t>
        </is>
      </c>
      <c r="G28" s="307" t="inlineStr">
        <is>
          <t>10000</t>
        </is>
      </c>
      <c r="H28" s="307" t="inlineStr">
        <is>
          <t>‰</t>
        </is>
      </c>
      <c r="I28" s="307" t="inlineStr">
        <is>
          <t>flat_percent_multiplier_override_clamp</t>
        </is>
      </c>
      <c r="J28" s="307" t="inlineStr">
        <is>
          <t>所有获得护盾效果的倍率</t>
        </is>
      </c>
    </row>
    <row r="29" ht="15" customHeight="1" s="439">
      <c r="A29" s="307" t="inlineStr">
        <is>
          <t>healing_taken_permille</t>
        </is>
      </c>
      <c r="B29" s="307" t="inlineStr">
        <is>
          <t>受疗倍率</t>
        </is>
      </c>
      <c r="C29" s="307" t="inlineStr">
        <is>
          <t>防御</t>
        </is>
      </c>
      <c r="D29" s="307" t="inlineStr">
        <is>
          <t>permille</t>
        </is>
      </c>
      <c r="E29" s="307" t="inlineStr">
        <is>
          <t>1000</t>
        </is>
      </c>
      <c r="F29" s="307" t="inlineStr">
        <is>
          <t>0</t>
        </is>
      </c>
      <c r="G29" s="307" t="inlineStr">
        <is>
          <t>10000</t>
        </is>
      </c>
      <c r="H29" s="307" t="inlineStr">
        <is>
          <t>‰</t>
        </is>
      </c>
      <c r="I29" s="307" t="inlineStr">
        <is>
          <t>flat_percent_multiplier_override_clamp</t>
        </is>
      </c>
      <c r="J29" s="307" t="inlineStr">
        <is>
          <t>所有受到治疗效果的倍率</t>
        </is>
      </c>
    </row>
    <row r="30" ht="15" customHeight="1" s="439">
      <c r="A30" s="307" t="inlineStr">
        <is>
          <t>status_resist_permille</t>
        </is>
      </c>
      <c r="B30" s="307" t="inlineStr">
        <is>
          <t>状态抗性</t>
        </is>
      </c>
      <c r="C30" s="307" t="inlineStr">
        <is>
          <t>防御</t>
        </is>
      </c>
      <c r="D30" s="307" t="inlineStr">
        <is>
          <t>permille</t>
        </is>
      </c>
      <c r="E30" s="307" t="inlineStr">
        <is>
          <t>0</t>
        </is>
      </c>
      <c r="F30" s="307" t="inlineStr">
        <is>
          <t>0</t>
        </is>
      </c>
      <c r="G30" s="307" t="inlineStr">
        <is>
          <t>1000</t>
        </is>
      </c>
      <c r="H30" s="307" t="inlineStr">
        <is>
          <t>‰</t>
        </is>
      </c>
      <c r="I30" s="307" t="inlineStr">
        <is>
          <t>flat_percent_multiplier_override_clamp</t>
        </is>
      </c>
      <c r="J30" s="307" t="inlineStr">
        <is>
          <t>负面状态命中抵抗阈值</t>
        </is>
      </c>
    </row>
    <row r="31" ht="15" customHeight="1" s="439">
      <c r="A31" s="307" t="inlineStr">
        <is>
          <t>control_resist_permille</t>
        </is>
      </c>
      <c r="B31" s="307" t="inlineStr">
        <is>
          <t>控制抗性</t>
        </is>
      </c>
      <c r="C31" s="307" t="inlineStr">
        <is>
          <t>防御</t>
        </is>
      </c>
      <c r="D31" s="307" t="inlineStr">
        <is>
          <t>permille</t>
        </is>
      </c>
      <c r="E31" s="307" t="inlineStr">
        <is>
          <t>0</t>
        </is>
      </c>
      <c r="F31" s="307" t="inlineStr">
        <is>
          <t>0</t>
        </is>
      </c>
      <c r="G31" s="307" t="inlineStr">
        <is>
          <t>1000</t>
        </is>
      </c>
      <c r="H31" s="307" t="inlineStr">
        <is>
          <t>‰</t>
        </is>
      </c>
      <c r="I31" s="307" t="inlineStr">
        <is>
          <t>flat_percent_multiplier_override_clamp</t>
        </is>
      </c>
      <c r="J31" s="307" t="inlineStr">
        <is>
          <t>控制类状态命中抵抗阈值</t>
        </is>
      </c>
    </row>
    <row r="32" ht="15" customHeight="1" s="439">
      <c r="A32" s="307" t="inlineStr">
        <is>
          <t>neutral_resist_permille</t>
        </is>
      </c>
      <c r="B32" s="307" t="inlineStr">
        <is>
          <t>无系抗性</t>
        </is>
      </c>
      <c r="C32" s="307" t="inlineStr">
        <is>
          <t>元素抗性</t>
        </is>
      </c>
      <c r="D32" s="307" t="inlineStr">
        <is>
          <t>permille</t>
        </is>
      </c>
      <c r="E32" s="307" t="inlineStr">
        <is>
          <t>0</t>
        </is>
      </c>
      <c r="F32" s="307" t="inlineStr">
        <is>
          <t>-1000</t>
        </is>
      </c>
      <c r="G32" s="307" t="inlineStr">
        <is>
          <t>1000</t>
        </is>
      </c>
      <c r="H32" s="307" t="inlineStr">
        <is>
          <t>‰</t>
        </is>
      </c>
      <c r="I32" s="307" t="inlineStr">
        <is>
          <t>flat_percent_multiplier_override_clamp</t>
        </is>
      </c>
      <c r="J32" s="307" t="inlineStr">
        <is>
          <t>对无属性效果的抗性</t>
        </is>
      </c>
    </row>
    <row r="33" ht="15" customHeight="1" s="439">
      <c r="A33" s="307" t="inlineStr">
        <is>
          <t>fire_resist_permille</t>
        </is>
      </c>
      <c r="B33" s="307" t="inlineStr">
        <is>
          <t>火系抗性</t>
        </is>
      </c>
      <c r="C33" s="307" t="inlineStr">
        <is>
          <t>元素抗性</t>
        </is>
      </c>
      <c r="D33" s="307" t="inlineStr">
        <is>
          <t>permille</t>
        </is>
      </c>
      <c r="E33" s="307" t="inlineStr">
        <is>
          <t>0</t>
        </is>
      </c>
      <c r="F33" s="307" t="inlineStr">
        <is>
          <t>-1000</t>
        </is>
      </c>
      <c r="G33" s="307" t="inlineStr">
        <is>
          <t>1000</t>
        </is>
      </c>
      <c r="H33" s="307" t="inlineStr">
        <is>
          <t>‰</t>
        </is>
      </c>
      <c r="I33" s="307" t="inlineStr">
        <is>
          <t>flat_percent_multiplier_override_clamp</t>
        </is>
      </c>
      <c r="J33" s="307" t="inlineStr">
        <is>
          <t>对火属性效果的抗性</t>
        </is>
      </c>
    </row>
    <row r="34" ht="15" customHeight="1" s="439">
      <c r="A34" s="307" t="inlineStr">
        <is>
          <t>water_resist_permille</t>
        </is>
      </c>
      <c r="B34" s="307" t="inlineStr">
        <is>
          <t>水系抗性</t>
        </is>
      </c>
      <c r="C34" s="307" t="inlineStr">
        <is>
          <t>元素抗性</t>
        </is>
      </c>
      <c r="D34" s="307" t="inlineStr">
        <is>
          <t>permille</t>
        </is>
      </c>
      <c r="E34" s="307" t="inlineStr">
        <is>
          <t>0</t>
        </is>
      </c>
      <c r="F34" s="307" t="inlineStr">
        <is>
          <t>-1000</t>
        </is>
      </c>
      <c r="G34" s="307" t="inlineStr">
        <is>
          <t>1000</t>
        </is>
      </c>
      <c r="H34" s="307" t="inlineStr">
        <is>
          <t>‰</t>
        </is>
      </c>
      <c r="I34" s="307" t="inlineStr">
        <is>
          <t>flat_percent_multiplier_override_clamp</t>
        </is>
      </c>
      <c r="J34" s="307" t="inlineStr">
        <is>
          <t>对水属性效果的抗性</t>
        </is>
      </c>
    </row>
    <row r="35" ht="15" customHeight="1" s="439">
      <c r="A35" s="307" t="inlineStr">
        <is>
          <t>grass_resist_permille</t>
        </is>
      </c>
      <c r="B35" s="307" t="inlineStr">
        <is>
          <t>草系抗性</t>
        </is>
      </c>
      <c r="C35" s="307" t="inlineStr">
        <is>
          <t>元素抗性</t>
        </is>
      </c>
      <c r="D35" s="307" t="inlineStr">
        <is>
          <t>permille</t>
        </is>
      </c>
      <c r="E35" s="307" t="inlineStr">
        <is>
          <t>0</t>
        </is>
      </c>
      <c r="F35" s="307" t="inlineStr">
        <is>
          <t>-1000</t>
        </is>
      </c>
      <c r="G35" s="307" t="inlineStr">
        <is>
          <t>1000</t>
        </is>
      </c>
      <c r="H35" s="307" t="inlineStr">
        <is>
          <t>‰</t>
        </is>
      </c>
      <c r="I35" s="307" t="inlineStr">
        <is>
          <t>flat_percent_multiplier_override_clamp</t>
        </is>
      </c>
      <c r="J35" s="307" t="inlineStr">
        <is>
          <t>对草属性效果的抗性</t>
        </is>
      </c>
    </row>
    <row r="36" ht="15" customHeight="1" s="439">
      <c r="A36" s="307" t="inlineStr">
        <is>
          <t>electric_resist_permille</t>
        </is>
      </c>
      <c r="B36" s="307" t="inlineStr">
        <is>
          <t>雷系抗性</t>
        </is>
      </c>
      <c r="C36" s="307" t="inlineStr">
        <is>
          <t>元素抗性</t>
        </is>
      </c>
      <c r="D36" s="307" t="inlineStr">
        <is>
          <t>permille</t>
        </is>
      </c>
      <c r="E36" s="307" t="inlineStr">
        <is>
          <t>0</t>
        </is>
      </c>
      <c r="F36" s="307" t="inlineStr">
        <is>
          <t>-1000</t>
        </is>
      </c>
      <c r="G36" s="307" t="inlineStr">
        <is>
          <t>1000</t>
        </is>
      </c>
      <c r="H36" s="307" t="inlineStr">
        <is>
          <t>‰</t>
        </is>
      </c>
      <c r="I36" s="307" t="inlineStr">
        <is>
          <t>flat_percent_multiplier_override_clamp</t>
        </is>
      </c>
      <c r="J36" s="307" t="inlineStr">
        <is>
          <t>对雷属性效果的抗性</t>
        </is>
      </c>
    </row>
    <row r="37" ht="15" customHeight="1" s="439">
      <c r="A37" s="307" t="inlineStr">
        <is>
          <t>ice_resist_permille</t>
        </is>
      </c>
      <c r="B37" s="307" t="inlineStr">
        <is>
          <t>冰系抗性</t>
        </is>
      </c>
      <c r="C37" s="307" t="inlineStr">
        <is>
          <t>元素抗性</t>
        </is>
      </c>
      <c r="D37" s="307" t="inlineStr">
        <is>
          <t>permille</t>
        </is>
      </c>
      <c r="E37" s="307" t="inlineStr">
        <is>
          <t>0</t>
        </is>
      </c>
      <c r="F37" s="307" t="inlineStr">
        <is>
          <t>-1000</t>
        </is>
      </c>
      <c r="G37" s="307" t="inlineStr">
        <is>
          <t>1000</t>
        </is>
      </c>
      <c r="H37" s="307" t="inlineStr">
        <is>
          <t>‰</t>
        </is>
      </c>
      <c r="I37" s="307" t="inlineStr">
        <is>
          <t>flat_percent_multiplier_override_clamp</t>
        </is>
      </c>
      <c r="J37" s="307" t="inlineStr">
        <is>
          <t>对冰属性效果的抗性</t>
        </is>
      </c>
    </row>
    <row r="38" ht="15" customHeight="1" s="439">
      <c r="A38" s="307" t="inlineStr">
        <is>
          <t>ground_resist_permille</t>
        </is>
      </c>
      <c r="B38" s="307" t="inlineStr">
        <is>
          <t>地系抗性</t>
        </is>
      </c>
      <c r="C38" s="307" t="inlineStr">
        <is>
          <t>元素抗性</t>
        </is>
      </c>
      <c r="D38" s="307" t="inlineStr">
        <is>
          <t>permille</t>
        </is>
      </c>
      <c r="E38" s="307" t="inlineStr">
        <is>
          <t>0</t>
        </is>
      </c>
      <c r="F38" s="307" t="inlineStr">
        <is>
          <t>-1000</t>
        </is>
      </c>
      <c r="G38" s="307" t="inlineStr">
        <is>
          <t>1000</t>
        </is>
      </c>
      <c r="H38" s="307" t="inlineStr">
        <is>
          <t>‰</t>
        </is>
      </c>
      <c r="I38" s="307" t="inlineStr">
        <is>
          <t>flat_percent_multiplier_override_clamp</t>
        </is>
      </c>
      <c r="J38" s="307" t="inlineStr">
        <is>
          <t>对地属性效果的抗性</t>
        </is>
      </c>
    </row>
    <row r="39" ht="15" customHeight="1" s="439">
      <c r="A39" s="307" t="inlineStr">
        <is>
          <t>dark_resist_permille</t>
        </is>
      </c>
      <c r="B39" s="307" t="inlineStr">
        <is>
          <t>暗系抗性</t>
        </is>
      </c>
      <c r="C39" s="307" t="inlineStr">
        <is>
          <t>元素抗性</t>
        </is>
      </c>
      <c r="D39" s="307" t="inlineStr">
        <is>
          <t>permille</t>
        </is>
      </c>
      <c r="E39" s="307" t="inlineStr">
        <is>
          <t>0</t>
        </is>
      </c>
      <c r="F39" s="307" t="inlineStr">
        <is>
          <t>-1000</t>
        </is>
      </c>
      <c r="G39" s="307" t="inlineStr">
        <is>
          <t>1000</t>
        </is>
      </c>
      <c r="H39" s="307" t="inlineStr">
        <is>
          <t>‰</t>
        </is>
      </c>
      <c r="I39" s="307" t="inlineStr">
        <is>
          <t>flat_percent_multiplier_override_clamp</t>
        </is>
      </c>
      <c r="J39" s="307" t="inlineStr">
        <is>
          <t>对暗属性效果的抗性</t>
        </is>
      </c>
    </row>
    <row r="40" ht="15" customHeight="1" s="439">
      <c r="A40" s="307" t="inlineStr">
        <is>
          <t>dragon_resist_permille</t>
        </is>
      </c>
      <c r="B40" s="307" t="inlineStr">
        <is>
          <t>龙系抗性</t>
        </is>
      </c>
      <c r="C40" s="307" t="inlineStr">
        <is>
          <t>元素抗性</t>
        </is>
      </c>
      <c r="D40" s="307" t="inlineStr">
        <is>
          <t>permille</t>
        </is>
      </c>
      <c r="E40" s="307" t="inlineStr">
        <is>
          <t>0</t>
        </is>
      </c>
      <c r="F40" s="307" t="inlineStr">
        <is>
          <t>-1000</t>
        </is>
      </c>
      <c r="G40" s="307" t="inlineStr">
        <is>
          <t>1000</t>
        </is>
      </c>
      <c r="H40" s="307" t="inlineStr">
        <is>
          <t>‰</t>
        </is>
      </c>
      <c r="I40" s="307" t="inlineStr">
        <is>
          <t>flat_percent_multiplier_override_clamp</t>
        </is>
      </c>
      <c r="J40" s="307" t="inlineStr">
        <is>
          <t>对龙属性效果的抗性</t>
        </is>
      </c>
    </row>
    <row r="41" ht="15" customHeight="1" s="439">
      <c r="A41" s="307" t="inlineStr">
        <is>
          <t>healing_power_permille</t>
        </is>
      </c>
      <c r="B41" s="307" t="inlineStr">
        <is>
          <t>治疗强度</t>
        </is>
      </c>
      <c r="C41" s="307" t="inlineStr">
        <is>
          <t>辅助</t>
        </is>
      </c>
      <c r="D41" s="307" t="inlineStr">
        <is>
          <t>permille</t>
        </is>
      </c>
      <c r="E41" s="307" t="inlineStr">
        <is>
          <t>1000</t>
        </is>
      </c>
      <c r="F41" s="307" t="inlineStr">
        <is>
          <t>0</t>
        </is>
      </c>
      <c r="G41" s="307" t="inlineStr">
        <is>
          <t>10000</t>
        </is>
      </c>
      <c r="H41" s="307" t="inlineStr">
        <is>
          <t>‰</t>
        </is>
      </c>
      <c r="I41" s="307" t="inlineStr">
        <is>
          <t>flat_percent_multiplier_override_clamp</t>
        </is>
      </c>
      <c r="J41" s="307" t="inlineStr">
        <is>
          <t>主动治疗效果的倍率</t>
        </is>
      </c>
    </row>
    <row r="42" ht="15" customHeight="1" s="439">
      <c r="A42" s="307" t="inlineStr">
        <is>
          <t>status_hit_permille</t>
        </is>
      </c>
      <c r="B42" s="307" t="inlineStr">
        <is>
          <t>状态命中</t>
        </is>
      </c>
      <c r="C42" s="307" t="inlineStr">
        <is>
          <t>辅助</t>
        </is>
      </c>
      <c r="D42" s="307" t="inlineStr">
        <is>
          <t>permille</t>
        </is>
      </c>
      <c r="E42" s="307" t="inlineStr">
        <is>
          <t>1000</t>
        </is>
      </c>
      <c r="F42" s="307" t="inlineStr">
        <is>
          <t>0</t>
        </is>
      </c>
      <c r="G42" s="307" t="inlineStr">
        <is>
          <t>10000</t>
        </is>
      </c>
      <c r="H42" s="307" t="inlineStr">
        <is>
          <t>‰</t>
        </is>
      </c>
      <c r="I42" s="307" t="inlineStr">
        <is>
          <t>flat_percent_multiplier_override_clamp</t>
        </is>
      </c>
      <c r="J42" s="307" t="inlineStr">
        <is>
          <t>施加状态时的命中倍率</t>
        </is>
      </c>
    </row>
    <row r="43" ht="15" customHeight="1" s="439">
      <c r="A43" s="307" t="inlineStr">
        <is>
          <t>status_duration_permille</t>
        </is>
      </c>
      <c r="B43" s="307" t="inlineStr">
        <is>
          <t>状态持续</t>
        </is>
      </c>
      <c r="C43" s="307" t="inlineStr">
        <is>
          <t>辅助</t>
        </is>
      </c>
      <c r="D43" s="307" t="inlineStr">
        <is>
          <t>permille</t>
        </is>
      </c>
      <c r="E43" s="307" t="inlineStr">
        <is>
          <t>1000</t>
        </is>
      </c>
      <c r="F43" s="307" t="inlineStr">
        <is>
          <t>0</t>
        </is>
      </c>
      <c r="G43" s="307" t="inlineStr">
        <is>
          <t>10000</t>
        </is>
      </c>
      <c r="H43" s="307" t="inlineStr">
        <is>
          <t>‰</t>
        </is>
      </c>
      <c r="I43" s="307" t="inlineStr">
        <is>
          <t>flat_percent_multiplier_override_clamp</t>
        </is>
      </c>
      <c r="J43" s="307" t="inlineStr">
        <is>
          <t>施加状态的持续回合倍率</t>
        </is>
      </c>
    </row>
    <row r="44" ht="15" customHeight="1" s="439">
      <c r="A44" s="307" t="inlineStr">
        <is>
          <t>cooldown_rate_permille</t>
        </is>
      </c>
      <c r="B44" s="307" t="inlineStr">
        <is>
          <t>冷却效率</t>
        </is>
      </c>
      <c r="C44" s="307" t="inlineStr">
        <is>
          <t>辅助</t>
        </is>
      </c>
      <c r="D44" s="307" t="inlineStr">
        <is>
          <t>permille</t>
        </is>
      </c>
      <c r="E44" s="307" t="inlineStr">
        <is>
          <t>1000</t>
        </is>
      </c>
      <c r="F44" s="307" t="inlineStr">
        <is>
          <t>1</t>
        </is>
      </c>
      <c r="G44" s="307" t="inlineStr">
        <is>
          <t>10000</t>
        </is>
      </c>
      <c r="H44" s="307" t="inlineStr">
        <is>
          <t>‰</t>
        </is>
      </c>
      <c r="I44" s="307" t="inlineStr">
        <is>
          <t>flat_percent_multiplier_override_clamp</t>
        </is>
      </c>
      <c r="J44" s="307" t="inlineStr">
        <is>
          <t>技能冷却推进倍率</t>
        </is>
      </c>
    </row>
    <row r="45" ht="15" customHeight="1" s="439">
      <c r="A45" s="307" t="inlineStr">
        <is>
          <t>element_layer_bonus</t>
        </is>
      </c>
      <c r="B45" s="307" t="inlineStr">
        <is>
          <t>元素铺层加值</t>
        </is>
      </c>
      <c r="C45" s="307" t="inlineStr">
        <is>
          <t>辅助</t>
        </is>
      </c>
      <c r="D45" s="307" t="inlineStr">
        <is>
          <t>integer</t>
        </is>
      </c>
      <c r="E45" s="307" t="inlineStr">
        <is>
          <t>0</t>
        </is>
      </c>
      <c r="F45" s="307" t="inlineStr">
        <is>
          <t>-99</t>
        </is>
      </c>
      <c r="G45" s="307" t="inlineStr">
        <is>
          <t>99</t>
        </is>
      </c>
      <c r="H45" s="307" t="inlineStr">
        <is>
          <t>层</t>
        </is>
      </c>
      <c r="I45" s="307" t="inlineStr">
        <is>
          <t>flat_override_clamp</t>
        </is>
      </c>
      <c r="J45" s="307" t="inlineStr">
        <is>
          <t>每次元素效果额外增加的层数</t>
        </is>
      </c>
    </row>
    <row r="46" ht="15" customHeight="1" s="439">
      <c r="A46" s="307" t="inlineStr">
        <is>
          <t>summon_power_permille</t>
        </is>
      </c>
      <c r="B46" s="307" t="inlineStr">
        <is>
          <t>召唤强度</t>
        </is>
      </c>
      <c r="C46" s="307" t="inlineStr">
        <is>
          <t>辅助</t>
        </is>
      </c>
      <c r="D46" s="307" t="inlineStr">
        <is>
          <t>permille</t>
        </is>
      </c>
      <c r="E46" s="307" t="inlineStr">
        <is>
          <t>1000</t>
        </is>
      </c>
      <c r="F46" s="307" t="inlineStr">
        <is>
          <t>0</t>
        </is>
      </c>
      <c r="G46" s="307" t="inlineStr">
        <is>
          <t>10000</t>
        </is>
      </c>
      <c r="H46" s="307" t="inlineStr">
        <is>
          <t>‰</t>
        </is>
      </c>
      <c r="I46" s="307" t="inlineStr">
        <is>
          <t>flat_percent_multiplier_override_clamp</t>
        </is>
      </c>
      <c r="J46" s="307" t="inlineStr">
        <is>
          <t>召唤物生命攻击与护盾倍率</t>
        </is>
      </c>
    </row>
    <row r="47" ht="15" customHeight="1" s="439">
      <c r="A47" s="307" t="inlineStr">
        <is>
          <t>threat</t>
        </is>
      </c>
      <c r="B47" s="307" t="inlineStr">
        <is>
          <t>仇恨</t>
        </is>
      </c>
      <c r="C47" s="307" t="inlineStr">
        <is>
          <t>辅助</t>
        </is>
      </c>
      <c r="D47" s="307" t="inlineStr">
        <is>
          <t>integer</t>
        </is>
      </c>
      <c r="E47" s="307" t="inlineStr">
        <is>
          <t>0</t>
        </is>
      </c>
      <c r="F47" s="307" t="inlineStr">
        <is>
          <t>-999999</t>
        </is>
      </c>
      <c r="G47" s="307" t="inlineStr">
        <is>
          <t>999999</t>
        </is>
      </c>
      <c r="H47" s="307" t="inlineStr">
        <is>
          <t>点</t>
        </is>
      </c>
      <c r="I47" s="307" t="inlineStr">
        <is>
          <t>flat_percent_multiplier_override_clamp</t>
        </is>
      </c>
      <c r="J47" s="307" t="inlineStr">
        <is>
          <t>目标选择时的威胁修正</t>
        </is>
      </c>
    </row>
    <row r="48" ht="15" customHeight="1" s="439">
      <c r="A48" s="307" t="inlineStr">
        <is>
          <t>action_cost_delta</t>
        </is>
      </c>
      <c r="B48" s="307" t="inlineStr">
        <is>
          <t>行动消耗修正</t>
        </is>
      </c>
      <c r="C48" s="307" t="inlineStr">
        <is>
          <t>辅助</t>
        </is>
      </c>
      <c r="D48" s="307" t="inlineStr">
        <is>
          <t>integer</t>
        </is>
      </c>
      <c r="E48" s="307" t="inlineStr">
        <is>
          <t>0</t>
        </is>
      </c>
      <c r="F48" s="307" t="inlineStr">
        <is>
          <t>-99</t>
        </is>
      </c>
      <c r="G48" s="307" t="inlineStr">
        <is>
          <t>99</t>
        </is>
      </c>
      <c r="H48" s="307" t="inlineStr">
        <is>
          <t>点</t>
        </is>
      </c>
      <c r="I48" s="307" t="inlineStr">
        <is>
          <t>flat_override_clamp</t>
        </is>
      </c>
      <c r="J48" s="307" t="inlineStr">
        <is>
          <t>技能行动点消耗的固定修正</t>
        </is>
      </c>
    </row>
    <row r="49" ht="15" customHeight="1" s="439">
      <c r="A49" s="307" t="inlineStr">
        <is>
          <t>movement_cost_delta</t>
        </is>
      </c>
      <c r="B49" s="307" t="inlineStr">
        <is>
          <t>移动消耗修正</t>
        </is>
      </c>
      <c r="C49" s="307" t="inlineStr">
        <is>
          <t>辅助</t>
        </is>
      </c>
      <c r="D49" s="307" t="inlineStr">
        <is>
          <t>integer</t>
        </is>
      </c>
      <c r="E49" s="307" t="inlineStr">
        <is>
          <t>0</t>
        </is>
      </c>
      <c r="F49" s="307" t="inlineStr">
        <is>
          <t>-99</t>
        </is>
      </c>
      <c r="G49" s="307" t="inlineStr">
        <is>
          <t>99</t>
        </is>
      </c>
      <c r="H49" s="307" t="inlineStr">
        <is>
          <t>点</t>
        </is>
      </c>
      <c r="I49" s="307" t="inlineStr">
        <is>
          <t>flat_override_clamp</t>
        </is>
      </c>
      <c r="J49" s="307" t="inlineStr">
        <is>
          <t>移动行动点消耗的固定修正</t>
        </is>
      </c>
    </row>
    <row r="50" ht="15" customHeight="1" s="439">
      <c r="A50" s="308" t="n"/>
      <c r="B50" s="308" t="n"/>
      <c r="C50" s="308" t="n"/>
      <c r="D50" s="308" t="n"/>
      <c r="E50" s="308" t="n"/>
      <c r="F50" s="308" t="n"/>
      <c r="G50" s="308" t="n"/>
      <c r="H50" s="308" t="n"/>
      <c r="I50" s="308" t="n"/>
      <c r="J50" s="308" t="n"/>
    </row>
    <row r="51" ht="52.79999923706055" customHeight="1" s="439">
      <c r="A51" s="319" t="inlineStr">
        <is>
          <t>#csv</t>
        </is>
      </c>
      <c r="B51" s="319" t="inlineStr">
        <is>
          <t>40_status_catalog.csv</t>
        </is>
      </c>
      <c r="C51" s="319" t="inlineStr">
        <is>
          <t>运行状态 Type Object；叠层、持续回合和通用 modifier effects。</t>
        </is>
      </c>
      <c r="D51" s="319" t="n"/>
      <c r="E51" s="319" t="n"/>
      <c r="F51" s="319" t="n"/>
      <c r="G51" s="319" t="n"/>
      <c r="H51" s="319" t="n"/>
      <c r="I51" s="319" t="n"/>
      <c r="J51" s="319" t="n"/>
    </row>
    <row r="52" ht="15" customHeight="1" s="439">
      <c r="A52" s="318" t="inlineStr">
        <is>
          <t>status_id</t>
        </is>
      </c>
      <c r="B52" s="318" t="inlineStr">
        <is>
          <t>name</t>
        </is>
      </c>
      <c r="C52" s="318" t="inlineStr">
        <is>
          <t>polarity</t>
        </is>
      </c>
      <c r="D52" s="318" t="inlineStr">
        <is>
          <t>max_stacks</t>
        </is>
      </c>
      <c r="E52" s="318" t="inlineStr">
        <is>
          <t>duration_policy</t>
        </is>
      </c>
      <c r="F52" s="318" t="inlineStr">
        <is>
          <t>default_duration</t>
        </is>
      </c>
      <c r="G52" s="318" t="inlineStr">
        <is>
          <t>effects_json</t>
        </is>
      </c>
      <c r="H52" s="318" t="inlineStr">
        <is>
          <t>description</t>
        </is>
      </c>
      <c r="I52" s="308" t="n"/>
      <c r="J52" s="308" t="n"/>
    </row>
    <row r="53" ht="92.40000152587891" customHeight="1" s="439">
      <c r="A53" s="307" t="inlineStr">
        <is>
          <t>status_fury</t>
        </is>
      </c>
      <c r="B53" s="307" t="inlineStr">
        <is>
          <t>激昂</t>
        </is>
      </c>
      <c r="C53" s="307" t="inlineStr">
        <is>
          <t>positive</t>
        </is>
      </c>
      <c r="D53" s="307" t="inlineStr">
        <is>
          <t>3</t>
        </is>
      </c>
      <c r="E53" s="307" t="inlineStr">
        <is>
          <t>refresh</t>
        </is>
      </c>
      <c r="F53" s="307" t="inlineStr">
        <is>
          <t>2</t>
        </is>
      </c>
      <c r="G53" s="307" t="inlineStr">
        <is>
          <t>[{"hook":"always","type":"modify_stat","stat":"atk","operation":"flat_add_per_stack","value":2,"phase":"status","priority":100}]</t>
        </is>
      </c>
      <c r="H53" s="307" t="inlineStr">
        <is>
          <t>每层攻击+2</t>
        </is>
      </c>
      <c r="I53" s="308" t="n"/>
      <c r="J53" s="308" t="n"/>
    </row>
    <row r="54" ht="92.40000152587891" customHeight="1" s="439">
      <c r="A54" s="307" t="inlineStr">
        <is>
          <t>status_fortified</t>
        </is>
      </c>
      <c r="B54" s="307" t="inlineStr">
        <is>
          <t>坚固</t>
        </is>
      </c>
      <c r="C54" s="307" t="inlineStr">
        <is>
          <t>positive</t>
        </is>
      </c>
      <c r="D54" s="307" t="inlineStr">
        <is>
          <t>3</t>
        </is>
      </c>
      <c r="E54" s="307" t="inlineStr">
        <is>
          <t>refresh</t>
        </is>
      </c>
      <c r="F54" s="307" t="inlineStr">
        <is>
          <t>2</t>
        </is>
      </c>
      <c r="G54" s="307" t="inlineStr">
        <is>
          <t>[{"hook":"always","type":"modify_stat","stat":"def","operation":"flat_add_per_stack","value":2,"phase":"status","priority":100}]</t>
        </is>
      </c>
      <c r="H54" s="307" t="inlineStr">
        <is>
          <t>每层防御+2</t>
        </is>
      </c>
      <c r="I54" s="308" t="n"/>
      <c r="J54" s="308" t="n"/>
    </row>
    <row r="55" ht="92.40000152587891" customHeight="1" s="439">
      <c r="A55" s="307" t="inlineStr">
        <is>
          <t>status_haste</t>
        </is>
      </c>
      <c r="B55" s="307" t="inlineStr">
        <is>
          <t>迅捷</t>
        </is>
      </c>
      <c r="C55" s="307" t="inlineStr">
        <is>
          <t>positive</t>
        </is>
      </c>
      <c r="D55" s="307" t="inlineStr">
        <is>
          <t>3</t>
        </is>
      </c>
      <c r="E55" s="307" t="inlineStr">
        <is>
          <t>refresh</t>
        </is>
      </c>
      <c r="F55" s="307" t="inlineStr">
        <is>
          <t>2</t>
        </is>
      </c>
      <c r="G55" s="307" t="inlineStr">
        <is>
          <t>[{"hook":"always","type":"modify_stat","stat":"speed","operation":"flat_add_per_stack","value":100,"phase":"status","priority":100}]</t>
        </is>
      </c>
      <c r="H55" s="307" t="inlineStr">
        <is>
          <t>每层速度+100</t>
        </is>
      </c>
      <c r="I55" s="308" t="n"/>
      <c r="J55" s="308" t="n"/>
    </row>
    <row r="56" ht="105.5999984741211" customHeight="1" s="439">
      <c r="A56" s="307" t="inlineStr">
        <is>
          <t>status_focus</t>
        </is>
      </c>
      <c r="B56" s="307" t="inlineStr">
        <is>
          <t>专注</t>
        </is>
      </c>
      <c r="C56" s="307" t="inlineStr">
        <is>
          <t>positive</t>
        </is>
      </c>
      <c r="D56" s="307" t="inlineStr">
        <is>
          <t>3</t>
        </is>
      </c>
      <c r="E56" s="307" t="inlineStr">
        <is>
          <t>refresh</t>
        </is>
      </c>
      <c r="F56" s="307" t="inlineStr">
        <is>
          <t>2</t>
        </is>
      </c>
      <c r="G56" s="307" t="inlineStr">
        <is>
          <t>[{"hook":"always","type":"modify_stat","stat":"crit_rate_permille","operation":"flat_add_per_stack","value":100,"phase":"status","priority":100}]</t>
        </is>
      </c>
      <c r="H56" s="307" t="inlineStr">
        <is>
          <t>每层暴击率+10%</t>
        </is>
      </c>
      <c r="I56" s="308" t="n"/>
      <c r="J56" s="308" t="n"/>
    </row>
    <row r="57" ht="105.5999984741211" customHeight="1" s="439">
      <c r="A57" s="307" t="inlineStr">
        <is>
          <t>status_weakened</t>
        </is>
      </c>
      <c r="B57" s="307" t="inlineStr">
        <is>
          <t>虚弱</t>
        </is>
      </c>
      <c r="C57" s="307" t="inlineStr">
        <is>
          <t>negative</t>
        </is>
      </c>
      <c r="D57" s="307" t="inlineStr">
        <is>
          <t>3</t>
        </is>
      </c>
      <c r="E57" s="307" t="inlineStr">
        <is>
          <t>refresh</t>
        </is>
      </c>
      <c r="F57" s="307" t="inlineStr">
        <is>
          <t>2</t>
        </is>
      </c>
      <c r="G57" s="307" t="inlineStr">
        <is>
          <t>[{"hook":"always","type":"modify_stat","stat":"physical_power_permille","operation":"flat_add_per_stack","value":-100,"phase":"status","priority":100}]</t>
        </is>
      </c>
      <c r="H57" s="307" t="inlineStr">
        <is>
          <t>每层物理威力-10%</t>
        </is>
      </c>
      <c r="I57" s="308" t="n"/>
      <c r="J57" s="308" t="n"/>
    </row>
    <row r="58" ht="105.5999984741211" customHeight="1" s="439">
      <c r="A58" s="307" t="inlineStr">
        <is>
          <t>status_vulnerable</t>
        </is>
      </c>
      <c r="B58" s="307" t="inlineStr">
        <is>
          <t>易伤</t>
        </is>
      </c>
      <c r="C58" s="307" t="inlineStr">
        <is>
          <t>negative</t>
        </is>
      </c>
      <c r="D58" s="307" t="inlineStr">
        <is>
          <t>3</t>
        </is>
      </c>
      <c r="E58" s="307" t="inlineStr">
        <is>
          <t>refresh</t>
        </is>
      </c>
      <c r="F58" s="307" t="inlineStr">
        <is>
          <t>2</t>
        </is>
      </c>
      <c r="G58" s="307" t="inlineStr">
        <is>
          <t>[{"hook":"always","type":"modify_stat","stat":"damage_taken_permille","operation":"flat_add_per_stack","value":150,"phase":"status","priority":100}]</t>
        </is>
      </c>
      <c r="H58" s="307" t="inlineStr">
        <is>
          <t>每层承伤+15%</t>
        </is>
      </c>
      <c r="I58" s="308" t="n"/>
      <c r="J58" s="308" t="n"/>
    </row>
    <row r="59" ht="92.40000152587891" customHeight="1" s="439">
      <c r="A59" s="307" t="inlineStr">
        <is>
          <t>status_slow</t>
        </is>
      </c>
      <c r="B59" s="307" t="inlineStr">
        <is>
          <t>迟缓</t>
        </is>
      </c>
      <c r="C59" s="307" t="inlineStr">
        <is>
          <t>negative</t>
        </is>
      </c>
      <c r="D59" s="307" t="inlineStr">
        <is>
          <t>3</t>
        </is>
      </c>
      <c r="E59" s="307" t="inlineStr">
        <is>
          <t>refresh</t>
        </is>
      </c>
      <c r="F59" s="307" t="inlineStr">
        <is>
          <t>2</t>
        </is>
      </c>
      <c r="G59" s="307" t="inlineStr">
        <is>
          <t>[{"hook":"always","type":"modify_stat","stat":"speed","operation":"flat_add_per_stack","value":-100,"phase":"status","priority":100}]</t>
        </is>
      </c>
      <c r="H59" s="307" t="inlineStr">
        <is>
          <t>每层速度-100</t>
        </is>
      </c>
      <c r="I59" s="308" t="n"/>
      <c r="J59" s="308" t="n"/>
    </row>
    <row r="60" ht="105.5999984741211" customHeight="1" s="439">
      <c r="A60" s="307" t="inlineStr">
        <is>
          <t>status_barrier</t>
        </is>
      </c>
      <c r="B60" s="307" t="inlineStr">
        <is>
          <t>屏障强化</t>
        </is>
      </c>
      <c r="C60" s="307" t="inlineStr">
        <is>
          <t>positive</t>
        </is>
      </c>
      <c r="D60" s="307" t="inlineStr">
        <is>
          <t>3</t>
        </is>
      </c>
      <c r="E60" s="307" t="inlineStr">
        <is>
          <t>refresh</t>
        </is>
      </c>
      <c r="F60" s="307" t="inlineStr">
        <is>
          <t>2</t>
        </is>
      </c>
      <c r="G60" s="307" t="inlineStr">
        <is>
          <t>[{"hook":"always","type":"modify_stat","stat":"shield_gain_permille","operation":"flat_add_per_stack","value":200,"phase":"status","priority":100}]</t>
        </is>
      </c>
      <c r="H60" s="307" t="inlineStr">
        <is>
          <t>每层护盾获得+20%</t>
        </is>
      </c>
      <c r="I60" s="308" t="n"/>
      <c r="J60" s="308" t="n"/>
    </row>
    <row r="61" ht="15" customHeight="1" s="439">
      <c r="A61" s="308" t="n"/>
      <c r="B61" s="308" t="n"/>
      <c r="C61" s="308" t="n"/>
      <c r="D61" s="308" t="n"/>
      <c r="E61" s="308" t="n"/>
      <c r="F61" s="308" t="n"/>
      <c r="G61" s="308" t="n"/>
      <c r="H61" s="308" t="n"/>
      <c r="I61" s="308" t="n"/>
      <c r="J61" s="308" t="n"/>
    </row>
    <row r="62" ht="15" customHeight="1" s="439">
      <c r="A62" s="308" t="n"/>
      <c r="B62" s="308" t="n"/>
      <c r="C62" s="308" t="n"/>
      <c r="D62" s="308" t="n"/>
      <c r="E62" s="308" t="n"/>
      <c r="F62" s="308" t="n"/>
      <c r="G62" s="308" t="n"/>
      <c r="H62" s="308" t="n"/>
      <c r="I62" s="308" t="n"/>
      <c r="J62" s="308" t="n"/>
    </row>
    <row r="63">
      <c r="A63" s="308" t="n"/>
      <c r="B63" s="308" t="n"/>
      <c r="C63" s="308" t="n"/>
      <c r="D63" s="308" t="n"/>
      <c r="E63" s="308" t="n"/>
      <c r="F63" s="308" t="n"/>
      <c r="G63" s="308" t="n"/>
      <c r="H63" s="308" t="n"/>
      <c r="I63" s="308" t="n"/>
      <c r="J63" s="308" t="n"/>
    </row>
    <row r="64">
      <c r="A64" s="308" t="n"/>
      <c r="B64" s="308" t="n"/>
      <c r="C64" s="308" t="n"/>
      <c r="D64" s="308" t="n"/>
      <c r="E64" s="308" t="n"/>
      <c r="F64" s="308" t="n"/>
      <c r="G64" s="308" t="n"/>
      <c r="H64" s="308" t="n"/>
      <c r="I64" s="308" t="n"/>
      <c r="J64" s="308" t="n"/>
    </row>
    <row r="65">
      <c r="A65" s="308" t="n"/>
      <c r="B65" s="308" t="n"/>
      <c r="C65" s="308" t="n"/>
      <c r="D65" s="308" t="n"/>
      <c r="E65" s="308" t="n"/>
      <c r="F65" s="308" t="n"/>
      <c r="G65" s="308" t="n"/>
      <c r="H65" s="308" t="n"/>
      <c r="I65" s="308" t="n"/>
      <c r="J65" s="308" t="n"/>
    </row>
    <row r="66">
      <c r="A66" s="308" t="n"/>
      <c r="B66" s="308" t="n"/>
      <c r="C66" s="308" t="n"/>
      <c r="D66" s="308" t="n"/>
      <c r="E66" s="308" t="n"/>
      <c r="F66" s="308" t="n"/>
      <c r="G66" s="308" t="n"/>
      <c r="H66" s="308" t="n"/>
      <c r="I66" s="308" t="n"/>
      <c r="J66" s="308" t="n"/>
    </row>
    <row r="67">
      <c r="A67" s="308" t="n"/>
      <c r="B67" s="308" t="n"/>
      <c r="C67" s="308" t="n"/>
      <c r="D67" s="308" t="n"/>
      <c r="E67" s="308" t="n"/>
      <c r="F67" s="308" t="n"/>
      <c r="G67" s="308" t="n"/>
      <c r="H67" s="308" t="n"/>
      <c r="I67" s="308" t="n"/>
      <c r="J67" s="308" t="n"/>
    </row>
    <row r="68">
      <c r="A68" s="308" t="n"/>
      <c r="B68" s="308" t="n"/>
      <c r="C68" s="308" t="n"/>
      <c r="D68" s="308" t="n"/>
      <c r="E68" s="308" t="n"/>
      <c r="F68" s="308" t="n"/>
      <c r="G68" s="308" t="n"/>
      <c r="H68" s="308" t="n"/>
      <c r="I68" s="308" t="n"/>
      <c r="J68" s="308" t="n"/>
    </row>
    <row r="69">
      <c r="A69" s="308" t="n"/>
      <c r="B69" s="308" t="n"/>
      <c r="C69" s="308" t="n"/>
      <c r="D69" s="308" t="n"/>
      <c r="E69" s="308" t="n"/>
      <c r="F69" s="308" t="n"/>
      <c r="G69" s="308" t="n"/>
      <c r="H69" s="308" t="n"/>
      <c r="I69" s="308" t="n"/>
      <c r="J69" s="308" t="n"/>
    </row>
    <row r="70">
      <c r="A70" s="308" t="n"/>
      <c r="B70" s="308" t="n"/>
      <c r="C70" s="308" t="n"/>
      <c r="D70" s="308" t="n"/>
      <c r="E70" s="308" t="n"/>
      <c r="F70" s="308" t="n"/>
      <c r="G70" s="308" t="n"/>
      <c r="H70" s="308" t="n"/>
      <c r="I70" s="308" t="n"/>
      <c r="J70" s="308" t="n"/>
    </row>
    <row r="71">
      <c r="A71" s="308" t="n"/>
      <c r="B71" s="308" t="n"/>
      <c r="C71" s="308" t="n"/>
      <c r="D71" s="308" t="n"/>
      <c r="E71" s="308" t="n"/>
      <c r="F71" s="308" t="n"/>
      <c r="G71" s="308" t="n"/>
      <c r="H71" s="308" t="n"/>
      <c r="I71" s="308" t="n"/>
      <c r="J71" s="308" t="n"/>
    </row>
    <row r="72">
      <c r="A72" s="308" t="n"/>
      <c r="B72" s="308" t="n"/>
      <c r="C72" s="308" t="n"/>
      <c r="D72" s="308" t="n"/>
      <c r="E72" s="308" t="n"/>
      <c r="F72" s="308" t="n"/>
      <c r="G72" s="308" t="n"/>
      <c r="H72" s="308" t="n"/>
      <c r="I72" s="308" t="n"/>
      <c r="J72" s="308" t="n"/>
    </row>
    <row r="73">
      <c r="A73" s="308" t="n"/>
      <c r="B73" s="308" t="n"/>
      <c r="C73" s="308" t="n"/>
      <c r="D73" s="308" t="n"/>
      <c r="E73" s="308" t="n"/>
      <c r="F73" s="308" t="n"/>
      <c r="G73" s="308" t="n"/>
      <c r="H73" s="308" t="n"/>
      <c r="I73" s="308" t="n"/>
      <c r="J73" s="308" t="n"/>
    </row>
    <row r="74">
      <c r="A74" s="308" t="n"/>
      <c r="B74" s="308" t="n"/>
      <c r="C74" s="308" t="n"/>
      <c r="D74" s="308" t="n"/>
      <c r="E74" s="308" t="n"/>
      <c r="F74" s="308" t="n"/>
      <c r="G74" s="308" t="n"/>
      <c r="H74" s="308" t="n"/>
      <c r="I74" s="308" t="n"/>
      <c r="J74" s="308" t="n"/>
    </row>
    <row r="75">
      <c r="A75" s="308" t="n"/>
      <c r="B75" s="308" t="n"/>
      <c r="C75" s="308" t="n"/>
      <c r="D75" s="308" t="n"/>
      <c r="E75" s="308" t="n"/>
      <c r="F75" s="308" t="n"/>
      <c r="G75" s="308" t="n"/>
      <c r="H75" s="308" t="n"/>
      <c r="I75" s="308" t="n"/>
      <c r="J75" s="308" t="n"/>
    </row>
    <row r="76">
      <c r="A76" s="308" t="n"/>
      <c r="B76" s="308" t="n"/>
      <c r="C76" s="308" t="n"/>
      <c r="D76" s="308" t="n"/>
      <c r="E76" s="308" t="n"/>
      <c r="F76" s="308" t="n"/>
      <c r="G76" s="308" t="n"/>
      <c r="H76" s="308" t="n"/>
      <c r="I76" s="308" t="n"/>
      <c r="J76" s="308" t="n"/>
    </row>
    <row r="77">
      <c r="A77" s="308" t="n"/>
      <c r="B77" s="308" t="n"/>
      <c r="C77" s="308" t="n"/>
      <c r="D77" s="308" t="n"/>
      <c r="E77" s="308" t="n"/>
      <c r="F77" s="308" t="n"/>
      <c r="G77" s="308" t="n"/>
      <c r="H77" s="308" t="n"/>
      <c r="I77" s="308" t="n"/>
      <c r="J77" s="308" t="n"/>
    </row>
    <row r="78">
      <c r="A78" s="308" t="n"/>
      <c r="B78" s="308" t="n"/>
      <c r="C78" s="308" t="n"/>
      <c r="D78" s="308" t="n"/>
      <c r="E78" s="308" t="n"/>
      <c r="F78" s="308" t="n"/>
      <c r="G78" s="308" t="n"/>
      <c r="H78" s="308" t="n"/>
      <c r="I78" s="308" t="n"/>
      <c r="J78" s="308" t="n"/>
    </row>
    <row r="79">
      <c r="A79" s="308" t="n"/>
      <c r="B79" s="308" t="n"/>
      <c r="C79" s="308" t="n"/>
      <c r="D79" s="308" t="n"/>
      <c r="E79" s="308" t="n"/>
      <c r="F79" s="308" t="n"/>
      <c r="G79" s="308" t="n"/>
      <c r="H79" s="308" t="n"/>
      <c r="I79" s="308" t="n"/>
      <c r="J79" s="308" t="n"/>
    </row>
    <row r="80">
      <c r="A80" s="310" t="n"/>
      <c r="B80" s="310" t="n"/>
      <c r="C80" s="310" t="n"/>
      <c r="D80" s="310" t="n"/>
      <c r="E80" s="310" t="n"/>
      <c r="F80" s="310" t="n"/>
      <c r="G80" s="310" t="n"/>
      <c r="H80" s="310" t="n"/>
      <c r="I80" s="310" t="n"/>
      <c r="J80" s="310" t="n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88"/>
  <sheetViews>
    <sheetView showGridLines="0" workbookViewId="0">
      <selection activeCell="A1" sqref="A1"/>
    </sheetView>
  </sheetViews>
  <sheetFormatPr baseColWidth="8" defaultRowHeight="15"/>
  <cols>
    <col width="24" customWidth="1" style="439" min="1" max="1"/>
    <col width="24" customWidth="1" style="439" min="2" max="2"/>
    <col width="11" customWidth="1" style="439" min="3" max="3"/>
    <col width="11" customWidth="1" style="439" min="4" max="4"/>
    <col width="11" customWidth="1" style="439" min="5" max="5"/>
    <col width="11" customWidth="1" style="439" min="6" max="6"/>
    <col width="11" customWidth="1" style="439" min="7" max="7"/>
  </cols>
  <sheetData>
    <row r="1" ht="30" customHeight="1" s="439">
      <c r="A1" s="323" t="inlineStr">
        <is>
          <t>宠物基础数值规则｜品质 × 定位 × 体型</t>
        </is>
      </c>
    </row>
    <row r="2" ht="28" customHeight="1" s="439">
      <c r="A2" s="326" t="inlineStr">
        <is>
          <t>所有具体 HP / 攻 / 防 / 盾 / 行动力均在本表维护；PETS 只引用规则，不在程序代码中补默认面板。</t>
        </is>
      </c>
    </row>
    <row r="4">
      <c r="A4" s="330" t="inlineStr">
        <is>
          <t>rule_key</t>
        </is>
      </c>
      <c r="B4" s="330" t="inlineStr">
        <is>
          <t>设计维度</t>
        </is>
      </c>
      <c r="C4" s="330" t="inlineStr">
        <is>
          <t>hp</t>
        </is>
      </c>
      <c r="D4" s="330" t="inlineStr">
        <is>
          <t>atk</t>
        </is>
      </c>
      <c r="E4" s="330" t="inlineStr">
        <is>
          <t>def</t>
        </is>
      </c>
      <c r="F4" s="330" t="inlineStr">
        <is>
          <t>shield</t>
        </is>
      </c>
      <c r="G4" s="330" t="inlineStr">
        <is>
          <t>action</t>
        </is>
      </c>
    </row>
    <row r="5">
      <c r="A5" s="334" t="inlineStr">
        <is>
          <t>青铜|输出|一格</t>
        </is>
      </c>
      <c r="B5" s="334" t="inlineStr">
        <is>
          <t>青铜 / 输出 / 一格</t>
        </is>
      </c>
      <c r="C5" s="458" t="n">
        <v>22</v>
      </c>
      <c r="D5" s="458" t="n">
        <v>14</v>
      </c>
      <c r="E5" s="458" t="n">
        <v>0</v>
      </c>
      <c r="F5" s="458" t="n">
        <v>0</v>
      </c>
      <c r="G5" s="458" t="n">
        <v>3</v>
      </c>
    </row>
    <row r="6">
      <c r="A6" s="336" t="inlineStr">
        <is>
          <t>青铜|输出|两格</t>
        </is>
      </c>
      <c r="B6" s="336" t="inlineStr">
        <is>
          <t>青铜 / 输出 / 两格</t>
        </is>
      </c>
      <c r="C6" s="459" t="n">
        <v>28</v>
      </c>
      <c r="D6" s="459" t="n">
        <v>12</v>
      </c>
      <c r="E6" s="459" t="n">
        <v>0</v>
      </c>
      <c r="F6" s="459" t="n">
        <v>0</v>
      </c>
      <c r="G6" s="459" t="n">
        <v>3</v>
      </c>
    </row>
    <row r="7">
      <c r="A7" s="336" t="inlineStr">
        <is>
          <t>青铜|输出|三格</t>
        </is>
      </c>
      <c r="B7" s="336" t="inlineStr">
        <is>
          <t>青铜 / 输出 / 三格</t>
        </is>
      </c>
      <c r="C7" s="459" t="n">
        <v>34</v>
      </c>
      <c r="D7" s="459" t="n">
        <v>10</v>
      </c>
      <c r="E7" s="459" t="n">
        <v>0</v>
      </c>
      <c r="F7" s="459" t="n">
        <v>0</v>
      </c>
      <c r="G7" s="459" t="n">
        <v>2</v>
      </c>
    </row>
    <row r="8">
      <c r="A8" s="336" t="inlineStr">
        <is>
          <t>青铜|控制|一格</t>
        </is>
      </c>
      <c r="B8" s="336" t="inlineStr">
        <is>
          <t>青铜 / 控制 / 一格</t>
        </is>
      </c>
      <c r="C8" s="459" t="n">
        <v>26</v>
      </c>
      <c r="D8" s="459" t="n">
        <v>10</v>
      </c>
      <c r="E8" s="459" t="n">
        <v>0</v>
      </c>
      <c r="F8" s="459" t="n">
        <v>0</v>
      </c>
      <c r="G8" s="459" t="n">
        <v>4</v>
      </c>
    </row>
    <row r="9">
      <c r="A9" s="336" t="inlineStr">
        <is>
          <t>青铜|控制|两格</t>
        </is>
      </c>
      <c r="B9" s="336" t="inlineStr">
        <is>
          <t>青铜 / 控制 / 两格</t>
        </is>
      </c>
      <c r="C9" s="459" t="n">
        <v>32</v>
      </c>
      <c r="D9" s="459" t="n">
        <v>8</v>
      </c>
      <c r="E9" s="459" t="n">
        <v>0</v>
      </c>
      <c r="F9" s="459" t="n">
        <v>0</v>
      </c>
      <c r="G9" s="459" t="n">
        <v>4</v>
      </c>
    </row>
    <row r="10">
      <c r="A10" s="336" t="inlineStr">
        <is>
          <t>青铜|控制|三格</t>
        </is>
      </c>
      <c r="B10" s="336" t="inlineStr">
        <is>
          <t>青铜 / 控制 / 三格</t>
        </is>
      </c>
      <c r="C10" s="459" t="n">
        <v>38</v>
      </c>
      <c r="D10" s="459" t="n">
        <v>6</v>
      </c>
      <c r="E10" s="459" t="n">
        <v>0</v>
      </c>
      <c r="F10" s="459" t="n">
        <v>0</v>
      </c>
      <c r="G10" s="459" t="n">
        <v>4</v>
      </c>
    </row>
    <row r="11">
      <c r="A11" s="336" t="inlineStr">
        <is>
          <t>青铜|机动|一格</t>
        </is>
      </c>
      <c r="B11" s="336" t="inlineStr">
        <is>
          <t>青铜 / 机动 / 一格</t>
        </is>
      </c>
      <c r="C11" s="459" t="n">
        <v>22</v>
      </c>
      <c r="D11" s="459" t="n">
        <v>8</v>
      </c>
      <c r="E11" s="459" t="n">
        <v>0</v>
      </c>
      <c r="F11" s="459" t="n">
        <v>0</v>
      </c>
      <c r="G11" s="459" t="n">
        <v>5</v>
      </c>
    </row>
    <row r="12">
      <c r="A12" s="336" t="inlineStr">
        <is>
          <t>青铜|机动|两格</t>
        </is>
      </c>
      <c r="B12" s="336" t="inlineStr">
        <is>
          <t>青铜 / 机动 / 两格</t>
        </is>
      </c>
      <c r="C12" s="459" t="n">
        <v>28</v>
      </c>
      <c r="D12" s="459" t="n">
        <v>6</v>
      </c>
      <c r="E12" s="459" t="n">
        <v>0</v>
      </c>
      <c r="F12" s="459" t="n">
        <v>0</v>
      </c>
      <c r="G12" s="459" t="n">
        <v>5</v>
      </c>
    </row>
    <row r="13">
      <c r="A13" s="336" t="inlineStr">
        <is>
          <t>青铜|机动|三格</t>
        </is>
      </c>
      <c r="B13" s="336" t="inlineStr">
        <is>
          <t>青铜 / 机动 / 三格</t>
        </is>
      </c>
      <c r="C13" s="459" t="n">
        <v>34</v>
      </c>
      <c r="D13" s="459" t="n">
        <v>4</v>
      </c>
      <c r="E13" s="459" t="n">
        <v>0</v>
      </c>
      <c r="F13" s="459" t="n">
        <v>0</v>
      </c>
      <c r="G13" s="459" t="n">
        <v>5</v>
      </c>
    </row>
    <row r="14">
      <c r="A14" s="336" t="inlineStr">
        <is>
          <t>青铜|治疗|一格</t>
        </is>
      </c>
      <c r="B14" s="336" t="inlineStr">
        <is>
          <t>青铜 / 治疗 / 一格</t>
        </is>
      </c>
      <c r="C14" s="459" t="n">
        <v>28</v>
      </c>
      <c r="D14" s="459" t="n">
        <v>8</v>
      </c>
      <c r="E14" s="459" t="n">
        <v>0</v>
      </c>
      <c r="F14" s="459" t="n">
        <v>2</v>
      </c>
      <c r="G14" s="459" t="n">
        <v>3</v>
      </c>
    </row>
    <row r="15">
      <c r="A15" s="336" t="inlineStr">
        <is>
          <t>青铜|治疗|两格</t>
        </is>
      </c>
      <c r="B15" s="336" t="inlineStr">
        <is>
          <t>青铜 / 治疗 / 两格</t>
        </is>
      </c>
      <c r="C15" s="459" t="n">
        <v>34</v>
      </c>
      <c r="D15" s="459" t="n">
        <v>6</v>
      </c>
      <c r="E15" s="459" t="n">
        <v>0</v>
      </c>
      <c r="F15" s="459" t="n">
        <v>2</v>
      </c>
      <c r="G15" s="459" t="n">
        <v>3</v>
      </c>
    </row>
    <row r="16">
      <c r="A16" s="336" t="inlineStr">
        <is>
          <t>青铜|治疗|三格</t>
        </is>
      </c>
      <c r="B16" s="336" t="inlineStr">
        <is>
          <t>青铜 / 治疗 / 三格</t>
        </is>
      </c>
      <c r="C16" s="459" t="n">
        <v>40</v>
      </c>
      <c r="D16" s="459" t="n">
        <v>4</v>
      </c>
      <c r="E16" s="459" t="n">
        <v>0</v>
      </c>
      <c r="F16" s="459" t="n">
        <v>2</v>
      </c>
      <c r="G16" s="459" t="n">
        <v>2</v>
      </c>
    </row>
    <row r="17">
      <c r="A17" s="336" t="inlineStr">
        <is>
          <t>青铜|经济|一格</t>
        </is>
      </c>
      <c r="B17" s="336" t="inlineStr">
        <is>
          <t>青铜 / 经济 / 一格</t>
        </is>
      </c>
      <c r="C17" s="459" t="n">
        <v>22</v>
      </c>
      <c r="D17" s="459" t="n">
        <v>8</v>
      </c>
      <c r="E17" s="459" t="n">
        <v>0</v>
      </c>
      <c r="F17" s="459" t="n">
        <v>0</v>
      </c>
      <c r="G17" s="459" t="n">
        <v>3</v>
      </c>
    </row>
    <row r="18">
      <c r="A18" s="336" t="inlineStr">
        <is>
          <t>青铜|经济|两格</t>
        </is>
      </c>
      <c r="B18" s="336" t="inlineStr">
        <is>
          <t>青铜 / 经济 / 两格</t>
        </is>
      </c>
      <c r="C18" s="459" t="n">
        <v>28</v>
      </c>
      <c r="D18" s="459" t="n">
        <v>6</v>
      </c>
      <c r="E18" s="459" t="n">
        <v>0</v>
      </c>
      <c r="F18" s="459" t="n">
        <v>0</v>
      </c>
      <c r="G18" s="459" t="n">
        <v>3</v>
      </c>
    </row>
    <row r="19">
      <c r="A19" s="336" t="inlineStr">
        <is>
          <t>青铜|经济|三格</t>
        </is>
      </c>
      <c r="B19" s="336" t="inlineStr">
        <is>
          <t>青铜 / 经济 / 三格</t>
        </is>
      </c>
      <c r="C19" s="459" t="n">
        <v>34</v>
      </c>
      <c r="D19" s="459" t="n">
        <v>4</v>
      </c>
      <c r="E19" s="459" t="n">
        <v>0</v>
      </c>
      <c r="F19" s="459" t="n">
        <v>0</v>
      </c>
      <c r="G19" s="459" t="n">
        <v>2</v>
      </c>
    </row>
    <row r="20">
      <c r="A20" s="336" t="inlineStr">
        <is>
          <t>青铜|召唤|一格</t>
        </is>
      </c>
      <c r="B20" s="336" t="inlineStr">
        <is>
          <t>青铜 / 召唤 / 一格</t>
        </is>
      </c>
      <c r="C20" s="459" t="n">
        <v>30</v>
      </c>
      <c r="D20" s="459" t="n">
        <v>8</v>
      </c>
      <c r="E20" s="459" t="n">
        <v>0</v>
      </c>
      <c r="F20" s="459" t="n">
        <v>0</v>
      </c>
      <c r="G20" s="459" t="n">
        <v>3</v>
      </c>
    </row>
    <row r="21">
      <c r="A21" s="336" t="inlineStr">
        <is>
          <t>青铜|召唤|两格</t>
        </is>
      </c>
      <c r="B21" s="336" t="inlineStr">
        <is>
          <t>青铜 / 召唤 / 两格</t>
        </is>
      </c>
      <c r="C21" s="459" t="n">
        <v>36</v>
      </c>
      <c r="D21" s="459" t="n">
        <v>6</v>
      </c>
      <c r="E21" s="459" t="n">
        <v>0</v>
      </c>
      <c r="F21" s="459" t="n">
        <v>0</v>
      </c>
      <c r="G21" s="459" t="n">
        <v>3</v>
      </c>
    </row>
    <row r="22">
      <c r="A22" s="336" t="inlineStr">
        <is>
          <t>青铜|召唤|三格</t>
        </is>
      </c>
      <c r="B22" s="336" t="inlineStr">
        <is>
          <t>青铜 / 召唤 / 三格</t>
        </is>
      </c>
      <c r="C22" s="459" t="n">
        <v>42</v>
      </c>
      <c r="D22" s="459" t="n">
        <v>4</v>
      </c>
      <c r="E22" s="459" t="n">
        <v>0</v>
      </c>
      <c r="F22" s="459" t="n">
        <v>0</v>
      </c>
      <c r="G22" s="459" t="n">
        <v>2</v>
      </c>
    </row>
    <row r="23">
      <c r="A23" s="336" t="inlineStr">
        <is>
          <t>青铜|坦克|一格</t>
        </is>
      </c>
      <c r="B23" s="336" t="inlineStr">
        <is>
          <t>青铜 / 坦克 / 一格</t>
        </is>
      </c>
      <c r="C23" s="459" t="n">
        <v>36</v>
      </c>
      <c r="D23" s="459" t="n">
        <v>8</v>
      </c>
      <c r="E23" s="459" t="n">
        <v>0</v>
      </c>
      <c r="F23" s="459" t="n">
        <v>6</v>
      </c>
      <c r="G23" s="459" t="n">
        <v>3</v>
      </c>
    </row>
    <row r="24">
      <c r="A24" s="336" t="inlineStr">
        <is>
          <t>青铜|坦克|两格</t>
        </is>
      </c>
      <c r="B24" s="336" t="inlineStr">
        <is>
          <t>青铜 / 坦克 / 两格</t>
        </is>
      </c>
      <c r="C24" s="459" t="n">
        <v>42</v>
      </c>
      <c r="D24" s="459" t="n">
        <v>6</v>
      </c>
      <c r="E24" s="459" t="n">
        <v>0</v>
      </c>
      <c r="F24" s="459" t="n">
        <v>6</v>
      </c>
      <c r="G24" s="459" t="n">
        <v>3</v>
      </c>
    </row>
    <row r="25">
      <c r="A25" s="336" t="inlineStr">
        <is>
          <t>青铜|坦克|三格</t>
        </is>
      </c>
      <c r="B25" s="336" t="inlineStr">
        <is>
          <t>青铜 / 坦克 / 三格</t>
        </is>
      </c>
      <c r="C25" s="459" t="n">
        <v>48</v>
      </c>
      <c r="D25" s="459" t="n">
        <v>4</v>
      </c>
      <c r="E25" s="459" t="n">
        <v>0</v>
      </c>
      <c r="F25" s="459" t="n">
        <v>6</v>
      </c>
      <c r="G25" s="459" t="n">
        <v>2</v>
      </c>
    </row>
    <row r="26">
      <c r="A26" s="336" t="inlineStr">
        <is>
          <t>白银|输出|一格</t>
        </is>
      </c>
      <c r="B26" s="336" t="inlineStr">
        <is>
          <t>白银 / 输出 / 一格</t>
        </is>
      </c>
      <c r="C26" s="459" t="n">
        <v>34</v>
      </c>
      <c r="D26" s="459" t="n">
        <v>22</v>
      </c>
      <c r="E26" s="459" t="n">
        <v>0</v>
      </c>
      <c r="F26" s="459" t="n">
        <v>0</v>
      </c>
      <c r="G26" s="459" t="n">
        <v>3</v>
      </c>
    </row>
    <row r="27">
      <c r="A27" s="336" t="inlineStr">
        <is>
          <t>白银|输出|两格</t>
        </is>
      </c>
      <c r="B27" s="336" t="inlineStr">
        <is>
          <t>白银 / 输出 / 两格</t>
        </is>
      </c>
      <c r="C27" s="459" t="n">
        <v>40</v>
      </c>
      <c r="D27" s="459" t="n">
        <v>20</v>
      </c>
      <c r="E27" s="459" t="n">
        <v>0</v>
      </c>
      <c r="F27" s="459" t="n">
        <v>0</v>
      </c>
      <c r="G27" s="459" t="n">
        <v>3</v>
      </c>
    </row>
    <row r="28">
      <c r="A28" s="336" t="inlineStr">
        <is>
          <t>白银|输出|三格</t>
        </is>
      </c>
      <c r="B28" s="336" t="inlineStr">
        <is>
          <t>白银 / 输出 / 三格</t>
        </is>
      </c>
      <c r="C28" s="459" t="n">
        <v>46</v>
      </c>
      <c r="D28" s="459" t="n">
        <v>18</v>
      </c>
      <c r="E28" s="459" t="n">
        <v>0</v>
      </c>
      <c r="F28" s="459" t="n">
        <v>0</v>
      </c>
      <c r="G28" s="459" t="n">
        <v>2</v>
      </c>
    </row>
    <row r="29">
      <c r="A29" s="336" t="inlineStr">
        <is>
          <t>白银|控制|一格</t>
        </is>
      </c>
      <c r="B29" s="336" t="inlineStr">
        <is>
          <t>白银 / 控制 / 一格</t>
        </is>
      </c>
      <c r="C29" s="459" t="n">
        <v>38</v>
      </c>
      <c r="D29" s="459" t="n">
        <v>16</v>
      </c>
      <c r="E29" s="459" t="n">
        <v>0</v>
      </c>
      <c r="F29" s="459" t="n">
        <v>0</v>
      </c>
      <c r="G29" s="459" t="n">
        <v>4</v>
      </c>
    </row>
    <row r="30">
      <c r="A30" s="336" t="inlineStr">
        <is>
          <t>白银|控制|两格</t>
        </is>
      </c>
      <c r="B30" s="336" t="inlineStr">
        <is>
          <t>白银 / 控制 / 两格</t>
        </is>
      </c>
      <c r="C30" s="459" t="n">
        <v>44</v>
      </c>
      <c r="D30" s="459" t="n">
        <v>14</v>
      </c>
      <c r="E30" s="459" t="n">
        <v>0</v>
      </c>
      <c r="F30" s="459" t="n">
        <v>0</v>
      </c>
      <c r="G30" s="459" t="n">
        <v>4</v>
      </c>
    </row>
    <row r="31">
      <c r="A31" s="336" t="inlineStr">
        <is>
          <t>白银|控制|三格</t>
        </is>
      </c>
      <c r="B31" s="336" t="inlineStr">
        <is>
          <t>白银 / 控制 / 三格</t>
        </is>
      </c>
      <c r="C31" s="459" t="n">
        <v>50</v>
      </c>
      <c r="D31" s="459" t="n">
        <v>12</v>
      </c>
      <c r="E31" s="459" t="n">
        <v>0</v>
      </c>
      <c r="F31" s="459" t="n">
        <v>0</v>
      </c>
      <c r="G31" s="459" t="n">
        <v>4</v>
      </c>
    </row>
    <row r="32">
      <c r="A32" s="336" t="inlineStr">
        <is>
          <t>白银|机动|一格</t>
        </is>
      </c>
      <c r="B32" s="336" t="inlineStr">
        <is>
          <t>白银 / 机动 / 一格</t>
        </is>
      </c>
      <c r="C32" s="459" t="n">
        <v>34</v>
      </c>
      <c r="D32" s="459" t="n">
        <v>14</v>
      </c>
      <c r="E32" s="459" t="n">
        <v>0</v>
      </c>
      <c r="F32" s="459" t="n">
        <v>0</v>
      </c>
      <c r="G32" s="459" t="n">
        <v>5</v>
      </c>
    </row>
    <row r="33">
      <c r="A33" s="336" t="inlineStr">
        <is>
          <t>白银|机动|两格</t>
        </is>
      </c>
      <c r="B33" s="336" t="inlineStr">
        <is>
          <t>白银 / 机动 / 两格</t>
        </is>
      </c>
      <c r="C33" s="459" t="n">
        <v>40</v>
      </c>
      <c r="D33" s="459" t="n">
        <v>12</v>
      </c>
      <c r="E33" s="459" t="n">
        <v>0</v>
      </c>
      <c r="F33" s="459" t="n">
        <v>0</v>
      </c>
      <c r="G33" s="459" t="n">
        <v>5</v>
      </c>
    </row>
    <row r="34">
      <c r="A34" s="336" t="inlineStr">
        <is>
          <t>白银|机动|三格</t>
        </is>
      </c>
      <c r="B34" s="336" t="inlineStr">
        <is>
          <t>白银 / 机动 / 三格</t>
        </is>
      </c>
      <c r="C34" s="459" t="n">
        <v>46</v>
      </c>
      <c r="D34" s="459" t="n">
        <v>10</v>
      </c>
      <c r="E34" s="459" t="n">
        <v>0</v>
      </c>
      <c r="F34" s="459" t="n">
        <v>0</v>
      </c>
      <c r="G34" s="459" t="n">
        <v>5</v>
      </c>
    </row>
    <row r="35">
      <c r="A35" s="336" t="inlineStr">
        <is>
          <t>白银|治疗|一格</t>
        </is>
      </c>
      <c r="B35" s="336" t="inlineStr">
        <is>
          <t>白银 / 治疗 / 一格</t>
        </is>
      </c>
      <c r="C35" s="459" t="n">
        <v>40</v>
      </c>
      <c r="D35" s="459" t="n">
        <v>14</v>
      </c>
      <c r="E35" s="459" t="n">
        <v>0</v>
      </c>
      <c r="F35" s="459" t="n">
        <v>4</v>
      </c>
      <c r="G35" s="459" t="n">
        <v>3</v>
      </c>
    </row>
    <row r="36">
      <c r="A36" s="336" t="inlineStr">
        <is>
          <t>白银|治疗|两格</t>
        </is>
      </c>
      <c r="B36" s="336" t="inlineStr">
        <is>
          <t>白银 / 治疗 / 两格</t>
        </is>
      </c>
      <c r="C36" s="459" t="n">
        <v>46</v>
      </c>
      <c r="D36" s="459" t="n">
        <v>12</v>
      </c>
      <c r="E36" s="459" t="n">
        <v>0</v>
      </c>
      <c r="F36" s="459" t="n">
        <v>4</v>
      </c>
      <c r="G36" s="459" t="n">
        <v>3</v>
      </c>
    </row>
    <row r="37">
      <c r="A37" s="336" t="inlineStr">
        <is>
          <t>白银|治疗|三格</t>
        </is>
      </c>
      <c r="B37" s="336" t="inlineStr">
        <is>
          <t>白银 / 治疗 / 三格</t>
        </is>
      </c>
      <c r="C37" s="459" t="n">
        <v>52</v>
      </c>
      <c r="D37" s="459" t="n">
        <v>10</v>
      </c>
      <c r="E37" s="459" t="n">
        <v>0</v>
      </c>
      <c r="F37" s="459" t="n">
        <v>4</v>
      </c>
      <c r="G37" s="459" t="n">
        <v>2</v>
      </c>
    </row>
    <row r="38">
      <c r="A38" s="336" t="inlineStr">
        <is>
          <t>白银|经济|一格</t>
        </is>
      </c>
      <c r="B38" s="336" t="inlineStr">
        <is>
          <t>白银 / 经济 / 一格</t>
        </is>
      </c>
      <c r="C38" s="459" t="n">
        <v>34</v>
      </c>
      <c r="D38" s="459" t="n">
        <v>14</v>
      </c>
      <c r="E38" s="459" t="n">
        <v>0</v>
      </c>
      <c r="F38" s="459" t="n">
        <v>0</v>
      </c>
      <c r="G38" s="459" t="n">
        <v>3</v>
      </c>
    </row>
    <row r="39">
      <c r="A39" s="336" t="inlineStr">
        <is>
          <t>白银|经济|两格</t>
        </is>
      </c>
      <c r="B39" s="336" t="inlineStr">
        <is>
          <t>白银 / 经济 / 两格</t>
        </is>
      </c>
      <c r="C39" s="459" t="n">
        <v>40</v>
      </c>
      <c r="D39" s="459" t="n">
        <v>12</v>
      </c>
      <c r="E39" s="459" t="n">
        <v>0</v>
      </c>
      <c r="F39" s="459" t="n">
        <v>0</v>
      </c>
      <c r="G39" s="459" t="n">
        <v>3</v>
      </c>
    </row>
    <row r="40">
      <c r="A40" s="336" t="inlineStr">
        <is>
          <t>白银|经济|三格</t>
        </is>
      </c>
      <c r="B40" s="336" t="inlineStr">
        <is>
          <t>白银 / 经济 / 三格</t>
        </is>
      </c>
      <c r="C40" s="459" t="n">
        <v>46</v>
      </c>
      <c r="D40" s="459" t="n">
        <v>10</v>
      </c>
      <c r="E40" s="459" t="n">
        <v>0</v>
      </c>
      <c r="F40" s="459" t="n">
        <v>0</v>
      </c>
      <c r="G40" s="459" t="n">
        <v>2</v>
      </c>
    </row>
    <row r="41">
      <c r="A41" s="336" t="inlineStr">
        <is>
          <t>白银|召唤|一格</t>
        </is>
      </c>
      <c r="B41" s="336" t="inlineStr">
        <is>
          <t>白银 / 召唤 / 一格</t>
        </is>
      </c>
      <c r="C41" s="459" t="n">
        <v>42</v>
      </c>
      <c r="D41" s="459" t="n">
        <v>14</v>
      </c>
      <c r="E41" s="459" t="n">
        <v>0</v>
      </c>
      <c r="F41" s="459" t="n">
        <v>0</v>
      </c>
      <c r="G41" s="459" t="n">
        <v>3</v>
      </c>
    </row>
    <row r="42">
      <c r="A42" s="336" t="inlineStr">
        <is>
          <t>白银|召唤|两格</t>
        </is>
      </c>
      <c r="B42" s="336" t="inlineStr">
        <is>
          <t>白银 / 召唤 / 两格</t>
        </is>
      </c>
      <c r="C42" s="459" t="n">
        <v>48</v>
      </c>
      <c r="D42" s="459" t="n">
        <v>12</v>
      </c>
      <c r="E42" s="459" t="n">
        <v>0</v>
      </c>
      <c r="F42" s="459" t="n">
        <v>0</v>
      </c>
      <c r="G42" s="459" t="n">
        <v>3</v>
      </c>
    </row>
    <row r="43">
      <c r="A43" s="336" t="inlineStr">
        <is>
          <t>白银|召唤|三格</t>
        </is>
      </c>
      <c r="B43" s="336" t="inlineStr">
        <is>
          <t>白银 / 召唤 / 三格</t>
        </is>
      </c>
      <c r="C43" s="459" t="n">
        <v>54</v>
      </c>
      <c r="D43" s="459" t="n">
        <v>10</v>
      </c>
      <c r="E43" s="459" t="n">
        <v>0</v>
      </c>
      <c r="F43" s="459" t="n">
        <v>0</v>
      </c>
      <c r="G43" s="459" t="n">
        <v>2</v>
      </c>
    </row>
    <row r="44">
      <c r="A44" s="336" t="inlineStr">
        <is>
          <t>白银|坦克|一格</t>
        </is>
      </c>
      <c r="B44" s="336" t="inlineStr">
        <is>
          <t>白银 / 坦克 / 一格</t>
        </is>
      </c>
      <c r="C44" s="459" t="n">
        <v>48</v>
      </c>
      <c r="D44" s="459" t="n">
        <v>14</v>
      </c>
      <c r="E44" s="459" t="n">
        <v>0</v>
      </c>
      <c r="F44" s="459" t="n">
        <v>10</v>
      </c>
      <c r="G44" s="459" t="n">
        <v>3</v>
      </c>
    </row>
    <row r="45">
      <c r="A45" s="336" t="inlineStr">
        <is>
          <t>白银|坦克|两格</t>
        </is>
      </c>
      <c r="B45" s="336" t="inlineStr">
        <is>
          <t>白银 / 坦克 / 两格</t>
        </is>
      </c>
      <c r="C45" s="459" t="n">
        <v>54</v>
      </c>
      <c r="D45" s="459" t="n">
        <v>12</v>
      </c>
      <c r="E45" s="459" t="n">
        <v>0</v>
      </c>
      <c r="F45" s="459" t="n">
        <v>10</v>
      </c>
      <c r="G45" s="459" t="n">
        <v>3</v>
      </c>
    </row>
    <row r="46">
      <c r="A46" s="336" t="inlineStr">
        <is>
          <t>白银|坦克|三格</t>
        </is>
      </c>
      <c r="B46" s="336" t="inlineStr">
        <is>
          <t>白银 / 坦克 / 三格</t>
        </is>
      </c>
      <c r="C46" s="459" t="n">
        <v>60</v>
      </c>
      <c r="D46" s="459" t="n">
        <v>10</v>
      </c>
      <c r="E46" s="459" t="n">
        <v>0</v>
      </c>
      <c r="F46" s="459" t="n">
        <v>10</v>
      </c>
      <c r="G46" s="459" t="n">
        <v>2</v>
      </c>
    </row>
    <row r="47">
      <c r="A47" s="336" t="inlineStr">
        <is>
          <t>黄金|输出|一格</t>
        </is>
      </c>
      <c r="B47" s="336" t="inlineStr">
        <is>
          <t>黄金 / 输出 / 一格</t>
        </is>
      </c>
      <c r="C47" s="459" t="n">
        <v>46</v>
      </c>
      <c r="D47" s="459" t="n">
        <v>30</v>
      </c>
      <c r="E47" s="459" t="n">
        <v>0</v>
      </c>
      <c r="F47" s="459" t="n">
        <v>0</v>
      </c>
      <c r="G47" s="459" t="n">
        <v>3</v>
      </c>
    </row>
    <row r="48">
      <c r="A48" s="336" t="inlineStr">
        <is>
          <t>黄金|输出|两格</t>
        </is>
      </c>
      <c r="B48" s="336" t="inlineStr">
        <is>
          <t>黄金 / 输出 / 两格</t>
        </is>
      </c>
      <c r="C48" s="459" t="n">
        <v>52</v>
      </c>
      <c r="D48" s="459" t="n">
        <v>28</v>
      </c>
      <c r="E48" s="459" t="n">
        <v>0</v>
      </c>
      <c r="F48" s="459" t="n">
        <v>0</v>
      </c>
      <c r="G48" s="459" t="n">
        <v>3</v>
      </c>
    </row>
    <row r="49">
      <c r="A49" s="336" t="inlineStr">
        <is>
          <t>黄金|输出|三格</t>
        </is>
      </c>
      <c r="B49" s="336" t="inlineStr">
        <is>
          <t>黄金 / 输出 / 三格</t>
        </is>
      </c>
      <c r="C49" s="459" t="n">
        <v>58</v>
      </c>
      <c r="D49" s="459" t="n">
        <v>26</v>
      </c>
      <c r="E49" s="459" t="n">
        <v>0</v>
      </c>
      <c r="F49" s="459" t="n">
        <v>0</v>
      </c>
      <c r="G49" s="459" t="n">
        <v>2</v>
      </c>
    </row>
    <row r="50">
      <c r="A50" s="336" t="inlineStr">
        <is>
          <t>黄金|控制|一格</t>
        </is>
      </c>
      <c r="B50" s="336" t="inlineStr">
        <is>
          <t>黄金 / 控制 / 一格</t>
        </is>
      </c>
      <c r="C50" s="459" t="n">
        <v>50</v>
      </c>
      <c r="D50" s="459" t="n">
        <v>22</v>
      </c>
      <c r="E50" s="459" t="n">
        <v>0</v>
      </c>
      <c r="F50" s="459" t="n">
        <v>0</v>
      </c>
      <c r="G50" s="459" t="n">
        <v>4</v>
      </c>
    </row>
    <row r="51">
      <c r="A51" s="336" t="inlineStr">
        <is>
          <t>黄金|控制|两格</t>
        </is>
      </c>
      <c r="B51" s="336" t="inlineStr">
        <is>
          <t>黄金 / 控制 / 两格</t>
        </is>
      </c>
      <c r="C51" s="459" t="n">
        <v>56</v>
      </c>
      <c r="D51" s="459" t="n">
        <v>20</v>
      </c>
      <c r="E51" s="459" t="n">
        <v>0</v>
      </c>
      <c r="F51" s="459" t="n">
        <v>0</v>
      </c>
      <c r="G51" s="459" t="n">
        <v>4</v>
      </c>
    </row>
    <row r="52">
      <c r="A52" s="336" t="inlineStr">
        <is>
          <t>黄金|控制|三格</t>
        </is>
      </c>
      <c r="B52" s="336" t="inlineStr">
        <is>
          <t>黄金 / 控制 / 三格</t>
        </is>
      </c>
      <c r="C52" s="459" t="n">
        <v>62</v>
      </c>
      <c r="D52" s="459" t="n">
        <v>18</v>
      </c>
      <c r="E52" s="459" t="n">
        <v>0</v>
      </c>
      <c r="F52" s="459" t="n">
        <v>0</v>
      </c>
      <c r="G52" s="459" t="n">
        <v>4</v>
      </c>
    </row>
    <row r="53">
      <c r="A53" s="336" t="inlineStr">
        <is>
          <t>黄金|机动|一格</t>
        </is>
      </c>
      <c r="B53" s="336" t="inlineStr">
        <is>
          <t>黄金 / 机动 / 一格</t>
        </is>
      </c>
      <c r="C53" s="459" t="n">
        <v>46</v>
      </c>
      <c r="D53" s="459" t="n">
        <v>20</v>
      </c>
      <c r="E53" s="459" t="n">
        <v>0</v>
      </c>
      <c r="F53" s="459" t="n">
        <v>0</v>
      </c>
      <c r="G53" s="459" t="n">
        <v>5</v>
      </c>
    </row>
    <row r="54">
      <c r="A54" s="336" t="inlineStr">
        <is>
          <t>黄金|机动|两格</t>
        </is>
      </c>
      <c r="B54" s="336" t="inlineStr">
        <is>
          <t>黄金 / 机动 / 两格</t>
        </is>
      </c>
      <c r="C54" s="459" t="n">
        <v>52</v>
      </c>
      <c r="D54" s="459" t="n">
        <v>18</v>
      </c>
      <c r="E54" s="459" t="n">
        <v>0</v>
      </c>
      <c r="F54" s="459" t="n">
        <v>0</v>
      </c>
      <c r="G54" s="459" t="n">
        <v>5</v>
      </c>
    </row>
    <row r="55">
      <c r="A55" s="336" t="inlineStr">
        <is>
          <t>黄金|机动|三格</t>
        </is>
      </c>
      <c r="B55" s="336" t="inlineStr">
        <is>
          <t>黄金 / 机动 / 三格</t>
        </is>
      </c>
      <c r="C55" s="459" t="n">
        <v>58</v>
      </c>
      <c r="D55" s="459" t="n">
        <v>16</v>
      </c>
      <c r="E55" s="459" t="n">
        <v>0</v>
      </c>
      <c r="F55" s="459" t="n">
        <v>0</v>
      </c>
      <c r="G55" s="459" t="n">
        <v>5</v>
      </c>
    </row>
    <row r="56">
      <c r="A56" s="336" t="inlineStr">
        <is>
          <t>黄金|治疗|一格</t>
        </is>
      </c>
      <c r="B56" s="336" t="inlineStr">
        <is>
          <t>黄金 / 治疗 / 一格</t>
        </is>
      </c>
      <c r="C56" s="459" t="n">
        <v>52</v>
      </c>
      <c r="D56" s="459" t="n">
        <v>20</v>
      </c>
      <c r="E56" s="459" t="n">
        <v>0</v>
      </c>
      <c r="F56" s="459" t="n">
        <v>6</v>
      </c>
      <c r="G56" s="459" t="n">
        <v>3</v>
      </c>
    </row>
    <row r="57">
      <c r="A57" s="336" t="inlineStr">
        <is>
          <t>黄金|治疗|两格</t>
        </is>
      </c>
      <c r="B57" s="336" t="inlineStr">
        <is>
          <t>黄金 / 治疗 / 两格</t>
        </is>
      </c>
      <c r="C57" s="459" t="n">
        <v>58</v>
      </c>
      <c r="D57" s="459" t="n">
        <v>18</v>
      </c>
      <c r="E57" s="459" t="n">
        <v>0</v>
      </c>
      <c r="F57" s="459" t="n">
        <v>6</v>
      </c>
      <c r="G57" s="459" t="n">
        <v>3</v>
      </c>
    </row>
    <row r="58">
      <c r="A58" s="336" t="inlineStr">
        <is>
          <t>黄金|治疗|三格</t>
        </is>
      </c>
      <c r="B58" s="336" t="inlineStr">
        <is>
          <t>黄金 / 治疗 / 三格</t>
        </is>
      </c>
      <c r="C58" s="459" t="n">
        <v>64</v>
      </c>
      <c r="D58" s="459" t="n">
        <v>16</v>
      </c>
      <c r="E58" s="459" t="n">
        <v>0</v>
      </c>
      <c r="F58" s="459" t="n">
        <v>6</v>
      </c>
      <c r="G58" s="459" t="n">
        <v>2</v>
      </c>
    </row>
    <row r="59">
      <c r="A59" s="336" t="inlineStr">
        <is>
          <t>黄金|经济|一格</t>
        </is>
      </c>
      <c r="B59" s="336" t="inlineStr">
        <is>
          <t>黄金 / 经济 / 一格</t>
        </is>
      </c>
      <c r="C59" s="459" t="n">
        <v>46</v>
      </c>
      <c r="D59" s="459" t="n">
        <v>20</v>
      </c>
      <c r="E59" s="459" t="n">
        <v>0</v>
      </c>
      <c r="F59" s="459" t="n">
        <v>0</v>
      </c>
      <c r="G59" s="459" t="n">
        <v>3</v>
      </c>
    </row>
    <row r="60">
      <c r="A60" s="336" t="inlineStr">
        <is>
          <t>黄金|经济|两格</t>
        </is>
      </c>
      <c r="B60" s="336" t="inlineStr">
        <is>
          <t>黄金 / 经济 / 两格</t>
        </is>
      </c>
      <c r="C60" s="459" t="n">
        <v>52</v>
      </c>
      <c r="D60" s="459" t="n">
        <v>18</v>
      </c>
      <c r="E60" s="459" t="n">
        <v>0</v>
      </c>
      <c r="F60" s="459" t="n">
        <v>0</v>
      </c>
      <c r="G60" s="459" t="n">
        <v>3</v>
      </c>
    </row>
    <row r="61">
      <c r="A61" s="336" t="inlineStr">
        <is>
          <t>黄金|经济|三格</t>
        </is>
      </c>
      <c r="B61" s="336" t="inlineStr">
        <is>
          <t>黄金 / 经济 / 三格</t>
        </is>
      </c>
      <c r="C61" s="459" t="n">
        <v>58</v>
      </c>
      <c r="D61" s="459" t="n">
        <v>16</v>
      </c>
      <c r="E61" s="459" t="n">
        <v>0</v>
      </c>
      <c r="F61" s="459" t="n">
        <v>0</v>
      </c>
      <c r="G61" s="459" t="n">
        <v>2</v>
      </c>
    </row>
    <row r="62">
      <c r="A62" s="336" t="inlineStr">
        <is>
          <t>黄金|召唤|一格</t>
        </is>
      </c>
      <c r="B62" s="336" t="inlineStr">
        <is>
          <t>黄金 / 召唤 / 一格</t>
        </is>
      </c>
      <c r="C62" s="459" t="n">
        <v>54</v>
      </c>
      <c r="D62" s="459" t="n">
        <v>20</v>
      </c>
      <c r="E62" s="459" t="n">
        <v>0</v>
      </c>
      <c r="F62" s="459" t="n">
        <v>0</v>
      </c>
      <c r="G62" s="459" t="n">
        <v>3</v>
      </c>
    </row>
    <row r="63">
      <c r="A63" s="336" t="inlineStr">
        <is>
          <t>黄金|召唤|两格</t>
        </is>
      </c>
      <c r="B63" s="336" t="inlineStr">
        <is>
          <t>黄金 / 召唤 / 两格</t>
        </is>
      </c>
      <c r="C63" s="459" t="n">
        <v>60</v>
      </c>
      <c r="D63" s="459" t="n">
        <v>18</v>
      </c>
      <c r="E63" s="459" t="n">
        <v>0</v>
      </c>
      <c r="F63" s="459" t="n">
        <v>0</v>
      </c>
      <c r="G63" s="459" t="n">
        <v>3</v>
      </c>
    </row>
    <row r="64">
      <c r="A64" s="336" t="inlineStr">
        <is>
          <t>黄金|召唤|三格</t>
        </is>
      </c>
      <c r="B64" s="336" t="inlineStr">
        <is>
          <t>黄金 / 召唤 / 三格</t>
        </is>
      </c>
      <c r="C64" s="459" t="n">
        <v>66</v>
      </c>
      <c r="D64" s="459" t="n">
        <v>16</v>
      </c>
      <c r="E64" s="459" t="n">
        <v>0</v>
      </c>
      <c r="F64" s="459" t="n">
        <v>0</v>
      </c>
      <c r="G64" s="459" t="n">
        <v>2</v>
      </c>
    </row>
    <row r="65">
      <c r="A65" s="336" t="inlineStr">
        <is>
          <t>黄金|坦克|一格</t>
        </is>
      </c>
      <c r="B65" s="336" t="inlineStr">
        <is>
          <t>黄金 / 坦克 / 一格</t>
        </is>
      </c>
      <c r="C65" s="459" t="n">
        <v>60</v>
      </c>
      <c r="D65" s="459" t="n">
        <v>20</v>
      </c>
      <c r="E65" s="459" t="n">
        <v>0</v>
      </c>
      <c r="F65" s="459" t="n">
        <v>14</v>
      </c>
      <c r="G65" s="459" t="n">
        <v>3</v>
      </c>
    </row>
    <row r="66">
      <c r="A66" s="336" t="inlineStr">
        <is>
          <t>黄金|坦克|两格</t>
        </is>
      </c>
      <c r="B66" s="336" t="inlineStr">
        <is>
          <t>黄金 / 坦克 / 两格</t>
        </is>
      </c>
      <c r="C66" s="459" t="n">
        <v>66</v>
      </c>
      <c r="D66" s="459" t="n">
        <v>18</v>
      </c>
      <c r="E66" s="459" t="n">
        <v>0</v>
      </c>
      <c r="F66" s="459" t="n">
        <v>14</v>
      </c>
      <c r="G66" s="459" t="n">
        <v>3</v>
      </c>
    </row>
    <row r="67">
      <c r="A67" s="336" t="inlineStr">
        <is>
          <t>黄金|坦克|三格</t>
        </is>
      </c>
      <c r="B67" s="336" t="inlineStr">
        <is>
          <t>黄金 / 坦克 / 三格</t>
        </is>
      </c>
      <c r="C67" s="459" t="n">
        <v>72</v>
      </c>
      <c r="D67" s="459" t="n">
        <v>16</v>
      </c>
      <c r="E67" s="459" t="n">
        <v>0</v>
      </c>
      <c r="F67" s="459" t="n">
        <v>14</v>
      </c>
      <c r="G67" s="459" t="n">
        <v>2</v>
      </c>
    </row>
    <row r="68">
      <c r="A68" s="336" t="inlineStr">
        <is>
          <t>钻石|输出|一格</t>
        </is>
      </c>
      <c r="B68" s="336" t="inlineStr">
        <is>
          <t>钻石 / 输出 / 一格</t>
        </is>
      </c>
      <c r="C68" s="459" t="n">
        <v>58</v>
      </c>
      <c r="D68" s="459" t="n">
        <v>38</v>
      </c>
      <c r="E68" s="459" t="n">
        <v>0</v>
      </c>
      <c r="F68" s="459" t="n">
        <v>0</v>
      </c>
      <c r="G68" s="459" t="n">
        <v>3</v>
      </c>
    </row>
    <row r="69">
      <c r="A69" s="336" t="inlineStr">
        <is>
          <t>钻石|输出|两格</t>
        </is>
      </c>
      <c r="B69" s="336" t="inlineStr">
        <is>
          <t>钻石 / 输出 / 两格</t>
        </is>
      </c>
      <c r="C69" s="459" t="n">
        <v>64</v>
      </c>
      <c r="D69" s="459" t="n">
        <v>36</v>
      </c>
      <c r="E69" s="459" t="n">
        <v>0</v>
      </c>
      <c r="F69" s="459" t="n">
        <v>0</v>
      </c>
      <c r="G69" s="459" t="n">
        <v>3</v>
      </c>
    </row>
    <row r="70">
      <c r="A70" s="336" t="inlineStr">
        <is>
          <t>钻石|输出|三格</t>
        </is>
      </c>
      <c r="B70" s="336" t="inlineStr">
        <is>
          <t>钻石 / 输出 / 三格</t>
        </is>
      </c>
      <c r="C70" s="459" t="n">
        <v>70</v>
      </c>
      <c r="D70" s="459" t="n">
        <v>34</v>
      </c>
      <c r="E70" s="459" t="n">
        <v>0</v>
      </c>
      <c r="F70" s="459" t="n">
        <v>0</v>
      </c>
      <c r="G70" s="459" t="n">
        <v>2</v>
      </c>
    </row>
    <row r="71">
      <c r="A71" s="336" t="inlineStr">
        <is>
          <t>钻石|控制|一格</t>
        </is>
      </c>
      <c r="B71" s="336" t="inlineStr">
        <is>
          <t>钻石 / 控制 / 一格</t>
        </is>
      </c>
      <c r="C71" s="459" t="n">
        <v>62</v>
      </c>
      <c r="D71" s="459" t="n">
        <v>28</v>
      </c>
      <c r="E71" s="459" t="n">
        <v>0</v>
      </c>
      <c r="F71" s="459" t="n">
        <v>0</v>
      </c>
      <c r="G71" s="459" t="n">
        <v>4</v>
      </c>
    </row>
    <row r="72">
      <c r="A72" s="336" t="inlineStr">
        <is>
          <t>钻石|控制|两格</t>
        </is>
      </c>
      <c r="B72" s="336" t="inlineStr">
        <is>
          <t>钻石 / 控制 / 两格</t>
        </is>
      </c>
      <c r="C72" s="459" t="n">
        <v>68</v>
      </c>
      <c r="D72" s="459" t="n">
        <v>26</v>
      </c>
      <c r="E72" s="459" t="n">
        <v>0</v>
      </c>
      <c r="F72" s="459" t="n">
        <v>0</v>
      </c>
      <c r="G72" s="459" t="n">
        <v>4</v>
      </c>
    </row>
    <row r="73">
      <c r="A73" s="336" t="inlineStr">
        <is>
          <t>钻石|控制|三格</t>
        </is>
      </c>
      <c r="B73" s="336" t="inlineStr">
        <is>
          <t>钻石 / 控制 / 三格</t>
        </is>
      </c>
      <c r="C73" s="459" t="n">
        <v>74</v>
      </c>
      <c r="D73" s="459" t="n">
        <v>24</v>
      </c>
      <c r="E73" s="459" t="n">
        <v>0</v>
      </c>
      <c r="F73" s="459" t="n">
        <v>0</v>
      </c>
      <c r="G73" s="459" t="n">
        <v>4</v>
      </c>
    </row>
    <row r="74">
      <c r="A74" s="336" t="inlineStr">
        <is>
          <t>钻石|机动|一格</t>
        </is>
      </c>
      <c r="B74" s="336" t="inlineStr">
        <is>
          <t>钻石 / 机动 / 一格</t>
        </is>
      </c>
      <c r="C74" s="459" t="n">
        <v>58</v>
      </c>
      <c r="D74" s="459" t="n">
        <v>26</v>
      </c>
      <c r="E74" s="459" t="n">
        <v>0</v>
      </c>
      <c r="F74" s="459" t="n">
        <v>0</v>
      </c>
      <c r="G74" s="459" t="n">
        <v>5</v>
      </c>
    </row>
    <row r="75">
      <c r="A75" s="336" t="inlineStr">
        <is>
          <t>钻石|机动|两格</t>
        </is>
      </c>
      <c r="B75" s="336" t="inlineStr">
        <is>
          <t>钻石 / 机动 / 两格</t>
        </is>
      </c>
      <c r="C75" s="459" t="n">
        <v>64</v>
      </c>
      <c r="D75" s="459" t="n">
        <v>24</v>
      </c>
      <c r="E75" s="459" t="n">
        <v>0</v>
      </c>
      <c r="F75" s="459" t="n">
        <v>0</v>
      </c>
      <c r="G75" s="459" t="n">
        <v>5</v>
      </c>
    </row>
    <row r="76">
      <c r="A76" s="336" t="inlineStr">
        <is>
          <t>钻石|机动|三格</t>
        </is>
      </c>
      <c r="B76" s="336" t="inlineStr">
        <is>
          <t>钻石 / 机动 / 三格</t>
        </is>
      </c>
      <c r="C76" s="459" t="n">
        <v>70</v>
      </c>
      <c r="D76" s="459" t="n">
        <v>22</v>
      </c>
      <c r="E76" s="459" t="n">
        <v>0</v>
      </c>
      <c r="F76" s="459" t="n">
        <v>0</v>
      </c>
      <c r="G76" s="459" t="n">
        <v>5</v>
      </c>
    </row>
    <row r="77">
      <c r="A77" s="336" t="inlineStr">
        <is>
          <t>钻石|治疗|一格</t>
        </is>
      </c>
      <c r="B77" s="336" t="inlineStr">
        <is>
          <t>钻石 / 治疗 / 一格</t>
        </is>
      </c>
      <c r="C77" s="459" t="n">
        <v>64</v>
      </c>
      <c r="D77" s="459" t="n">
        <v>26</v>
      </c>
      <c r="E77" s="459" t="n">
        <v>0</v>
      </c>
      <c r="F77" s="459" t="n">
        <v>8</v>
      </c>
      <c r="G77" s="459" t="n">
        <v>3</v>
      </c>
    </row>
    <row r="78">
      <c r="A78" s="336" t="inlineStr">
        <is>
          <t>钻石|治疗|两格</t>
        </is>
      </c>
      <c r="B78" s="336" t="inlineStr">
        <is>
          <t>钻石 / 治疗 / 两格</t>
        </is>
      </c>
      <c r="C78" s="459" t="n">
        <v>70</v>
      </c>
      <c r="D78" s="459" t="n">
        <v>24</v>
      </c>
      <c r="E78" s="459" t="n">
        <v>0</v>
      </c>
      <c r="F78" s="459" t="n">
        <v>8</v>
      </c>
      <c r="G78" s="459" t="n">
        <v>3</v>
      </c>
    </row>
    <row r="79">
      <c r="A79" s="336" t="inlineStr">
        <is>
          <t>钻石|治疗|三格</t>
        </is>
      </c>
      <c r="B79" s="336" t="inlineStr">
        <is>
          <t>钻石 / 治疗 / 三格</t>
        </is>
      </c>
      <c r="C79" s="459" t="n">
        <v>76</v>
      </c>
      <c r="D79" s="459" t="n">
        <v>22</v>
      </c>
      <c r="E79" s="459" t="n">
        <v>0</v>
      </c>
      <c r="F79" s="459" t="n">
        <v>8</v>
      </c>
      <c r="G79" s="459" t="n">
        <v>2</v>
      </c>
    </row>
    <row r="80">
      <c r="A80" s="336" t="inlineStr">
        <is>
          <t>钻石|经济|一格</t>
        </is>
      </c>
      <c r="B80" s="336" t="inlineStr">
        <is>
          <t>钻石 / 经济 / 一格</t>
        </is>
      </c>
      <c r="C80" s="459" t="n">
        <v>58</v>
      </c>
      <c r="D80" s="459" t="n">
        <v>26</v>
      </c>
      <c r="E80" s="459" t="n">
        <v>0</v>
      </c>
      <c r="F80" s="459" t="n">
        <v>0</v>
      </c>
      <c r="G80" s="459" t="n">
        <v>3</v>
      </c>
    </row>
    <row r="81">
      <c r="A81" s="336" t="inlineStr">
        <is>
          <t>钻石|经济|两格</t>
        </is>
      </c>
      <c r="B81" s="336" t="inlineStr">
        <is>
          <t>钻石 / 经济 / 两格</t>
        </is>
      </c>
      <c r="C81" s="459" t="n">
        <v>64</v>
      </c>
      <c r="D81" s="459" t="n">
        <v>24</v>
      </c>
      <c r="E81" s="459" t="n">
        <v>0</v>
      </c>
      <c r="F81" s="459" t="n">
        <v>0</v>
      </c>
      <c r="G81" s="459" t="n">
        <v>3</v>
      </c>
    </row>
    <row r="82">
      <c r="A82" s="336" t="inlineStr">
        <is>
          <t>钻石|经济|三格</t>
        </is>
      </c>
      <c r="B82" s="336" t="inlineStr">
        <is>
          <t>钻石 / 经济 / 三格</t>
        </is>
      </c>
      <c r="C82" s="459" t="n">
        <v>70</v>
      </c>
      <c r="D82" s="459" t="n">
        <v>22</v>
      </c>
      <c r="E82" s="459" t="n">
        <v>0</v>
      </c>
      <c r="F82" s="459" t="n">
        <v>0</v>
      </c>
      <c r="G82" s="459" t="n">
        <v>2</v>
      </c>
    </row>
    <row r="83">
      <c r="A83" s="336" t="inlineStr">
        <is>
          <t>钻石|召唤|一格</t>
        </is>
      </c>
      <c r="B83" s="336" t="inlineStr">
        <is>
          <t>钻石 / 召唤 / 一格</t>
        </is>
      </c>
      <c r="C83" s="459" t="n">
        <v>66</v>
      </c>
      <c r="D83" s="459" t="n">
        <v>26</v>
      </c>
      <c r="E83" s="459" t="n">
        <v>0</v>
      </c>
      <c r="F83" s="459" t="n">
        <v>0</v>
      </c>
      <c r="G83" s="459" t="n">
        <v>3</v>
      </c>
    </row>
    <row r="84">
      <c r="A84" s="336" t="inlineStr">
        <is>
          <t>钻石|召唤|两格</t>
        </is>
      </c>
      <c r="B84" s="336" t="inlineStr">
        <is>
          <t>钻石 / 召唤 / 两格</t>
        </is>
      </c>
      <c r="C84" s="459" t="n">
        <v>72</v>
      </c>
      <c r="D84" s="459" t="n">
        <v>24</v>
      </c>
      <c r="E84" s="459" t="n">
        <v>0</v>
      </c>
      <c r="F84" s="459" t="n">
        <v>0</v>
      </c>
      <c r="G84" s="459" t="n">
        <v>3</v>
      </c>
    </row>
    <row r="85">
      <c r="A85" s="336" t="inlineStr">
        <is>
          <t>钻石|召唤|三格</t>
        </is>
      </c>
      <c r="B85" s="336" t="inlineStr">
        <is>
          <t>钻石 / 召唤 / 三格</t>
        </is>
      </c>
      <c r="C85" s="459" t="n">
        <v>78</v>
      </c>
      <c r="D85" s="459" t="n">
        <v>22</v>
      </c>
      <c r="E85" s="459" t="n">
        <v>0</v>
      </c>
      <c r="F85" s="459" t="n">
        <v>0</v>
      </c>
      <c r="G85" s="459" t="n">
        <v>2</v>
      </c>
    </row>
    <row r="86">
      <c r="A86" s="336" t="inlineStr">
        <is>
          <t>钻石|坦克|一格</t>
        </is>
      </c>
      <c r="B86" s="336" t="inlineStr">
        <is>
          <t>钻石 / 坦克 / 一格</t>
        </is>
      </c>
      <c r="C86" s="459" t="n">
        <v>72</v>
      </c>
      <c r="D86" s="459" t="n">
        <v>26</v>
      </c>
      <c r="E86" s="459" t="n">
        <v>0</v>
      </c>
      <c r="F86" s="459" t="n">
        <v>18</v>
      </c>
      <c r="G86" s="459" t="n">
        <v>3</v>
      </c>
    </row>
    <row r="87">
      <c r="A87" s="336" t="inlineStr">
        <is>
          <t>钻石|坦克|两格</t>
        </is>
      </c>
      <c r="B87" s="336" t="inlineStr">
        <is>
          <t>钻石 / 坦克 / 两格</t>
        </is>
      </c>
      <c r="C87" s="459" t="n">
        <v>78</v>
      </c>
      <c r="D87" s="459" t="n">
        <v>24</v>
      </c>
      <c r="E87" s="459" t="n">
        <v>0</v>
      </c>
      <c r="F87" s="459" t="n">
        <v>18</v>
      </c>
      <c r="G87" s="459" t="n">
        <v>3</v>
      </c>
    </row>
    <row r="88">
      <c r="A88" s="338" t="inlineStr">
        <is>
          <t>钻石|坦克|三格</t>
        </is>
      </c>
      <c r="B88" s="338" t="inlineStr">
        <is>
          <t>钻石 / 坦克 / 三格</t>
        </is>
      </c>
      <c r="C88" s="460" t="n">
        <v>84</v>
      </c>
      <c r="D88" s="460" t="n">
        <v>22</v>
      </c>
      <c r="E88" s="460" t="n">
        <v>0</v>
      </c>
      <c r="F88" s="460" t="n">
        <v>18</v>
      </c>
      <c r="G88" s="460" t="n">
        <v>2</v>
      </c>
    </row>
  </sheetData>
  <mergeCells count="2">
    <mergeCell ref="A2:G2"/>
    <mergeCell ref="A1:G1"/>
  </mergeCells>
  <conditionalFormatting sqref="A5:G88">
    <cfRule type="colorScale" priority="1">
      <colorScale>
        <cfvo type="min"/>
        <cfvo type="percentile" val="50"/>
        <cfvo type="max"/>
        <color rgb="FFEFF6FF"/>
        <color rgb="FFDBEAFE"/>
        <color rgb="FFBFDBFE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P193"/>
  <sheetViews>
    <sheetView showGridLines="0" workbookViewId="0">
      <selection activeCell="A1" sqref="A1"/>
    </sheetView>
  </sheetViews>
  <sheetFormatPr baseColWidth="8" defaultRowHeight="15"/>
  <cols>
    <col width="24" customWidth="1" style="439" min="1" max="1"/>
    <col width="24" customWidth="1" style="439" min="2" max="2"/>
    <col width="24" customWidth="1" style="439" min="3" max="3"/>
    <col width="16" customWidth="1" style="439" min="4" max="4"/>
    <col width="16" customWidth="1" style="439" min="5" max="5"/>
    <col width="16" customWidth="1" style="439" min="6" max="6"/>
    <col width="16" customWidth="1" style="439" min="7" max="7"/>
    <col width="16" customWidth="1" style="439" min="8" max="8"/>
    <col width="22" customWidth="1" style="439" min="9" max="9"/>
    <col width="18" customWidth="1" style="439" min="10" max="10"/>
    <col width="13" customWidth="1" style="439" min="11" max="11"/>
    <col width="42" customWidth="1" style="439" min="12" max="12"/>
    <col width="30" customWidth="1" style="439" min="13" max="13"/>
    <col width="24" customWidth="1" style="439" min="14" max="14"/>
    <col width="32" customWidth="1" style="439" min="15" max="15"/>
    <col width="34" customWidth="1" style="439" min="16" max="16"/>
  </cols>
  <sheetData>
    <row r="1" ht="30" customHeight="1" s="439">
      <c r="A1" t="inlineStr">
        <is>
          <t>#csv</t>
        </is>
      </c>
      <c r="B1" t="inlineStr">
        <is>
          <t>24_node_schedule.csv</t>
        </is>
      </c>
      <c r="C1" t="inlineStr">
        <is>
          <t>路线日程：每天的节点选择与固定战顺序</t>
        </is>
      </c>
    </row>
    <row r="2" ht="30" customHeight="1" s="439">
      <c r="A2" t="inlineStr">
        <is>
          <t>schedule_id</t>
        </is>
      </c>
      <c r="B2" t="inlineStr">
        <is>
          <t>day</t>
        </is>
      </c>
      <c r="C2" t="inlineStr">
        <is>
          <t>step</t>
        </is>
      </c>
      <c r="D2" t="inlineStr">
        <is>
          <t>kind</t>
        </is>
      </c>
      <c r="E2" t="inlineStr">
        <is>
          <t>label</t>
        </is>
      </c>
      <c r="F2" t="inlineStr">
        <is>
          <t>pool_id</t>
        </is>
      </c>
      <c r="G2" t="inlineStr">
        <is>
          <t>choice_count</t>
        </is>
      </c>
      <c r="H2" t="inlineStr">
        <is>
          <t>encounter_pool_id</t>
        </is>
      </c>
      <c r="I2" t="inlineStr">
        <is>
          <t>encounter_id</t>
        </is>
      </c>
      <c r="J2" t="inlineStr">
        <is>
          <t>phase_label</t>
        </is>
      </c>
      <c r="K2" t="inlineStr">
        <is>
          <t>status</t>
        </is>
      </c>
      <c r="L2" t="inlineStr">
        <is>
          <t>note</t>
        </is>
      </c>
    </row>
    <row r="3" ht="21" customHeight="1" s="439">
      <c r="A3" t="inlineStr">
        <is>
          <t>d01_node_1</t>
        </is>
      </c>
      <c r="B3" t="inlineStr">
        <is>
          <t>1</t>
        </is>
      </c>
      <c r="C3" t="inlineStr">
        <is>
          <t>1</t>
        </is>
      </c>
      <c r="D3" t="inlineStr">
        <is>
          <t>node_choice</t>
        </is>
      </c>
      <c r="E3" t="inlineStr">
        <is>
          <t>事件节点1</t>
        </is>
      </c>
      <c r="F3" t="inlineStr">
        <is>
          <t>node_pool_d01_growth</t>
        </is>
      </c>
      <c r="G3" t="inlineStr">
        <is>
          <t>3</t>
        </is>
      </c>
      <c r="K3" t="inlineStr">
        <is>
          <t>正式</t>
        </is>
      </c>
      <c r="L3" t="inlineStr">
        <is>
          <t>Day1 第1个 3 选 1 事件/节点</t>
        </is>
      </c>
    </row>
    <row r="4" ht="21" customHeight="1" s="439">
      <c r="A4" t="inlineStr">
        <is>
          <t>d01_node_2</t>
        </is>
      </c>
      <c r="B4" t="inlineStr">
        <is>
          <t>1</t>
        </is>
      </c>
      <c r="C4" t="inlineStr">
        <is>
          <t>2</t>
        </is>
      </c>
      <c r="D4" t="inlineStr">
        <is>
          <t>node_choice</t>
        </is>
      </c>
      <c r="E4" t="inlineStr">
        <is>
          <t>事件节点2</t>
        </is>
      </c>
      <c r="F4" t="inlineStr">
        <is>
          <t>node_pool_d01_growth</t>
        </is>
      </c>
      <c r="G4" t="inlineStr">
        <is>
          <t>3</t>
        </is>
      </c>
      <c r="K4" t="inlineStr">
        <is>
          <t>正式</t>
        </is>
      </c>
      <c r="L4" t="inlineStr">
        <is>
          <t>Day1 第2个 3 选 1 事件/节点</t>
        </is>
      </c>
    </row>
    <row r="5" ht="21" customHeight="1" s="439">
      <c r="A5" t="inlineStr">
        <is>
          <t>d01_morning_choice</t>
        </is>
      </c>
      <c r="B5" t="n">
        <v>1</v>
      </c>
      <c r="C5" t="n">
        <v>3</v>
      </c>
      <c r="D5" t="inlineStr">
        <is>
          <t>battle_choice</t>
        </is>
      </c>
      <c r="E5" t="inlineStr">
        <is>
          <t>第一场遭遇</t>
        </is>
      </c>
      <c r="G5" t="n">
        <v>3</v>
      </c>
      <c r="H5" t="inlineStr">
        <is>
          <t>enc_pool_d01_midday</t>
        </is>
      </c>
      <c r="J5" t="inlineStr">
        <is>
          <t>上午遭遇</t>
        </is>
      </c>
      <c r="K5" t="inlineStr">
        <is>
          <t>正式</t>
        </is>
      </c>
      <c r="L5" t="inlineStr">
        <is>
          <t>Day1 首个真实风险/敌阵/奖励三选一</t>
        </is>
      </c>
    </row>
    <row r="6" ht="21" customHeight="1" s="439">
      <c r="A6" t="inlineStr">
        <is>
          <t>d01_node_4</t>
        </is>
      </c>
      <c r="B6" t="inlineStr">
        <is>
          <t>1</t>
        </is>
      </c>
      <c r="C6" t="inlineStr">
        <is>
          <t>4</t>
        </is>
      </c>
      <c r="D6" t="inlineStr">
        <is>
          <t>node_choice</t>
        </is>
      </c>
      <c r="E6" t="inlineStr">
        <is>
          <t>事件节点3</t>
        </is>
      </c>
      <c r="F6" t="inlineStr">
        <is>
          <t>node_pool_d01_growth</t>
        </is>
      </c>
      <c r="G6" t="inlineStr">
        <is>
          <t>3</t>
        </is>
      </c>
      <c r="K6" t="inlineStr">
        <is>
          <t>正式</t>
        </is>
      </c>
      <c r="L6" t="inlineStr">
        <is>
          <t>Day1 第3个 3 选 1 事件/节点</t>
        </is>
      </c>
    </row>
    <row r="7" ht="21" customHeight="1" s="439">
      <c r="A7" t="inlineStr">
        <is>
          <t>d01_node_5</t>
        </is>
      </c>
      <c r="B7" t="inlineStr">
        <is>
          <t>1</t>
        </is>
      </c>
      <c r="C7" t="inlineStr">
        <is>
          <t>5</t>
        </is>
      </c>
      <c r="D7" t="inlineStr">
        <is>
          <t>node_choice</t>
        </is>
      </c>
      <c r="E7" t="inlineStr">
        <is>
          <t>事件节点4</t>
        </is>
      </c>
      <c r="F7" t="inlineStr">
        <is>
          <t>node_pool_d01_growth</t>
        </is>
      </c>
      <c r="G7" t="inlineStr">
        <is>
          <t>3</t>
        </is>
      </c>
      <c r="K7" t="inlineStr">
        <is>
          <t>正式</t>
        </is>
      </c>
      <c r="L7" t="inlineStr">
        <is>
          <t>Day1 第4个 3 选 1 事件/节点</t>
        </is>
      </c>
    </row>
    <row r="8" ht="21" customHeight="1" s="439">
      <c r="A8" t="inlineStr">
        <is>
          <t>d01_evening_choice</t>
        </is>
      </c>
      <c r="B8" t="n">
        <v>1</v>
      </c>
      <c r="C8" t="n">
        <v>6</v>
      </c>
      <c r="D8" t="inlineStr">
        <is>
          <t>battle_choice</t>
        </is>
      </c>
      <c r="E8" t="inlineStr">
        <is>
          <t>第二场遭遇</t>
        </is>
      </c>
      <c r="G8" t="n">
        <v>3</v>
      </c>
      <c r="H8" t="inlineStr">
        <is>
          <t>enc_pool_d01_evening</t>
        </is>
      </c>
      <c r="J8" t="inlineStr">
        <is>
          <t>首夜决战</t>
        </is>
      </c>
      <c r="K8" t="inlineStr">
        <is>
          <t>正式</t>
        </is>
      </c>
      <c r="L8" t="inlineStr">
        <is>
          <t>Day1 第二战真实风险/机制/奖励三选一</t>
        </is>
      </c>
    </row>
    <row r="9" ht="21" customHeight="1" s="439">
      <c r="A9" t="inlineStr">
        <is>
          <t>d02_node_1</t>
        </is>
      </c>
      <c r="B9" t="inlineStr">
        <is>
          <t>2</t>
        </is>
      </c>
      <c r="C9" t="inlineStr">
        <is>
          <t>1</t>
        </is>
      </c>
      <c r="D9" t="inlineStr">
        <is>
          <t>node_choice</t>
        </is>
      </c>
      <c r="E9" t="inlineStr">
        <is>
          <t>事件节点1</t>
        </is>
      </c>
      <c r="F9" t="inlineStr">
        <is>
          <t>node_pool_d02_growth</t>
        </is>
      </c>
      <c r="G9" t="inlineStr">
        <is>
          <t>3</t>
        </is>
      </c>
      <c r="K9" t="inlineStr">
        <is>
          <t>正式</t>
        </is>
      </c>
      <c r="L9" t="inlineStr">
        <is>
          <t>Day2 第1个 3 选 1 事件/节点</t>
        </is>
      </c>
    </row>
    <row r="10" ht="21" customHeight="1" s="439">
      <c r="A10" t="inlineStr">
        <is>
          <t>d02_node_2</t>
        </is>
      </c>
      <c r="B10" t="inlineStr">
        <is>
          <t>2</t>
        </is>
      </c>
      <c r="C10" t="inlineStr">
        <is>
          <t>2</t>
        </is>
      </c>
      <c r="D10" t="inlineStr">
        <is>
          <t>node_choice</t>
        </is>
      </c>
      <c r="E10" t="inlineStr">
        <is>
          <t>事件节点2</t>
        </is>
      </c>
      <c r="F10" t="inlineStr">
        <is>
          <t>node_pool_d02_growth</t>
        </is>
      </c>
      <c r="G10" t="inlineStr">
        <is>
          <t>3</t>
        </is>
      </c>
      <c r="K10" t="inlineStr">
        <is>
          <t>正式</t>
        </is>
      </c>
      <c r="L10" t="inlineStr">
        <is>
          <t>Day2 第2个 3 选 1 事件/节点</t>
        </is>
      </c>
    </row>
    <row r="11" ht="21" customHeight="1" s="439">
      <c r="A11" t="inlineStr">
        <is>
          <t>d02_morning_choice</t>
        </is>
      </c>
      <c r="B11" t="n">
        <v>2</v>
      </c>
      <c r="C11" t="n">
        <v>3</v>
      </c>
      <c r="D11" t="inlineStr">
        <is>
          <t>battle_choice</t>
        </is>
      </c>
      <c r="E11" t="inlineStr">
        <is>
          <t>第一场遭遇</t>
        </is>
      </c>
      <c r="G11" t="n">
        <v>3</v>
      </c>
      <c r="H11" t="inlineStr">
        <is>
          <t>enc_pool_d02_midday</t>
        </is>
      </c>
      <c r="J11" t="inlineStr">
        <is>
          <t>成长试探</t>
        </is>
      </c>
      <c r="K11" t="inlineStr">
        <is>
          <t>正式</t>
        </is>
      </c>
      <c r="L11" t="inlineStr">
        <is>
          <t>Day2 首战真实风险/机制/奖励三选一</t>
        </is>
      </c>
    </row>
    <row r="12" ht="21" customHeight="1" s="439">
      <c r="A12" t="inlineStr">
        <is>
          <t>d02_node_4</t>
        </is>
      </c>
      <c r="B12" t="inlineStr">
        <is>
          <t>2</t>
        </is>
      </c>
      <c r="C12" t="inlineStr">
        <is>
          <t>4</t>
        </is>
      </c>
      <c r="D12" t="inlineStr">
        <is>
          <t>node_choice</t>
        </is>
      </c>
      <c r="E12" t="inlineStr">
        <is>
          <t>事件节点3</t>
        </is>
      </c>
      <c r="F12" t="inlineStr">
        <is>
          <t>node_pool_d02_growth</t>
        </is>
      </c>
      <c r="G12" t="inlineStr">
        <is>
          <t>3</t>
        </is>
      </c>
      <c r="K12" t="inlineStr">
        <is>
          <t>正式</t>
        </is>
      </c>
      <c r="L12" t="inlineStr">
        <is>
          <t>Day2 第3个 3 选 1 事件/节点</t>
        </is>
      </c>
    </row>
    <row r="13" ht="21" customHeight="1" s="439">
      <c r="A13" t="inlineStr">
        <is>
          <t>d02_node_5</t>
        </is>
      </c>
      <c r="B13" t="inlineStr">
        <is>
          <t>2</t>
        </is>
      </c>
      <c r="C13" t="inlineStr">
        <is>
          <t>5</t>
        </is>
      </c>
      <c r="D13" t="inlineStr">
        <is>
          <t>node_choice</t>
        </is>
      </c>
      <c r="E13" t="inlineStr">
        <is>
          <t>事件节点4</t>
        </is>
      </c>
      <c r="F13" t="inlineStr">
        <is>
          <t>node_pool_d02_growth</t>
        </is>
      </c>
      <c r="G13" t="inlineStr">
        <is>
          <t>3</t>
        </is>
      </c>
      <c r="K13" t="inlineStr">
        <is>
          <t>正式</t>
        </is>
      </c>
      <c r="L13" t="inlineStr">
        <is>
          <t>Day2 第4个 3 选 1 事件/节点</t>
        </is>
      </c>
    </row>
    <row r="14" ht="21" customHeight="1" s="439">
      <c r="A14" t="inlineStr">
        <is>
          <t>d02_evening_choice</t>
        </is>
      </c>
      <c r="B14" t="n">
        <v>2</v>
      </c>
      <c r="C14" t="n">
        <v>6</v>
      </c>
      <c r="D14" t="inlineStr">
        <is>
          <t>battle_choice</t>
        </is>
      </c>
      <c r="E14" t="inlineStr">
        <is>
          <t>第二场遭遇</t>
        </is>
      </c>
      <c r="G14" t="n">
        <v>3</v>
      </c>
      <c r="H14" t="inlineStr">
        <is>
          <t>enc_pool_d02_evening</t>
        </is>
      </c>
      <c r="J14" t="inlineStr">
        <is>
          <t>成长夜战</t>
        </is>
      </c>
      <c r="K14" t="inlineStr">
        <is>
          <t>正式</t>
        </is>
      </c>
      <c r="L14" t="inlineStr">
        <is>
          <t>Day2 第二战真实风险/机制/奖励三选一</t>
        </is>
      </c>
    </row>
    <row r="15" ht="21" customHeight="1" s="439">
      <c r="A15" t="inlineStr">
        <is>
          <t>d03_node_1</t>
        </is>
      </c>
      <c r="B15" t="inlineStr">
        <is>
          <t>3</t>
        </is>
      </c>
      <c r="C15" t="inlineStr">
        <is>
          <t>1</t>
        </is>
      </c>
      <c r="D15" t="inlineStr">
        <is>
          <t>node_choice</t>
        </is>
      </c>
      <c r="E15" t="inlineStr">
        <is>
          <t>事件节点1</t>
        </is>
      </c>
      <c r="F15" t="inlineStr">
        <is>
          <t>node_pool_d03_growth</t>
        </is>
      </c>
      <c r="G15" t="inlineStr">
        <is>
          <t>3</t>
        </is>
      </c>
      <c r="K15" t="inlineStr">
        <is>
          <t>正式</t>
        </is>
      </c>
      <c r="L15" t="inlineStr">
        <is>
          <t>Day3 第1个 3 选 1 事件/节点</t>
        </is>
      </c>
    </row>
    <row r="16" ht="21" customHeight="1" s="439">
      <c r="A16" t="inlineStr">
        <is>
          <t>d03_node_2</t>
        </is>
      </c>
      <c r="B16" t="inlineStr">
        <is>
          <t>3</t>
        </is>
      </c>
      <c r="C16" t="inlineStr">
        <is>
          <t>2</t>
        </is>
      </c>
      <c r="D16" t="inlineStr">
        <is>
          <t>node_choice</t>
        </is>
      </c>
      <c r="E16" t="inlineStr">
        <is>
          <t>事件节点2</t>
        </is>
      </c>
      <c r="F16" t="inlineStr">
        <is>
          <t>node_pool_d03_growth</t>
        </is>
      </c>
      <c r="G16" t="inlineStr">
        <is>
          <t>3</t>
        </is>
      </c>
      <c r="K16" t="inlineStr">
        <is>
          <t>正式</t>
        </is>
      </c>
      <c r="L16" t="inlineStr">
        <is>
          <t>Day3 第2个 3 选 1 事件/节点</t>
        </is>
      </c>
    </row>
    <row r="17" ht="21" customHeight="1" s="439">
      <c r="A17" t="inlineStr">
        <is>
          <t>d03_morning_choice</t>
        </is>
      </c>
      <c r="B17" t="n">
        <v>3</v>
      </c>
      <c r="C17" t="n">
        <v>3</v>
      </c>
      <c r="D17" t="inlineStr">
        <is>
          <t>battle_choice</t>
        </is>
      </c>
      <c r="E17" t="inlineStr">
        <is>
          <t>第一场遭遇</t>
        </is>
      </c>
      <c r="G17" t="n">
        <v>3</v>
      </c>
      <c r="H17" t="inlineStr">
        <is>
          <t>enc_pool_d03_midday</t>
        </is>
      </c>
      <c r="J17" t="inlineStr">
        <is>
          <t>早期定向</t>
        </is>
      </c>
      <c r="K17" t="inlineStr">
        <is>
          <t>正式</t>
        </is>
      </c>
      <c r="L17" t="inlineStr">
        <is>
          <t>Day3 早期定向风险/收益三选一</t>
        </is>
      </c>
    </row>
    <row r="18" ht="21" customHeight="1" s="439">
      <c r="A18" t="inlineStr">
        <is>
          <t>d03_node_4</t>
        </is>
      </c>
      <c r="B18" t="inlineStr">
        <is>
          <t>3</t>
        </is>
      </c>
      <c r="C18" t="inlineStr">
        <is>
          <t>4</t>
        </is>
      </c>
      <c r="D18" t="inlineStr">
        <is>
          <t>node_choice</t>
        </is>
      </c>
      <c r="E18" t="inlineStr">
        <is>
          <t>事件节点3</t>
        </is>
      </c>
      <c r="F18" t="inlineStr">
        <is>
          <t>node_pool_d03_growth</t>
        </is>
      </c>
      <c r="G18" t="inlineStr">
        <is>
          <t>3</t>
        </is>
      </c>
      <c r="K18" t="inlineStr">
        <is>
          <t>正式</t>
        </is>
      </c>
      <c r="L18" t="inlineStr">
        <is>
          <t>Day3 第3个 3 选 1 事件/节点</t>
        </is>
      </c>
    </row>
    <row r="19" ht="21" customHeight="1" s="439">
      <c r="A19" t="inlineStr">
        <is>
          <t>d03_node_5</t>
        </is>
      </c>
      <c r="B19" t="inlineStr">
        <is>
          <t>3</t>
        </is>
      </c>
      <c r="C19" t="inlineStr">
        <is>
          <t>5</t>
        </is>
      </c>
      <c r="D19" t="inlineStr">
        <is>
          <t>node_choice</t>
        </is>
      </c>
      <c r="E19" t="inlineStr">
        <is>
          <t>事件节点4</t>
        </is>
      </c>
      <c r="F19" t="inlineStr">
        <is>
          <t>node_pool_d03_growth</t>
        </is>
      </c>
      <c r="G19" t="inlineStr">
        <is>
          <t>3</t>
        </is>
      </c>
      <c r="K19" t="inlineStr">
        <is>
          <t>正式</t>
        </is>
      </c>
      <c r="L19" t="inlineStr">
        <is>
          <t>Day3 第4个 3 选 1 事件/节点</t>
        </is>
      </c>
    </row>
    <row r="20" ht="21" customHeight="1" s="439">
      <c r="A20" t="inlineStr">
        <is>
          <t>d03_evening_choice</t>
        </is>
      </c>
      <c r="B20" t="n">
        <v>3</v>
      </c>
      <c r="C20" t="n">
        <v>6</v>
      </c>
      <c r="D20" t="inlineStr">
        <is>
          <t>battle_choice</t>
        </is>
      </c>
      <c r="E20" t="inlineStr">
        <is>
          <t>第二场遭遇</t>
        </is>
      </c>
      <c r="G20" t="n">
        <v>3</v>
      </c>
      <c r="H20" t="inlineStr">
        <is>
          <t>enc_pool_d03_evening</t>
        </is>
      </c>
      <c r="J20" t="inlineStr">
        <is>
          <t>定向夜战</t>
        </is>
      </c>
      <c r="K20" t="inlineStr">
        <is>
          <t>正式</t>
        </is>
      </c>
      <c r="L20" t="inlineStr">
        <is>
          <t>Day3 第二战真实风险/机制/奖励三选一</t>
        </is>
      </c>
    </row>
    <row r="21" ht="21" customHeight="1" s="439">
      <c r="A21" t="inlineStr">
        <is>
          <t>d04_node_1</t>
        </is>
      </c>
      <c r="B21" t="inlineStr">
        <is>
          <t>4</t>
        </is>
      </c>
      <c r="C21" t="inlineStr">
        <is>
          <t>1</t>
        </is>
      </c>
      <c r="D21" t="inlineStr">
        <is>
          <t>node_choice</t>
        </is>
      </c>
      <c r="E21" t="inlineStr">
        <is>
          <t>事件节点1</t>
        </is>
      </c>
      <c r="F21" t="inlineStr">
        <is>
          <t>node_pool_d04_growth</t>
        </is>
      </c>
      <c r="G21" t="inlineStr">
        <is>
          <t>3</t>
        </is>
      </c>
      <c r="K21" t="inlineStr">
        <is>
          <t>正式</t>
        </is>
      </c>
      <c r="L21" t="inlineStr">
        <is>
          <t>Day4 第1个 3 选 1 事件/节点</t>
        </is>
      </c>
    </row>
    <row r="22" ht="21" customHeight="1" s="439">
      <c r="A22" t="inlineStr">
        <is>
          <t>d04_node_2</t>
        </is>
      </c>
      <c r="B22" t="inlineStr">
        <is>
          <t>4</t>
        </is>
      </c>
      <c r="C22" t="inlineStr">
        <is>
          <t>2</t>
        </is>
      </c>
      <c r="D22" t="inlineStr">
        <is>
          <t>node_choice</t>
        </is>
      </c>
      <c r="E22" t="inlineStr">
        <is>
          <t>事件节点2</t>
        </is>
      </c>
      <c r="F22" t="inlineStr">
        <is>
          <t>node_pool_d04_growth</t>
        </is>
      </c>
      <c r="G22" t="inlineStr">
        <is>
          <t>3</t>
        </is>
      </c>
      <c r="K22" t="inlineStr">
        <is>
          <t>正式</t>
        </is>
      </c>
      <c r="L22" t="inlineStr">
        <is>
          <t>Day4 第2个 3 选 1 事件/节点</t>
        </is>
      </c>
    </row>
    <row r="23" ht="21" customHeight="1" s="439">
      <c r="A23" t="inlineStr">
        <is>
          <t>d04_morning_choice</t>
        </is>
      </c>
      <c r="B23" t="n">
        <v>4</v>
      </c>
      <c r="C23" t="n">
        <v>3</v>
      </c>
      <c r="D23" t="inlineStr">
        <is>
          <t>battle_choice</t>
        </is>
      </c>
      <c r="E23" t="inlineStr">
        <is>
          <t>第一场遭遇</t>
        </is>
      </c>
      <c r="G23" t="n">
        <v>3</v>
      </c>
      <c r="H23" t="inlineStr">
        <is>
          <t>enc_pool_d04_midday</t>
        </is>
      </c>
      <c r="J23" t="inlineStr">
        <is>
          <t>中段转压</t>
        </is>
      </c>
      <c r="K23" t="inlineStr">
        <is>
          <t>正式</t>
        </is>
      </c>
      <c r="L23" t="inlineStr">
        <is>
          <t>Day4 首战真实风险/机制/奖励三选一</t>
        </is>
      </c>
    </row>
    <row r="24" ht="21" customHeight="1" s="439">
      <c r="A24" t="inlineStr">
        <is>
          <t>d04_node_4</t>
        </is>
      </c>
      <c r="B24" t="inlineStr">
        <is>
          <t>4</t>
        </is>
      </c>
      <c r="C24" t="inlineStr">
        <is>
          <t>4</t>
        </is>
      </c>
      <c r="D24" t="inlineStr">
        <is>
          <t>node_choice</t>
        </is>
      </c>
      <c r="E24" t="inlineStr">
        <is>
          <t>事件节点3</t>
        </is>
      </c>
      <c r="F24" t="inlineStr">
        <is>
          <t>node_pool_d04_growth</t>
        </is>
      </c>
      <c r="G24" t="inlineStr">
        <is>
          <t>3</t>
        </is>
      </c>
      <c r="K24" t="inlineStr">
        <is>
          <t>正式</t>
        </is>
      </c>
      <c r="L24" t="inlineStr">
        <is>
          <t>Day4 第3个 3 选 1 事件/节点</t>
        </is>
      </c>
    </row>
    <row r="25" ht="21" customHeight="1" s="439">
      <c r="A25" t="inlineStr">
        <is>
          <t>d04_node_5</t>
        </is>
      </c>
      <c r="B25" t="inlineStr">
        <is>
          <t>4</t>
        </is>
      </c>
      <c r="C25" t="inlineStr">
        <is>
          <t>5</t>
        </is>
      </c>
      <c r="D25" t="inlineStr">
        <is>
          <t>node_choice</t>
        </is>
      </c>
      <c r="E25" t="inlineStr">
        <is>
          <t>事件节点4</t>
        </is>
      </c>
      <c r="F25" t="inlineStr">
        <is>
          <t>node_pool_d04_growth</t>
        </is>
      </c>
      <c r="G25" t="inlineStr">
        <is>
          <t>3</t>
        </is>
      </c>
      <c r="K25" t="inlineStr">
        <is>
          <t>正式</t>
        </is>
      </c>
      <c r="L25" t="inlineStr">
        <is>
          <t>Day4 第4个 3 选 1 事件/节点</t>
        </is>
      </c>
    </row>
    <row r="26" ht="21" customHeight="1" s="439">
      <c r="A26" t="inlineStr">
        <is>
          <t>d04_evening_choice</t>
        </is>
      </c>
      <c r="B26" t="n">
        <v>4</v>
      </c>
      <c r="C26" t="n">
        <v>6</v>
      </c>
      <c r="D26" t="inlineStr">
        <is>
          <t>battle_choice</t>
        </is>
      </c>
      <c r="E26" t="inlineStr">
        <is>
          <t>第二场遭遇</t>
        </is>
      </c>
      <c r="G26" t="n">
        <v>3</v>
      </c>
      <c r="H26" t="inlineStr">
        <is>
          <t>enc_pool_d04_evening</t>
        </is>
      </c>
      <c r="J26" t="inlineStr">
        <is>
          <t>中段夜战</t>
        </is>
      </c>
      <c r="K26" t="inlineStr">
        <is>
          <t>正式</t>
        </is>
      </c>
      <c r="L26" t="inlineStr">
        <is>
          <t>Day4 第二战真实风险/机制/奖励三选一</t>
        </is>
      </c>
    </row>
    <row r="27" ht="21" customHeight="1" s="439">
      <c r="A27" t="inlineStr">
        <is>
          <t>d05_node_1</t>
        </is>
      </c>
      <c r="B27" t="inlineStr">
        <is>
          <t>5</t>
        </is>
      </c>
      <c r="C27" t="inlineStr">
        <is>
          <t>1</t>
        </is>
      </c>
      <c r="D27" t="inlineStr">
        <is>
          <t>node_choice</t>
        </is>
      </c>
      <c r="E27" t="inlineStr">
        <is>
          <t>事件节点1</t>
        </is>
      </c>
      <c r="F27" t="inlineStr">
        <is>
          <t>node_pool_d05_growth</t>
        </is>
      </c>
      <c r="G27" t="inlineStr">
        <is>
          <t>3</t>
        </is>
      </c>
      <c r="K27" t="inlineStr">
        <is>
          <t>正式</t>
        </is>
      </c>
      <c r="L27" t="inlineStr">
        <is>
          <t>Day5 第1个 3 选 1 事件/节点</t>
        </is>
      </c>
    </row>
    <row r="28" ht="21" customHeight="1" s="439">
      <c r="A28" t="inlineStr">
        <is>
          <t>d05_node_2</t>
        </is>
      </c>
      <c r="B28" t="inlineStr">
        <is>
          <t>5</t>
        </is>
      </c>
      <c r="C28" t="inlineStr">
        <is>
          <t>2</t>
        </is>
      </c>
      <c r="D28" t="inlineStr">
        <is>
          <t>node_choice</t>
        </is>
      </c>
      <c r="E28" t="inlineStr">
        <is>
          <t>事件节点2</t>
        </is>
      </c>
      <c r="F28" t="inlineStr">
        <is>
          <t>node_pool_d05_growth</t>
        </is>
      </c>
      <c r="G28" t="inlineStr">
        <is>
          <t>3</t>
        </is>
      </c>
      <c r="K28" t="inlineStr">
        <is>
          <t>正式</t>
        </is>
      </c>
      <c r="L28" t="inlineStr">
        <is>
          <t>Day5 第2个 3 选 1 事件/节点</t>
        </is>
      </c>
    </row>
    <row r="29" ht="21" customHeight="1" s="439">
      <c r="A29" t="inlineStr">
        <is>
          <t>d05_morning_choice</t>
        </is>
      </c>
      <c r="B29" t="n">
        <v>5</v>
      </c>
      <c r="C29" t="n">
        <v>3</v>
      </c>
      <c r="D29" t="inlineStr">
        <is>
          <t>battle_choice</t>
        </is>
      </c>
      <c r="E29" t="inlineStr">
        <is>
          <t>第一场遭遇</t>
        </is>
      </c>
      <c r="G29" t="n">
        <v>3</v>
      </c>
      <c r="H29" t="inlineStr">
        <is>
          <t>enc_pool_d05_midday</t>
        </is>
      </c>
      <c r="J29" t="inlineStr">
        <is>
          <t>中期预热</t>
        </is>
      </c>
      <c r="K29" t="inlineStr">
        <is>
          <t>正式</t>
        </is>
      </c>
      <c r="L29" t="inlineStr">
        <is>
          <t>Day5 首战真实风险/机制/奖励三选一</t>
        </is>
      </c>
    </row>
    <row r="30" ht="21" customHeight="1" s="439">
      <c r="A30" t="inlineStr">
        <is>
          <t>d05_node_4</t>
        </is>
      </c>
      <c r="B30" t="inlineStr">
        <is>
          <t>5</t>
        </is>
      </c>
      <c r="C30" t="inlineStr">
        <is>
          <t>4</t>
        </is>
      </c>
      <c r="D30" t="inlineStr">
        <is>
          <t>node_choice</t>
        </is>
      </c>
      <c r="E30" t="inlineStr">
        <is>
          <t>事件节点3</t>
        </is>
      </c>
      <c r="F30" t="inlineStr">
        <is>
          <t>node_pool_d05_growth</t>
        </is>
      </c>
      <c r="G30" t="inlineStr">
        <is>
          <t>3</t>
        </is>
      </c>
      <c r="K30" t="inlineStr">
        <is>
          <t>正式</t>
        </is>
      </c>
      <c r="L30" t="inlineStr">
        <is>
          <t>Day5 第3个 3 选 1 事件/节点</t>
        </is>
      </c>
    </row>
    <row r="31" ht="21" customHeight="1" s="439">
      <c r="A31" t="inlineStr">
        <is>
          <t>d05_node_5</t>
        </is>
      </c>
      <c r="B31" t="inlineStr">
        <is>
          <t>5</t>
        </is>
      </c>
      <c r="C31" t="inlineStr">
        <is>
          <t>5</t>
        </is>
      </c>
      <c r="D31" t="inlineStr">
        <is>
          <t>node_choice</t>
        </is>
      </c>
      <c r="E31" t="inlineStr">
        <is>
          <t>事件节点4</t>
        </is>
      </c>
      <c r="F31" t="inlineStr">
        <is>
          <t>node_pool_d05_growth</t>
        </is>
      </c>
      <c r="G31" t="inlineStr">
        <is>
          <t>3</t>
        </is>
      </c>
      <c r="K31" t="inlineStr">
        <is>
          <t>正式</t>
        </is>
      </c>
      <c r="L31" t="inlineStr">
        <is>
          <t>Day5 第4个 3 选 1 事件/节点</t>
        </is>
      </c>
    </row>
    <row r="32" ht="21" customHeight="1" s="439">
      <c r="A32" t="inlineStr">
        <is>
          <t>d05_evening_choice</t>
        </is>
      </c>
      <c r="B32" t="n">
        <v>5</v>
      </c>
      <c r="C32" t="n">
        <v>6</v>
      </c>
      <c r="D32" t="inlineStr">
        <is>
          <t>battle_choice</t>
        </is>
      </c>
      <c r="E32" t="inlineStr">
        <is>
          <t>第二场遭遇</t>
        </is>
      </c>
      <c r="G32" t="n">
        <v>3</v>
      </c>
      <c r="H32" t="inlineStr">
        <is>
          <t>enc_pool_d05_evening</t>
        </is>
      </c>
      <c r="J32" t="inlineStr">
        <is>
          <t>中期夜战</t>
        </is>
      </c>
      <c r="K32" t="inlineStr">
        <is>
          <t>正式</t>
        </is>
      </c>
      <c r="L32" t="inlineStr">
        <is>
          <t>Day5 第二战真实风险/机制/奖励三选一</t>
        </is>
      </c>
    </row>
    <row r="33" ht="21" customHeight="1" s="439">
      <c r="A33" t="inlineStr">
        <is>
          <t>d06_node_1</t>
        </is>
      </c>
      <c r="B33" t="inlineStr">
        <is>
          <t>6</t>
        </is>
      </c>
      <c r="C33" t="inlineStr">
        <is>
          <t>1</t>
        </is>
      </c>
      <c r="D33" t="inlineStr">
        <is>
          <t>node_choice</t>
        </is>
      </c>
      <c r="E33" t="inlineStr">
        <is>
          <t>事件节点1</t>
        </is>
      </c>
      <c r="F33" t="inlineStr">
        <is>
          <t>node_pool_d06_growth</t>
        </is>
      </c>
      <c r="G33" t="inlineStr">
        <is>
          <t>3</t>
        </is>
      </c>
      <c r="K33" t="inlineStr">
        <is>
          <t>正式</t>
        </is>
      </c>
      <c r="L33" t="inlineStr">
        <is>
          <t>Day6 第1个 3 选 1 事件/节点</t>
        </is>
      </c>
    </row>
    <row r="34" ht="21" customHeight="1" s="439">
      <c r="A34" t="inlineStr">
        <is>
          <t>d06_node_2</t>
        </is>
      </c>
      <c r="B34" t="inlineStr">
        <is>
          <t>6</t>
        </is>
      </c>
      <c r="C34" t="inlineStr">
        <is>
          <t>2</t>
        </is>
      </c>
      <c r="D34" t="inlineStr">
        <is>
          <t>node_choice</t>
        </is>
      </c>
      <c r="E34" t="inlineStr">
        <is>
          <t>事件节点2</t>
        </is>
      </c>
      <c r="F34" t="inlineStr">
        <is>
          <t>node_pool_d06_growth</t>
        </is>
      </c>
      <c r="G34" t="inlineStr">
        <is>
          <t>3</t>
        </is>
      </c>
      <c r="K34" t="inlineStr">
        <is>
          <t>正式</t>
        </is>
      </c>
      <c r="L34" t="inlineStr">
        <is>
          <t>Day6 第2个 3 选 1 事件/节点</t>
        </is>
      </c>
    </row>
    <row r="35" ht="21" customHeight="1" s="439">
      <c r="A35" t="inlineStr">
        <is>
          <t>d06_morning_choice</t>
        </is>
      </c>
      <c r="B35" t="n">
        <v>6</v>
      </c>
      <c r="C35" t="n">
        <v>3</v>
      </c>
      <c r="D35" t="inlineStr">
        <is>
          <t>battle_choice</t>
        </is>
      </c>
      <c r="E35" t="inlineStr">
        <is>
          <t>第一场遭遇</t>
        </is>
      </c>
      <c r="G35" t="n">
        <v>3</v>
      </c>
      <c r="H35" t="inlineStr">
        <is>
          <t>enc_pool_d06_midday</t>
        </is>
      </c>
      <c r="J35" t="inlineStr">
        <is>
          <t>中期精英</t>
        </is>
      </c>
      <c r="K35" t="inlineStr">
        <is>
          <t>正式</t>
        </is>
      </c>
      <c r="L35" t="inlineStr">
        <is>
          <t>Day6 中期精英风险/收益三选一</t>
        </is>
      </c>
    </row>
    <row r="36" ht="21" customHeight="1" s="439">
      <c r="A36" t="inlineStr">
        <is>
          <t>d06_node_4</t>
        </is>
      </c>
      <c r="B36" t="inlineStr">
        <is>
          <t>6</t>
        </is>
      </c>
      <c r="C36" t="inlineStr">
        <is>
          <t>4</t>
        </is>
      </c>
      <c r="D36" t="inlineStr">
        <is>
          <t>node_choice</t>
        </is>
      </c>
      <c r="E36" t="inlineStr">
        <is>
          <t>事件节点3</t>
        </is>
      </c>
      <c r="F36" t="inlineStr">
        <is>
          <t>node_pool_d06_growth</t>
        </is>
      </c>
      <c r="G36" t="inlineStr">
        <is>
          <t>3</t>
        </is>
      </c>
      <c r="K36" t="inlineStr">
        <is>
          <t>正式</t>
        </is>
      </c>
      <c r="L36" t="inlineStr">
        <is>
          <t>Day6 第3个 3 选 1 事件/节点</t>
        </is>
      </c>
    </row>
    <row r="37" ht="21" customHeight="1" s="439">
      <c r="A37" t="inlineStr">
        <is>
          <t>d06_node_5</t>
        </is>
      </c>
      <c r="B37" t="inlineStr">
        <is>
          <t>6</t>
        </is>
      </c>
      <c r="C37" t="inlineStr">
        <is>
          <t>5</t>
        </is>
      </c>
      <c r="D37" t="inlineStr">
        <is>
          <t>node_choice</t>
        </is>
      </c>
      <c r="E37" t="inlineStr">
        <is>
          <t>事件节点4</t>
        </is>
      </c>
      <c r="F37" t="inlineStr">
        <is>
          <t>node_pool_d06_growth</t>
        </is>
      </c>
      <c r="G37" t="inlineStr">
        <is>
          <t>3</t>
        </is>
      </c>
      <c r="K37" t="inlineStr">
        <is>
          <t>正式</t>
        </is>
      </c>
      <c r="L37" t="inlineStr">
        <is>
          <t>Day6 第4个 3 选 1 事件/节点</t>
        </is>
      </c>
    </row>
    <row r="38" ht="21" customHeight="1" s="439">
      <c r="A38" t="inlineStr">
        <is>
          <t>d06_evening_choice</t>
        </is>
      </c>
      <c r="B38" t="n">
        <v>6</v>
      </c>
      <c r="C38" t="n">
        <v>6</v>
      </c>
      <c r="D38" t="inlineStr">
        <is>
          <t>battle_choice</t>
        </is>
      </c>
      <c r="E38" t="inlineStr">
        <is>
          <t>第二场遭遇</t>
        </is>
      </c>
      <c r="G38" t="n">
        <v>3</v>
      </c>
      <c r="H38" t="inlineStr">
        <is>
          <t>enc_pool_d06_evening</t>
        </is>
      </c>
      <c r="J38" t="inlineStr">
        <is>
          <t>高阶夜战</t>
        </is>
      </c>
      <c r="K38" t="inlineStr">
        <is>
          <t>正式</t>
        </is>
      </c>
      <c r="L38" t="inlineStr">
        <is>
          <t>Day6 第二战真实风险/机制/奖励三选一</t>
        </is>
      </c>
    </row>
    <row r="39" ht="21" customHeight="1" s="439">
      <c r="A39" t="inlineStr">
        <is>
          <t>d07_node_1</t>
        </is>
      </c>
      <c r="B39" t="inlineStr">
        <is>
          <t>7</t>
        </is>
      </c>
      <c r="C39" t="inlineStr">
        <is>
          <t>1</t>
        </is>
      </c>
      <c r="D39" t="inlineStr">
        <is>
          <t>node_choice</t>
        </is>
      </c>
      <c r="E39" t="inlineStr">
        <is>
          <t>事件节点1</t>
        </is>
      </c>
      <c r="F39" t="inlineStr">
        <is>
          <t>node_pool_d07_growth</t>
        </is>
      </c>
      <c r="G39" t="inlineStr">
        <is>
          <t>3</t>
        </is>
      </c>
      <c r="K39" t="inlineStr">
        <is>
          <t>正式</t>
        </is>
      </c>
      <c r="L39" t="inlineStr">
        <is>
          <t>Day7 第1个 3 选 1 事件/节点</t>
        </is>
      </c>
    </row>
    <row r="40" ht="21" customHeight="1" s="439">
      <c r="A40" t="inlineStr">
        <is>
          <t>d07_node_2</t>
        </is>
      </c>
      <c r="B40" t="inlineStr">
        <is>
          <t>7</t>
        </is>
      </c>
      <c r="C40" t="inlineStr">
        <is>
          <t>2</t>
        </is>
      </c>
      <c r="D40" t="inlineStr">
        <is>
          <t>node_choice</t>
        </is>
      </c>
      <c r="E40" t="inlineStr">
        <is>
          <t>事件节点2</t>
        </is>
      </c>
      <c r="F40" t="inlineStr">
        <is>
          <t>node_pool_d07_growth</t>
        </is>
      </c>
      <c r="G40" t="inlineStr">
        <is>
          <t>3</t>
        </is>
      </c>
      <c r="K40" t="inlineStr">
        <is>
          <t>正式</t>
        </is>
      </c>
      <c r="L40" t="inlineStr">
        <is>
          <t>Day7 第2个 3 选 1 事件/节点</t>
        </is>
      </c>
    </row>
    <row r="41" ht="21" customHeight="1" s="439">
      <c r="A41" t="inlineStr">
        <is>
          <t>d07_morning_choice</t>
        </is>
      </c>
      <c r="B41" t="n">
        <v>7</v>
      </c>
      <c r="C41" t="n">
        <v>3</v>
      </c>
      <c r="D41" t="inlineStr">
        <is>
          <t>battle_choice</t>
        </is>
      </c>
      <c r="E41" t="inlineStr">
        <is>
          <t>第一场遭遇</t>
        </is>
      </c>
      <c r="G41" t="n">
        <v>3</v>
      </c>
      <c r="H41" t="inlineStr">
        <is>
          <t>enc_pool_d07_midday</t>
        </is>
      </c>
      <c r="J41" t="inlineStr">
        <is>
          <t>高阶续战</t>
        </is>
      </c>
      <c r="K41" t="inlineStr">
        <is>
          <t>正式</t>
        </is>
      </c>
      <c r="L41" t="inlineStr">
        <is>
          <t>Day7 首战真实风险/机制/奖励三选一</t>
        </is>
      </c>
    </row>
    <row r="42" ht="21" customHeight="1" s="439">
      <c r="A42" t="inlineStr">
        <is>
          <t>d07_node_4</t>
        </is>
      </c>
      <c r="B42" t="inlineStr">
        <is>
          <t>7</t>
        </is>
      </c>
      <c r="C42" t="inlineStr">
        <is>
          <t>4</t>
        </is>
      </c>
      <c r="D42" t="inlineStr">
        <is>
          <t>node_choice</t>
        </is>
      </c>
      <c r="E42" t="inlineStr">
        <is>
          <t>事件节点3</t>
        </is>
      </c>
      <c r="F42" t="inlineStr">
        <is>
          <t>node_pool_d07_growth</t>
        </is>
      </c>
      <c r="G42" t="inlineStr">
        <is>
          <t>3</t>
        </is>
      </c>
      <c r="K42" t="inlineStr">
        <is>
          <t>正式</t>
        </is>
      </c>
      <c r="L42" t="inlineStr">
        <is>
          <t>Day7 第3个 3 选 1 事件/节点</t>
        </is>
      </c>
    </row>
    <row r="43" ht="21" customHeight="1" s="439">
      <c r="A43" t="inlineStr">
        <is>
          <t>d07_node_5</t>
        </is>
      </c>
      <c r="B43" t="inlineStr">
        <is>
          <t>7</t>
        </is>
      </c>
      <c r="C43" t="inlineStr">
        <is>
          <t>5</t>
        </is>
      </c>
      <c r="D43" t="inlineStr">
        <is>
          <t>node_choice</t>
        </is>
      </c>
      <c r="E43" t="inlineStr">
        <is>
          <t>事件节点4</t>
        </is>
      </c>
      <c r="F43" t="inlineStr">
        <is>
          <t>node_pool_d07_growth</t>
        </is>
      </c>
      <c r="G43" t="inlineStr">
        <is>
          <t>3</t>
        </is>
      </c>
      <c r="K43" t="inlineStr">
        <is>
          <t>正式</t>
        </is>
      </c>
      <c r="L43" t="inlineStr">
        <is>
          <t>Day7 第4个 3 选 1 事件/节点</t>
        </is>
      </c>
    </row>
    <row r="44" ht="21" customHeight="1" s="439">
      <c r="A44" t="inlineStr">
        <is>
          <t>d07_evening_choice</t>
        </is>
      </c>
      <c r="B44" t="n">
        <v>7</v>
      </c>
      <c r="C44" t="n">
        <v>6</v>
      </c>
      <c r="D44" t="inlineStr">
        <is>
          <t>battle_choice</t>
        </is>
      </c>
      <c r="E44" t="inlineStr">
        <is>
          <t>第二场遭遇</t>
        </is>
      </c>
      <c r="G44" t="n">
        <v>3</v>
      </c>
      <c r="H44" t="inlineStr">
        <is>
          <t>enc_pool_d07_evening</t>
        </is>
      </c>
      <c r="J44" t="inlineStr">
        <is>
          <t>后期夜战</t>
        </is>
      </c>
      <c r="K44" t="inlineStr">
        <is>
          <t>正式</t>
        </is>
      </c>
      <c r="L44" t="inlineStr">
        <is>
          <t>Day7 第二战真实风险/机制/奖励三选一</t>
        </is>
      </c>
    </row>
    <row r="45" ht="21" customHeight="1" s="439">
      <c r="A45" t="inlineStr">
        <is>
          <t>d08_node_1</t>
        </is>
      </c>
      <c r="B45" t="inlineStr">
        <is>
          <t>8</t>
        </is>
      </c>
      <c r="C45" t="inlineStr">
        <is>
          <t>1</t>
        </is>
      </c>
      <c r="D45" t="inlineStr">
        <is>
          <t>node_choice</t>
        </is>
      </c>
      <c r="E45" t="inlineStr">
        <is>
          <t>事件节点1</t>
        </is>
      </c>
      <c r="F45" t="inlineStr">
        <is>
          <t>node_pool_d08_growth</t>
        </is>
      </c>
      <c r="G45" t="inlineStr">
        <is>
          <t>3</t>
        </is>
      </c>
      <c r="K45" t="inlineStr">
        <is>
          <t>正式</t>
        </is>
      </c>
      <c r="L45" t="inlineStr">
        <is>
          <t>Day8 第1个 3 选 1 事件/节点</t>
        </is>
      </c>
    </row>
    <row r="46" ht="21" customHeight="1" s="439">
      <c r="A46" t="inlineStr">
        <is>
          <t>d08_node_2</t>
        </is>
      </c>
      <c r="B46" t="inlineStr">
        <is>
          <t>8</t>
        </is>
      </c>
      <c r="C46" t="inlineStr">
        <is>
          <t>2</t>
        </is>
      </c>
      <c r="D46" t="inlineStr">
        <is>
          <t>node_choice</t>
        </is>
      </c>
      <c r="E46" t="inlineStr">
        <is>
          <t>事件节点2</t>
        </is>
      </c>
      <c r="F46" t="inlineStr">
        <is>
          <t>node_pool_d08_growth</t>
        </is>
      </c>
      <c r="G46" t="inlineStr">
        <is>
          <t>3</t>
        </is>
      </c>
      <c r="K46" t="inlineStr">
        <is>
          <t>正式</t>
        </is>
      </c>
      <c r="L46" t="inlineStr">
        <is>
          <t>Day8 第2个 3 选 1 事件/节点</t>
        </is>
      </c>
    </row>
    <row r="47" ht="21" customHeight="1" s="439">
      <c r="A47" t="inlineStr">
        <is>
          <t>d08_morning_choice</t>
        </is>
      </c>
      <c r="B47" t="n">
        <v>8</v>
      </c>
      <c r="C47" t="n">
        <v>3</v>
      </c>
      <c r="D47" t="inlineStr">
        <is>
          <t>battle_choice</t>
        </is>
      </c>
      <c r="E47" t="inlineStr">
        <is>
          <t>第一场遭遇</t>
        </is>
      </c>
      <c r="G47" t="n">
        <v>3</v>
      </c>
      <c r="H47" t="inlineStr">
        <is>
          <t>enc_pool_d08_midday</t>
        </is>
      </c>
      <c r="J47" t="inlineStr">
        <is>
          <t>后期升压</t>
        </is>
      </c>
      <c r="K47" t="inlineStr">
        <is>
          <t>正式</t>
        </is>
      </c>
      <c r="L47" t="inlineStr">
        <is>
          <t>Day8 首战真实风险/机制/奖励三选一</t>
        </is>
      </c>
    </row>
    <row r="48" ht="21" customHeight="1" s="439">
      <c r="A48" t="inlineStr">
        <is>
          <t>d08_node_4</t>
        </is>
      </c>
      <c r="B48" t="inlineStr">
        <is>
          <t>8</t>
        </is>
      </c>
      <c r="C48" t="inlineStr">
        <is>
          <t>4</t>
        </is>
      </c>
      <c r="D48" t="inlineStr">
        <is>
          <t>node_choice</t>
        </is>
      </c>
      <c r="E48" t="inlineStr">
        <is>
          <t>事件节点3</t>
        </is>
      </c>
      <c r="F48" t="inlineStr">
        <is>
          <t>node_pool_d08_growth</t>
        </is>
      </c>
      <c r="G48" t="inlineStr">
        <is>
          <t>3</t>
        </is>
      </c>
      <c r="K48" t="inlineStr">
        <is>
          <t>正式</t>
        </is>
      </c>
      <c r="L48" t="inlineStr">
        <is>
          <t>Day8 第3个 3 选 1 事件/节点</t>
        </is>
      </c>
    </row>
    <row r="49" ht="21" customHeight="1" s="439">
      <c r="A49" t="inlineStr">
        <is>
          <t>d08_node_5</t>
        </is>
      </c>
      <c r="B49" t="inlineStr">
        <is>
          <t>8</t>
        </is>
      </c>
      <c r="C49" t="inlineStr">
        <is>
          <t>5</t>
        </is>
      </c>
      <c r="D49" t="inlineStr">
        <is>
          <t>node_choice</t>
        </is>
      </c>
      <c r="E49" t="inlineStr">
        <is>
          <t>事件节点4</t>
        </is>
      </c>
      <c r="F49" t="inlineStr">
        <is>
          <t>node_pool_d08_growth</t>
        </is>
      </c>
      <c r="G49" t="inlineStr">
        <is>
          <t>3</t>
        </is>
      </c>
      <c r="K49" t="inlineStr">
        <is>
          <t>正式</t>
        </is>
      </c>
      <c r="L49" t="inlineStr">
        <is>
          <t>Day8 第4个 3 选 1 事件/节点</t>
        </is>
      </c>
    </row>
    <row r="50" ht="21" customHeight="1" s="439">
      <c r="A50" t="inlineStr">
        <is>
          <t>d08_evening_choice</t>
        </is>
      </c>
      <c r="B50" t="n">
        <v>8</v>
      </c>
      <c r="C50" t="n">
        <v>6</v>
      </c>
      <c r="D50" t="inlineStr">
        <is>
          <t>battle_choice</t>
        </is>
      </c>
      <c r="E50" t="inlineStr">
        <is>
          <t>第二场遭遇</t>
        </is>
      </c>
      <c r="G50" t="n">
        <v>3</v>
      </c>
      <c r="H50" t="inlineStr">
        <is>
          <t>enc_pool_d08_evening</t>
        </is>
      </c>
      <c r="J50" t="inlineStr">
        <is>
          <t>终战夜战</t>
        </is>
      </c>
      <c r="K50" t="inlineStr">
        <is>
          <t>正式</t>
        </is>
      </c>
      <c r="L50" t="inlineStr">
        <is>
          <t>Day8 第二战真实风险/机制/奖励三选一</t>
        </is>
      </c>
    </row>
    <row r="51" ht="21" customHeight="1" s="439">
      <c r="A51" t="inlineStr">
        <is>
          <t>d09_node_1</t>
        </is>
      </c>
      <c r="B51" t="inlineStr">
        <is>
          <t>9</t>
        </is>
      </c>
      <c r="C51" t="inlineStr">
        <is>
          <t>1</t>
        </is>
      </c>
      <c r="D51" t="inlineStr">
        <is>
          <t>node_choice</t>
        </is>
      </c>
      <c r="E51" t="inlineStr">
        <is>
          <t>事件节点1</t>
        </is>
      </c>
      <c r="F51" t="inlineStr">
        <is>
          <t>node_pool_d09_growth</t>
        </is>
      </c>
      <c r="G51" t="inlineStr">
        <is>
          <t>3</t>
        </is>
      </c>
      <c r="K51" t="inlineStr">
        <is>
          <t>正式</t>
        </is>
      </c>
      <c r="L51" t="inlineStr">
        <is>
          <t>Day9 第1个 3 选 1 事件/节点</t>
        </is>
      </c>
    </row>
    <row r="52" ht="21" customHeight="1" s="439">
      <c r="A52" t="inlineStr">
        <is>
          <t>d09_node_2</t>
        </is>
      </c>
      <c r="B52" t="inlineStr">
        <is>
          <t>9</t>
        </is>
      </c>
      <c r="C52" t="inlineStr">
        <is>
          <t>2</t>
        </is>
      </c>
      <c r="D52" t="inlineStr">
        <is>
          <t>node_choice</t>
        </is>
      </c>
      <c r="E52" t="inlineStr">
        <is>
          <t>事件节点2</t>
        </is>
      </c>
      <c r="F52" t="inlineStr">
        <is>
          <t>node_pool_d09_growth</t>
        </is>
      </c>
      <c r="G52" t="inlineStr">
        <is>
          <t>3</t>
        </is>
      </c>
      <c r="K52" t="inlineStr">
        <is>
          <t>正式</t>
        </is>
      </c>
      <c r="L52" t="inlineStr">
        <is>
          <t>Day9 第2个 3 选 1 事件/节点</t>
        </is>
      </c>
    </row>
    <row r="53" ht="21" customHeight="1" s="439">
      <c r="A53" t="inlineStr">
        <is>
          <t>d09_morning_choice</t>
        </is>
      </c>
      <c r="B53" t="n">
        <v>9</v>
      </c>
      <c r="C53" t="n">
        <v>3</v>
      </c>
      <c r="D53" t="inlineStr">
        <is>
          <t>battle_choice</t>
        </is>
      </c>
      <c r="E53" t="inlineStr">
        <is>
          <t>第一场遭遇</t>
        </is>
      </c>
      <c r="G53" t="n">
        <v>3</v>
      </c>
      <c r="H53" t="inlineStr">
        <is>
          <t>enc_pool_d09_midday</t>
        </is>
      </c>
      <c r="J53" t="inlineStr">
        <is>
          <t>终局备战</t>
        </is>
      </c>
      <c r="K53" t="inlineStr">
        <is>
          <t>正式</t>
        </is>
      </c>
      <c r="L53" t="inlineStr">
        <is>
          <t>Day9 终局备战风险/收益三选一</t>
        </is>
      </c>
    </row>
    <row r="54" ht="21" customHeight="1" s="439">
      <c r="A54" t="inlineStr">
        <is>
          <t>d09_node_4</t>
        </is>
      </c>
      <c r="B54" t="inlineStr">
        <is>
          <t>9</t>
        </is>
      </c>
      <c r="C54" t="inlineStr">
        <is>
          <t>4</t>
        </is>
      </c>
      <c r="D54" t="inlineStr">
        <is>
          <t>node_choice</t>
        </is>
      </c>
      <c r="E54" t="inlineStr">
        <is>
          <t>事件节点3</t>
        </is>
      </c>
      <c r="F54" t="inlineStr">
        <is>
          <t>node_pool_d09_growth</t>
        </is>
      </c>
      <c r="G54" t="inlineStr">
        <is>
          <t>3</t>
        </is>
      </c>
      <c r="K54" t="inlineStr">
        <is>
          <t>正式</t>
        </is>
      </c>
      <c r="L54" t="inlineStr">
        <is>
          <t>Day9 第3个 3 选 1 事件/节点</t>
        </is>
      </c>
    </row>
    <row r="55" ht="21" customHeight="1" s="439">
      <c r="A55" t="inlineStr">
        <is>
          <t>d09_node_5</t>
        </is>
      </c>
      <c r="B55" t="inlineStr">
        <is>
          <t>9</t>
        </is>
      </c>
      <c r="C55" t="inlineStr">
        <is>
          <t>5</t>
        </is>
      </c>
      <c r="D55" t="inlineStr">
        <is>
          <t>node_choice</t>
        </is>
      </c>
      <c r="E55" t="inlineStr">
        <is>
          <t>事件节点4</t>
        </is>
      </c>
      <c r="F55" t="inlineStr">
        <is>
          <t>node_pool_d09_growth</t>
        </is>
      </c>
      <c r="G55" t="inlineStr">
        <is>
          <t>3</t>
        </is>
      </c>
      <c r="K55" t="inlineStr">
        <is>
          <t>正式</t>
        </is>
      </c>
      <c r="L55" t="inlineStr">
        <is>
          <t>Day9 第4个 3 选 1 事件/节点</t>
        </is>
      </c>
    </row>
    <row r="56" ht="21" customHeight="1" s="439">
      <c r="A56" t="inlineStr">
        <is>
          <t>d09_evening_choice</t>
        </is>
      </c>
      <c r="B56" t="n">
        <v>9</v>
      </c>
      <c r="C56" t="n">
        <v>6</v>
      </c>
      <c r="D56" t="inlineStr">
        <is>
          <t>battle_choice</t>
        </is>
      </c>
      <c r="E56" t="inlineStr">
        <is>
          <t>第二场遭遇</t>
        </is>
      </c>
      <c r="G56" t="n">
        <v>3</v>
      </c>
      <c r="H56" t="inlineStr">
        <is>
          <t>enc_pool_d09_evening</t>
        </is>
      </c>
      <c r="J56" t="inlineStr">
        <is>
          <t>决胜前夜</t>
        </is>
      </c>
      <c r="K56" t="inlineStr">
        <is>
          <t>正式</t>
        </is>
      </c>
      <c r="L56" t="inlineStr">
        <is>
          <t>Day9 第二战真实风险/机制/奖励三选一</t>
        </is>
      </c>
    </row>
    <row r="57" ht="21" customHeight="1" s="439">
      <c r="A57" t="inlineStr">
        <is>
          <t>d10_node_1</t>
        </is>
      </c>
      <c r="B57" t="inlineStr">
        <is>
          <t>10</t>
        </is>
      </c>
      <c r="C57" t="inlineStr">
        <is>
          <t>1</t>
        </is>
      </c>
      <c r="D57" t="inlineStr">
        <is>
          <t>node_choice</t>
        </is>
      </c>
      <c r="E57" t="inlineStr">
        <is>
          <t>事件节点1</t>
        </is>
      </c>
      <c r="F57" t="inlineStr">
        <is>
          <t>node_pool_d10_growth</t>
        </is>
      </c>
      <c r="G57" t="inlineStr">
        <is>
          <t>3</t>
        </is>
      </c>
      <c r="K57" t="inlineStr">
        <is>
          <t>正式</t>
        </is>
      </c>
      <c r="L57" t="inlineStr">
        <is>
          <t>Day10 第1个 3 选 1 事件/节点</t>
        </is>
      </c>
    </row>
    <row r="58" ht="21" customHeight="1" s="439">
      <c r="A58" t="inlineStr">
        <is>
          <t>d10_node_2</t>
        </is>
      </c>
      <c r="B58" t="inlineStr">
        <is>
          <t>10</t>
        </is>
      </c>
      <c r="C58" t="inlineStr">
        <is>
          <t>2</t>
        </is>
      </c>
      <c r="D58" t="inlineStr">
        <is>
          <t>node_choice</t>
        </is>
      </c>
      <c r="E58" t="inlineStr">
        <is>
          <t>事件节点2</t>
        </is>
      </c>
      <c r="F58" t="inlineStr">
        <is>
          <t>node_pool_d10_growth</t>
        </is>
      </c>
      <c r="G58" t="inlineStr">
        <is>
          <t>3</t>
        </is>
      </c>
      <c r="K58" t="inlineStr">
        <is>
          <t>正式</t>
        </is>
      </c>
      <c r="L58" t="inlineStr">
        <is>
          <t>Day10 第2个 3 选 1 事件/节点</t>
        </is>
      </c>
    </row>
    <row r="59" ht="21" customHeight="1" s="439">
      <c r="A59" t="inlineStr">
        <is>
          <t>d10_morning_choice</t>
        </is>
      </c>
      <c r="B59" t="n">
        <v>10</v>
      </c>
      <c r="C59" t="n">
        <v>3</v>
      </c>
      <c r="D59" t="inlineStr">
        <is>
          <t>battle_choice</t>
        </is>
      </c>
      <c r="E59" t="inlineStr">
        <is>
          <t>第一场遭遇</t>
        </is>
      </c>
      <c r="G59" t="n">
        <v>3</v>
      </c>
      <c r="H59" t="inlineStr">
        <is>
          <t>enc_pool_d10_midday</t>
        </is>
      </c>
      <c r="J59" t="inlineStr">
        <is>
          <t>终战前试炼</t>
        </is>
      </c>
      <c r="K59" t="inlineStr">
        <is>
          <t>正式</t>
        </is>
      </c>
      <c r="L59" t="inlineStr">
        <is>
          <t>Day10 首战真实风险/机制/奖励三选一</t>
        </is>
      </c>
    </row>
    <row r="60" ht="21" customHeight="1" s="439">
      <c r="A60" t="inlineStr">
        <is>
          <t>d10_node_4</t>
        </is>
      </c>
      <c r="B60" t="inlineStr">
        <is>
          <t>10</t>
        </is>
      </c>
      <c r="C60" t="inlineStr">
        <is>
          <t>4</t>
        </is>
      </c>
      <c r="D60" t="inlineStr">
        <is>
          <t>node_choice</t>
        </is>
      </c>
      <c r="E60" t="inlineStr">
        <is>
          <t>事件节点3</t>
        </is>
      </c>
      <c r="F60" t="inlineStr">
        <is>
          <t>node_pool_d10_growth</t>
        </is>
      </c>
      <c r="G60" t="inlineStr">
        <is>
          <t>3</t>
        </is>
      </c>
      <c r="K60" t="inlineStr">
        <is>
          <t>正式</t>
        </is>
      </c>
      <c r="L60" t="inlineStr">
        <is>
          <t>Day10 第3个 3 选 1 事件/节点</t>
        </is>
      </c>
    </row>
    <row r="61" ht="21" customHeight="1" s="439">
      <c r="A61" t="inlineStr">
        <is>
          <t>d10_node_5</t>
        </is>
      </c>
      <c r="B61" t="inlineStr">
        <is>
          <t>10</t>
        </is>
      </c>
      <c r="C61" t="inlineStr">
        <is>
          <t>5</t>
        </is>
      </c>
      <c r="D61" t="inlineStr">
        <is>
          <t>node_choice</t>
        </is>
      </c>
      <c r="E61" t="inlineStr">
        <is>
          <t>事件节点4</t>
        </is>
      </c>
      <c r="F61" t="inlineStr">
        <is>
          <t>node_pool_d10_growth</t>
        </is>
      </c>
      <c r="G61" t="inlineStr">
        <is>
          <t>3</t>
        </is>
      </c>
      <c r="K61" t="inlineStr">
        <is>
          <t>正式</t>
        </is>
      </c>
      <c r="L61" t="inlineStr">
        <is>
          <t>Day10 第4个 3 选 1 事件/节点</t>
        </is>
      </c>
    </row>
    <row r="62" ht="21" customHeight="1" s="439">
      <c r="A62" t="inlineStr">
        <is>
          <t>d10_final_choice</t>
        </is>
      </c>
      <c r="B62" t="n">
        <v>10</v>
      </c>
      <c r="C62" t="n">
        <v>6</v>
      </c>
      <c r="D62" t="inlineStr">
        <is>
          <t>battle_choice</t>
        </is>
      </c>
      <c r="E62" t="inlineStr">
        <is>
          <t>终局遭遇</t>
        </is>
      </c>
      <c r="G62" t="n">
        <v>3</v>
      </c>
      <c r="H62" t="inlineStr">
        <is>
          <t>enc_pool_d10_evening</t>
        </is>
      </c>
      <c r="J62" t="inlineStr">
        <is>
          <t>终局战</t>
        </is>
      </c>
      <c r="K62" t="inlineStr">
        <is>
          <t>正式</t>
        </is>
      </c>
      <c r="L62" t="inlineStr">
        <is>
          <t>Day10 第二战真实风险/机制/奖励三选一</t>
        </is>
      </c>
    </row>
    <row r="64" ht="30" customHeight="1" s="439">
      <c r="A64" t="inlineStr">
        <is>
          <t>#csv</t>
        </is>
      </c>
      <c r="B64" t="inlineStr">
        <is>
          <t>25_node_pool.csv</t>
        </is>
      </c>
      <c r="C64" t="inlineStr">
        <is>
          <t>路线节点池：商店、奖励、事件与休整候选</t>
        </is>
      </c>
    </row>
    <row r="65" ht="30" customHeight="1" s="439">
      <c r="A65" t="inlineStr">
        <is>
          <t>node_id</t>
        </is>
      </c>
      <c r="B65" t="inlineStr">
        <is>
          <t>node_pool_id</t>
        </is>
      </c>
      <c r="C65" t="inlineStr">
        <is>
          <t>name</t>
        </is>
      </c>
      <c r="D65" t="inlineStr">
        <is>
          <t>node_type</t>
        </is>
      </c>
      <c r="E65" t="inlineStr">
        <is>
          <t>weight</t>
        </is>
      </c>
      <c r="F65" t="inlineStr">
        <is>
          <t>unlock_day</t>
        </is>
      </c>
      <c r="G65" t="inlineStr">
        <is>
          <t>shop_pool_id</t>
        </is>
      </c>
      <c r="H65" t="inlineStr">
        <is>
          <t>reward_pool_id</t>
        </is>
      </c>
      <c r="I65" t="inlineStr">
        <is>
          <t>event_id</t>
        </is>
      </c>
      <c r="J65" t="inlineStr">
        <is>
          <t>slots</t>
        </is>
      </c>
      <c r="K65" t="inlineStr">
        <is>
          <t>value</t>
        </is>
      </c>
      <c r="L65" t="inlineStr">
        <is>
          <t>status</t>
        </is>
      </c>
      <c r="M65" t="inlineStr">
        <is>
          <t>note</t>
        </is>
      </c>
    </row>
    <row r="66" ht="21" customHeight="1" s="439">
      <c r="A66" t="inlineStr">
        <is>
          <t>node_event_free_roll</t>
        </is>
      </c>
      <c r="B66" t="inlineStr">
        <is>
          <t>node_pool_d01_growth</t>
        </is>
      </c>
      <c r="C66" t="inlineStr">
        <is>
          <t>免费刷新</t>
        </is>
      </c>
      <c r="D66" t="inlineStr">
        <is>
          <t>event</t>
        </is>
      </c>
      <c r="E66" t="inlineStr">
        <is>
          <t>100</t>
        </is>
      </c>
      <c r="F66" t="inlineStr">
        <is>
          <t>1</t>
        </is>
      </c>
      <c r="H66" t="inlineStr">
        <is>
          <t>reward_pT1</t>
        </is>
      </c>
      <c r="I66" t="inlineStr">
        <is>
          <t>evt_free_roll</t>
        </is>
      </c>
      <c r="K66" t="inlineStr">
        <is>
          <t>1</t>
        </is>
      </c>
      <c r="L66" t="inlineStr">
        <is>
          <t>正式</t>
        </is>
      </c>
      <c r="M66" t="inlineStr">
        <is>
          <t>获得一次免费刷新</t>
        </is>
      </c>
    </row>
    <row r="67" ht="21" customHeight="1" s="439">
      <c r="A67" t="inlineStr">
        <is>
          <t>node_reward_pet</t>
        </is>
      </c>
      <c r="B67" t="inlineStr">
        <is>
          <t>node_pool_d01_growth</t>
        </is>
      </c>
      <c r="C67" t="inlineStr">
        <is>
          <t>宠物奖励</t>
        </is>
      </c>
      <c r="D67" t="inlineStr">
        <is>
          <t>reward</t>
        </is>
      </c>
      <c r="E67" t="inlineStr">
        <is>
          <t>90</t>
        </is>
      </c>
      <c r="F67" t="inlineStr">
        <is>
          <t>1</t>
        </is>
      </c>
      <c r="H67" t="inlineStr">
        <is>
          <t>reward_pT1</t>
        </is>
      </c>
      <c r="J67" t="inlineStr">
        <is>
          <t>3</t>
        </is>
      </c>
      <c r="L67" t="inlineStr">
        <is>
          <t>正式</t>
        </is>
      </c>
      <c r="M67" t="inlineStr">
        <is>
          <t>生成 3 个 pT1 奖励候选</t>
        </is>
      </c>
    </row>
    <row r="68" ht="21" customHeight="1" s="439">
      <c r="A68" t="inlineStr">
        <is>
          <t>node_shop_basic</t>
        </is>
      </c>
      <c r="B68" t="inlineStr">
        <is>
          <t>node_pool_d01_growth</t>
        </is>
      </c>
      <c r="C68" t="inlineStr">
        <is>
          <t>夜市商人</t>
        </is>
      </c>
      <c r="D68" t="inlineStr">
        <is>
          <t>shop</t>
        </is>
      </c>
      <c r="E68" t="inlineStr">
        <is>
          <t>80</t>
        </is>
      </c>
      <c r="F68" t="inlineStr">
        <is>
          <t>1</t>
        </is>
      </c>
      <c r="G68" t="inlineStr">
        <is>
          <t>night_base</t>
        </is>
      </c>
      <c r="J68" t="inlineStr">
        <is>
          <t>6</t>
        </is>
      </c>
      <c r="L68" t="inlineStr">
        <is>
          <t>正式</t>
        </is>
      </c>
      <c r="M68" t="inlineStr">
        <is>
          <t>进入基础夜市商店</t>
        </is>
      </c>
    </row>
    <row r="69" ht="21" customHeight="1" s="439">
      <c r="A69" t="inlineStr">
        <is>
          <t>node_event_discount</t>
        </is>
      </c>
      <c r="B69" t="inlineStr">
        <is>
          <t>node_pool_d01_growth</t>
        </is>
      </c>
      <c r="C69" t="inlineStr">
        <is>
          <t>折扣摊位</t>
        </is>
      </c>
      <c r="D69" t="inlineStr">
        <is>
          <t>event</t>
        </is>
      </c>
      <c r="E69" t="inlineStr">
        <is>
          <t>70</t>
        </is>
      </c>
      <c r="F69" t="inlineStr">
        <is>
          <t>1</t>
        </is>
      </c>
      <c r="G69" t="inlineStr">
        <is>
          <t>night_base</t>
        </is>
      </c>
      <c r="H69" t="inlineStr">
        <is>
          <t>reward_pT1</t>
        </is>
      </c>
      <c r="I69" t="inlineStr">
        <is>
          <t>evt_discount</t>
        </is>
      </c>
      <c r="K69" t="inlineStr">
        <is>
          <t>50</t>
        </is>
      </c>
      <c r="L69" t="inlineStr">
        <is>
          <t>正式</t>
        </is>
      </c>
      <c r="M69" t="inlineStr">
        <is>
          <t>下一件商品半价</t>
        </is>
      </c>
    </row>
    <row r="70" ht="21" customHeight="1" s="439">
      <c r="A70" t="inlineStr">
        <is>
          <t>node_shop_fire</t>
        </is>
      </c>
      <c r="B70" t="inlineStr">
        <is>
          <t>node_pool_d01_growth</t>
        </is>
      </c>
      <c r="C70" t="inlineStr">
        <is>
          <t>火系补货商人</t>
        </is>
      </c>
      <c r="D70" t="inlineStr">
        <is>
          <t>shop</t>
        </is>
      </c>
      <c r="E70" t="inlineStr">
        <is>
          <t>60</t>
        </is>
      </c>
      <c r="F70" t="inlineStr">
        <is>
          <t>1</t>
        </is>
      </c>
      <c r="G70" t="inlineStr">
        <is>
          <t>elem_火</t>
        </is>
      </c>
      <c r="J70" t="inlineStr">
        <is>
          <t>3</t>
        </is>
      </c>
      <c r="L70" t="inlineStr">
        <is>
          <t>正式</t>
        </is>
      </c>
      <c r="M70" t="inlineStr">
        <is>
          <t>进入火元素定向摊位</t>
        </is>
      </c>
    </row>
    <row r="71" ht="21" customHeight="1" s="439">
      <c r="A71" t="inlineStr">
        <is>
          <t>node_rest_gold</t>
        </is>
      </c>
      <c r="B71" t="inlineStr">
        <is>
          <t>node_pool_d01_growth</t>
        </is>
      </c>
      <c r="C71" t="inlineStr">
        <is>
          <t>休整补给</t>
        </is>
      </c>
      <c r="D71" t="inlineStr">
        <is>
          <t>rest</t>
        </is>
      </c>
      <c r="E71" t="inlineStr">
        <is>
          <t>50</t>
        </is>
      </c>
      <c r="F71" t="inlineStr">
        <is>
          <t>1</t>
        </is>
      </c>
      <c r="K71" t="inlineStr">
        <is>
          <t>2</t>
        </is>
      </c>
      <c r="L71" t="inlineStr">
        <is>
          <t>正式</t>
        </is>
      </c>
      <c r="M71" t="inlineStr">
        <is>
          <t>直接获得金币</t>
        </is>
      </c>
    </row>
    <row r="72" ht="21" customHeight="1" s="439">
      <c r="A72" t="inlineStr">
        <is>
          <t>node_d02_role_summon</t>
        </is>
      </c>
      <c r="B72" t="inlineStr">
        <is>
          <t>node_pool_d02_growth</t>
        </is>
      </c>
      <c r="C72" t="inlineStr">
        <is>
          <t>召唤摊位</t>
        </is>
      </c>
      <c r="D72" t="inlineStr">
        <is>
          <t>shop</t>
        </is>
      </c>
      <c r="E72" t="inlineStr">
        <is>
          <t>100</t>
        </is>
      </c>
      <c r="F72" t="inlineStr">
        <is>
          <t>2</t>
        </is>
      </c>
      <c r="G72" t="inlineStr">
        <is>
          <t>role_召唤</t>
        </is>
      </c>
      <c r="J72" t="inlineStr">
        <is>
          <t>4</t>
        </is>
      </c>
      <c r="L72" t="inlineStr">
        <is>
          <t>正式</t>
        </is>
      </c>
      <c r="M72" t="inlineStr">
        <is>
          <t>进入召唤标签摊位</t>
        </is>
      </c>
    </row>
    <row r="73" ht="21" customHeight="1" s="439">
      <c r="A73" t="inlineStr">
        <is>
          <t>node_d02_role_tank</t>
        </is>
      </c>
      <c r="B73" t="inlineStr">
        <is>
          <t>node_pool_d02_growth</t>
        </is>
      </c>
      <c r="C73" t="inlineStr">
        <is>
          <t>前排摊位</t>
        </is>
      </c>
      <c r="D73" t="inlineStr">
        <is>
          <t>shop</t>
        </is>
      </c>
      <c r="E73" t="inlineStr">
        <is>
          <t>90</t>
        </is>
      </c>
      <c r="F73" t="inlineStr">
        <is>
          <t>2</t>
        </is>
      </c>
      <c r="G73" t="inlineStr">
        <is>
          <t>role_坦克</t>
        </is>
      </c>
      <c r="J73" t="inlineStr">
        <is>
          <t>4</t>
        </is>
      </c>
      <c r="L73" t="inlineStr">
        <is>
          <t>正式</t>
        </is>
      </c>
      <c r="M73" t="inlineStr">
        <is>
          <t>进入坦克标签摊位</t>
        </is>
      </c>
    </row>
    <row r="74" ht="21" customHeight="1" s="439">
      <c r="A74" t="inlineStr">
        <is>
          <t>node_d02_reward_pet</t>
        </is>
      </c>
      <c r="B74" t="inlineStr">
        <is>
          <t>node_pool_d02_growth</t>
        </is>
      </c>
      <c r="C74" t="inlineStr">
        <is>
          <t>宠物奖励</t>
        </is>
      </c>
      <c r="D74" t="inlineStr">
        <is>
          <t>reward</t>
        </is>
      </c>
      <c r="E74" t="inlineStr">
        <is>
          <t>80</t>
        </is>
      </c>
      <c r="F74" t="inlineStr">
        <is>
          <t>2</t>
        </is>
      </c>
      <c r="H74" t="inlineStr">
        <is>
          <t>reward_pT1</t>
        </is>
      </c>
      <c r="J74" t="inlineStr">
        <is>
          <t>3</t>
        </is>
      </c>
      <c r="L74" t="inlineStr">
        <is>
          <t>正式</t>
        </is>
      </c>
      <c r="M74" t="inlineStr">
        <is>
          <t>生成 3 个 pT1 奖励候选</t>
        </is>
      </c>
    </row>
    <row r="75" ht="21" customHeight="1" s="439">
      <c r="A75" t="inlineStr">
        <is>
          <t>node_d02_event_summon</t>
        </is>
      </c>
      <c r="B75" t="inlineStr">
        <is>
          <t>node_pool_d02_growth</t>
        </is>
      </c>
      <c r="C75" t="inlineStr">
        <is>
          <t>召唤补强</t>
        </is>
      </c>
      <c r="D75" t="inlineStr">
        <is>
          <t>event</t>
        </is>
      </c>
      <c r="E75" t="inlineStr">
        <is>
          <t>70</t>
        </is>
      </c>
      <c r="F75" t="inlineStr">
        <is>
          <t>2</t>
        </is>
      </c>
      <c r="G75" t="inlineStr">
        <is>
          <t>role_召唤</t>
        </is>
      </c>
      <c r="H75" t="inlineStr">
        <is>
          <t>reward_summon</t>
        </is>
      </c>
      <c r="I75" t="inlineStr">
        <is>
          <t>evt_role_summon</t>
        </is>
      </c>
      <c r="K75" t="inlineStr">
        <is>
          <t>2</t>
        </is>
      </c>
      <c r="L75" t="inlineStr">
        <is>
          <t>正式</t>
        </is>
      </c>
      <c r="M75" t="inlineStr">
        <is>
          <t>获得召唤流补强机会</t>
        </is>
      </c>
    </row>
    <row r="76" ht="21" customHeight="1" s="439">
      <c r="A76" t="inlineStr">
        <is>
          <t>node_d02_shop_water</t>
        </is>
      </c>
      <c r="B76" t="inlineStr">
        <is>
          <t>node_pool_d02_growth</t>
        </is>
      </c>
      <c r="C76" t="inlineStr">
        <is>
          <t>水系补货商人</t>
        </is>
      </c>
      <c r="D76" t="inlineStr">
        <is>
          <t>shop</t>
        </is>
      </c>
      <c r="E76" t="inlineStr">
        <is>
          <t>60</t>
        </is>
      </c>
      <c r="F76" t="inlineStr">
        <is>
          <t>2</t>
        </is>
      </c>
      <c r="G76" t="inlineStr">
        <is>
          <t>elem_水</t>
        </is>
      </c>
      <c r="J76" t="inlineStr">
        <is>
          <t>3</t>
        </is>
      </c>
      <c r="L76" t="inlineStr">
        <is>
          <t>正式</t>
        </is>
      </c>
      <c r="M76" t="inlineStr">
        <is>
          <t>进入水元素定向摊位</t>
        </is>
      </c>
    </row>
    <row r="77" ht="21" customHeight="1" s="439">
      <c r="A77" t="inlineStr">
        <is>
          <t>node_d02_rest_gold</t>
        </is>
      </c>
      <c r="B77" t="inlineStr">
        <is>
          <t>node_pool_d02_growth</t>
        </is>
      </c>
      <c r="C77" t="inlineStr">
        <is>
          <t>休整补给</t>
        </is>
      </c>
      <c r="D77" t="inlineStr">
        <is>
          <t>rest</t>
        </is>
      </c>
      <c r="E77" t="inlineStr">
        <is>
          <t>50</t>
        </is>
      </c>
      <c r="F77" t="inlineStr">
        <is>
          <t>2</t>
        </is>
      </c>
      <c r="K77" t="inlineStr">
        <is>
          <t>2</t>
        </is>
      </c>
      <c r="L77" t="inlineStr">
        <is>
          <t>正式</t>
        </is>
      </c>
      <c r="M77" t="inlineStr">
        <is>
          <t>直接获得金币</t>
        </is>
      </c>
    </row>
    <row r="78" ht="21" customHeight="1" s="439">
      <c r="A78" t="inlineStr">
        <is>
          <t>node_d03_tier2_shop</t>
        </is>
      </c>
      <c r="B78" t="inlineStr">
        <is>
          <t>node_pool_d03_growth</t>
        </is>
      </c>
      <c r="C78" t="inlineStr">
        <is>
          <t>白银预备商人</t>
        </is>
      </c>
      <c r="D78" t="inlineStr">
        <is>
          <t>shop</t>
        </is>
      </c>
      <c r="E78" t="inlineStr">
        <is>
          <t>100</t>
        </is>
      </c>
      <c r="F78" t="inlineStr">
        <is>
          <t>3</t>
        </is>
      </c>
      <c r="G78" t="inlineStr">
        <is>
          <t>tier_pT2</t>
        </is>
      </c>
      <c r="J78" t="inlineStr">
        <is>
          <t>4</t>
        </is>
      </c>
      <c r="L78" t="inlineStr">
        <is>
          <t>正式</t>
        </is>
      </c>
      <c r="M78" t="inlineStr">
        <is>
          <t>进入 pT2 标签摊位</t>
        </is>
      </c>
    </row>
    <row r="79" ht="21" customHeight="1" s="439">
      <c r="A79" t="inlineStr">
        <is>
          <t>node_d03_reward_tier2</t>
        </is>
      </c>
      <c r="B79" t="inlineStr">
        <is>
          <t>node_pool_d03_growth</t>
        </is>
      </c>
      <c r="C79" t="inlineStr">
        <is>
          <t>白银奖励</t>
        </is>
      </c>
      <c r="D79" t="inlineStr">
        <is>
          <t>reward</t>
        </is>
      </c>
      <c r="E79" t="inlineStr">
        <is>
          <t>90</t>
        </is>
      </c>
      <c r="F79" t="inlineStr">
        <is>
          <t>3</t>
        </is>
      </c>
      <c r="H79" t="inlineStr">
        <is>
          <t>reward_pT2</t>
        </is>
      </c>
      <c r="J79" t="inlineStr">
        <is>
          <t>3</t>
        </is>
      </c>
      <c r="L79" t="inlineStr">
        <is>
          <t>正式</t>
        </is>
      </c>
      <c r="M79" t="inlineStr">
        <is>
          <t>生成 3 个 pT2 奖励候选</t>
        </is>
      </c>
    </row>
    <row r="80" ht="21" customHeight="1" s="439">
      <c r="A80" t="inlineStr">
        <is>
          <t>node_d03_fire_shop</t>
        </is>
      </c>
      <c r="B80" t="inlineStr">
        <is>
          <t>node_pool_d03_growth</t>
        </is>
      </c>
      <c r="C80" t="inlineStr">
        <is>
          <t>火系强化商人</t>
        </is>
      </c>
      <c r="D80" t="inlineStr">
        <is>
          <t>shop</t>
        </is>
      </c>
      <c r="E80" t="inlineStr">
        <is>
          <t>80</t>
        </is>
      </c>
      <c r="F80" t="inlineStr">
        <is>
          <t>3</t>
        </is>
      </c>
      <c r="G80" t="inlineStr">
        <is>
          <t>elem_火</t>
        </is>
      </c>
      <c r="J80" t="inlineStr">
        <is>
          <t>4</t>
        </is>
      </c>
      <c r="L80" t="inlineStr">
        <is>
          <t>正式</t>
        </is>
      </c>
      <c r="M80" t="inlineStr">
        <is>
          <t>进入火元素强化摊位</t>
        </is>
      </c>
    </row>
    <row r="81" ht="21" customHeight="1" s="439">
      <c r="A81" t="inlineStr">
        <is>
          <t>node_d03_event_duplicate</t>
        </is>
      </c>
      <c r="B81" t="inlineStr">
        <is>
          <t>node_pool_d03_growth</t>
        </is>
      </c>
      <c r="C81" t="inlineStr">
        <is>
          <t>同名复制商人</t>
        </is>
      </c>
      <c r="D81" t="inlineStr">
        <is>
          <t>event</t>
        </is>
      </c>
      <c r="E81" t="inlineStr">
        <is>
          <t>75</t>
        </is>
      </c>
      <c r="F81" t="inlineStr">
        <is>
          <t>3</t>
        </is>
      </c>
      <c r="G81" t="inlineStr">
        <is>
          <t>special_merchant</t>
        </is>
      </c>
      <c r="H81" t="inlineStr">
        <is>
          <t>reward_pT2</t>
        </is>
      </c>
      <c r="I81" t="inlineStr">
        <is>
          <t>evt_duplicate</t>
        </is>
      </c>
      <c r="K81" t="inlineStr">
        <is>
          <t>1</t>
        </is>
      </c>
      <c r="L81" t="inlineStr">
        <is>
          <t>正式</t>
        </is>
      </c>
      <c r="M81" t="inlineStr">
        <is>
          <t>复制一个已拥有宠物</t>
        </is>
      </c>
    </row>
    <row r="82" ht="21" customHeight="1" s="439">
      <c r="A82" t="inlineStr">
        <is>
          <t>node_d03_summon_shop</t>
        </is>
      </c>
      <c r="B82" t="inlineStr">
        <is>
          <t>node_pool_d03_growth</t>
        </is>
      </c>
      <c r="C82" t="inlineStr">
        <is>
          <t>召唤强化商人</t>
        </is>
      </c>
      <c r="D82" t="inlineStr">
        <is>
          <t>shop</t>
        </is>
      </c>
      <c r="E82" t="inlineStr">
        <is>
          <t>70</t>
        </is>
      </c>
      <c r="F82" t="inlineStr">
        <is>
          <t>3</t>
        </is>
      </c>
      <c r="G82" t="inlineStr">
        <is>
          <t>role_召唤</t>
        </is>
      </c>
      <c r="J82" t="inlineStr">
        <is>
          <t>4</t>
        </is>
      </c>
      <c r="L82" t="inlineStr">
        <is>
          <t>正式</t>
        </is>
      </c>
      <c r="M82" t="inlineStr">
        <is>
          <t>进入召唤标签摊位</t>
        </is>
      </c>
    </row>
    <row r="83" ht="21" customHeight="1" s="439">
      <c r="A83" t="inlineStr">
        <is>
          <t>node_d03_event_discount</t>
        </is>
      </c>
      <c r="B83" t="inlineStr">
        <is>
          <t>node_pool_d03_growth</t>
        </is>
      </c>
      <c r="C83" t="inlineStr">
        <is>
          <t>折扣摊位</t>
        </is>
      </c>
      <c r="D83" t="inlineStr">
        <is>
          <t>event</t>
        </is>
      </c>
      <c r="E83" t="inlineStr">
        <is>
          <t>60</t>
        </is>
      </c>
      <c r="F83" t="inlineStr">
        <is>
          <t>3</t>
        </is>
      </c>
      <c r="G83" t="inlineStr">
        <is>
          <t>night_base</t>
        </is>
      </c>
      <c r="H83" t="inlineStr">
        <is>
          <t>reward_pT2</t>
        </is>
      </c>
      <c r="I83" t="inlineStr">
        <is>
          <t>evt_discount</t>
        </is>
      </c>
      <c r="K83" t="inlineStr">
        <is>
          <t>50</t>
        </is>
      </c>
      <c r="L83" t="inlineStr">
        <is>
          <t>正式</t>
        </is>
      </c>
      <c r="M83" t="inlineStr">
        <is>
          <t>下一件商品半价</t>
        </is>
      </c>
    </row>
    <row r="84" ht="21" customHeight="1" s="439">
      <c r="A84" t="inlineStr">
        <is>
          <t>node_d03_rest_gold</t>
        </is>
      </c>
      <c r="B84" t="inlineStr">
        <is>
          <t>node_pool_d03_growth</t>
        </is>
      </c>
      <c r="C84" t="inlineStr">
        <is>
          <t>休整补给</t>
        </is>
      </c>
      <c r="D84" t="inlineStr">
        <is>
          <t>rest</t>
        </is>
      </c>
      <c r="E84" t="inlineStr">
        <is>
          <t>50</t>
        </is>
      </c>
      <c r="F84" t="inlineStr">
        <is>
          <t>3</t>
        </is>
      </c>
      <c r="K84" t="inlineStr">
        <is>
          <t>3</t>
        </is>
      </c>
      <c r="L84" t="inlineStr">
        <is>
          <t>正式</t>
        </is>
      </c>
      <c r="M84" t="inlineStr">
        <is>
          <t>直接获得金币</t>
        </is>
      </c>
    </row>
    <row r="85" ht="21" customHeight="1" s="439">
      <c r="A85" t="inlineStr">
        <is>
          <t>node_d04_tier2_shop</t>
        </is>
      </c>
      <c r="B85" t="inlineStr">
        <is>
          <t>node_pool_d04_growth</t>
        </is>
      </c>
      <c r="C85" t="inlineStr">
        <is>
          <t>白银商会</t>
        </is>
      </c>
      <c r="D85" t="inlineStr">
        <is>
          <t>shop</t>
        </is>
      </c>
      <c r="E85" t="inlineStr">
        <is>
          <t>100</t>
        </is>
      </c>
      <c r="F85" t="inlineStr">
        <is>
          <t>4</t>
        </is>
      </c>
      <c r="G85" t="inlineStr">
        <is>
          <t>tier_pT2</t>
        </is>
      </c>
      <c r="J85" t="inlineStr">
        <is>
          <t>4</t>
        </is>
      </c>
      <c r="L85" t="inlineStr">
        <is>
          <t>正式</t>
        </is>
      </c>
      <c r="M85" t="inlineStr">
        <is>
          <t>进入 pT2 标签摊位</t>
        </is>
      </c>
    </row>
    <row r="86" ht="21" customHeight="1" s="439">
      <c r="A86" t="inlineStr">
        <is>
          <t>node_d04_reward_tier2</t>
        </is>
      </c>
      <c r="B86" t="inlineStr">
        <is>
          <t>node_pool_d04_growth</t>
        </is>
      </c>
      <c r="C86" t="inlineStr">
        <is>
          <t>白银奖励</t>
        </is>
      </c>
      <c r="D86" t="inlineStr">
        <is>
          <t>reward</t>
        </is>
      </c>
      <c r="E86" t="inlineStr">
        <is>
          <t>90</t>
        </is>
      </c>
      <c r="F86" t="inlineStr">
        <is>
          <t>4</t>
        </is>
      </c>
      <c r="H86" t="inlineStr">
        <is>
          <t>reward_pT2</t>
        </is>
      </c>
      <c r="J86" t="inlineStr">
        <is>
          <t>3</t>
        </is>
      </c>
      <c r="L86" t="inlineStr">
        <is>
          <t>正式</t>
        </is>
      </c>
      <c r="M86" t="inlineStr">
        <is>
          <t>生成 3 个 pT2 奖励候选</t>
        </is>
      </c>
    </row>
    <row r="87" ht="21" customHeight="1" s="439">
      <c r="A87" t="inlineStr">
        <is>
          <t>node_d04_wind_shop</t>
        </is>
      </c>
      <c r="B87" t="inlineStr">
        <is>
          <t>node_pool_d04_growth</t>
        </is>
      </c>
      <c r="C87" t="inlineStr">
        <is>
          <t>雷系补货商人</t>
        </is>
      </c>
      <c r="D87" t="inlineStr">
        <is>
          <t>shop</t>
        </is>
      </c>
      <c r="E87" t="inlineStr">
        <is>
          <t>80</t>
        </is>
      </c>
      <c r="F87" t="inlineStr">
        <is>
          <t>4</t>
        </is>
      </c>
      <c r="G87" t="inlineStr">
        <is>
          <t>elem_雷</t>
        </is>
      </c>
      <c r="J87" t="inlineStr">
        <is>
          <t>4</t>
        </is>
      </c>
      <c r="L87" t="inlineStr">
        <is>
          <t>正式</t>
        </is>
      </c>
      <c r="M87" t="inlineStr">
        <is>
          <t>进入雷元素定向摊位（兼容旧节点ID）</t>
        </is>
      </c>
    </row>
    <row r="88" ht="21" customHeight="1" s="439">
      <c r="A88" t="inlineStr">
        <is>
          <t>node_d04_event_upgrade</t>
        </is>
      </c>
      <c r="B88" t="inlineStr">
        <is>
          <t>node_pool_d04_growth</t>
        </is>
      </c>
      <c r="C88" t="inlineStr">
        <is>
          <t>升阶机会商人</t>
        </is>
      </c>
      <c r="D88" t="inlineStr">
        <is>
          <t>event</t>
        </is>
      </c>
      <c r="E88" t="inlineStr">
        <is>
          <t>76</t>
        </is>
      </c>
      <c r="F88" t="inlineStr">
        <is>
          <t>4</t>
        </is>
      </c>
      <c r="G88" t="inlineStr">
        <is>
          <t>special_merchant</t>
        </is>
      </c>
      <c r="H88" t="inlineStr">
        <is>
          <t>reward_pT3</t>
        </is>
      </c>
      <c r="I88" t="inlineStr">
        <is>
          <t>evt_upgrade_offer</t>
        </is>
      </c>
      <c r="K88" t="inlineStr">
        <is>
          <t>1</t>
        </is>
      </c>
      <c r="L88" t="inlineStr">
        <is>
          <t>正式</t>
        </is>
      </c>
      <c r="M88" t="inlineStr">
        <is>
          <t>提升一个已拥有宠物等级</t>
        </is>
      </c>
    </row>
    <row r="89" ht="21" customHeight="1" s="439">
      <c r="A89" t="inlineStr">
        <is>
          <t>node_d04_event_shield</t>
        </is>
      </c>
      <c r="B89" t="inlineStr">
        <is>
          <t>node_pool_d04_growth</t>
        </is>
      </c>
      <c r="C89" t="inlineStr">
        <is>
          <t>战前护盾祝福</t>
        </is>
      </c>
      <c r="D89" t="inlineStr">
        <is>
          <t>event</t>
        </is>
      </c>
      <c r="E89" t="inlineStr">
        <is>
          <t>75</t>
        </is>
      </c>
      <c r="F89" t="inlineStr">
        <is>
          <t>4</t>
        </is>
      </c>
      <c r="G89" t="inlineStr">
        <is>
          <t>role_坦克</t>
        </is>
      </c>
      <c r="H89" t="inlineStr">
        <is>
          <t>reward_tank</t>
        </is>
      </c>
      <c r="I89" t="inlineStr">
        <is>
          <t>evt_shield_bless</t>
        </is>
      </c>
      <c r="K89" t="inlineStr">
        <is>
          <t>2</t>
        </is>
      </c>
      <c r="L89" t="inlineStr">
        <is>
          <t>正式</t>
        </is>
      </c>
      <c r="M89" t="inlineStr">
        <is>
          <t>下一场战斗我方获得护盾</t>
        </is>
      </c>
    </row>
    <row r="90" ht="21" customHeight="1" s="439">
      <c r="A90" t="inlineStr">
        <is>
          <t>node_d04_control_shop</t>
        </is>
      </c>
      <c r="B90" t="inlineStr">
        <is>
          <t>node_pool_d04_growth</t>
        </is>
      </c>
      <c r="C90" t="inlineStr">
        <is>
          <t>控制补强商人</t>
        </is>
      </c>
      <c r="D90" t="inlineStr">
        <is>
          <t>shop</t>
        </is>
      </c>
      <c r="E90" t="inlineStr">
        <is>
          <t>70</t>
        </is>
      </c>
      <c r="F90" t="inlineStr">
        <is>
          <t>4</t>
        </is>
      </c>
      <c r="G90" t="inlineStr">
        <is>
          <t>role_控制</t>
        </is>
      </c>
      <c r="J90" t="inlineStr">
        <is>
          <t>4</t>
        </is>
      </c>
      <c r="L90" t="inlineStr">
        <is>
          <t>正式</t>
        </is>
      </c>
      <c r="M90" t="inlineStr">
        <is>
          <t>进入控制标签摊位</t>
        </is>
      </c>
    </row>
    <row r="91" ht="21" customHeight="1" s="439">
      <c r="A91" t="inlineStr">
        <is>
          <t>node_d04_event_wind</t>
        </is>
      </c>
      <c r="B91" t="inlineStr">
        <is>
          <t>node_pool_d04_growth</t>
        </is>
      </c>
      <c r="C91" t="inlineStr">
        <is>
          <t>雷系补货事件</t>
        </is>
      </c>
      <c r="D91" t="inlineStr">
        <is>
          <t>event</t>
        </is>
      </c>
      <c r="E91" t="inlineStr">
        <is>
          <t>60</t>
        </is>
      </c>
      <c r="F91" t="inlineStr">
        <is>
          <t>4</t>
        </is>
      </c>
      <c r="G91" t="inlineStr">
        <is>
          <t>elem_雷</t>
        </is>
      </c>
      <c r="H91" t="inlineStr">
        <is>
          <t>reward_pT2</t>
        </is>
      </c>
      <c r="I91" t="inlineStr">
        <is>
          <t>evt_shop_wind</t>
        </is>
      </c>
      <c r="K91" t="inlineStr">
        <is>
          <t>2</t>
        </is>
      </c>
      <c r="L91" t="inlineStr">
        <is>
          <t>正式</t>
        </is>
      </c>
      <c r="M91" t="inlineStr">
        <is>
          <t>刷新雷系商品位（兼容旧节点ID）</t>
        </is>
      </c>
    </row>
    <row r="92" ht="21" customHeight="1" s="439">
      <c r="A92" t="inlineStr">
        <is>
          <t>node_d04_rest_gold</t>
        </is>
      </c>
      <c r="B92" t="inlineStr">
        <is>
          <t>node_pool_d04_growth</t>
        </is>
      </c>
      <c r="C92" t="inlineStr">
        <is>
          <t>休整补给</t>
        </is>
      </c>
      <c r="D92" t="inlineStr">
        <is>
          <t>rest</t>
        </is>
      </c>
      <c r="E92" t="inlineStr">
        <is>
          <t>50</t>
        </is>
      </c>
      <c r="F92" t="inlineStr">
        <is>
          <t>4</t>
        </is>
      </c>
      <c r="K92" t="inlineStr">
        <is>
          <t>3</t>
        </is>
      </c>
      <c r="L92" t="inlineStr">
        <is>
          <t>正式</t>
        </is>
      </c>
      <c r="M92" t="inlineStr">
        <is>
          <t>直接获得金币</t>
        </is>
      </c>
    </row>
    <row r="93" ht="21" customHeight="1" s="439">
      <c r="A93" t="inlineStr">
        <is>
          <t>node_d05_tier2_shop</t>
        </is>
      </c>
      <c r="B93" t="inlineStr">
        <is>
          <t>node_pool_d05_growth</t>
        </is>
      </c>
      <c r="C93" t="inlineStr">
        <is>
          <t>白银精选商会</t>
        </is>
      </c>
      <c r="D93" t="inlineStr">
        <is>
          <t>shop</t>
        </is>
      </c>
      <c r="E93" t="inlineStr">
        <is>
          <t>100</t>
        </is>
      </c>
      <c r="F93" t="inlineStr">
        <is>
          <t>5</t>
        </is>
      </c>
      <c r="G93" t="inlineStr">
        <is>
          <t>tier_pT2</t>
        </is>
      </c>
      <c r="J93" t="inlineStr">
        <is>
          <t>5</t>
        </is>
      </c>
      <c r="L93" t="inlineStr">
        <is>
          <t>正式</t>
        </is>
      </c>
      <c r="M93" t="inlineStr">
        <is>
          <t>进入 pT2 标签摊位</t>
        </is>
      </c>
    </row>
    <row r="94" ht="21" customHeight="1" s="439">
      <c r="A94" t="inlineStr">
        <is>
          <t>node_d05_reward_tier2</t>
        </is>
      </c>
      <c r="B94" t="inlineStr">
        <is>
          <t>node_pool_d05_growth</t>
        </is>
      </c>
      <c r="C94" t="inlineStr">
        <is>
          <t>白银精选奖励</t>
        </is>
      </c>
      <c r="D94" t="inlineStr">
        <is>
          <t>reward</t>
        </is>
      </c>
      <c r="E94" t="inlineStr">
        <is>
          <t>90</t>
        </is>
      </c>
      <c r="F94" t="inlineStr">
        <is>
          <t>5</t>
        </is>
      </c>
      <c r="H94" t="inlineStr">
        <is>
          <t>reward_pT2</t>
        </is>
      </c>
      <c r="J94" t="inlineStr">
        <is>
          <t>3</t>
        </is>
      </c>
      <c r="L94" t="inlineStr">
        <is>
          <t>正式</t>
        </is>
      </c>
      <c r="M94" t="inlineStr">
        <is>
          <t>生成 3 个 pT2 奖励候选</t>
        </is>
      </c>
    </row>
    <row r="95" ht="21" customHeight="1" s="439">
      <c r="A95" t="inlineStr">
        <is>
          <t>node_d05_water_shop</t>
        </is>
      </c>
      <c r="B95" t="inlineStr">
        <is>
          <t>node_pool_d05_growth</t>
        </is>
      </c>
      <c r="C95" t="inlineStr">
        <is>
          <t>水系治疗商人</t>
        </is>
      </c>
      <c r="D95" t="inlineStr">
        <is>
          <t>shop</t>
        </is>
      </c>
      <c r="E95" t="inlineStr">
        <is>
          <t>80</t>
        </is>
      </c>
      <c r="F95" t="inlineStr">
        <is>
          <t>5</t>
        </is>
      </c>
      <c r="G95" t="inlineStr">
        <is>
          <t>elem_水</t>
        </is>
      </c>
      <c r="J95" t="inlineStr">
        <is>
          <t>4</t>
        </is>
      </c>
      <c r="L95" t="inlineStr">
        <is>
          <t>正式</t>
        </is>
      </c>
      <c r="M95" t="inlineStr">
        <is>
          <t>进入水元素定向摊位</t>
        </is>
      </c>
    </row>
    <row r="96" ht="21" customHeight="1" s="439">
      <c r="A96" t="inlineStr">
        <is>
          <t>node_d05_event_trap</t>
        </is>
      </c>
      <c r="B96" t="inlineStr">
        <is>
          <t>node_pool_d05_growth</t>
        </is>
      </c>
      <c r="C96" t="inlineStr">
        <is>
          <t>陷阱商人</t>
        </is>
      </c>
      <c r="D96" t="inlineStr">
        <is>
          <t>event</t>
        </is>
      </c>
      <c r="E96" t="inlineStr">
        <is>
          <t>75</t>
        </is>
      </c>
      <c r="F96" t="inlineStr">
        <is>
          <t>5</t>
        </is>
      </c>
      <c r="G96" t="inlineStr">
        <is>
          <t>elem_火</t>
        </is>
      </c>
      <c r="H96" t="inlineStr">
        <is>
          <t>reward_trap</t>
        </is>
      </c>
      <c r="I96" t="inlineStr">
        <is>
          <t>evt_trap_bonus</t>
        </is>
      </c>
      <c r="K96" t="inlineStr">
        <is>
          <t>1</t>
        </is>
      </c>
      <c r="L96" t="inlineStr">
        <is>
          <t>正式</t>
        </is>
      </c>
      <c r="M96" t="inlineStr">
        <is>
          <t>下一场火陷阱伤害提高</t>
        </is>
      </c>
    </row>
    <row r="97" ht="21" customHeight="1" s="439">
      <c r="A97" t="inlineStr">
        <is>
          <t>node_d05_heal_shop</t>
        </is>
      </c>
      <c r="B97" t="inlineStr">
        <is>
          <t>node_pool_d05_growth</t>
        </is>
      </c>
      <c r="C97" t="inlineStr">
        <is>
          <t>治疗补强商人</t>
        </is>
      </c>
      <c r="D97" t="inlineStr">
        <is>
          <t>shop</t>
        </is>
      </c>
      <c r="E97" t="inlineStr">
        <is>
          <t>70</t>
        </is>
      </c>
      <c r="F97" t="inlineStr">
        <is>
          <t>5</t>
        </is>
      </c>
      <c r="G97" t="inlineStr">
        <is>
          <t>role_治疗</t>
        </is>
      </c>
      <c r="J97" t="inlineStr">
        <is>
          <t>4</t>
        </is>
      </c>
      <c r="L97" t="inlineStr">
        <is>
          <t>正式</t>
        </is>
      </c>
      <c r="M97" t="inlineStr">
        <is>
          <t>进入治疗标签摊位</t>
        </is>
      </c>
    </row>
    <row r="98" ht="21" customHeight="1" s="439">
      <c r="A98" t="inlineStr">
        <is>
          <t>node_d05_event_free_roll</t>
        </is>
      </c>
      <c r="B98" t="inlineStr">
        <is>
          <t>node_pool_d05_growth</t>
        </is>
      </c>
      <c r="C98" t="inlineStr">
        <is>
          <t>免费刷新补给</t>
        </is>
      </c>
      <c r="D98" t="inlineStr">
        <is>
          <t>event</t>
        </is>
      </c>
      <c r="E98" t="inlineStr">
        <is>
          <t>60</t>
        </is>
      </c>
      <c r="F98" t="inlineStr">
        <is>
          <t>5</t>
        </is>
      </c>
      <c r="G98" t="inlineStr">
        <is>
          <t>night_base</t>
        </is>
      </c>
      <c r="H98" t="inlineStr">
        <is>
          <t>reward_pT2</t>
        </is>
      </c>
      <c r="I98" t="inlineStr">
        <is>
          <t>evt_free_roll</t>
        </is>
      </c>
      <c r="K98" t="inlineStr">
        <is>
          <t>1</t>
        </is>
      </c>
      <c r="L98" t="inlineStr">
        <is>
          <t>正式</t>
        </is>
      </c>
      <c r="M98" t="inlineStr">
        <is>
          <t>获得一次免费刷新</t>
        </is>
      </c>
    </row>
    <row r="99" ht="21" customHeight="1" s="439">
      <c r="A99" t="inlineStr">
        <is>
          <t>node_d05_rest_gold</t>
        </is>
      </c>
      <c r="B99" t="inlineStr">
        <is>
          <t>node_pool_d05_growth</t>
        </is>
      </c>
      <c r="C99" t="inlineStr">
        <is>
          <t>休整补给</t>
        </is>
      </c>
      <c r="D99" t="inlineStr">
        <is>
          <t>rest</t>
        </is>
      </c>
      <c r="E99" t="inlineStr">
        <is>
          <t>50</t>
        </is>
      </c>
      <c r="F99" t="inlineStr">
        <is>
          <t>5</t>
        </is>
      </c>
      <c r="K99" t="inlineStr">
        <is>
          <t>3</t>
        </is>
      </c>
      <c r="L99" t="inlineStr">
        <is>
          <t>正式</t>
        </is>
      </c>
      <c r="M99" t="inlineStr">
        <is>
          <t>直接获得金币</t>
        </is>
      </c>
    </row>
    <row r="100" ht="21" customHeight="1" s="439">
      <c r="A100" t="inlineStr">
        <is>
          <t>node_d06_tier3_shop</t>
        </is>
      </c>
      <c r="B100" t="inlineStr">
        <is>
          <t>node_pool_d06_growth</t>
        </is>
      </c>
      <c r="C100" t="inlineStr">
        <is>
          <t>黄金商会</t>
        </is>
      </c>
      <c r="D100" t="inlineStr">
        <is>
          <t>shop</t>
        </is>
      </c>
      <c r="E100" t="inlineStr">
        <is>
          <t>100</t>
        </is>
      </c>
      <c r="F100" t="inlineStr">
        <is>
          <t>6</t>
        </is>
      </c>
      <c r="G100" t="inlineStr">
        <is>
          <t>tier_pT3</t>
        </is>
      </c>
      <c r="J100" t="inlineStr">
        <is>
          <t>5</t>
        </is>
      </c>
      <c r="L100" t="inlineStr">
        <is>
          <t>正式</t>
        </is>
      </c>
      <c r="M100" t="inlineStr">
        <is>
          <t>进入 pT3 标签摊位</t>
        </is>
      </c>
    </row>
    <row r="101" ht="21" customHeight="1" s="439">
      <c r="A101" t="inlineStr">
        <is>
          <t>node_d06_reward_tier3</t>
        </is>
      </c>
      <c r="B101" t="inlineStr">
        <is>
          <t>node_pool_d06_growth</t>
        </is>
      </c>
      <c r="C101" t="inlineStr">
        <is>
          <t>黄金奖励</t>
        </is>
      </c>
      <c r="D101" t="inlineStr">
        <is>
          <t>reward</t>
        </is>
      </c>
      <c r="E101" t="inlineStr">
        <is>
          <t>90</t>
        </is>
      </c>
      <c r="F101" t="inlineStr">
        <is>
          <t>6</t>
        </is>
      </c>
      <c r="H101" t="inlineStr">
        <is>
          <t>reward_pT3</t>
        </is>
      </c>
      <c r="J101" t="inlineStr">
        <is>
          <t>3</t>
        </is>
      </c>
      <c r="L101" t="inlineStr">
        <is>
          <t>正式</t>
        </is>
      </c>
      <c r="M101" t="inlineStr">
        <is>
          <t>生成 3 个 pT3 奖励候选</t>
        </is>
      </c>
    </row>
    <row r="102" ht="21" customHeight="1" s="439">
      <c r="A102" t="inlineStr">
        <is>
          <t>node_d06_output_shop</t>
        </is>
      </c>
      <c r="B102" t="inlineStr">
        <is>
          <t>node_pool_d06_growth</t>
        </is>
      </c>
      <c r="C102" t="inlineStr">
        <is>
          <t>输出补强商人</t>
        </is>
      </c>
      <c r="D102" t="inlineStr">
        <is>
          <t>shop</t>
        </is>
      </c>
      <c r="E102" t="inlineStr">
        <is>
          <t>80</t>
        </is>
      </c>
      <c r="F102" t="inlineStr">
        <is>
          <t>6</t>
        </is>
      </c>
      <c r="G102" t="inlineStr">
        <is>
          <t>role_输出</t>
        </is>
      </c>
      <c r="J102" t="inlineStr">
        <is>
          <t>5</t>
        </is>
      </c>
      <c r="L102" t="inlineStr">
        <is>
          <t>正式</t>
        </is>
      </c>
      <c r="M102" t="inlineStr">
        <is>
          <t>进入输出标签摊位</t>
        </is>
      </c>
    </row>
    <row r="103" ht="21" customHeight="1" s="439">
      <c r="A103" t="inlineStr">
        <is>
          <t>node_d06_event_curse_gold</t>
        </is>
      </c>
      <c r="B103" t="inlineStr">
        <is>
          <t>node_pool_d06_growth</t>
        </is>
      </c>
      <c r="C103" t="inlineStr">
        <is>
          <t>贪婪诅咒</t>
        </is>
      </c>
      <c r="D103" t="inlineStr">
        <is>
          <t>event</t>
        </is>
      </c>
      <c r="E103" t="inlineStr">
        <is>
          <t>75</t>
        </is>
      </c>
      <c r="F103" t="inlineStr">
        <is>
          <t>6</t>
        </is>
      </c>
      <c r="G103" t="inlineStr">
        <is>
          <t>night_base</t>
        </is>
      </c>
      <c r="H103" t="inlineStr">
        <is>
          <t>reward_economy</t>
        </is>
      </c>
      <c r="I103" t="inlineStr">
        <is>
          <t>evt_curse_gold</t>
        </is>
      </c>
      <c r="K103" t="inlineStr">
        <is>
          <t>4</t>
        </is>
      </c>
      <c r="L103" t="inlineStr">
        <is>
          <t>正式</t>
        </is>
      </c>
      <c r="M103" t="inlineStr">
        <is>
          <t>立刻获得金币但下一场战斗奖励折损</t>
        </is>
      </c>
    </row>
    <row r="104" ht="21" customHeight="1" s="439">
      <c r="A104" t="inlineStr">
        <is>
          <t>node_d06_fire_shop</t>
        </is>
      </c>
      <c r="B104" t="inlineStr">
        <is>
          <t>node_pool_d06_growth</t>
        </is>
      </c>
      <c r="C104" t="inlineStr">
        <is>
          <t>火系爆发商人</t>
        </is>
      </c>
      <c r="D104" t="inlineStr">
        <is>
          <t>shop</t>
        </is>
      </c>
      <c r="E104" t="inlineStr">
        <is>
          <t>70</t>
        </is>
      </c>
      <c r="F104" t="inlineStr">
        <is>
          <t>6</t>
        </is>
      </c>
      <c r="G104" t="inlineStr">
        <is>
          <t>elem_火</t>
        </is>
      </c>
      <c r="J104" t="inlineStr">
        <is>
          <t>5</t>
        </is>
      </c>
      <c r="L104" t="inlineStr">
        <is>
          <t>正式</t>
        </is>
      </c>
      <c r="M104" t="inlineStr">
        <is>
          <t>进入火元素强化摊位</t>
        </is>
      </c>
    </row>
    <row r="105" ht="21" customHeight="1" s="439">
      <c r="A105" t="inlineStr">
        <is>
          <t>node_d06_event_discount</t>
        </is>
      </c>
      <c r="B105" t="inlineStr">
        <is>
          <t>node_pool_d06_growth</t>
        </is>
      </c>
      <c r="C105" t="inlineStr">
        <is>
          <t>精英战前折扣</t>
        </is>
      </c>
      <c r="D105" t="inlineStr">
        <is>
          <t>event</t>
        </is>
      </c>
      <c r="E105" t="inlineStr">
        <is>
          <t>60</t>
        </is>
      </c>
      <c r="F105" t="inlineStr">
        <is>
          <t>6</t>
        </is>
      </c>
      <c r="G105" t="inlineStr">
        <is>
          <t>night_base</t>
        </is>
      </c>
      <c r="H105" t="inlineStr">
        <is>
          <t>reward_pT3</t>
        </is>
      </c>
      <c r="I105" t="inlineStr">
        <is>
          <t>evt_discount</t>
        </is>
      </c>
      <c r="K105" t="inlineStr">
        <is>
          <t>50</t>
        </is>
      </c>
      <c r="L105" t="inlineStr">
        <is>
          <t>正式</t>
        </is>
      </c>
      <c r="M105" t="inlineStr">
        <is>
          <t>下一件商品半价</t>
        </is>
      </c>
    </row>
    <row r="106" ht="21" customHeight="1" s="439">
      <c r="A106" t="inlineStr">
        <is>
          <t>node_d06_rest_gold</t>
        </is>
      </c>
      <c r="B106" t="inlineStr">
        <is>
          <t>node_pool_d06_growth</t>
        </is>
      </c>
      <c r="C106" t="inlineStr">
        <is>
          <t>精英战前休整</t>
        </is>
      </c>
      <c r="D106" t="inlineStr">
        <is>
          <t>rest</t>
        </is>
      </c>
      <c r="E106" t="inlineStr">
        <is>
          <t>50</t>
        </is>
      </c>
      <c r="F106" t="inlineStr">
        <is>
          <t>6</t>
        </is>
      </c>
      <c r="K106" t="inlineStr">
        <is>
          <t>4</t>
        </is>
      </c>
      <c r="L106" t="inlineStr">
        <is>
          <t>正式</t>
        </is>
      </c>
      <c r="M106" t="inlineStr">
        <is>
          <t>直接获得金币</t>
        </is>
      </c>
    </row>
    <row r="107" ht="21" customHeight="1" s="439">
      <c r="A107" t="inlineStr">
        <is>
          <t>node_d07_tier3_shop</t>
        </is>
      </c>
      <c r="B107" t="inlineStr">
        <is>
          <t>node_pool_d07_growth</t>
        </is>
      </c>
      <c r="C107" t="inlineStr">
        <is>
          <t>黄金精选商会</t>
        </is>
      </c>
      <c r="D107" t="inlineStr">
        <is>
          <t>shop</t>
        </is>
      </c>
      <c r="E107" t="inlineStr">
        <is>
          <t>100</t>
        </is>
      </c>
      <c r="F107" t="inlineStr">
        <is>
          <t>7</t>
        </is>
      </c>
      <c r="G107" t="inlineStr">
        <is>
          <t>tier_pT3</t>
        </is>
      </c>
      <c r="J107" t="inlineStr">
        <is>
          <t>5</t>
        </is>
      </c>
      <c r="L107" t="inlineStr">
        <is>
          <t>正式</t>
        </is>
      </c>
      <c r="M107" t="inlineStr">
        <is>
          <t>进入 pT3 标签摊位</t>
        </is>
      </c>
    </row>
    <row r="108" ht="21" customHeight="1" s="439">
      <c r="A108" t="inlineStr">
        <is>
          <t>node_d07_reward_tier3</t>
        </is>
      </c>
      <c r="B108" t="inlineStr">
        <is>
          <t>node_pool_d07_growth</t>
        </is>
      </c>
      <c r="C108" t="inlineStr">
        <is>
          <t>黄金精选奖励</t>
        </is>
      </c>
      <c r="D108" t="inlineStr">
        <is>
          <t>reward</t>
        </is>
      </c>
      <c r="E108" t="inlineStr">
        <is>
          <t>90</t>
        </is>
      </c>
      <c r="F108" t="inlineStr">
        <is>
          <t>7</t>
        </is>
      </c>
      <c r="H108" t="inlineStr">
        <is>
          <t>reward_pT3</t>
        </is>
      </c>
      <c r="J108" t="inlineStr">
        <is>
          <t>3</t>
        </is>
      </c>
      <c r="L108" t="inlineStr">
        <is>
          <t>正式</t>
        </is>
      </c>
      <c r="M108" t="inlineStr">
        <is>
          <t>生成 3 个 pT3 奖励候选</t>
        </is>
      </c>
    </row>
    <row r="109" ht="21" customHeight="1" s="439">
      <c r="A109" t="inlineStr">
        <is>
          <t>node_d07_tank_shop</t>
        </is>
      </c>
      <c r="B109" t="inlineStr">
        <is>
          <t>node_pool_d07_growth</t>
        </is>
      </c>
      <c r="C109" t="inlineStr">
        <is>
          <t>前排补强商人</t>
        </is>
      </c>
      <c r="D109" t="inlineStr">
        <is>
          <t>shop</t>
        </is>
      </c>
      <c r="E109" t="inlineStr">
        <is>
          <t>80</t>
        </is>
      </c>
      <c r="F109" t="inlineStr">
        <is>
          <t>7</t>
        </is>
      </c>
      <c r="G109" t="inlineStr">
        <is>
          <t>role_坦克</t>
        </is>
      </c>
      <c r="J109" t="inlineStr">
        <is>
          <t>5</t>
        </is>
      </c>
      <c r="L109" t="inlineStr">
        <is>
          <t>正式</t>
        </is>
      </c>
      <c r="M109" t="inlineStr">
        <is>
          <t>进入坦克标签摊位</t>
        </is>
      </c>
    </row>
    <row r="110" ht="21" customHeight="1" s="439">
      <c r="A110" t="inlineStr">
        <is>
          <t>node_d07_earth_shop</t>
        </is>
      </c>
      <c r="B110" t="inlineStr">
        <is>
          <t>node_pool_d07_growth</t>
        </is>
      </c>
      <c r="C110" t="inlineStr">
        <is>
          <t>地系防线商人</t>
        </is>
      </c>
      <c r="D110" t="inlineStr">
        <is>
          <t>shop</t>
        </is>
      </c>
      <c r="E110" t="inlineStr">
        <is>
          <t>70</t>
        </is>
      </c>
      <c r="F110" t="inlineStr">
        <is>
          <t>7</t>
        </is>
      </c>
      <c r="G110" t="inlineStr">
        <is>
          <t>elem_地</t>
        </is>
      </c>
      <c r="J110" t="inlineStr">
        <is>
          <t>5</t>
        </is>
      </c>
      <c r="L110" t="inlineStr">
        <is>
          <t>正式</t>
        </is>
      </c>
      <c r="M110" t="inlineStr">
        <is>
          <t>进入地元素定向摊位（兼容旧节点ID）</t>
        </is>
      </c>
    </row>
    <row r="111" ht="21" customHeight="1" s="439">
      <c r="A111" t="inlineStr">
        <is>
          <t>node_d07_event_tank</t>
        </is>
      </c>
      <c r="B111" t="inlineStr">
        <is>
          <t>node_pool_d07_growth</t>
        </is>
      </c>
      <c r="C111" t="inlineStr">
        <is>
          <t>前排补强事件</t>
        </is>
      </c>
      <c r="D111" t="inlineStr">
        <is>
          <t>event</t>
        </is>
      </c>
      <c r="E111" t="inlineStr">
        <is>
          <t>60</t>
        </is>
      </c>
      <c r="F111" t="inlineStr">
        <is>
          <t>7</t>
        </is>
      </c>
      <c r="G111" t="inlineStr">
        <is>
          <t>role_坦克</t>
        </is>
      </c>
      <c r="H111" t="inlineStr">
        <is>
          <t>reward_pT3</t>
        </is>
      </c>
      <c r="I111" t="inlineStr">
        <is>
          <t>evt_role_tank</t>
        </is>
      </c>
      <c r="K111" t="inlineStr">
        <is>
          <t>2</t>
        </is>
      </c>
      <c r="L111" t="inlineStr">
        <is>
          <t>正式</t>
        </is>
      </c>
      <c r="M111" t="inlineStr">
        <is>
          <t>获得前排补强机会</t>
        </is>
      </c>
    </row>
    <row r="112" ht="21" customHeight="1" s="439">
      <c r="A112" t="inlineStr">
        <is>
          <t>node_d07_rest_gold</t>
        </is>
      </c>
      <c r="B112" t="inlineStr">
        <is>
          <t>node_pool_d07_growth</t>
        </is>
      </c>
      <c r="C112" t="inlineStr">
        <is>
          <t>精英战前休整</t>
        </is>
      </c>
      <c r="D112" t="inlineStr">
        <is>
          <t>rest</t>
        </is>
      </c>
      <c r="E112" t="inlineStr">
        <is>
          <t>50</t>
        </is>
      </c>
      <c r="F112" t="inlineStr">
        <is>
          <t>7</t>
        </is>
      </c>
      <c r="K112" t="inlineStr">
        <is>
          <t>4</t>
        </is>
      </c>
      <c r="L112" t="inlineStr">
        <is>
          <t>正式</t>
        </is>
      </c>
      <c r="M112" t="inlineStr">
        <is>
          <t>直接获得金币</t>
        </is>
      </c>
    </row>
    <row r="113" ht="21" customHeight="1" s="439">
      <c r="A113" t="inlineStr">
        <is>
          <t>node_d08_tier3_shop</t>
        </is>
      </c>
      <c r="B113" t="inlineStr">
        <is>
          <t>node_pool_d08_growth</t>
        </is>
      </c>
      <c r="C113" t="inlineStr">
        <is>
          <t>黄金连锁商会</t>
        </is>
      </c>
      <c r="D113" t="inlineStr">
        <is>
          <t>shop</t>
        </is>
      </c>
      <c r="E113" t="inlineStr">
        <is>
          <t>100</t>
        </is>
      </c>
      <c r="F113" t="inlineStr">
        <is>
          <t>8</t>
        </is>
      </c>
      <c r="G113" t="inlineStr">
        <is>
          <t>tier_pT3</t>
        </is>
      </c>
      <c r="J113" t="inlineStr">
        <is>
          <t>6</t>
        </is>
      </c>
      <c r="L113" t="inlineStr">
        <is>
          <t>正式</t>
        </is>
      </c>
      <c r="M113" t="inlineStr">
        <is>
          <t>进入 pT3 标签摊位</t>
        </is>
      </c>
    </row>
    <row r="114" ht="21" customHeight="1" s="439">
      <c r="A114" t="inlineStr">
        <is>
          <t>node_d08_reward_tier3</t>
        </is>
      </c>
      <c r="B114" t="inlineStr">
        <is>
          <t>node_pool_d08_growth</t>
        </is>
      </c>
      <c r="C114" t="inlineStr">
        <is>
          <t>黄金连锁奖励</t>
        </is>
      </c>
      <c r="D114" t="inlineStr">
        <is>
          <t>reward</t>
        </is>
      </c>
      <c r="E114" t="inlineStr">
        <is>
          <t>90</t>
        </is>
      </c>
      <c r="F114" t="inlineStr">
        <is>
          <t>8</t>
        </is>
      </c>
      <c r="H114" t="inlineStr">
        <is>
          <t>reward_pT3</t>
        </is>
      </c>
      <c r="J114" t="inlineStr">
        <is>
          <t>3</t>
        </is>
      </c>
      <c r="L114" t="inlineStr">
        <is>
          <t>正式</t>
        </is>
      </c>
      <c r="M114" t="inlineStr">
        <is>
          <t>生成 3 个 pT3 奖励候选</t>
        </is>
      </c>
    </row>
    <row r="115" ht="21" customHeight="1" s="439">
      <c r="A115" t="inlineStr">
        <is>
          <t>node_d08_economy_shop</t>
        </is>
      </c>
      <c r="B115" t="inlineStr">
        <is>
          <t>node_pool_d08_growth</t>
        </is>
      </c>
      <c r="C115" t="inlineStr">
        <is>
          <t>经济补强商人</t>
        </is>
      </c>
      <c r="D115" t="inlineStr">
        <is>
          <t>shop</t>
        </is>
      </c>
      <c r="E115" t="inlineStr">
        <is>
          <t>80</t>
        </is>
      </c>
      <c r="F115" t="inlineStr">
        <is>
          <t>8</t>
        </is>
      </c>
      <c r="G115" t="inlineStr">
        <is>
          <t>role_经济</t>
        </is>
      </c>
      <c r="J115" t="inlineStr">
        <is>
          <t>5</t>
        </is>
      </c>
      <c r="L115" t="inlineStr">
        <is>
          <t>正式</t>
        </is>
      </c>
      <c r="M115" t="inlineStr">
        <is>
          <t>进入经济标签摊位</t>
        </is>
      </c>
    </row>
    <row r="116" ht="21" customHeight="1" s="439">
      <c r="A116" t="inlineStr">
        <is>
          <t>node_d08_wind_shop</t>
        </is>
      </c>
      <c r="B116" t="inlineStr">
        <is>
          <t>node_pool_d08_growth</t>
        </is>
      </c>
      <c r="C116" t="inlineStr">
        <is>
          <t>雷系连锁商人</t>
        </is>
      </c>
      <c r="D116" t="inlineStr">
        <is>
          <t>shop</t>
        </is>
      </c>
      <c r="E116" t="inlineStr">
        <is>
          <t>70</t>
        </is>
      </c>
      <c r="F116" t="inlineStr">
        <is>
          <t>8</t>
        </is>
      </c>
      <c r="G116" t="inlineStr">
        <is>
          <t>elem_雷</t>
        </is>
      </c>
      <c r="J116" t="inlineStr">
        <is>
          <t>5</t>
        </is>
      </c>
      <c r="L116" t="inlineStr">
        <is>
          <t>正式</t>
        </is>
      </c>
      <c r="M116" t="inlineStr">
        <is>
          <t>进入雷元素定向摊位（兼容旧节点ID）</t>
        </is>
      </c>
    </row>
    <row r="117" ht="21" customHeight="1" s="439">
      <c r="A117" t="inlineStr">
        <is>
          <t>node_d08_event_wind</t>
        </is>
      </c>
      <c r="B117" t="inlineStr">
        <is>
          <t>node_pool_d08_growth</t>
        </is>
      </c>
      <c r="C117" t="inlineStr">
        <is>
          <t>雷系连锁事件</t>
        </is>
      </c>
      <c r="D117" t="inlineStr">
        <is>
          <t>event</t>
        </is>
      </c>
      <c r="E117" t="inlineStr">
        <is>
          <t>60</t>
        </is>
      </c>
      <c r="F117" t="inlineStr">
        <is>
          <t>8</t>
        </is>
      </c>
      <c r="G117" t="inlineStr">
        <is>
          <t>elem_雷</t>
        </is>
      </c>
      <c r="H117" t="inlineStr">
        <is>
          <t>reward_pT3</t>
        </is>
      </c>
      <c r="I117" t="inlineStr">
        <is>
          <t>evt_shop_wind</t>
        </is>
      </c>
      <c r="K117" t="inlineStr">
        <is>
          <t>2</t>
        </is>
      </c>
      <c r="L117" t="inlineStr">
        <is>
          <t>正式</t>
        </is>
      </c>
      <c r="M117" t="inlineStr">
        <is>
          <t>刷新雷系商品位（兼容旧节点ID）</t>
        </is>
      </c>
    </row>
    <row r="118" ht="21" customHeight="1" s="439">
      <c r="A118" t="inlineStr">
        <is>
          <t>node_d08_rest_gold</t>
        </is>
      </c>
      <c r="B118" t="inlineStr">
        <is>
          <t>node_pool_d08_growth</t>
        </is>
      </c>
      <c r="C118" t="inlineStr">
        <is>
          <t>精英战前休整</t>
        </is>
      </c>
      <c r="D118" t="inlineStr">
        <is>
          <t>rest</t>
        </is>
      </c>
      <c r="E118" t="inlineStr">
        <is>
          <t>50</t>
        </is>
      </c>
      <c r="F118" t="inlineStr">
        <is>
          <t>8</t>
        </is>
      </c>
      <c r="K118" t="inlineStr">
        <is>
          <t>4</t>
        </is>
      </c>
      <c r="L118" t="inlineStr">
        <is>
          <t>正式</t>
        </is>
      </c>
      <c r="M118" t="inlineStr">
        <is>
          <t>直接获得金币</t>
        </is>
      </c>
    </row>
    <row r="119" ht="21" customHeight="1" s="439">
      <c r="A119" t="inlineStr">
        <is>
          <t>node_d09_tier3_shop</t>
        </is>
      </c>
      <c r="B119" t="inlineStr">
        <is>
          <t>node_pool_d09_growth</t>
        </is>
      </c>
      <c r="C119" t="inlineStr">
        <is>
          <t>终局前黄金商会</t>
        </is>
      </c>
      <c r="D119" t="inlineStr">
        <is>
          <t>shop</t>
        </is>
      </c>
      <c r="E119" t="inlineStr">
        <is>
          <t>100</t>
        </is>
      </c>
      <c r="F119" t="inlineStr">
        <is>
          <t>9</t>
        </is>
      </c>
      <c r="G119" t="inlineStr">
        <is>
          <t>tier_pT3</t>
        </is>
      </c>
      <c r="J119" t="inlineStr">
        <is>
          <t>6</t>
        </is>
      </c>
      <c r="L119" t="inlineStr">
        <is>
          <t>正式</t>
        </is>
      </c>
      <c r="M119" t="inlineStr">
        <is>
          <t>进入 pT3 标签摊位</t>
        </is>
      </c>
    </row>
    <row r="120" ht="21" customHeight="1" s="439">
      <c r="A120" t="inlineStr">
        <is>
          <t>node_d09_reward_tier3</t>
        </is>
      </c>
      <c r="B120" t="inlineStr">
        <is>
          <t>node_pool_d09_growth</t>
        </is>
      </c>
      <c r="C120" t="inlineStr">
        <is>
          <t>终局前黄金奖励</t>
        </is>
      </c>
      <c r="D120" t="inlineStr">
        <is>
          <t>reward</t>
        </is>
      </c>
      <c r="E120" t="inlineStr">
        <is>
          <t>90</t>
        </is>
      </c>
      <c r="F120" t="inlineStr">
        <is>
          <t>9</t>
        </is>
      </c>
      <c r="H120" t="inlineStr">
        <is>
          <t>reward_pT3</t>
        </is>
      </c>
      <c r="J120" t="inlineStr">
        <is>
          <t>3</t>
        </is>
      </c>
      <c r="L120" t="inlineStr">
        <is>
          <t>正式</t>
        </is>
      </c>
      <c r="M120" t="inlineStr">
        <is>
          <t>生成 3 个 pT3 奖励候选</t>
        </is>
      </c>
    </row>
    <row r="121" ht="21" customHeight="1" s="439">
      <c r="A121" t="inlineStr">
        <is>
          <t>node_d09_summon_shop</t>
        </is>
      </c>
      <c r="B121" t="inlineStr">
        <is>
          <t>node_pool_d09_growth</t>
        </is>
      </c>
      <c r="C121" t="inlineStr">
        <is>
          <t>召唤终局商人</t>
        </is>
      </c>
      <c r="D121" t="inlineStr">
        <is>
          <t>shop</t>
        </is>
      </c>
      <c r="E121" t="inlineStr">
        <is>
          <t>80</t>
        </is>
      </c>
      <c r="F121" t="inlineStr">
        <is>
          <t>9</t>
        </is>
      </c>
      <c r="G121" t="inlineStr">
        <is>
          <t>role_召唤</t>
        </is>
      </c>
      <c r="J121" t="inlineStr">
        <is>
          <t>5</t>
        </is>
      </c>
      <c r="L121" t="inlineStr">
        <is>
          <t>正式</t>
        </is>
      </c>
      <c r="M121" t="inlineStr">
        <is>
          <t>进入召唤标签摊位</t>
        </is>
      </c>
    </row>
    <row r="122" ht="21" customHeight="1" s="439">
      <c r="A122" t="inlineStr">
        <is>
          <t>node_d09_fire_shop</t>
        </is>
      </c>
      <c r="B122" t="inlineStr">
        <is>
          <t>node_pool_d09_growth</t>
        </is>
      </c>
      <c r="C122" t="inlineStr">
        <is>
          <t>火系终局商人</t>
        </is>
      </c>
      <c r="D122" t="inlineStr">
        <is>
          <t>shop</t>
        </is>
      </c>
      <c r="E122" t="inlineStr">
        <is>
          <t>70</t>
        </is>
      </c>
      <c r="F122" t="inlineStr">
        <is>
          <t>9</t>
        </is>
      </c>
      <c r="G122" t="inlineStr">
        <is>
          <t>elem_火</t>
        </is>
      </c>
      <c r="J122" t="inlineStr">
        <is>
          <t>5</t>
        </is>
      </c>
      <c r="L122" t="inlineStr">
        <is>
          <t>正式</t>
        </is>
      </c>
      <c r="M122" t="inlineStr">
        <is>
          <t>进入火元素强化摊位</t>
        </is>
      </c>
    </row>
    <row r="123" ht="21" customHeight="1" s="439">
      <c r="A123" t="inlineStr">
        <is>
          <t>node_d09_event_summon</t>
        </is>
      </c>
      <c r="B123" t="inlineStr">
        <is>
          <t>node_pool_d09_growth</t>
        </is>
      </c>
      <c r="C123" t="inlineStr">
        <is>
          <t>召唤终局事件</t>
        </is>
      </c>
      <c r="D123" t="inlineStr">
        <is>
          <t>event</t>
        </is>
      </c>
      <c r="E123" t="inlineStr">
        <is>
          <t>60</t>
        </is>
      </c>
      <c r="F123" t="inlineStr">
        <is>
          <t>9</t>
        </is>
      </c>
      <c r="G123" t="inlineStr">
        <is>
          <t>role_召唤</t>
        </is>
      </c>
      <c r="H123" t="inlineStr">
        <is>
          <t>reward_pT3</t>
        </is>
      </c>
      <c r="I123" t="inlineStr">
        <is>
          <t>evt_role_summon</t>
        </is>
      </c>
      <c r="K123" t="inlineStr">
        <is>
          <t>2</t>
        </is>
      </c>
      <c r="L123" t="inlineStr">
        <is>
          <t>正式</t>
        </is>
      </c>
      <c r="M123" t="inlineStr">
        <is>
          <t>获得召唤流补强机会</t>
        </is>
      </c>
    </row>
    <row r="124" ht="21" customHeight="1" s="439">
      <c r="A124" t="inlineStr">
        <is>
          <t>node_d09_rest_gold</t>
        </is>
      </c>
      <c r="B124" t="inlineStr">
        <is>
          <t>node_pool_d09_growth</t>
        </is>
      </c>
      <c r="C124" t="inlineStr">
        <is>
          <t>Boss 前休整</t>
        </is>
      </c>
      <c r="D124" t="inlineStr">
        <is>
          <t>rest</t>
        </is>
      </c>
      <c r="E124" t="inlineStr">
        <is>
          <t>50</t>
        </is>
      </c>
      <c r="F124" t="inlineStr">
        <is>
          <t>9</t>
        </is>
      </c>
      <c r="K124" t="inlineStr">
        <is>
          <t>5</t>
        </is>
      </c>
      <c r="L124" t="inlineStr">
        <is>
          <t>正式</t>
        </is>
      </c>
      <c r="M124" t="inlineStr">
        <is>
          <t>直接获得金币</t>
        </is>
      </c>
    </row>
    <row r="125" ht="21" customHeight="1" s="439">
      <c r="A125" t="inlineStr">
        <is>
          <t>node_d10_tier3_shop</t>
        </is>
      </c>
      <c r="B125" t="inlineStr">
        <is>
          <t>node_pool_d10_growth</t>
        </is>
      </c>
      <c r="C125" t="inlineStr">
        <is>
          <t>终局黄金商会</t>
        </is>
      </c>
      <c r="D125" t="inlineStr">
        <is>
          <t>shop</t>
        </is>
      </c>
      <c r="E125" t="inlineStr">
        <is>
          <t>100</t>
        </is>
      </c>
      <c r="F125" t="inlineStr">
        <is>
          <t>10</t>
        </is>
      </c>
      <c r="G125" t="inlineStr">
        <is>
          <t>tier_pT3</t>
        </is>
      </c>
      <c r="J125" t="inlineStr">
        <is>
          <t>6</t>
        </is>
      </c>
      <c r="L125" t="inlineStr">
        <is>
          <t>正式</t>
        </is>
      </c>
      <c r="M125" t="inlineStr">
        <is>
          <t>进入 pT3 标签摊位</t>
        </is>
      </c>
    </row>
    <row r="126" ht="21" customHeight="1" s="439">
      <c r="A126" t="inlineStr">
        <is>
          <t>node_d10_reward_tier3</t>
        </is>
      </c>
      <c r="B126" t="inlineStr">
        <is>
          <t>node_pool_d10_growth</t>
        </is>
      </c>
      <c r="C126" t="inlineStr">
        <is>
          <t>终局黄金奖励</t>
        </is>
      </c>
      <c r="D126" t="inlineStr">
        <is>
          <t>reward</t>
        </is>
      </c>
      <c r="E126" t="inlineStr">
        <is>
          <t>90</t>
        </is>
      </c>
      <c r="F126" t="inlineStr">
        <is>
          <t>10</t>
        </is>
      </c>
      <c r="H126" t="inlineStr">
        <is>
          <t>reward_pT3</t>
        </is>
      </c>
      <c r="J126" t="inlineStr">
        <is>
          <t>3</t>
        </is>
      </c>
      <c r="L126" t="inlineStr">
        <is>
          <t>正式</t>
        </is>
      </c>
      <c r="M126" t="inlineStr">
        <is>
          <t>生成 3 个 pT3 奖励候选</t>
        </is>
      </c>
    </row>
    <row r="127" ht="21" customHeight="1" s="439">
      <c r="A127" t="inlineStr">
        <is>
          <t>node_d10_output_shop</t>
        </is>
      </c>
      <c r="B127" t="inlineStr">
        <is>
          <t>node_pool_d10_growth</t>
        </is>
      </c>
      <c r="C127" t="inlineStr">
        <is>
          <t>终局输出商人</t>
        </is>
      </c>
      <c r="D127" t="inlineStr">
        <is>
          <t>shop</t>
        </is>
      </c>
      <c r="E127" t="inlineStr">
        <is>
          <t>80</t>
        </is>
      </c>
      <c r="F127" t="inlineStr">
        <is>
          <t>10</t>
        </is>
      </c>
      <c r="G127" t="inlineStr">
        <is>
          <t>role_输出</t>
        </is>
      </c>
      <c r="J127" t="inlineStr">
        <is>
          <t>6</t>
        </is>
      </c>
      <c r="L127" t="inlineStr">
        <is>
          <t>正式</t>
        </is>
      </c>
      <c r="M127" t="inlineStr">
        <is>
          <t>进入输出标签摊位</t>
        </is>
      </c>
    </row>
    <row r="128" ht="21" customHeight="1" s="439">
      <c r="A128" t="inlineStr">
        <is>
          <t>node_d10_fire_shop</t>
        </is>
      </c>
      <c r="B128" t="inlineStr">
        <is>
          <t>node_pool_d10_growth</t>
        </is>
      </c>
      <c r="C128" t="inlineStr">
        <is>
          <t>终局火系商人</t>
        </is>
      </c>
      <c r="D128" t="inlineStr">
        <is>
          <t>shop</t>
        </is>
      </c>
      <c r="E128" t="inlineStr">
        <is>
          <t>70</t>
        </is>
      </c>
      <c r="F128" t="inlineStr">
        <is>
          <t>10</t>
        </is>
      </c>
      <c r="G128" t="inlineStr">
        <is>
          <t>elem_火</t>
        </is>
      </c>
      <c r="J128" t="inlineStr">
        <is>
          <t>6</t>
        </is>
      </c>
      <c r="L128" t="inlineStr">
        <is>
          <t>正式</t>
        </is>
      </c>
      <c r="M128" t="inlineStr">
        <is>
          <t>进入火元素强化摊位</t>
        </is>
      </c>
    </row>
    <row r="129" ht="21" customHeight="1" s="439">
      <c r="A129" t="inlineStr">
        <is>
          <t>node_d10_event_discount</t>
        </is>
      </c>
      <c r="B129" t="inlineStr">
        <is>
          <t>node_pool_d10_growth</t>
        </is>
      </c>
      <c r="C129" t="inlineStr">
        <is>
          <t>终局折扣摊位</t>
        </is>
      </c>
      <c r="D129" t="inlineStr">
        <is>
          <t>event</t>
        </is>
      </c>
      <c r="E129" t="inlineStr">
        <is>
          <t>60</t>
        </is>
      </c>
      <c r="F129" t="inlineStr">
        <is>
          <t>10</t>
        </is>
      </c>
      <c r="G129" t="inlineStr">
        <is>
          <t>night_base</t>
        </is>
      </c>
      <c r="H129" t="inlineStr">
        <is>
          <t>reward_pT3</t>
        </is>
      </c>
      <c r="I129" t="inlineStr">
        <is>
          <t>evt_discount</t>
        </is>
      </c>
      <c r="K129" t="inlineStr">
        <is>
          <t>50</t>
        </is>
      </c>
      <c r="L129" t="inlineStr">
        <is>
          <t>正式</t>
        </is>
      </c>
      <c r="M129" t="inlineStr">
        <is>
          <t>下一件商品半价</t>
        </is>
      </c>
    </row>
    <row r="130" ht="21" customHeight="1" s="439">
      <c r="A130" t="inlineStr">
        <is>
          <t>node_d10_rest_gold</t>
        </is>
      </c>
      <c r="B130" t="inlineStr">
        <is>
          <t>node_pool_d10_growth</t>
        </is>
      </c>
      <c r="C130" t="inlineStr">
        <is>
          <t>终局前休整</t>
        </is>
      </c>
      <c r="D130" t="inlineStr">
        <is>
          <t>rest</t>
        </is>
      </c>
      <c r="E130" t="inlineStr">
        <is>
          <t>50</t>
        </is>
      </c>
      <c r="F130" t="inlineStr">
        <is>
          <t>10</t>
        </is>
      </c>
      <c r="K130" t="inlineStr">
        <is>
          <t>5</t>
        </is>
      </c>
      <c r="L130" t="inlineStr">
        <is>
          <t>正式</t>
        </is>
      </c>
      <c r="M130" t="inlineStr">
        <is>
          <t>直接获得金币</t>
        </is>
      </c>
    </row>
    <row r="132" ht="30" customHeight="1" s="439">
      <c r="A132" t="inlineStr">
        <is>
          <t>#csv</t>
        </is>
      </c>
      <c r="B132" t="inlineStr">
        <is>
          <t>26_encounter_pool.csv</t>
        </is>
      </c>
      <c r="C132" t="inlineStr">
        <is>
          <t>固定战遭遇池：日程到正式遭遇的映射</t>
        </is>
      </c>
    </row>
    <row r="133" ht="30" customHeight="1" s="439">
      <c r="A133" t="inlineStr">
        <is>
          <t>encounter_id</t>
        </is>
      </c>
      <c r="B133" t="inlineStr">
        <is>
          <t>encounter_pool_id</t>
        </is>
      </c>
      <c r="C133" t="inlineStr">
        <is>
          <t>name</t>
        </is>
      </c>
      <c r="D133" t="inlineStr">
        <is>
          <t>weight</t>
        </is>
      </c>
      <c r="E133" t="inlineStr">
        <is>
          <t>unlock_day</t>
        </is>
      </c>
      <c r="F133" t="inlineStr">
        <is>
          <t>wave_period</t>
        </is>
      </c>
      <c r="G133" t="inlineStr">
        <is>
          <t>battle_index</t>
        </is>
      </c>
      <c r="H133" t="inlineStr">
        <is>
          <t>phase_label</t>
        </is>
      </c>
      <c r="I133" t="inlineStr">
        <is>
          <t>wave_id</t>
        </is>
      </c>
      <c r="J133" t="inlineStr">
        <is>
          <t>reward_pool_id</t>
        </is>
      </c>
      <c r="K133" t="inlineStr">
        <is>
          <t>risk_label</t>
        </is>
      </c>
      <c r="L133" t="inlineStr">
        <is>
          <t>enemy_preview</t>
        </is>
      </c>
      <c r="M133" t="inlineStr">
        <is>
          <t>mechanic_preview</t>
        </is>
      </c>
      <c r="N133" t="inlineStr">
        <is>
          <t>reward_preview</t>
        </is>
      </c>
      <c r="O133" t="inlineStr">
        <is>
          <t>status</t>
        </is>
      </c>
      <c r="P133" t="inlineStr">
        <is>
          <t>note</t>
        </is>
      </c>
    </row>
    <row r="134" ht="21" customHeight="1" s="439">
      <c r="A134" t="inlineStr">
        <is>
          <t>enc_d01_midday_a</t>
        </is>
      </c>
      <c r="B134" t="inlineStr">
        <is>
          <t>enc_pool_d01_midday</t>
        </is>
      </c>
      <c r="C134" t="inlineStr">
        <is>
          <t>水泽巡队</t>
        </is>
      </c>
      <c r="D134" t="inlineStr">
        <is>
          <t>100</t>
        </is>
      </c>
      <c r="E134" t="inlineStr">
        <is>
          <t>1</t>
        </is>
      </c>
      <c r="F134" t="inlineStr">
        <is>
          <t>上午</t>
        </is>
      </c>
      <c r="G134" t="inlineStr">
        <is>
          <t>1</t>
        </is>
      </c>
      <c r="H134" t="inlineStr">
        <is>
          <t>中午战</t>
        </is>
      </c>
      <c r="I134" t="inlineStr">
        <is>
          <t>wave_d01_enc_scout</t>
        </is>
      </c>
      <c r="J134" t="inlineStr">
        <is>
          <t>reward_pT1</t>
        </is>
      </c>
      <c r="K134" t="inlineStr">
        <is>
          <t>低风险</t>
        </is>
      </c>
      <c r="L134" t="inlineStr">
        <is>
          <t>棉角羊 / 灰尾狸 / 芦花鸡</t>
        </is>
      </c>
      <c r="M134" t="inlineStr">
        <is>
          <t>双护盾回复</t>
        </is>
      </c>
      <c r="N134" t="inlineStr">
        <is>
          <t>基础宠物三选一</t>
        </is>
      </c>
      <c r="O134" t="inlineStr">
        <is>
          <t>正式</t>
        </is>
      </c>
      <c r="P134" t="inlineStr">
        <is>
          <t>Day1 稳妥遭遇；3只青铜敌人</t>
        </is>
      </c>
    </row>
    <row r="135" ht="21" customHeight="1" s="439">
      <c r="A135" t="inlineStr">
        <is>
          <t>enc_d01_midday_b</t>
        </is>
      </c>
      <c r="B135" t="inlineStr">
        <is>
          <t>enc_pool_d01_midday</t>
        </is>
      </c>
      <c r="C135" t="inlineStr">
        <is>
          <t>燎原伏兵</t>
        </is>
      </c>
      <c r="D135" t="inlineStr">
        <is>
          <t>90</t>
        </is>
      </c>
      <c r="E135" t="inlineStr">
        <is>
          <t>1</t>
        </is>
      </c>
      <c r="F135" t="inlineStr">
        <is>
          <t>上午</t>
        </is>
      </c>
      <c r="G135" t="inlineStr">
        <is>
          <t>1</t>
        </is>
      </c>
      <c r="H135" t="inlineStr">
        <is>
          <t>中午战</t>
        </is>
      </c>
      <c r="I135" t="inlineStr">
        <is>
          <t>wave_d01_enc_assault</t>
        </is>
      </c>
      <c r="J135" t="inlineStr">
        <is>
          <t>reward_pT2</t>
        </is>
      </c>
      <c r="K135" t="inlineStr">
        <is>
          <t>中风险</t>
        </is>
      </c>
      <c r="L135" t="inlineStr">
        <is>
          <t>赤尾狐 / 雷须猫 / 火角鹿 / 电棘鼠</t>
        </is>
      </c>
      <c r="M135" t="inlineStr">
        <is>
          <t>火层增伤 / 雷火联动</t>
        </is>
      </c>
      <c r="N135" t="inlineStr">
        <is>
          <t>进阶宠物三选一</t>
        </is>
      </c>
      <c r="O135" t="inlineStr">
        <is>
          <t>正式</t>
        </is>
      </c>
      <c r="P135" t="inlineStr">
        <is>
          <t>Day1 进取遭遇；4只青铜敌人</t>
        </is>
      </c>
    </row>
    <row r="136" ht="21" customHeight="1" s="439">
      <c r="A136" t="inlineStr">
        <is>
          <t>enc_d01_midday_c</t>
        </is>
      </c>
      <c r="B136" t="inlineStr">
        <is>
          <t>enc_pool_d01_midday</t>
        </is>
      </c>
      <c r="C136" t="inlineStr">
        <is>
          <t>甲阵守关</t>
        </is>
      </c>
      <c r="D136" t="inlineStr">
        <is>
          <t>80</t>
        </is>
      </c>
      <c r="E136" t="inlineStr">
        <is>
          <t>1</t>
        </is>
      </c>
      <c r="F136" t="inlineStr">
        <is>
          <t>上午</t>
        </is>
      </c>
      <c r="G136" t="inlineStr">
        <is>
          <t>1</t>
        </is>
      </c>
      <c r="H136" t="inlineStr">
        <is>
          <t>中午战</t>
        </is>
      </c>
      <c r="I136" t="inlineStr">
        <is>
          <t>wave_d01_enc_guard</t>
        </is>
      </c>
      <c r="J136" t="inlineStr">
        <is>
          <t>reward_pT3</t>
        </is>
      </c>
      <c r="K136" t="inlineStr">
        <is>
          <t>高风险</t>
        </is>
      </c>
      <c r="L136" t="inlineStr">
        <is>
          <t>碧水鸭 / 苔甲龟 / 黑甲猪 / 黑角犀</t>
        </is>
      </c>
      <c r="M136" t="inlineStr">
        <is>
          <t>护甲 / 反击 / 回合攻击成长 / 元素推拉</t>
        </is>
      </c>
      <c r="N136" t="inlineStr">
        <is>
          <t>高阶宠物三选一</t>
        </is>
      </c>
      <c r="O136" t="inlineStr">
        <is>
          <t>正式</t>
        </is>
      </c>
      <c r="P136" t="inlineStr">
        <is>
          <t>Day1 高压遭遇；4只白银敌人</t>
        </is>
      </c>
    </row>
    <row r="137" ht="21" customHeight="1" s="439">
      <c r="A137" t="inlineStr">
        <is>
          <t>enc_d01_evening_fixed</t>
        </is>
      </c>
      <c r="B137" t="inlineStr">
        <is>
          <t>enc_pool_d01_evening</t>
        </is>
      </c>
      <c r="C137" t="inlineStr">
        <is>
          <t>治愈巡夜</t>
        </is>
      </c>
      <c r="D137" t="n">
        <v>100</v>
      </c>
      <c r="E137" t="n">
        <v>1</v>
      </c>
      <c r="F137" t="inlineStr">
        <is>
          <t>下午</t>
        </is>
      </c>
      <c r="G137" t="n">
        <v>2</v>
      </c>
      <c r="H137" t="inlineStr">
        <is>
          <t>首夜决战</t>
        </is>
      </c>
      <c r="I137" t="inlineStr">
        <is>
          <t>wave_d01_evening_choice_a</t>
        </is>
      </c>
      <c r="J137" t="inlineStr">
        <is>
          <t>reward_pT1</t>
        </is>
      </c>
      <c r="K137" t="inlineStr">
        <is>
          <t>低风险</t>
        </is>
      </c>
      <c r="L137" t="inlineStr">
        <is>
          <t>水、龙 / 水、龙 / 水、地 / 水</t>
        </is>
      </c>
      <c r="M137" t="inlineStr">
        <is>
          <t>四名护盾回复</t>
        </is>
      </c>
      <c r="N137" t="inlineStr">
        <is>
          <t>基础宠物三选一</t>
        </is>
      </c>
      <c r="O137" t="inlineStr">
        <is>
          <t>正式</t>
        </is>
      </c>
      <c r="P137" t="inlineStr">
        <is>
          <t>Day1 第二战低风险；威胁435</t>
        </is>
      </c>
    </row>
    <row r="138" ht="21" customHeight="1" s="439">
      <c r="A138" t="inlineStr">
        <is>
          <t>enc_d01_evening_b</t>
        </is>
      </c>
      <c r="B138" t="inlineStr">
        <is>
          <t>enc_pool_d01_evening</t>
        </is>
      </c>
      <c r="C138" t="inlineStr">
        <is>
          <t>荆返夜袭</t>
        </is>
      </c>
      <c r="D138" t="n">
        <v>90</v>
      </c>
      <c r="E138" t="n">
        <v>1</v>
      </c>
      <c r="F138" t="inlineStr">
        <is>
          <t>下午</t>
        </is>
      </c>
      <c r="G138" t="n">
        <v>2</v>
      </c>
      <c r="H138" t="inlineStr">
        <is>
          <t>首夜决战</t>
        </is>
      </c>
      <c r="I138" t="inlineStr">
        <is>
          <t>wave_d01_evening_choice_b</t>
        </is>
      </c>
      <c r="J138" t="inlineStr">
        <is>
          <t>reward_pT2</t>
        </is>
      </c>
      <c r="K138" t="inlineStr">
        <is>
          <t>中风险</t>
        </is>
      </c>
      <c r="L138" t="inlineStr">
        <is>
          <t>雷 / 暗 / 水、龙 / 草、水</t>
        </is>
      </c>
      <c r="M138" t="inlineStr">
        <is>
          <t>四名反击</t>
        </is>
      </c>
      <c r="N138" t="inlineStr">
        <is>
          <t>进阶宠物三选一</t>
        </is>
      </c>
      <c r="O138" t="inlineStr">
        <is>
          <t>正式</t>
        </is>
      </c>
      <c r="P138" t="inlineStr">
        <is>
          <t>Day1 第二战中风险；威胁456</t>
        </is>
      </c>
    </row>
    <row r="139" ht="21" customHeight="1" s="439">
      <c r="A139" t="inlineStr">
        <is>
          <t>enc_d01_evening_c</t>
        </is>
      </c>
      <c r="B139" t="inlineStr">
        <is>
          <t>enc_pool_d01_evening</t>
        </is>
      </c>
      <c r="C139" t="inlineStr">
        <is>
          <t>催锋暮群</t>
        </is>
      </c>
      <c r="D139" t="n">
        <v>80</v>
      </c>
      <c r="E139" t="n">
        <v>1</v>
      </c>
      <c r="F139" t="inlineStr">
        <is>
          <t>下午</t>
        </is>
      </c>
      <c r="G139" t="n">
        <v>2</v>
      </c>
      <c r="H139" t="inlineStr">
        <is>
          <t>首夜决战</t>
        </is>
      </c>
      <c r="I139" t="inlineStr">
        <is>
          <t>wave_d01_evening_choice_c</t>
        </is>
      </c>
      <c r="J139" t="inlineStr">
        <is>
          <t>reward_pT3</t>
        </is>
      </c>
      <c r="K139" t="inlineStr">
        <is>
          <t>高风险</t>
        </is>
      </c>
      <c r="L139" t="inlineStr">
        <is>
          <t>雷 / 雷 / 无 / 无 / 地</t>
        </is>
      </c>
      <c r="M139" t="inlineStr">
        <is>
          <t>五名回合攻击成长</t>
        </is>
      </c>
      <c r="N139" t="inlineStr">
        <is>
          <t>高阶宠物三选一</t>
        </is>
      </c>
      <c r="O139" t="inlineStr">
        <is>
          <t>正式</t>
        </is>
      </c>
      <c r="P139" t="inlineStr">
        <is>
          <t>Day1 第二战高风险；威胁592.5</t>
        </is>
      </c>
    </row>
    <row r="140" ht="21" customHeight="1" s="439">
      <c r="A140" t="inlineStr">
        <is>
          <t>enc_d02_midday_a</t>
        </is>
      </c>
      <c r="B140" t="inlineStr">
        <is>
          <t>enc_pool_d02_midday</t>
        </is>
      </c>
      <c r="C140" t="inlineStr">
        <is>
          <t>润泽巡护</t>
        </is>
      </c>
      <c r="D140" t="n">
        <v>100</v>
      </c>
      <c r="E140" t="n">
        <v>2</v>
      </c>
      <c r="F140" t="inlineStr">
        <is>
          <t>上午</t>
        </is>
      </c>
      <c r="G140" t="n">
        <v>1</v>
      </c>
      <c r="H140" t="inlineStr">
        <is>
          <t>成长试探</t>
        </is>
      </c>
      <c r="I140" t="inlineStr">
        <is>
          <t>wave_d02_enc_sustain</t>
        </is>
      </c>
      <c r="J140" t="inlineStr">
        <is>
          <t>reward_pT1</t>
        </is>
      </c>
      <c r="K140" t="inlineStr">
        <is>
          <t>低风险</t>
        </is>
      </c>
      <c r="L140" t="inlineStr">
        <is>
          <t>棉角羊 / 药草兔 / 猫翼夜蝠</t>
        </is>
      </c>
      <c r="M140" t="inlineStr">
        <is>
          <t>三名护盾回复</t>
        </is>
      </c>
      <c r="N140" t="inlineStr">
        <is>
          <t>基础宠物三选一</t>
        </is>
      </c>
      <c r="O140" t="inlineStr">
        <is>
          <t>正式</t>
        </is>
      </c>
      <c r="P140" t="inlineStr">
        <is>
          <t>Day2 3只青铜护盾回复敌人</t>
        </is>
      </c>
    </row>
    <row r="141" ht="21" customHeight="1" s="439">
      <c r="A141" t="inlineStr">
        <is>
          <t>enc_d02_midday_b</t>
        </is>
      </c>
      <c r="B141" t="inlineStr">
        <is>
          <t>enc_pool_d02_midday</t>
        </is>
      </c>
      <c r="C141" t="inlineStr">
        <is>
          <t>荆棘回阵</t>
        </is>
      </c>
      <c r="D141" t="n">
        <v>90</v>
      </c>
      <c r="E141" t="n">
        <v>2</v>
      </c>
      <c r="F141" t="inlineStr">
        <is>
          <t>上午</t>
        </is>
      </c>
      <c r="G141" t="n">
        <v>1</v>
      </c>
      <c r="H141" t="inlineStr">
        <is>
          <t>成长试探</t>
        </is>
      </c>
      <c r="I141" t="inlineStr">
        <is>
          <t>wave_d02_enc_counter</t>
        </is>
      </c>
      <c r="J141" t="inlineStr">
        <is>
          <t>reward_pT2</t>
        </is>
      </c>
      <c r="K141" t="inlineStr">
        <is>
          <t>中风险</t>
        </is>
      </c>
      <c r="L141" t="inlineStr">
        <is>
          <t>冰背獭 / 芭蕉熊 / 百花巨蜂 / 冰角白鹿</t>
        </is>
      </c>
      <c r="M141" t="inlineStr">
        <is>
          <t>四名反击</t>
        </is>
      </c>
      <c r="N141" t="inlineStr">
        <is>
          <t>进阶宠物三选一</t>
        </is>
      </c>
      <c r="O141" t="inlineStr">
        <is>
          <t>正式</t>
        </is>
      </c>
      <c r="P141" t="inlineStr">
        <is>
          <t>Day2 4只青铜/白银反击敌人</t>
        </is>
      </c>
    </row>
    <row r="142" ht="30" customHeight="1" s="439">
      <c r="A142" t="inlineStr">
        <is>
          <t>enc_d02_midday_c</t>
        </is>
      </c>
      <c r="B142" t="inlineStr">
        <is>
          <t>enc_pool_d02_midday</t>
        </is>
      </c>
      <c r="C142" t="inlineStr">
        <is>
          <t>催锋兽群</t>
        </is>
      </c>
      <c r="D142" t="n">
        <v>80</v>
      </c>
      <c r="E142" t="n">
        <v>2</v>
      </c>
      <c r="F142" t="inlineStr">
        <is>
          <t>上午</t>
        </is>
      </c>
      <c r="G142" t="n">
        <v>1</v>
      </c>
      <c r="H142" t="inlineStr">
        <is>
          <t>成长试探</t>
        </is>
      </c>
      <c r="I142" t="inlineStr">
        <is>
          <t>wave_d02_enc_growth</t>
        </is>
      </c>
      <c r="J142" t="inlineStr">
        <is>
          <t>reward_pT3</t>
        </is>
      </c>
      <c r="K142" t="inlineStr">
        <is>
          <t>高风险</t>
        </is>
      </c>
      <c r="L142" t="inlineStr">
        <is>
          <t>黑甲猪 / 金甲蜂群 / 笑面山猫 / 霜尾雪貂 / 震角雷牛</t>
        </is>
      </c>
      <c r="M142" t="inlineStr">
        <is>
          <t>五名回合攻击成长</t>
        </is>
      </c>
      <c r="N142" t="inlineStr">
        <is>
          <t>高阶宠物三选一</t>
        </is>
      </c>
      <c r="O142" t="inlineStr">
        <is>
          <t>正式</t>
        </is>
      </c>
      <c r="P142" t="inlineStr">
        <is>
          <t>Day2 5只回合攻击成长敌人</t>
        </is>
      </c>
    </row>
    <row r="143" ht="30" customHeight="1" s="439">
      <c r="A143" t="inlineStr">
        <is>
          <t>enc_d02_evening_fixed</t>
        </is>
      </c>
      <c r="B143" t="inlineStr">
        <is>
          <t>enc_pool_d02_evening</t>
        </is>
      </c>
      <c r="C143" t="inlineStr">
        <is>
          <t>四甲夜门</t>
        </is>
      </c>
      <c r="D143" t="n">
        <v>100</v>
      </c>
      <c r="E143" t="n">
        <v>2</v>
      </c>
      <c r="F143" t="inlineStr">
        <is>
          <t>下午</t>
        </is>
      </c>
      <c r="G143" t="n">
        <v>2</v>
      </c>
      <c r="H143" t="inlineStr">
        <is>
          <t>成长夜战</t>
        </is>
      </c>
      <c r="I143" t="inlineStr">
        <is>
          <t>wave_d02_evening_choice_a</t>
        </is>
      </c>
      <c r="J143" t="inlineStr">
        <is>
          <t>reward_pT1</t>
        </is>
      </c>
      <c r="K143" t="inlineStr">
        <is>
          <t>低风险</t>
        </is>
      </c>
      <c r="L143" t="inlineStr">
        <is>
          <t>水、地 / 地 / 地 / 地</t>
        </is>
      </c>
      <c r="M143" t="inlineStr">
        <is>
          <t>四名护甲减伤</t>
        </is>
      </c>
      <c r="N143" t="inlineStr">
        <is>
          <t>基础宠物三选一</t>
        </is>
      </c>
      <c r="O143" t="inlineStr">
        <is>
          <t>正式</t>
        </is>
      </c>
      <c r="P143" t="inlineStr">
        <is>
          <t>Day2 第二战低风险；威胁622.5</t>
        </is>
      </c>
    </row>
    <row r="144" ht="30" customHeight="1" s="439">
      <c r="A144" t="inlineStr">
        <is>
          <t>enc_d02_evening_b</t>
        </is>
      </c>
      <c r="B144" t="inlineStr">
        <is>
          <t>enc_pool_d02_evening</t>
        </is>
      </c>
      <c r="C144" t="inlineStr">
        <is>
          <t>生息夜垒</t>
        </is>
      </c>
      <c r="D144" t="n">
        <v>90</v>
      </c>
      <c r="E144" t="n">
        <v>2</v>
      </c>
      <c r="F144" t="inlineStr">
        <is>
          <t>下午</t>
        </is>
      </c>
      <c r="G144" t="n">
        <v>2</v>
      </c>
      <c r="H144" t="inlineStr">
        <is>
          <t>成长夜战</t>
        </is>
      </c>
      <c r="I144" t="inlineStr">
        <is>
          <t>wave_d02_evening_choice_b</t>
        </is>
      </c>
      <c r="J144" t="inlineStr">
        <is>
          <t>reward_pT2</t>
        </is>
      </c>
      <c r="K144" t="inlineStr">
        <is>
          <t>中风险</t>
        </is>
      </c>
      <c r="L144" t="inlineStr">
        <is>
          <t>雷、龙 / 水、龙 / 雷、地 / 水、雷 / 水、雷</t>
        </is>
      </c>
      <c r="M144" t="inlineStr">
        <is>
          <t>五名回合护盾成长</t>
        </is>
      </c>
      <c r="N144" t="inlineStr">
        <is>
          <t>进阶宠物三选一</t>
        </is>
      </c>
      <c r="O144" t="inlineStr">
        <is>
          <t>正式</t>
        </is>
      </c>
      <c r="P144" t="inlineStr">
        <is>
          <t>Day2 第二战中风险；威胁766</t>
        </is>
      </c>
    </row>
    <row r="145" ht="21" customHeight="1" s="439">
      <c r="A145" t="inlineStr">
        <is>
          <t>enc_d02_evening_c</t>
        </is>
      </c>
      <c r="B145" t="inlineStr">
        <is>
          <t>enc_pool_d02_evening</t>
        </is>
      </c>
      <c r="C145" t="inlineStr">
        <is>
          <t>六返猎阵</t>
        </is>
      </c>
      <c r="D145" t="n">
        <v>80</v>
      </c>
      <c r="E145" t="n">
        <v>2</v>
      </c>
      <c r="F145" t="inlineStr">
        <is>
          <t>下午</t>
        </is>
      </c>
      <c r="G145" t="n">
        <v>2</v>
      </c>
      <c r="H145" t="inlineStr">
        <is>
          <t>成长夜战</t>
        </is>
      </c>
      <c r="I145" t="inlineStr">
        <is>
          <t>wave_d02_evening_choice_c</t>
        </is>
      </c>
      <c r="J145" t="inlineStr">
        <is>
          <t>reward_pT3</t>
        </is>
      </c>
      <c r="K145" t="inlineStr">
        <is>
          <t>高风险</t>
        </is>
      </c>
      <c r="L145" t="inlineStr">
        <is>
          <t>草、水 / 水 / 草 / 水 / 冰 / 暗</t>
        </is>
      </c>
      <c r="M145" t="inlineStr">
        <is>
          <t>六名反击</t>
        </is>
      </c>
      <c r="N145" t="inlineStr">
        <is>
          <t>高阶宠物三选一</t>
        </is>
      </c>
      <c r="O145" t="inlineStr">
        <is>
          <t>正式</t>
        </is>
      </c>
      <c r="P145" t="inlineStr">
        <is>
          <t>Day2 第二战高风险；威胁936</t>
        </is>
      </c>
    </row>
    <row r="146" ht="21" customHeight="1" s="439">
      <c r="A146" t="inlineStr">
        <is>
          <t>enc_d03_midday_a</t>
        </is>
      </c>
      <c r="B146" t="inlineStr">
        <is>
          <t>enc_pool_d03_midday</t>
        </is>
      </c>
      <c r="C146" t="inlineStr">
        <is>
          <t>潮岸稳行队</t>
        </is>
      </c>
      <c r="D146" t="n">
        <v>100</v>
      </c>
      <c r="E146" t="n">
        <v>3</v>
      </c>
      <c r="F146" t="inlineStr">
        <is>
          <t>上午</t>
        </is>
      </c>
      <c r="G146" t="n">
        <v>1</v>
      </c>
      <c r="H146" t="inlineStr">
        <is>
          <t>早期定向</t>
        </is>
      </c>
      <c r="I146" t="inlineStr">
        <is>
          <t>wave_d03_enc_safe</t>
        </is>
      </c>
      <c r="J146" t="inlineStr">
        <is>
          <t>reward_pT1</t>
        </is>
      </c>
      <c r="K146" t="inlineStr">
        <is>
          <t>低风险</t>
        </is>
      </c>
      <c r="L146" t="inlineStr">
        <is>
          <t>棉角羊 / 碧水鸭 / 藤甲猿 / 霜羽鹭</t>
        </is>
      </c>
      <c r="M146" t="inlineStr">
        <is>
          <t>护盾回复 / 护甲减伤</t>
        </is>
      </c>
      <c r="N146" t="inlineStr">
        <is>
          <t>基础宠物三选一</t>
        </is>
      </c>
      <c r="O146" t="inlineStr">
        <is>
          <t>正式</t>
        </is>
      </c>
      <c r="P146" t="inlineStr">
        <is>
          <t>Day3 稳妥路线；4只白银敌人</t>
        </is>
      </c>
    </row>
    <row r="147" ht="21" customHeight="1" s="439">
      <c r="A147" t="inlineStr">
        <is>
          <t>enc_d03_midday_b</t>
        </is>
      </c>
      <c r="B147" t="inlineStr">
        <is>
          <t>enc_pool_d03_midday</t>
        </is>
      </c>
      <c r="C147" t="inlineStr">
        <is>
          <t>雷火夹击队</t>
        </is>
      </c>
      <c r="D147" t="n">
        <v>90</v>
      </c>
      <c r="E147" t="n">
        <v>3</v>
      </c>
      <c r="F147" t="inlineStr">
        <is>
          <t>上午</t>
        </is>
      </c>
      <c r="G147" t="n">
        <v>1</v>
      </c>
      <c r="H147" t="inlineStr">
        <is>
          <t>早期定向</t>
        </is>
      </c>
      <c r="I147" t="inlineStr">
        <is>
          <t>wave_d03_enc_assault</t>
        </is>
      </c>
      <c r="J147" t="inlineStr">
        <is>
          <t>reward_pT2</t>
        </is>
      </c>
      <c r="K147" t="inlineStr">
        <is>
          <t>中风险</t>
        </is>
      </c>
      <c r="L147" t="inlineStr">
        <is>
          <t>赤尾狐 / 雷须猫 / 火角鹿 / 电棘鼠 / 金钱狸</t>
        </is>
      </c>
      <c r="M147" t="inlineStr">
        <is>
          <t>雷火联动 / 胜利金币</t>
        </is>
      </c>
      <c r="N147" t="inlineStr">
        <is>
          <t>进阶宠物三选一</t>
        </is>
      </c>
      <c r="O147" t="inlineStr">
        <is>
          <t>正式</t>
        </is>
      </c>
      <c r="P147" t="inlineStr">
        <is>
          <t>Day3 进取路线；5只白银敌人</t>
        </is>
      </c>
    </row>
    <row r="148" ht="21" customHeight="1" s="439">
      <c r="A148" t="inlineStr">
        <is>
          <t>enc_d03_midday_c</t>
        </is>
      </c>
      <c r="B148" t="inlineStr">
        <is>
          <t>enc_pool_d03_midday</t>
        </is>
      </c>
      <c r="C148" t="inlineStr">
        <is>
          <t>铁甲破阵队</t>
        </is>
      </c>
      <c r="D148" t="n">
        <v>80</v>
      </c>
      <c r="E148" t="n">
        <v>3</v>
      </c>
      <c r="F148" t="inlineStr">
        <is>
          <t>上午</t>
        </is>
      </c>
      <c r="G148" t="n">
        <v>1</v>
      </c>
      <c r="H148" t="inlineStr">
        <is>
          <t>早期定向</t>
        </is>
      </c>
      <c r="I148" t="inlineStr">
        <is>
          <t>wave_d03_enc_breaker</t>
        </is>
      </c>
      <c r="J148" t="inlineStr">
        <is>
          <t>reward_pT3</t>
        </is>
      </c>
      <c r="K148" t="inlineStr">
        <is>
          <t>高风险</t>
        </is>
      </c>
      <c r="L148" t="inlineStr">
        <is>
          <t>苔甲龟 / 黑甲猪 / 黑角犀 / 夜穴鼹 / 沙鬃猪</t>
        </is>
      </c>
      <c r="M148" t="inlineStr">
        <is>
          <t>反击 / 回合攻击成长 / 元素推拉 / 火层伏爆</t>
        </is>
      </c>
      <c r="N148" t="inlineStr">
        <is>
          <t>高阶宠物三选一</t>
        </is>
      </c>
      <c r="O148" t="inlineStr">
        <is>
          <t>正式</t>
        </is>
      </c>
      <c r="P148" t="inlineStr">
        <is>
          <t>Day3 高压路线；5只黄金敌人</t>
        </is>
      </c>
    </row>
    <row r="149" ht="21" customHeight="1" s="439">
      <c r="A149" t="inlineStr">
        <is>
          <t>enc_d03_evening_fixed</t>
        </is>
      </c>
      <c r="B149" t="inlineStr">
        <is>
          <t>enc_pool_d03_evening</t>
        </is>
      </c>
      <c r="C149" t="inlineStr">
        <is>
          <t>深潮守夜</t>
        </is>
      </c>
      <c r="D149" t="n">
        <v>100</v>
      </c>
      <c r="E149" t="n">
        <v>3</v>
      </c>
      <c r="F149" t="inlineStr">
        <is>
          <t>下午</t>
        </is>
      </c>
      <c r="G149" t="n">
        <v>2</v>
      </c>
      <c r="H149" t="inlineStr">
        <is>
          <t>定向夜战</t>
        </is>
      </c>
      <c r="I149" t="inlineStr">
        <is>
          <t>wave_d03_evening_choice_a</t>
        </is>
      </c>
      <c r="J149" t="inlineStr">
        <is>
          <t>reward_pT2</t>
        </is>
      </c>
      <c r="K149" t="inlineStr">
        <is>
          <t>低风险</t>
        </is>
      </c>
      <c r="L149" t="inlineStr">
        <is>
          <t>水、地 / 水、地 / 地 / 水、地 / 水、雷</t>
        </is>
      </c>
      <c r="M149" t="inlineStr">
        <is>
          <t>五名护盾回复</t>
        </is>
      </c>
      <c r="N149" t="inlineStr">
        <is>
          <t>进阶宠物三选一</t>
        </is>
      </c>
      <c r="O149" t="inlineStr">
        <is>
          <t>正式</t>
        </is>
      </c>
      <c r="P149" t="inlineStr">
        <is>
          <t>Day3 第二战低风险；威胁823.5</t>
        </is>
      </c>
    </row>
    <row r="150" ht="21" customHeight="1" s="439">
      <c r="A150" t="inlineStr">
        <is>
          <t>enc_d03_evening_b</t>
        </is>
      </c>
      <c r="B150" t="inlineStr">
        <is>
          <t>enc_pool_d03_evening</t>
        </is>
      </c>
      <c r="C150" t="inlineStr">
        <is>
          <t>五甲夜关</t>
        </is>
      </c>
      <c r="D150" t="n">
        <v>90</v>
      </c>
      <c r="E150" t="n">
        <v>3</v>
      </c>
      <c r="F150" t="inlineStr">
        <is>
          <t>下午</t>
        </is>
      </c>
      <c r="G150" t="n">
        <v>2</v>
      </c>
      <c r="H150" t="inlineStr">
        <is>
          <t>定向夜战</t>
        </is>
      </c>
      <c r="I150" t="inlineStr">
        <is>
          <t>wave_d03_evening_choice_b</t>
        </is>
      </c>
      <c r="J150" t="inlineStr">
        <is>
          <t>reward_pT3</t>
        </is>
      </c>
      <c r="K150" t="inlineStr">
        <is>
          <t>中风险</t>
        </is>
      </c>
      <c r="L150" t="inlineStr">
        <is>
          <t>水、地 / 水、地 / 地 / 雷、地 / 地</t>
        </is>
      </c>
      <c r="M150" t="inlineStr">
        <is>
          <t>五名护甲减伤</t>
        </is>
      </c>
      <c r="N150" t="inlineStr">
        <is>
          <t>高阶宠物三选一</t>
        </is>
      </c>
      <c r="O150" t="inlineStr">
        <is>
          <t>正式</t>
        </is>
      </c>
      <c r="P150" t="inlineStr">
        <is>
          <t>Day3 第二战中风险；威胁930</t>
        </is>
      </c>
    </row>
    <row r="151" ht="21" customHeight="1" s="439">
      <c r="A151" t="inlineStr">
        <is>
          <t>enc_d03_evening_c</t>
        </is>
      </c>
      <c r="B151" t="inlineStr">
        <is>
          <t>enc_pool_d03_evening</t>
        </is>
      </c>
      <c r="C151" t="inlineStr">
        <is>
          <t>逐夜催锋</t>
        </is>
      </c>
      <c r="D151" t="n">
        <v>80</v>
      </c>
      <c r="E151" t="n">
        <v>3</v>
      </c>
      <c r="F151" t="inlineStr">
        <is>
          <t>下午</t>
        </is>
      </c>
      <c r="G151" t="n">
        <v>2</v>
      </c>
      <c r="H151" t="inlineStr">
        <is>
          <t>定向夜战</t>
        </is>
      </c>
      <c r="I151" t="inlineStr">
        <is>
          <t>wave_d03_evening_choice_c</t>
        </is>
      </c>
      <c r="J151" t="inlineStr">
        <is>
          <t>reward_elite</t>
        </is>
      </c>
      <c r="K151" t="inlineStr">
        <is>
          <t>高风险</t>
        </is>
      </c>
      <c r="L151" t="inlineStr">
        <is>
          <t>雷 / 雷 / 水、雷 / 雷 / 雷 / 雷</t>
        </is>
      </c>
      <c r="M151" t="inlineStr">
        <is>
          <t>六名回合攻击成长</t>
        </is>
      </c>
      <c r="N151" t="inlineStr">
        <is>
          <t>精英专属奖励</t>
        </is>
      </c>
      <c r="O151" t="inlineStr">
        <is>
          <t>正式</t>
        </is>
      </c>
      <c r="P151" t="inlineStr">
        <is>
          <t>Day3 第二战高风险；威胁1035</t>
        </is>
      </c>
    </row>
    <row r="152" ht="21" customHeight="1" s="439">
      <c r="A152" t="inlineStr">
        <is>
          <t>enc_d04_midday_a</t>
        </is>
      </c>
      <c r="B152" t="inlineStr">
        <is>
          <t>enc_pool_d04_midday</t>
        </is>
      </c>
      <c r="C152" t="inlineStr">
        <is>
          <t>四甲关隘</t>
        </is>
      </c>
      <c r="D152" t="n">
        <v>100</v>
      </c>
      <c r="E152" t="n">
        <v>4</v>
      </c>
      <c r="F152" t="inlineStr">
        <is>
          <t>上午</t>
        </is>
      </c>
      <c r="G152" t="n">
        <v>1</v>
      </c>
      <c r="H152" t="inlineStr">
        <is>
          <t>中段转压</t>
        </is>
      </c>
      <c r="I152" t="inlineStr">
        <is>
          <t>wave_d04_enc_armor</t>
        </is>
      </c>
      <c r="J152" t="inlineStr">
        <is>
          <t>reward_pT2</t>
        </is>
      </c>
      <c r="K152" t="inlineStr">
        <is>
          <t>低风险</t>
        </is>
      </c>
      <c r="L152" t="inlineStr">
        <is>
          <t>碧水鸭 / 花刺蛛 / 石甲兽 / 石牦灵</t>
        </is>
      </c>
      <c r="M152" t="inlineStr">
        <is>
          <t>四名护甲减伤</t>
        </is>
      </c>
      <c r="N152" t="inlineStr">
        <is>
          <t>进阶宠物三选一</t>
        </is>
      </c>
      <c r="O152" t="inlineStr">
        <is>
          <t>正式</t>
        </is>
      </c>
      <c r="P152" t="inlineStr">
        <is>
          <t>Day4 4只护甲减伤敌人</t>
        </is>
      </c>
    </row>
    <row r="153" ht="21" customHeight="1" s="439">
      <c r="A153" t="inlineStr">
        <is>
          <t>enc_d04_midday_b</t>
        </is>
      </c>
      <c r="B153" t="inlineStr">
        <is>
          <t>enc_pool_d04_midday</t>
        </is>
      </c>
      <c r="C153" t="inlineStr">
        <is>
          <t>生息垒潮</t>
        </is>
      </c>
      <c r="D153" t="n">
        <v>90</v>
      </c>
      <c r="E153" t="n">
        <v>4</v>
      </c>
      <c r="F153" t="inlineStr">
        <is>
          <t>上午</t>
        </is>
      </c>
      <c r="G153" t="n">
        <v>1</v>
      </c>
      <c r="H153" t="inlineStr">
        <is>
          <t>中段转压</t>
        </is>
      </c>
      <c r="I153" t="inlineStr">
        <is>
          <t>wave_d04_enc_shield_growth</t>
        </is>
      </c>
      <c r="J153" t="inlineStr">
        <is>
          <t>reward_pT3</t>
        </is>
      </c>
      <c r="K153" t="inlineStr">
        <is>
          <t>中风险</t>
        </is>
      </c>
      <c r="L153" t="inlineStr">
        <is>
          <t>涧水象 / 幽泉灵猫 / 涌泉水獭 / 木刺豪猪 / 碧蜂妖</t>
        </is>
      </c>
      <c r="M153" t="inlineStr">
        <is>
          <t>五名回合护盾成长</t>
        </is>
      </c>
      <c r="N153" t="inlineStr">
        <is>
          <t>高阶宠物三选一</t>
        </is>
      </c>
      <c r="O153" t="inlineStr">
        <is>
          <t>正式</t>
        </is>
      </c>
      <c r="P153" t="inlineStr">
        <is>
          <t>Day4 5只回合护盾成长敌人</t>
        </is>
      </c>
    </row>
    <row r="154" ht="30" customHeight="1" s="439">
      <c r="A154" t="inlineStr">
        <is>
          <t>enc_d04_midday_c</t>
        </is>
      </c>
      <c r="B154" t="inlineStr">
        <is>
          <t>enc_pool_d04_midday</t>
        </is>
      </c>
      <c r="C154" t="inlineStr">
        <is>
          <t>甲反联营</t>
        </is>
      </c>
      <c r="D154" t="n">
        <v>80</v>
      </c>
      <c r="E154" t="n">
        <v>4</v>
      </c>
      <c r="F154" t="inlineStr">
        <is>
          <t>上午</t>
        </is>
      </c>
      <c r="G154" t="n">
        <v>1</v>
      </c>
      <c r="H154" t="inlineStr">
        <is>
          <t>中段转压</t>
        </is>
      </c>
      <c r="I154" t="inlineStr">
        <is>
          <t>wave_d04_enc_combined</t>
        </is>
      </c>
      <c r="J154" t="inlineStr">
        <is>
          <t>reward_elite</t>
        </is>
      </c>
      <c r="K154" t="inlineStr">
        <is>
          <t>高风险</t>
        </is>
      </c>
      <c r="L154" t="inlineStr">
        <is>
          <t>黄背牛 / 月镰螳螂 / 苍焰赤豺 / 沙鳞巨蟒 / 天羽云螭 / 百花鹿仙</t>
        </is>
      </c>
      <c r="M154" t="inlineStr">
        <is>
          <t>双护甲 / 双反击 / 回合攻盾成长</t>
        </is>
      </c>
      <c r="N154" t="inlineStr">
        <is>
          <t>精英专属奖励</t>
        </is>
      </c>
      <c r="O154" t="inlineStr">
        <is>
          <t>正式</t>
        </is>
      </c>
      <c r="P154" t="inlineStr">
        <is>
          <t>Day4 6只护甲反击成长混编敌人</t>
        </is>
      </c>
    </row>
    <row r="155" ht="30" customHeight="1" s="439">
      <c r="A155" t="inlineStr">
        <is>
          <t>enc_d04_evening_fixed</t>
        </is>
      </c>
      <c r="B155" t="inlineStr">
        <is>
          <t>enc_pool_d04_evening</t>
        </is>
      </c>
      <c r="C155" t="inlineStr">
        <is>
          <t>五潮生壁</t>
        </is>
      </c>
      <c r="D155" t="n">
        <v>100</v>
      </c>
      <c r="E155" t="n">
        <v>4</v>
      </c>
      <c r="F155" t="inlineStr">
        <is>
          <t>下午</t>
        </is>
      </c>
      <c r="G155" t="n">
        <v>2</v>
      </c>
      <c r="H155" t="inlineStr">
        <is>
          <t>中段夜战</t>
        </is>
      </c>
      <c r="I155" t="inlineStr">
        <is>
          <t>wave_d04_evening_choice_a</t>
        </is>
      </c>
      <c r="J155" t="inlineStr">
        <is>
          <t>reward_pT2</t>
        </is>
      </c>
      <c r="K155" t="inlineStr">
        <is>
          <t>低风险</t>
        </is>
      </c>
      <c r="L155" t="inlineStr">
        <is>
          <t>水、雷 / 水、雷 / 龙 / 雷、龙 / 水、龙</t>
        </is>
      </c>
      <c r="M155" t="inlineStr">
        <is>
          <t>五名回合护盾成长</t>
        </is>
      </c>
      <c r="N155" t="inlineStr">
        <is>
          <t>进阶宠物三选一</t>
        </is>
      </c>
      <c r="O155" t="inlineStr">
        <is>
          <t>正式</t>
        </is>
      </c>
      <c r="P155" t="inlineStr">
        <is>
          <t>Day4 第二战低风险；威胁1362.5</t>
        </is>
      </c>
    </row>
    <row r="156" ht="42" customHeight="1" s="439">
      <c r="A156" t="inlineStr">
        <is>
          <t>enc_d04_evening_b</t>
        </is>
      </c>
      <c r="B156" t="inlineStr">
        <is>
          <t>enc_pool_d04_evening</t>
        </is>
      </c>
      <c r="C156" t="inlineStr">
        <is>
          <t>六返回廊</t>
        </is>
      </c>
      <c r="D156" t="n">
        <v>90</v>
      </c>
      <c r="E156" t="n">
        <v>4</v>
      </c>
      <c r="F156" t="inlineStr">
        <is>
          <t>下午</t>
        </is>
      </c>
      <c r="G156" t="n">
        <v>2</v>
      </c>
      <c r="H156" t="inlineStr">
        <is>
          <t>中段夜战</t>
        </is>
      </c>
      <c r="I156" t="inlineStr">
        <is>
          <t>wave_d04_evening_choice_b</t>
        </is>
      </c>
      <c r="J156" t="inlineStr">
        <is>
          <t>reward_pT3</t>
        </is>
      </c>
      <c r="K156" t="inlineStr">
        <is>
          <t>中风险</t>
        </is>
      </c>
      <c r="L156" t="inlineStr">
        <is>
          <t>雷 / 水、雷 / 雷 / 无 / 雷 / 草、雷</t>
        </is>
      </c>
      <c r="M156" t="inlineStr">
        <is>
          <t>六名反击</t>
        </is>
      </c>
      <c r="N156" t="inlineStr">
        <is>
          <t>高阶宠物三选一</t>
        </is>
      </c>
      <c r="O156" t="inlineStr">
        <is>
          <t>正式</t>
        </is>
      </c>
      <c r="P156" t="inlineStr">
        <is>
          <t>Day4 第二战中风险；威胁1458</t>
        </is>
      </c>
    </row>
    <row r="157" ht="21" customHeight="1" s="439">
      <c r="A157" t="inlineStr">
        <is>
          <t>enc_d04_evening_c</t>
        </is>
      </c>
      <c r="B157" t="inlineStr">
        <is>
          <t>enc_pool_d04_evening</t>
        </is>
      </c>
      <c r="C157" t="inlineStr">
        <is>
          <t>六将狂潮</t>
        </is>
      </c>
      <c r="D157" t="n">
        <v>80</v>
      </c>
      <c r="E157" t="n">
        <v>4</v>
      </c>
      <c r="F157" t="inlineStr">
        <is>
          <t>下午</t>
        </is>
      </c>
      <c r="G157" t="n">
        <v>2</v>
      </c>
      <c r="H157" t="inlineStr">
        <is>
          <t>中段夜战</t>
        </is>
      </c>
      <c r="I157" t="inlineStr">
        <is>
          <t>wave_d04_evening_choice_c</t>
        </is>
      </c>
      <c r="J157" t="inlineStr">
        <is>
          <t>reward_elite</t>
        </is>
      </c>
      <c r="K157" t="inlineStr">
        <is>
          <t>高风险</t>
        </is>
      </c>
      <c r="L157" t="inlineStr">
        <is>
          <t>雷 / 雷、龙 / 水 / 雷 / 雷 / 雷</t>
        </is>
      </c>
      <c r="M157" t="inlineStr">
        <is>
          <t>六名回合攻击成长</t>
        </is>
      </c>
      <c r="N157" t="inlineStr">
        <is>
          <t>精英专属奖励</t>
        </is>
      </c>
      <c r="O157" t="inlineStr">
        <is>
          <t>正式</t>
        </is>
      </c>
      <c r="P157" t="inlineStr">
        <is>
          <t>Day4 第二战高风险；威胁1594.8</t>
        </is>
      </c>
    </row>
    <row r="158" ht="21" customHeight="1" s="439">
      <c r="A158" t="inlineStr">
        <is>
          <t>enc_d05_midday_a</t>
        </is>
      </c>
      <c r="B158" t="inlineStr">
        <is>
          <t>enc_pool_d05_midday</t>
        </is>
      </c>
      <c r="C158" t="inlineStr">
        <is>
          <t>潮生守队</t>
        </is>
      </c>
      <c r="D158" t="n">
        <v>100</v>
      </c>
      <c r="E158" t="n">
        <v>5</v>
      </c>
      <c r="F158" t="inlineStr">
        <is>
          <t>上午</t>
        </is>
      </c>
      <c r="G158" t="n">
        <v>1</v>
      </c>
      <c r="H158" t="inlineStr">
        <is>
          <t>中期预热</t>
        </is>
      </c>
      <c r="I158" t="inlineStr">
        <is>
          <t>wave_d05_enc_regen</t>
        </is>
      </c>
      <c r="J158" t="inlineStr">
        <is>
          <t>reward_pT2</t>
        </is>
      </c>
      <c r="K158" t="inlineStr">
        <is>
          <t>低风险</t>
        </is>
      </c>
      <c r="L158" t="inlineStr">
        <is>
          <t>潮鹤精 / 潮鸾卫 / 沧鹤妖 / 碧蚌将</t>
        </is>
      </c>
      <c r="M158" t="inlineStr">
        <is>
          <t>四名护盾回复</t>
        </is>
      </c>
      <c r="N158" t="inlineStr">
        <is>
          <t>进阶宠物三选一</t>
        </is>
      </c>
      <c r="O158" t="inlineStr">
        <is>
          <t>正式</t>
        </is>
      </c>
      <c r="P158" t="inlineStr">
        <is>
          <t>Day5 4只护盾回复敌人</t>
        </is>
      </c>
    </row>
    <row r="159" ht="21" customHeight="1" s="439">
      <c r="A159" t="inlineStr">
        <is>
          <t>enc_d05_midday_b</t>
        </is>
      </c>
      <c r="B159" t="inlineStr">
        <is>
          <t>enc_pool_d05_midday</t>
        </is>
      </c>
      <c r="C159" t="inlineStr">
        <is>
          <t>五返猎群</t>
        </is>
      </c>
      <c r="D159" t="n">
        <v>90</v>
      </c>
      <c r="E159" t="n">
        <v>5</v>
      </c>
      <c r="F159" t="inlineStr">
        <is>
          <t>上午</t>
        </is>
      </c>
      <c r="G159" t="n">
        <v>1</v>
      </c>
      <c r="H159" t="inlineStr">
        <is>
          <t>中期预热</t>
        </is>
      </c>
      <c r="I159" t="inlineStr">
        <is>
          <t>wave_d05_enc_counter</t>
        </is>
      </c>
      <c r="J159" t="inlineStr">
        <is>
          <t>reward_pT3</t>
        </is>
      </c>
      <c r="K159" t="inlineStr">
        <is>
          <t>中风险</t>
        </is>
      </c>
      <c r="L159" t="inlineStr">
        <is>
          <t>霜貂卫 / 炎鳗精 / 电蟒精 / 寒貂卫 / 芽蛛将</t>
        </is>
      </c>
      <c r="M159" t="inlineStr">
        <is>
          <t>五名反击</t>
        </is>
      </c>
      <c r="N159" t="inlineStr">
        <is>
          <t>高阶宠物三选一</t>
        </is>
      </c>
      <c r="O159" t="inlineStr">
        <is>
          <t>正式</t>
        </is>
      </c>
      <c r="P159" t="inlineStr">
        <is>
          <t>Day5 5只反击敌人</t>
        </is>
      </c>
    </row>
    <row r="160" ht="21" customHeight="1" s="439">
      <c r="A160" t="inlineStr">
        <is>
          <t>enc_d05_midday_c</t>
        </is>
      </c>
      <c r="B160" t="inlineStr">
        <is>
          <t>enc_pool_d05_midday</t>
        </is>
      </c>
      <c r="C160" t="inlineStr">
        <is>
          <t>六将催锋</t>
        </is>
      </c>
      <c r="D160" t="n">
        <v>80</v>
      </c>
      <c r="E160" t="n">
        <v>5</v>
      </c>
      <c r="F160" t="inlineStr">
        <is>
          <t>上午</t>
        </is>
      </c>
      <c r="G160" t="n">
        <v>1</v>
      </c>
      <c r="H160" t="inlineStr">
        <is>
          <t>精英预热</t>
        </is>
      </c>
      <c r="I160" t="inlineStr">
        <is>
          <t>wave_d05_enc_growth</t>
        </is>
      </c>
      <c r="J160" t="inlineStr">
        <is>
          <t>reward_elite</t>
        </is>
      </c>
      <c r="K160" t="inlineStr">
        <is>
          <t>高风险</t>
        </is>
      </c>
      <c r="L160" t="inlineStr">
        <is>
          <t>蜜纹獾 / 沙鳞巨蟒 / 覆水龙龟 / 渊鳞黑蛟 / 覆海蛟王 / 白象护法</t>
        </is>
      </c>
      <c r="M160" t="inlineStr">
        <is>
          <t>六名回合攻击成长</t>
        </is>
      </c>
      <c r="N160" t="inlineStr">
        <is>
          <t>精英专属奖励</t>
        </is>
      </c>
      <c r="O160" t="inlineStr">
        <is>
          <t>正式</t>
        </is>
      </c>
      <c r="P160" t="inlineStr">
        <is>
          <t>Day5 6只回合攻击成长敌人</t>
        </is>
      </c>
    </row>
    <row r="161" ht="21" customHeight="1" s="439">
      <c r="A161" t="inlineStr">
        <is>
          <t>enc_d05_evening_fixed</t>
        </is>
      </c>
      <c r="B161" t="inlineStr">
        <is>
          <t>enc_pool_d05_evening</t>
        </is>
      </c>
      <c r="C161" t="inlineStr">
        <is>
          <t>六灵护夜</t>
        </is>
      </c>
      <c r="D161" t="n">
        <v>100</v>
      </c>
      <c r="E161" t="n">
        <v>5</v>
      </c>
      <c r="F161" t="inlineStr">
        <is>
          <t>下午</t>
        </is>
      </c>
      <c r="G161" t="n">
        <v>2</v>
      </c>
      <c r="H161" t="inlineStr">
        <is>
          <t>中期夜战</t>
        </is>
      </c>
      <c r="I161" t="inlineStr">
        <is>
          <t>wave_d05_evening_choice_a</t>
        </is>
      </c>
      <c r="J161" t="inlineStr">
        <is>
          <t>reward_pT2</t>
        </is>
      </c>
      <c r="K161" t="inlineStr">
        <is>
          <t>低风险</t>
        </is>
      </c>
      <c r="L161" t="inlineStr">
        <is>
          <t>水、雷 / 水 / 地、龙 / 水、雷 / 水、雷 / 雷、地</t>
        </is>
      </c>
      <c r="M161" t="inlineStr">
        <is>
          <t>六名护盾回复</t>
        </is>
      </c>
      <c r="N161" t="inlineStr">
        <is>
          <t>进阶宠物三选一</t>
        </is>
      </c>
      <c r="O161" t="inlineStr">
        <is>
          <t>正式</t>
        </is>
      </c>
      <c r="P161" t="inlineStr">
        <is>
          <t>Day5 第二战低风险；威胁1428</t>
        </is>
      </c>
    </row>
    <row r="162" ht="21" customHeight="1" s="439">
      <c r="A162" t="inlineStr">
        <is>
          <t>enc_d05_evening_b</t>
        </is>
      </c>
      <c r="B162" t="inlineStr">
        <is>
          <t>enc_pool_d05_evening</t>
        </is>
      </c>
      <c r="C162" t="inlineStr">
        <is>
          <t>六甲重关</t>
        </is>
      </c>
      <c r="D162" t="n">
        <v>80</v>
      </c>
      <c r="E162" t="n">
        <v>5</v>
      </c>
      <c r="F162" t="inlineStr">
        <is>
          <t>下午</t>
        </is>
      </c>
      <c r="G162" t="n">
        <v>2</v>
      </c>
      <c r="H162" t="inlineStr">
        <is>
          <t>中期夜战</t>
        </is>
      </c>
      <c r="I162" t="inlineStr">
        <is>
          <t>wave_d05_evening_choice_b</t>
        </is>
      </c>
      <c r="J162" t="inlineStr">
        <is>
          <t>reward_elite</t>
        </is>
      </c>
      <c r="K162" t="inlineStr">
        <is>
          <t>高风险</t>
        </is>
      </c>
      <c r="L162" t="inlineStr">
        <is>
          <t>水、地 / 水、地 / 地 / 雷、地 / 地 / 水、地</t>
        </is>
      </c>
      <c r="M162" t="inlineStr">
        <is>
          <t>六名护甲减伤</t>
        </is>
      </c>
      <c r="N162" t="inlineStr">
        <is>
          <t>精英专属奖励</t>
        </is>
      </c>
      <c r="O162" t="inlineStr">
        <is>
          <t>正式</t>
        </is>
      </c>
      <c r="P162" t="inlineStr">
        <is>
          <t>Day5 第二战高风险；威胁1581</t>
        </is>
      </c>
    </row>
    <row r="163" ht="21" customHeight="1" s="439">
      <c r="A163" t="inlineStr">
        <is>
          <t>enc_d05_evening_c</t>
        </is>
      </c>
      <c r="B163" t="inlineStr">
        <is>
          <t>enc_pool_d05_evening</t>
        </is>
      </c>
      <c r="C163" t="inlineStr">
        <is>
          <t>爆返伏阵</t>
        </is>
      </c>
      <c r="D163" t="n">
        <v>90</v>
      </c>
      <c r="E163" t="n">
        <v>5</v>
      </c>
      <c r="F163" t="inlineStr">
        <is>
          <t>下午</t>
        </is>
      </c>
      <c r="G163" t="n">
        <v>2</v>
      </c>
      <c r="H163" t="inlineStr">
        <is>
          <t>中期夜战</t>
        </is>
      </c>
      <c r="I163" t="inlineStr">
        <is>
          <t>wave_d05_evening_choice_c</t>
        </is>
      </c>
      <c r="J163" t="inlineStr">
        <is>
          <t>reward_pT3</t>
        </is>
      </c>
      <c r="K163" t="inlineStr">
        <is>
          <t>中风险</t>
        </is>
      </c>
      <c r="L163" t="inlineStr">
        <is>
          <t>水、雷 / 水、雷 / 暗 / 水 / 冰、水 / 草、水</t>
        </is>
      </c>
      <c r="M163" t="inlineStr">
        <is>
          <t>三名死亡爆炸 / 三名反击</t>
        </is>
      </c>
      <c r="N163" t="inlineStr">
        <is>
          <t>高阶宠物三选一</t>
        </is>
      </c>
      <c r="O163" t="inlineStr">
        <is>
          <t>正式</t>
        </is>
      </c>
      <c r="P163" t="inlineStr">
        <is>
          <t>Day5 第二战中风险；威胁1752</t>
        </is>
      </c>
    </row>
    <row r="164" ht="21" customHeight="1" s="439">
      <c r="A164" t="inlineStr">
        <is>
          <t>enc_d06_midday_a</t>
        </is>
      </c>
      <c r="B164" t="inlineStr">
        <is>
          <t>enc_pool_d06_midday</t>
        </is>
      </c>
      <c r="C164" t="inlineStr">
        <is>
          <t>龙龟稳压阵</t>
        </is>
      </c>
      <c r="D164" t="n">
        <v>100</v>
      </c>
      <c r="E164" t="n">
        <v>6</v>
      </c>
      <c r="F164" t="inlineStr">
        <is>
          <t>上午</t>
        </is>
      </c>
      <c r="G164" t="n">
        <v>1</v>
      </c>
      <c r="H164" t="inlineStr">
        <is>
          <t>中期遭遇</t>
        </is>
      </c>
      <c r="I164" t="inlineStr">
        <is>
          <t>wave_d06_enc_anchor</t>
        </is>
      </c>
      <c r="J164" t="inlineStr">
        <is>
          <t>reward_pT2</t>
        </is>
      </c>
      <c r="K164" t="inlineStr">
        <is>
          <t>低风险</t>
        </is>
      </c>
      <c r="L164" t="inlineStr">
        <is>
          <t>三首火犬 / 覆水龙龟 / 连理双鹿 / 冰峰巨驼 / 青林巨象</t>
        </is>
      </c>
      <c r="M164" t="inlineStr">
        <is>
          <t>双反击 / 护盾回复 / 回合攻击成长</t>
        </is>
      </c>
      <c r="N164" t="inlineStr">
        <is>
          <t>进阶宠物三选一</t>
        </is>
      </c>
      <c r="O164" t="inlineStr">
        <is>
          <t>正式</t>
        </is>
      </c>
      <c r="P164" t="inlineStr">
        <is>
          <t>Day6 稳妥路线；6只白银敌人</t>
        </is>
      </c>
    </row>
    <row r="165" ht="21" customHeight="1" s="439">
      <c r="A165" t="inlineStr">
        <is>
          <t>enc_d06_midday_b</t>
        </is>
      </c>
      <c r="B165" t="inlineStr">
        <is>
          <t>enc_pool_d06_midday</t>
        </is>
      </c>
      <c r="C165" t="inlineStr">
        <is>
          <t>熔雷突袭群</t>
        </is>
      </c>
      <c r="D165" t="n">
        <v>90</v>
      </c>
      <c r="E165" t="n">
        <v>6</v>
      </c>
      <c r="F165" t="inlineStr">
        <is>
          <t>上午</t>
        </is>
      </c>
      <c r="G165" t="n">
        <v>1</v>
      </c>
      <c r="H165" t="inlineStr">
        <is>
          <t>中期遭遇</t>
        </is>
      </c>
      <c r="I165" t="inlineStr">
        <is>
          <t>wave_d06_enc_assault</t>
        </is>
      </c>
      <c r="J165" t="inlineStr">
        <is>
          <t>reward_pT3</t>
        </is>
      </c>
      <c r="K165" t="inlineStr">
        <is>
          <t>中风险</t>
        </is>
      </c>
      <c r="L165" t="inlineStr">
        <is>
          <t>雷泽青蛟 / 海棠水鹿 / 百花灵鹿 / 熔岩巨兽 / 云顶巨驼 / 焰羽赤雕</t>
        </is>
      </c>
      <c r="M165" t="inlineStr">
        <is>
          <t>四名回合攻击成长 / 火层增伤</t>
        </is>
      </c>
      <c r="N165" t="inlineStr">
        <is>
          <t>高阶宠物三选一</t>
        </is>
      </c>
      <c r="O165" t="inlineStr">
        <is>
          <t>正式</t>
        </is>
      </c>
      <c r="P165" t="inlineStr">
        <is>
          <t>Day6 进取路线；6只白银/黄金混编敌人</t>
        </is>
      </c>
    </row>
    <row r="166" ht="30" customHeight="1" s="439">
      <c r="A166" t="inlineStr">
        <is>
          <t>enc_d06_midday_c</t>
        </is>
      </c>
      <c r="B166" t="inlineStr">
        <is>
          <t>enc_pool_d06_midday</t>
        </is>
      </c>
      <c r="C166" t="inlineStr">
        <is>
          <t>反击成长精英团</t>
        </is>
      </c>
      <c r="D166" t="n">
        <v>80</v>
      </c>
      <c r="E166" t="n">
        <v>6</v>
      </c>
      <c r="F166" t="inlineStr">
        <is>
          <t>上午</t>
        </is>
      </c>
      <c r="G166" t="n">
        <v>1</v>
      </c>
      <c r="H166" t="inlineStr">
        <is>
          <t>精英战</t>
        </is>
      </c>
      <c r="I166" t="inlineStr">
        <is>
          <t>wave_d06_enc_elite</t>
        </is>
      </c>
      <c r="J166" t="inlineStr">
        <is>
          <t>reward_elite</t>
        </is>
      </c>
      <c r="K166" t="inlineStr">
        <is>
          <t>高风险</t>
        </is>
      </c>
      <c r="L166" t="inlineStr">
        <is>
          <t>黄背牛 / 月镰螳螂 / 苍焰赤豺 / 寒岩巨兽 / 白牙雪象 / 天羽云螭</t>
        </is>
      </c>
      <c r="M166" t="inlineStr">
        <is>
          <t>护甲减伤 / 三名反击 / 回合攻盾成长</t>
        </is>
      </c>
      <c r="N166" t="inlineStr">
        <is>
          <t>精英专属奖励</t>
        </is>
      </c>
      <c r="O166" t="inlineStr">
        <is>
          <t>正式</t>
        </is>
      </c>
      <c r="P166" t="inlineStr">
        <is>
          <t>Day6 机制精英路线；6只黄金敌人</t>
        </is>
      </c>
    </row>
    <row r="167" ht="30" customHeight="1" s="439">
      <c r="A167" t="inlineStr">
        <is>
          <t>enc_d06_evening_fixed</t>
        </is>
      </c>
      <c r="B167" t="inlineStr">
        <is>
          <t>enc_pool_d06_evening</t>
        </is>
      </c>
      <c r="C167" t="inlineStr">
        <is>
          <t>祖灵回潮</t>
        </is>
      </c>
      <c r="D167" t="n">
        <v>90</v>
      </c>
      <c r="E167" t="n">
        <v>6</v>
      </c>
      <c r="F167" t="inlineStr">
        <is>
          <t>下午</t>
        </is>
      </c>
      <c r="G167" t="n">
        <v>2</v>
      </c>
      <c r="H167" t="inlineStr">
        <is>
          <t>高阶夜战</t>
        </is>
      </c>
      <c r="I167" t="inlineStr">
        <is>
          <t>wave_d06_evening_choice_a</t>
        </is>
      </c>
      <c r="J167" t="inlineStr">
        <is>
          <t>reward_pT3</t>
        </is>
      </c>
      <c r="K167" t="inlineStr">
        <is>
          <t>中风险</t>
        </is>
      </c>
      <c r="L167" t="inlineStr">
        <is>
          <t>水 / 水、地 / 水、雷 / 水、地 / 草、水 / 地</t>
        </is>
      </c>
      <c r="M167" t="inlineStr">
        <is>
          <t>六名护盾回复</t>
        </is>
      </c>
      <c r="N167" t="inlineStr">
        <is>
          <t>高阶宠物三选一</t>
        </is>
      </c>
      <c r="O167" t="inlineStr">
        <is>
          <t>正式</t>
        </is>
      </c>
      <c r="P167" t="inlineStr">
        <is>
          <t>Day6 第二战中风险；威胁1785</t>
        </is>
      </c>
    </row>
    <row r="168" ht="42" customHeight="1" s="439">
      <c r="A168" t="inlineStr">
        <is>
          <t>enc_d06_evening_b</t>
        </is>
      </c>
      <c r="B168" t="inlineStr">
        <is>
          <t>enc_pool_d06_evening</t>
        </is>
      </c>
      <c r="C168" t="inlineStr">
        <is>
          <t>夜幕反围</t>
        </is>
      </c>
      <c r="D168" t="n">
        <v>100</v>
      </c>
      <c r="E168" t="n">
        <v>6</v>
      </c>
      <c r="F168" t="inlineStr">
        <is>
          <t>下午</t>
        </is>
      </c>
      <c r="G168" t="n">
        <v>2</v>
      </c>
      <c r="H168" t="inlineStr">
        <is>
          <t>高阶夜战</t>
        </is>
      </c>
      <c r="I168" t="inlineStr">
        <is>
          <t>wave_d06_evening_choice_b</t>
        </is>
      </c>
      <c r="J168" t="inlineStr">
        <is>
          <t>reward_pT2</t>
        </is>
      </c>
      <c r="K168" t="inlineStr">
        <is>
          <t>低风险</t>
        </is>
      </c>
      <c r="L168" t="inlineStr">
        <is>
          <t>雷 / 水 / 水、龙 / 冰、水 / 冰 / 草、水</t>
        </is>
      </c>
      <c r="M168" t="inlineStr">
        <is>
          <t>六名反击</t>
        </is>
      </c>
      <c r="N168" t="inlineStr">
        <is>
          <t>进阶宠物三选一</t>
        </is>
      </c>
      <c r="O168" t="inlineStr">
        <is>
          <t>正式</t>
        </is>
      </c>
      <c r="P168" t="inlineStr">
        <is>
          <t>Day6 第二战低风险；威胁1912</t>
        </is>
      </c>
    </row>
    <row r="169" ht="21" customHeight="1" s="439">
      <c r="A169" t="inlineStr">
        <is>
          <t>enc_d06_evening_c</t>
        </is>
      </c>
      <c r="B169" t="inlineStr">
        <is>
          <t>enc_pool_d06_evening</t>
        </is>
      </c>
      <c r="C169" t="inlineStr">
        <is>
          <t>怒潮六兽</t>
        </is>
      </c>
      <c r="D169" t="n">
        <v>80</v>
      </c>
      <c r="E169" t="n">
        <v>6</v>
      </c>
      <c r="F169" t="inlineStr">
        <is>
          <t>下午</t>
        </is>
      </c>
      <c r="G169" t="n">
        <v>2</v>
      </c>
      <c r="H169" t="inlineStr">
        <is>
          <t>高阶夜战</t>
        </is>
      </c>
      <c r="I169" t="inlineStr">
        <is>
          <t>wave_d06_evening_choice_c</t>
        </is>
      </c>
      <c r="J169" t="inlineStr">
        <is>
          <t>reward_elite</t>
        </is>
      </c>
      <c r="K169" t="inlineStr">
        <is>
          <t>高风险</t>
        </is>
      </c>
      <c r="L169" t="inlineStr">
        <is>
          <t>雷 / 雷 / 地 / 龙 / 雷 / 雷</t>
        </is>
      </c>
      <c r="M169" t="inlineStr">
        <is>
          <t>六名回合攻击成长</t>
        </is>
      </c>
      <c r="N169" t="inlineStr">
        <is>
          <t>精英专属奖励</t>
        </is>
      </c>
      <c r="O169" t="inlineStr">
        <is>
          <t>正式</t>
        </is>
      </c>
      <c r="P169" t="inlineStr">
        <is>
          <t>Day6 第二战高风险；威胁2196</t>
        </is>
      </c>
    </row>
    <row r="170" ht="21" customHeight="1" s="439">
      <c r="A170" t="inlineStr">
        <is>
          <t>enc_d07_midday_a</t>
        </is>
      </c>
      <c r="B170" t="inlineStr">
        <is>
          <t>enc_pool_d07_midday</t>
        </is>
      </c>
      <c r="C170" t="inlineStr">
        <is>
          <t>重甲四卫</t>
        </is>
      </c>
      <c r="D170" t="n">
        <v>100</v>
      </c>
      <c r="E170" t="n">
        <v>7</v>
      </c>
      <c r="F170" t="inlineStr">
        <is>
          <t>上午</t>
        </is>
      </c>
      <c r="G170" t="n">
        <v>1</v>
      </c>
      <c r="H170" t="inlineStr">
        <is>
          <t>高阶续战</t>
        </is>
      </c>
      <c r="I170" t="inlineStr">
        <is>
          <t>wave_d07_enc_armor</t>
        </is>
      </c>
      <c r="J170" t="inlineStr">
        <is>
          <t>reward_pT2</t>
        </is>
      </c>
      <c r="K170" t="inlineStr">
        <is>
          <t>低风险</t>
        </is>
      </c>
      <c r="L170" t="inlineStr">
        <is>
          <t>迅雷金雕 / 百花鹿仙 / 石甲将 / 霆熊卫</t>
        </is>
      </c>
      <c r="M170" t="inlineStr">
        <is>
          <t>四名护甲减伤</t>
        </is>
      </c>
      <c r="N170" t="inlineStr">
        <is>
          <t>进阶宠物三选一</t>
        </is>
      </c>
      <c r="O170" t="inlineStr">
        <is>
          <t>正式</t>
        </is>
      </c>
      <c r="P170" t="inlineStr">
        <is>
          <t>Day7 4只高强度护甲敌人</t>
        </is>
      </c>
    </row>
    <row r="171" ht="21" customHeight="1" s="439">
      <c r="A171" t="inlineStr">
        <is>
          <t>enc_d07_midday_b</t>
        </is>
      </c>
      <c r="B171" t="inlineStr">
        <is>
          <t>enc_pool_d07_midday</t>
        </is>
      </c>
      <c r="C171" t="inlineStr">
        <is>
          <t>开盾城垒</t>
        </is>
      </c>
      <c r="D171" t="n">
        <v>90</v>
      </c>
      <c r="E171" t="n">
        <v>7</v>
      </c>
      <c r="F171" t="inlineStr">
        <is>
          <t>上午</t>
        </is>
      </c>
      <c r="G171" t="n">
        <v>1</v>
      </c>
      <c r="H171" t="inlineStr">
        <is>
          <t>高阶续战</t>
        </is>
      </c>
      <c r="I171" t="inlineStr">
        <is>
          <t>wave_d07_enc_opening_shield</t>
        </is>
      </c>
      <c r="J171" t="inlineStr">
        <is>
          <t>reward_pT3</t>
        </is>
      </c>
      <c r="K171" t="inlineStr">
        <is>
          <t>中风险</t>
        </is>
      </c>
      <c r="L171" t="inlineStr">
        <is>
          <t>云鳞幼螭 / 九霄熊王 / 岩獒精 / 凯夫小兽 / 潮甲君</t>
        </is>
      </c>
      <c r="M171" t="inlineStr">
        <is>
          <t>五名开场护盾</t>
        </is>
      </c>
      <c r="N171" t="inlineStr">
        <is>
          <t>高阶宠物三选一</t>
        </is>
      </c>
      <c r="O171" t="inlineStr">
        <is>
          <t>正式</t>
        </is>
      </c>
      <c r="P171" t="inlineStr">
        <is>
          <t>Day7 5只开场护盾敌人</t>
        </is>
      </c>
    </row>
    <row r="172" ht="21" customHeight="1" s="439">
      <c r="A172" t="inlineStr">
        <is>
          <t>enc_d07_midday_c</t>
        </is>
      </c>
      <c r="B172" t="inlineStr">
        <is>
          <t>enc_pool_d07_midday</t>
        </is>
      </c>
      <c r="C172" t="inlineStr">
        <is>
          <t>怒潮六将</t>
        </is>
      </c>
      <c r="D172" t="n">
        <v>80</v>
      </c>
      <c r="E172" t="n">
        <v>7</v>
      </c>
      <c r="F172" t="inlineStr">
        <is>
          <t>上午</t>
        </is>
      </c>
      <c r="G172" t="n">
        <v>1</v>
      </c>
      <c r="H172" t="inlineStr">
        <is>
          <t>精英续战</t>
        </is>
      </c>
      <c r="I172" t="inlineStr">
        <is>
          <t>wave_d07_enc_growth</t>
        </is>
      </c>
      <c r="J172" t="inlineStr">
        <is>
          <t>reward_elite</t>
        </is>
      </c>
      <c r="K172" t="inlineStr">
        <is>
          <t>高风险</t>
        </is>
      </c>
      <c r="L172" t="inlineStr">
        <is>
          <t>冰棘豪猪 / 混世魔猿 / 沙狮神 / 角豹神 / 霆虎神 / 霆鲨皇</t>
        </is>
      </c>
      <c r="M172" t="inlineStr">
        <is>
          <t>六名回合攻击成长</t>
        </is>
      </c>
      <c r="N172" t="inlineStr">
        <is>
          <t>精英专属奖励</t>
        </is>
      </c>
      <c r="O172" t="inlineStr">
        <is>
          <t>正式</t>
        </is>
      </c>
      <c r="P172" t="inlineStr">
        <is>
          <t>Day7 6只高强度回合攻击成长敌人</t>
        </is>
      </c>
    </row>
    <row r="173" ht="21" customHeight="1" s="439">
      <c r="A173" t="inlineStr">
        <is>
          <t>enc_d07_evening_fixed</t>
        </is>
      </c>
      <c r="B173" t="inlineStr">
        <is>
          <t>enc_pool_d07_evening</t>
        </is>
      </c>
      <c r="C173" t="inlineStr">
        <is>
          <t>金甲森城</t>
        </is>
      </c>
      <c r="D173" t="n">
        <v>90</v>
      </c>
      <c r="E173" t="n">
        <v>7</v>
      </c>
      <c r="F173" t="inlineStr">
        <is>
          <t>下午</t>
        </is>
      </c>
      <c r="G173" t="n">
        <v>2</v>
      </c>
      <c r="H173" t="inlineStr">
        <is>
          <t>后期夜战</t>
        </is>
      </c>
      <c r="I173" t="inlineStr">
        <is>
          <t>wave_d07_evening_choice_a</t>
        </is>
      </c>
      <c r="J173" t="inlineStr">
        <is>
          <t>reward_elite</t>
        </is>
      </c>
      <c r="K173" t="inlineStr">
        <is>
          <t>中风险</t>
        </is>
      </c>
      <c r="L173" t="inlineStr">
        <is>
          <t>水、地 / 地 / 雷、地 / 地 / 水、地 / 雷、地</t>
        </is>
      </c>
      <c r="M173" t="inlineStr">
        <is>
          <t>六名护甲减伤</t>
        </is>
      </c>
      <c r="N173" t="inlineStr">
        <is>
          <t>精英专属奖励</t>
        </is>
      </c>
      <c r="O173" t="inlineStr">
        <is>
          <t>正式</t>
        </is>
      </c>
      <c r="P173" t="inlineStr">
        <is>
          <t>Day7 第二战中风险；威胁2156</t>
        </is>
      </c>
    </row>
    <row r="174">
      <c r="A174" t="inlineStr">
        <is>
          <t>enc_d07_evening_b</t>
        </is>
      </c>
      <c r="B174" t="inlineStr">
        <is>
          <t>enc_pool_d07_evening</t>
        </is>
      </c>
      <c r="C174" t="inlineStr">
        <is>
          <t>百刃夜阵</t>
        </is>
      </c>
      <c r="D174" t="n">
        <v>100</v>
      </c>
      <c r="E174" t="n">
        <v>7</v>
      </c>
      <c r="F174" t="inlineStr">
        <is>
          <t>下午</t>
        </is>
      </c>
      <c r="G174" t="n">
        <v>2</v>
      </c>
      <c r="H174" t="inlineStr">
        <is>
          <t>后期夜战</t>
        </is>
      </c>
      <c r="I174" t="inlineStr">
        <is>
          <t>wave_d07_evening_choice_b</t>
        </is>
      </c>
      <c r="J174" t="inlineStr">
        <is>
          <t>reward_pT3</t>
        </is>
      </c>
      <c r="K174" t="inlineStr">
        <is>
          <t>低风险</t>
        </is>
      </c>
      <c r="L174" t="inlineStr">
        <is>
          <t>雷 / 水 / 水、龙 / 冰、水 / 冰 / 草、水</t>
        </is>
      </c>
      <c r="M174" t="inlineStr">
        <is>
          <t>六名反击</t>
        </is>
      </c>
      <c r="N174" t="inlineStr">
        <is>
          <t>高阶宠物三选一</t>
        </is>
      </c>
      <c r="O174" t="inlineStr">
        <is>
          <t>正式</t>
        </is>
      </c>
      <c r="P174" t="inlineStr">
        <is>
          <t>Day7 第二战低风险；威胁2198.8</t>
        </is>
      </c>
    </row>
    <row r="175">
      <c r="A175" t="inlineStr">
        <is>
          <t>enc_d07_evening_c</t>
        </is>
      </c>
      <c r="B175" t="inlineStr">
        <is>
          <t>enc_pool_d07_evening</t>
        </is>
      </c>
      <c r="C175" t="inlineStr">
        <is>
          <t>终途催锋</t>
        </is>
      </c>
      <c r="D175" t="n">
        <v>80</v>
      </c>
      <c r="E175" t="n">
        <v>7</v>
      </c>
      <c r="F175" t="inlineStr">
        <is>
          <t>下午</t>
        </is>
      </c>
      <c r="G175" t="n">
        <v>2</v>
      </c>
      <c r="H175" t="inlineStr">
        <is>
          <t>后期夜战</t>
        </is>
      </c>
      <c r="I175" t="inlineStr">
        <is>
          <t>wave_d07_evening_choice_c</t>
        </is>
      </c>
      <c r="J175" t="inlineStr">
        <is>
          <t>reward_pT4</t>
        </is>
      </c>
      <c r="K175" t="inlineStr">
        <is>
          <t>高风险</t>
        </is>
      </c>
      <c r="L175" t="inlineStr">
        <is>
          <t>雷 / 地 / 龙 / 雷 / 冰 / 雷</t>
        </is>
      </c>
      <c r="M175" t="inlineStr">
        <is>
          <t>六名回合攻击成长</t>
        </is>
      </c>
      <c r="N175" t="inlineStr">
        <is>
          <t>钻石宠物三选一</t>
        </is>
      </c>
      <c r="O175" t="inlineStr">
        <is>
          <t>正式</t>
        </is>
      </c>
      <c r="P175" t="inlineStr">
        <is>
          <t>Day7 第二战高风险；威胁2571.4</t>
        </is>
      </c>
    </row>
    <row r="176">
      <c r="A176" t="inlineStr">
        <is>
          <t>enc_d08_midday_a</t>
        </is>
      </c>
      <c r="B176" t="inlineStr">
        <is>
          <t>enc_pool_d08_midday</t>
        </is>
      </c>
      <c r="C176" t="inlineStr">
        <is>
          <t>不息神眷</t>
        </is>
      </c>
      <c r="D176" t="n">
        <v>100</v>
      </c>
      <c r="E176" t="n">
        <v>8</v>
      </c>
      <c r="F176" t="inlineStr">
        <is>
          <t>上午</t>
        </is>
      </c>
      <c r="G176" t="n">
        <v>1</v>
      </c>
      <c r="H176" t="inlineStr">
        <is>
          <t>后期升压</t>
        </is>
      </c>
      <c r="I176" t="inlineStr">
        <is>
          <t>wave_d08_enc_regen</t>
        </is>
      </c>
      <c r="J176" t="inlineStr">
        <is>
          <t>reward_pT2</t>
        </is>
      </c>
      <c r="K176" t="inlineStr">
        <is>
          <t>低风险</t>
        </is>
      </c>
      <c r="L176" t="inlineStr">
        <is>
          <t>焰尾山狐 / 沧鲤祖 / 澜兔祖 / 碧兔神 / 沧鹤神</t>
        </is>
      </c>
      <c r="M176" t="inlineStr">
        <is>
          <t>五名护盾回复</t>
        </is>
      </c>
      <c r="N176" t="inlineStr">
        <is>
          <t>进阶宠物三选一</t>
        </is>
      </c>
      <c r="O176" t="inlineStr">
        <is>
          <t>正式</t>
        </is>
      </c>
      <c r="P176" t="inlineStr">
        <is>
          <t>Day8 5只白银/黄金护盾回复敌人</t>
        </is>
      </c>
    </row>
    <row r="177">
      <c r="A177" t="inlineStr">
        <is>
          <t>enc_d08_midday_b</t>
        </is>
      </c>
      <c r="B177" t="inlineStr">
        <is>
          <t>enc_pool_d08_midday</t>
        </is>
      </c>
      <c r="C177" t="inlineStr">
        <is>
          <t>六返伏线</t>
        </is>
      </c>
      <c r="D177" t="n">
        <v>90</v>
      </c>
      <c r="E177" t="n">
        <v>8</v>
      </c>
      <c r="F177" t="inlineStr">
        <is>
          <t>上午</t>
        </is>
      </c>
      <c r="G177" t="n">
        <v>1</v>
      </c>
      <c r="H177" t="inlineStr">
        <is>
          <t>后期升压</t>
        </is>
      </c>
      <c r="I177" t="inlineStr">
        <is>
          <t>wave_d08_enc_counter</t>
        </is>
      </c>
      <c r="J177" t="inlineStr">
        <is>
          <t>reward_pT3</t>
        </is>
      </c>
      <c r="K177" t="inlineStr">
        <is>
          <t>中风险</t>
        </is>
      </c>
      <c r="L177" t="inlineStr">
        <is>
          <t>疾风狼 / 丹角火麟 / 食梦黑貘 / 白牙雪象 / 寒狐祖 / 夜幕巨蝠</t>
        </is>
      </c>
      <c r="M177" t="inlineStr">
        <is>
          <t>六名反击</t>
        </is>
      </c>
      <c r="N177" t="inlineStr">
        <is>
          <t>高阶宠物三选一</t>
        </is>
      </c>
      <c r="O177" t="inlineStr">
        <is>
          <t>正式</t>
        </is>
      </c>
      <c r="P177" t="inlineStr">
        <is>
          <t>Day8 6只黄金/钻石反击敌人</t>
        </is>
      </c>
    </row>
    <row r="178">
      <c r="A178" t="inlineStr">
        <is>
          <t>enc_d08_midday_c</t>
        </is>
      </c>
      <c r="B178" t="inlineStr">
        <is>
          <t>enc_pool_d08_midday</t>
        </is>
      </c>
      <c r="C178" t="inlineStr">
        <is>
          <t>爆巢续盾</t>
        </is>
      </c>
      <c r="D178" t="n">
        <v>80</v>
      </c>
      <c r="E178" t="n">
        <v>8</v>
      </c>
      <c r="F178" t="inlineStr">
        <is>
          <t>上午</t>
        </is>
      </c>
      <c r="G178" t="n">
        <v>1</v>
      </c>
      <c r="H178" t="inlineStr">
        <is>
          <t>后期升压</t>
        </is>
      </c>
      <c r="I178" t="inlineStr">
        <is>
          <t>wave_d08_enc_bomb_growth</t>
        </is>
      </c>
      <c r="J178" t="inlineStr">
        <is>
          <t>reward_pT4</t>
        </is>
      </c>
      <c r="K178" t="inlineStr">
        <is>
          <t>高风险</t>
        </is>
      </c>
      <c r="L178" t="inlineStr">
        <is>
          <t>藤巢蜂 / 白眉雪猿 / 墨蝎王 / 天羽云螭 / 渊蚁皇 / 霆鲨皇</t>
        </is>
      </c>
      <c r="M178" t="inlineStr">
        <is>
          <t>三名死亡爆炸 / 双回合护盾成长 / 回合攻击成长</t>
        </is>
      </c>
      <c r="N178" t="inlineStr">
        <is>
          <t>钻石宠物三选一</t>
        </is>
      </c>
      <c r="O178" t="inlineStr">
        <is>
          <t>正式</t>
        </is>
      </c>
      <c r="P178" t="inlineStr">
        <is>
          <t>Day8 6只钻石爆炸成长混编敌人</t>
        </is>
      </c>
    </row>
    <row r="179">
      <c r="A179" t="inlineStr">
        <is>
          <t>enc_d08_evening_fixed</t>
        </is>
      </c>
      <c r="B179" t="inlineStr">
        <is>
          <t>enc_pool_d08_evening</t>
        </is>
      </c>
      <c r="C179" t="inlineStr">
        <is>
          <t>不息神潮</t>
        </is>
      </c>
      <c r="D179" t="n">
        <v>90</v>
      </c>
      <c r="E179" t="n">
        <v>8</v>
      </c>
      <c r="F179" t="inlineStr">
        <is>
          <t>下午</t>
        </is>
      </c>
      <c r="G179" t="n">
        <v>2</v>
      </c>
      <c r="H179" t="inlineStr">
        <is>
          <t>终战夜战</t>
        </is>
      </c>
      <c r="I179" t="inlineStr">
        <is>
          <t>wave_d08_evening_choice_a</t>
        </is>
      </c>
      <c r="J179" t="inlineStr">
        <is>
          <t>reward_elite</t>
        </is>
      </c>
      <c r="K179" t="inlineStr">
        <is>
          <t>中风险</t>
        </is>
      </c>
      <c r="L179" t="inlineStr">
        <is>
          <t>水、雷 / 地 / 水 / 水、地 / 水、雷 / 水、地</t>
        </is>
      </c>
      <c r="M179" t="inlineStr">
        <is>
          <t>六名护盾回复</t>
        </is>
      </c>
      <c r="N179" t="inlineStr">
        <is>
          <t>精英专属奖励</t>
        </is>
      </c>
      <c r="O179" t="inlineStr">
        <is>
          <t>正式</t>
        </is>
      </c>
      <c r="P179" t="inlineStr">
        <is>
          <t>Day8 第二战中风险；威胁2321.8</t>
        </is>
      </c>
    </row>
    <row r="180">
      <c r="A180" t="inlineStr">
        <is>
          <t>enc_d08_evening_b</t>
        </is>
      </c>
      <c r="B180" t="inlineStr">
        <is>
          <t>enc_pool_d08_evening</t>
        </is>
      </c>
      <c r="C180" t="inlineStr">
        <is>
          <t>万刃星幕</t>
        </is>
      </c>
      <c r="D180" t="n">
        <v>100</v>
      </c>
      <c r="E180" t="n">
        <v>8</v>
      </c>
      <c r="F180" t="inlineStr">
        <is>
          <t>下午</t>
        </is>
      </c>
      <c r="G180" t="n">
        <v>2</v>
      </c>
      <c r="H180" t="inlineStr">
        <is>
          <t>终战夜战</t>
        </is>
      </c>
      <c r="I180" t="inlineStr">
        <is>
          <t>wave_d08_evening_choice_b</t>
        </is>
      </c>
      <c r="J180" t="inlineStr">
        <is>
          <t>reward_pT3</t>
        </is>
      </c>
      <c r="K180" t="inlineStr">
        <is>
          <t>低风险</t>
        </is>
      </c>
      <c r="L180" t="inlineStr">
        <is>
          <t>雷 / 水 / 水、龙 / 冰、水 / 冰 / 草、水</t>
        </is>
      </c>
      <c r="M180" t="inlineStr">
        <is>
          <t>六名反击</t>
        </is>
      </c>
      <c r="N180" t="inlineStr">
        <is>
          <t>高阶宠物三选一</t>
        </is>
      </c>
      <c r="O180" t="inlineStr">
        <is>
          <t>正式</t>
        </is>
      </c>
      <c r="P180" t="inlineStr">
        <is>
          <t>Day8 第二战低风险；威胁2390</t>
        </is>
      </c>
    </row>
    <row r="181">
      <c r="A181" t="inlineStr">
        <is>
          <t>enc_d08_evening_c</t>
        </is>
      </c>
      <c r="B181" t="inlineStr">
        <is>
          <t>enc_pool_d08_evening</t>
        </is>
      </c>
      <c r="C181" t="inlineStr">
        <is>
          <t>爆巢汐阵</t>
        </is>
      </c>
      <c r="D181" t="n">
        <v>80</v>
      </c>
      <c r="E181" t="n">
        <v>8</v>
      </c>
      <c r="F181" t="inlineStr">
        <is>
          <t>下午</t>
        </is>
      </c>
      <c r="G181" t="n">
        <v>2</v>
      </c>
      <c r="H181" t="inlineStr">
        <is>
          <t>终战夜战</t>
        </is>
      </c>
      <c r="I181" t="inlineStr">
        <is>
          <t>wave_d08_evening_choice_c</t>
        </is>
      </c>
      <c r="J181" t="inlineStr">
        <is>
          <t>reward_pT4</t>
        </is>
      </c>
      <c r="K181" t="inlineStr">
        <is>
          <t>高风险</t>
        </is>
      </c>
      <c r="L181" t="inlineStr">
        <is>
          <t>水、雷 / 水、雷 / 暗 / 水、雷 / 地 / 水</t>
        </is>
      </c>
      <c r="M181" t="inlineStr">
        <is>
          <t>三名死亡爆炸 / 三名护盾回复</t>
        </is>
      </c>
      <c r="N181" t="inlineStr">
        <is>
          <t>钻石宠物三选一</t>
        </is>
      </c>
      <c r="O181" t="inlineStr">
        <is>
          <t>正式</t>
        </is>
      </c>
      <c r="P181" t="inlineStr">
        <is>
          <t>Day8 第二战高风险；威胁2522.5</t>
        </is>
      </c>
    </row>
    <row r="182">
      <c r="A182" t="inlineStr">
        <is>
          <t>enc_d09_midday_a</t>
        </is>
      </c>
      <c r="B182" t="inlineStr">
        <is>
          <t>enc_pool_d09_midday</t>
        </is>
      </c>
      <c r="C182" t="inlineStr">
        <is>
          <t>王侯守备线</t>
        </is>
      </c>
      <c r="D182" t="n">
        <v>100</v>
      </c>
      <c r="E182" t="n">
        <v>9</v>
      </c>
      <c r="F182" t="inlineStr">
        <is>
          <t>上午</t>
        </is>
      </c>
      <c r="G182" t="n">
        <v>1</v>
      </c>
      <c r="H182" t="inlineStr">
        <is>
          <t>终战备战</t>
        </is>
      </c>
      <c r="I182" t="inlineStr">
        <is>
          <t>wave_d09_enc_guard</t>
        </is>
      </c>
      <c r="J182" t="inlineStr">
        <is>
          <t>reward_pT2</t>
        </is>
      </c>
      <c r="K182" t="inlineStr">
        <is>
          <t>低风险</t>
        </is>
      </c>
      <c r="L182" t="inlineStr">
        <is>
          <t>焰豹将 / 赤鼋妖 / 雷狼卫 / 电虎侯 / 燎狼将</t>
        </is>
      </c>
      <c r="M182" t="inlineStr">
        <is>
          <t>三名火层增伤 / 双回合攻击成长</t>
        </is>
      </c>
      <c r="N182" t="inlineStr">
        <is>
          <t>进阶宠物三选一</t>
        </is>
      </c>
      <c r="O182" t="inlineStr">
        <is>
          <t>正式</t>
        </is>
      </c>
      <c r="P182" t="inlineStr">
        <is>
          <t>Day9 稳妥路线；6只黄金敌人</t>
        </is>
      </c>
    </row>
    <row r="183">
      <c r="A183" t="inlineStr">
        <is>
          <t>enc_d09_midday_b</t>
        </is>
      </c>
      <c r="B183" t="inlineStr">
        <is>
          <t>enc_pool_d09_midday</t>
        </is>
      </c>
      <c r="C183" t="inlineStr">
        <is>
          <t>地雷决胜阵</t>
        </is>
      </c>
      <c r="D183" t="n">
        <v>90</v>
      </c>
      <c r="E183" t="n">
        <v>9</v>
      </c>
      <c r="F183" t="inlineStr">
        <is>
          <t>上午</t>
        </is>
      </c>
      <c r="G183" t="n">
        <v>1</v>
      </c>
      <c r="H183" t="inlineStr">
        <is>
          <t>终战备战</t>
        </is>
      </c>
      <c r="I183" t="inlineStr">
        <is>
          <t>wave_d09_enc_decisive</t>
        </is>
      </c>
      <c r="J183" t="inlineStr">
        <is>
          <t>reward_pT3</t>
        </is>
      </c>
      <c r="K183" t="inlineStr">
        <is>
          <t>中风险</t>
        </is>
      </c>
      <c r="L183" t="inlineStr">
        <is>
          <t>垒牦灵 / 雷鹰将 / 烬鳗将 / 雷鹰卫 / 岩獒精 / 潮鹤精</t>
        </is>
      </c>
      <c r="M183" t="inlineStr">
        <is>
          <t>双护盾回复 / 双回合攻击成长 / 火层增伤 / 开场护盾</t>
        </is>
      </c>
      <c r="N183" t="inlineStr">
        <is>
          <t>高阶宠物三选一</t>
        </is>
      </c>
      <c r="O183" t="inlineStr">
        <is>
          <t>正式</t>
        </is>
      </c>
      <c r="P183" t="inlineStr">
        <is>
          <t>Day9 进取路线；6只钻石敌人</t>
        </is>
      </c>
    </row>
    <row r="184">
      <c r="A184" t="inlineStr">
        <is>
          <t>enc_d09_midday_c</t>
        </is>
      </c>
      <c r="B184" t="inlineStr">
        <is>
          <t>enc_pool_d09_midday</t>
        </is>
      </c>
      <c r="C184" t="inlineStr">
        <is>
          <t>死亡爆阵团</t>
        </is>
      </c>
      <c r="D184" t="n">
        <v>80</v>
      </c>
      <c r="E184" t="n">
        <v>9</v>
      </c>
      <c r="F184" t="inlineStr">
        <is>
          <t>上午</t>
        </is>
      </c>
      <c r="G184" t="n">
        <v>1</v>
      </c>
      <c r="H184" t="inlineStr">
        <is>
          <t>终战备战</t>
        </is>
      </c>
      <c r="I184" t="inlineStr">
        <is>
          <t>wave_d09_enc_ancestral</t>
        </is>
      </c>
      <c r="J184" t="inlineStr">
        <is>
          <t>reward_pT4</t>
        </is>
      </c>
      <c r="K184" t="inlineStr">
        <is>
          <t>高风险</t>
        </is>
      </c>
      <c r="L184" t="inlineStr">
        <is>
          <t>藤巢蜂 / 白眉雪猿 / 渊蚁皇 / 角豹神 / 寒狐祖 / 墨蝎王</t>
        </is>
      </c>
      <c r="M184" t="inlineStr">
        <is>
          <t>三名死亡爆炸 / 回合攻盾成长 / 反击</t>
        </is>
      </c>
      <c r="N184" t="inlineStr">
        <is>
          <t>钻石宠物三选一</t>
        </is>
      </c>
      <c r="O184" t="inlineStr">
        <is>
          <t>正式</t>
        </is>
      </c>
      <c r="P184" t="inlineStr">
        <is>
          <t>Day9 死亡爆阵路线；6只钻石敌人</t>
        </is>
      </c>
    </row>
    <row r="185">
      <c r="A185" t="inlineStr">
        <is>
          <t>enc_d09_evening_fixed</t>
        </is>
      </c>
      <c r="B185" t="inlineStr">
        <is>
          <t>enc_pool_d09_evening</t>
        </is>
      </c>
      <c r="C185" t="inlineStr">
        <is>
          <t>王甲前线</t>
        </is>
      </c>
      <c r="D185" t="n">
        <v>100</v>
      </c>
      <c r="E185" t="n">
        <v>9</v>
      </c>
      <c r="F185" t="inlineStr">
        <is>
          <t>下午</t>
        </is>
      </c>
      <c r="G185" t="n">
        <v>2</v>
      </c>
      <c r="H185" t="inlineStr">
        <is>
          <t>决胜前夜</t>
        </is>
      </c>
      <c r="I185" t="inlineStr">
        <is>
          <t>wave_d09_evening_choice_a</t>
        </is>
      </c>
      <c r="J185" t="inlineStr">
        <is>
          <t>reward_pT3</t>
        </is>
      </c>
      <c r="K185" t="inlineStr">
        <is>
          <t>低风险</t>
        </is>
      </c>
      <c r="L185" t="inlineStr">
        <is>
          <t>水、地 / 水、地 / 地 / 雷、地 / 地 / 雷、地</t>
        </is>
      </c>
      <c r="M185" t="inlineStr">
        <is>
          <t>六名护甲减伤</t>
        </is>
      </c>
      <c r="N185" t="inlineStr">
        <is>
          <t>高阶宠物三选一</t>
        </is>
      </c>
      <c r="O185" t="inlineStr">
        <is>
          <t>正式</t>
        </is>
      </c>
      <c r="P185" t="inlineStr">
        <is>
          <t>Day9 第二战低风险；威胁2366.4</t>
        </is>
      </c>
    </row>
    <row r="186">
      <c r="A186" t="inlineStr">
        <is>
          <t>enc_d09_evening_b</t>
        </is>
      </c>
      <c r="B186" t="inlineStr">
        <is>
          <t>enc_pool_d09_evening</t>
        </is>
      </c>
      <c r="C186" t="inlineStr">
        <is>
          <t>反锋终夜</t>
        </is>
      </c>
      <c r="D186" t="n">
        <v>90</v>
      </c>
      <c r="E186" t="n">
        <v>9</v>
      </c>
      <c r="F186" t="inlineStr">
        <is>
          <t>下午</t>
        </is>
      </c>
      <c r="G186" t="n">
        <v>2</v>
      </c>
      <c r="H186" t="inlineStr">
        <is>
          <t>决胜前夜</t>
        </is>
      </c>
      <c r="I186" t="inlineStr">
        <is>
          <t>wave_d09_evening_choice_b</t>
        </is>
      </c>
      <c r="J186" t="inlineStr">
        <is>
          <t>reward_elite</t>
        </is>
      </c>
      <c r="K186" t="inlineStr">
        <is>
          <t>中风险</t>
        </is>
      </c>
      <c r="L186" t="inlineStr">
        <is>
          <t>草、水 / 冰、水 / 冰 / 地 / 龙 / 雷</t>
        </is>
      </c>
      <c r="M186" t="inlineStr">
        <is>
          <t>三名反击 / 三名回合攻击成长</t>
        </is>
      </c>
      <c r="N186" t="inlineStr">
        <is>
          <t>精英专属奖励</t>
        </is>
      </c>
      <c r="O186" t="inlineStr">
        <is>
          <t>正式</t>
        </is>
      </c>
      <c r="P186" t="inlineStr">
        <is>
          <t>Day9 第二战中风险；威胁2463.3</t>
        </is>
      </c>
    </row>
    <row r="187">
      <c r="A187" t="inlineStr">
        <is>
          <t>enc_d09_evening_c</t>
        </is>
      </c>
      <c r="B187" t="inlineStr">
        <is>
          <t>enc_pool_d09_evening</t>
        </is>
      </c>
      <c r="C187" t="inlineStr">
        <is>
          <t>爆潮终夜</t>
        </is>
      </c>
      <c r="D187" t="n">
        <v>80</v>
      </c>
      <c r="E187" t="n">
        <v>9</v>
      </c>
      <c r="F187" t="inlineStr">
        <is>
          <t>下午</t>
        </is>
      </c>
      <c r="G187" t="n">
        <v>2</v>
      </c>
      <c r="H187" t="inlineStr">
        <is>
          <t>决胜前夜</t>
        </is>
      </c>
      <c r="I187" t="inlineStr">
        <is>
          <t>wave_d09_evening_choice_c</t>
        </is>
      </c>
      <c r="J187" t="inlineStr">
        <is>
          <t>reward_pT4</t>
        </is>
      </c>
      <c r="K187" t="inlineStr">
        <is>
          <t>高风险</t>
        </is>
      </c>
      <c r="L187" t="inlineStr">
        <is>
          <t>水、雷 / 水、雷 / 暗 / 水、雷 / 地 / 水、地</t>
        </is>
      </c>
      <c r="M187" t="inlineStr">
        <is>
          <t>三名死亡爆炸 / 三名护盾回复</t>
        </is>
      </c>
      <c r="N187" t="inlineStr">
        <is>
          <t>钻石宠物三选一</t>
        </is>
      </c>
      <c r="O187" t="inlineStr">
        <is>
          <t>正式</t>
        </is>
      </c>
      <c r="P187" t="inlineStr">
        <is>
          <t>Day9 第二战高风险；威胁2522.5</t>
        </is>
      </c>
    </row>
    <row r="188">
      <c r="A188" t="inlineStr">
        <is>
          <t>enc_d10_midday_a</t>
        </is>
      </c>
      <c r="B188" t="inlineStr">
        <is>
          <t>enc_pool_d10_midday</t>
        </is>
      </c>
      <c r="C188" t="inlineStr">
        <is>
          <t>六甲封途</t>
        </is>
      </c>
      <c r="D188" t="n">
        <v>100</v>
      </c>
      <c r="E188" t="n">
        <v>10</v>
      </c>
      <c r="F188" t="inlineStr">
        <is>
          <t>上午</t>
        </is>
      </c>
      <c r="G188" t="n">
        <v>1</v>
      </c>
      <c r="H188" t="inlineStr">
        <is>
          <t>终战前试炼</t>
        </is>
      </c>
      <c r="I188" t="inlineStr">
        <is>
          <t>wave_d10_enc_armor</t>
        </is>
      </c>
      <c r="J188" t="inlineStr">
        <is>
          <t>reward_pT2</t>
        </is>
      </c>
      <c r="K188" t="inlineStr">
        <is>
          <t>低风险</t>
        </is>
      </c>
      <c r="L188" t="inlineStr">
        <is>
          <t>黄背牛 / 迅雷金雕 / 百花鹿仙 / 石甲将 / 霆熊卫 / 霆牦王</t>
        </is>
      </c>
      <c r="M188" t="inlineStr">
        <is>
          <t>六名护甲减伤</t>
        </is>
      </c>
      <c r="N188" t="inlineStr">
        <is>
          <t>进阶宠物三选一</t>
        </is>
      </c>
      <c r="O188" t="inlineStr">
        <is>
          <t>正式</t>
        </is>
      </c>
      <c r="P188" t="inlineStr">
        <is>
          <t>Day10 6只白银/黄金/钻石护甲敌人</t>
        </is>
      </c>
    </row>
    <row r="189">
      <c r="A189" t="inlineStr">
        <is>
          <t>enc_d10_midday_b</t>
        </is>
      </c>
      <c r="B189" t="inlineStr">
        <is>
          <t>enc_pool_d10_midday</t>
        </is>
      </c>
      <c r="C189" t="inlineStr">
        <is>
          <t>万刃回廊</t>
        </is>
      </c>
      <c r="D189" t="n">
        <v>90</v>
      </c>
      <c r="E189" t="n">
        <v>10</v>
      </c>
      <c r="F189" t="inlineStr">
        <is>
          <t>上午</t>
        </is>
      </c>
      <c r="G189" t="n">
        <v>1</v>
      </c>
      <c r="H189" t="inlineStr">
        <is>
          <t>终战前试炼</t>
        </is>
      </c>
      <c r="I189" t="inlineStr">
        <is>
          <t>wave_d10_enc_counter</t>
        </is>
      </c>
      <c r="J189" t="inlineStr">
        <is>
          <t>reward_pT3</t>
        </is>
      </c>
      <c r="K189" t="inlineStr">
        <is>
          <t>中风险</t>
        </is>
      </c>
      <c r="L189" t="inlineStr">
        <is>
          <t>疾风狼 / 丹角火麟 / 食梦黑貘 / 白牙雪象 / 寒狐祖 / 夜幕巨蝠</t>
        </is>
      </c>
      <c r="M189" t="inlineStr">
        <is>
          <t>六名反击</t>
        </is>
      </c>
      <c r="N189" t="inlineStr">
        <is>
          <t>高阶宠物三选一</t>
        </is>
      </c>
      <c r="O189" t="inlineStr">
        <is>
          <t>正式</t>
        </is>
      </c>
      <c r="P189" t="inlineStr">
        <is>
          <t>Day10 6只钻石反击敌人</t>
        </is>
      </c>
    </row>
    <row r="190">
      <c r="A190" t="inlineStr">
        <is>
          <t>enc_d10_midday_c</t>
        </is>
      </c>
      <c r="B190" t="inlineStr">
        <is>
          <t>enc_pool_d10_midday</t>
        </is>
      </c>
      <c r="C190" t="inlineStr">
        <is>
          <t>爆阵终试</t>
        </is>
      </c>
      <c r="D190" t="n">
        <v>80</v>
      </c>
      <c r="E190" t="n">
        <v>10</v>
      </c>
      <c r="F190" t="inlineStr">
        <is>
          <t>上午</t>
        </is>
      </c>
      <c r="G190" t="n">
        <v>1</v>
      </c>
      <c r="H190" t="inlineStr">
        <is>
          <t>终战前试炼</t>
        </is>
      </c>
      <c r="I190" t="inlineStr">
        <is>
          <t>wave_d10_enc_bomb_growth</t>
        </is>
      </c>
      <c r="J190" t="inlineStr">
        <is>
          <t>reward_pT4</t>
        </is>
      </c>
      <c r="K190" t="inlineStr">
        <is>
          <t>高风险</t>
        </is>
      </c>
      <c r="L190" t="inlineStr">
        <is>
          <t>藤巢蜂 / 白眉雪猿 / 墨蝎王 / 霆虎神 / 寒鹰祖 / 霆鲨皇</t>
        </is>
      </c>
      <c r="M190" t="inlineStr">
        <is>
          <t>三名死亡爆炸 / 三名回合攻击成长</t>
        </is>
      </c>
      <c r="N190" t="inlineStr">
        <is>
          <t>钻石宠物三选一</t>
        </is>
      </c>
      <c r="O190" t="inlineStr">
        <is>
          <t>正式</t>
        </is>
      </c>
      <c r="P190" t="inlineStr">
        <is>
          <t>Day10 6只钻石爆炸成长混编敌人</t>
        </is>
      </c>
    </row>
    <row r="191">
      <c r="A191" t="inlineStr">
        <is>
          <t>enc_d10_final_boss</t>
        </is>
      </c>
      <c r="B191" t="inlineStr">
        <is>
          <t>enc_pool_d10_evening</t>
        </is>
      </c>
      <c r="C191" t="inlineStr">
        <is>
          <t>终局甲城</t>
        </is>
      </c>
      <c r="D191" t="n">
        <v>100</v>
      </c>
      <c r="E191" t="n">
        <v>10</v>
      </c>
      <c r="F191" t="inlineStr">
        <is>
          <t>下午</t>
        </is>
      </c>
      <c r="G191" t="n">
        <v>2</v>
      </c>
      <c r="H191" t="inlineStr">
        <is>
          <t>终局战</t>
        </is>
      </c>
      <c r="I191" t="inlineStr">
        <is>
          <t>wave_d10_evening_choice_a</t>
        </is>
      </c>
      <c r="J191" t="inlineStr">
        <is>
          <t>reward_pT3</t>
        </is>
      </c>
      <c r="K191" t="inlineStr">
        <is>
          <t>低风险</t>
        </is>
      </c>
      <c r="L191" t="inlineStr">
        <is>
          <t>水、地 / 水、地 / 地 / 雷、地 / 地 / 雷、地</t>
        </is>
      </c>
      <c r="M191" t="inlineStr">
        <is>
          <t>六名护甲减伤</t>
        </is>
      </c>
      <c r="N191" t="inlineStr">
        <is>
          <t>高阶宠物三选一</t>
        </is>
      </c>
      <c r="O191" t="inlineStr">
        <is>
          <t>正式</t>
        </is>
      </c>
      <c r="P191" t="inlineStr">
        <is>
          <t>Day10 第二战低风险；威胁2465</t>
        </is>
      </c>
    </row>
    <row r="192">
      <c r="A192" t="inlineStr">
        <is>
          <t>enc_d10_evening_b</t>
        </is>
      </c>
      <c r="B192" t="inlineStr">
        <is>
          <t>enc_pool_d10_evening</t>
        </is>
      </c>
      <c r="C192" t="inlineStr">
        <is>
          <t>终局回锋</t>
        </is>
      </c>
      <c r="D192" t="n">
        <v>90</v>
      </c>
      <c r="E192" t="n">
        <v>10</v>
      </c>
      <c r="F192" t="inlineStr">
        <is>
          <t>下午</t>
        </is>
      </c>
      <c r="G192" t="n">
        <v>2</v>
      </c>
      <c r="H192" t="inlineStr">
        <is>
          <t>终局战</t>
        </is>
      </c>
      <c r="I192" t="inlineStr">
        <is>
          <t>wave_d10_evening_choice_b</t>
        </is>
      </c>
      <c r="J192" t="inlineStr">
        <is>
          <t>reward_elite</t>
        </is>
      </c>
      <c r="K192" t="inlineStr">
        <is>
          <t>中风险</t>
        </is>
      </c>
      <c r="L192" t="inlineStr">
        <is>
          <t>草、水 / 冰、水 / 冰 / 地 / 龙 / 雷</t>
        </is>
      </c>
      <c r="M192" t="inlineStr">
        <is>
          <t>三名反击 / 三名回合攻击成长</t>
        </is>
      </c>
      <c r="N192" t="inlineStr">
        <is>
          <t>精英专属奖励</t>
        </is>
      </c>
      <c r="O192" t="inlineStr">
        <is>
          <t>正式</t>
        </is>
      </c>
      <c r="P192" t="inlineStr">
        <is>
          <t>Day10 第二战中风险；威胁2570.4</t>
        </is>
      </c>
    </row>
    <row r="193">
      <c r="A193" t="inlineStr">
        <is>
          <t>enc_d10_evening_c</t>
        </is>
      </c>
      <c r="B193" t="inlineStr">
        <is>
          <t>enc_pool_d10_evening</t>
        </is>
      </c>
      <c r="C193" t="inlineStr">
        <is>
          <t>终局狂潮</t>
        </is>
      </c>
      <c r="D193" t="n">
        <v>80</v>
      </c>
      <c r="E193" t="n">
        <v>10</v>
      </c>
      <c r="F193" t="inlineStr">
        <is>
          <t>下午</t>
        </is>
      </c>
      <c r="G193" t="n">
        <v>2</v>
      </c>
      <c r="H193" t="inlineStr">
        <is>
          <t>终局战</t>
        </is>
      </c>
      <c r="I193" t="inlineStr">
        <is>
          <t>wave_d10_evening_choice_c</t>
        </is>
      </c>
      <c r="J193" t="inlineStr">
        <is>
          <t>reward_pT4</t>
        </is>
      </c>
      <c r="K193" t="inlineStr">
        <is>
          <t>高风险</t>
        </is>
      </c>
      <c r="L193" t="inlineStr">
        <is>
          <t>雷 / 地 / 龙 / 雷 / 冰 / 雷</t>
        </is>
      </c>
      <c r="M193" t="inlineStr">
        <is>
          <t>六名回合攻击成长</t>
        </is>
      </c>
      <c r="N193" t="inlineStr">
        <is>
          <t>钻石宠物三选一</t>
        </is>
      </c>
      <c r="O193" t="inlineStr">
        <is>
          <t>正式</t>
        </is>
      </c>
      <c r="P193" t="inlineStr">
        <is>
          <t>Day10 第二战高风险；威胁2795</t>
        </is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cols>
    <col width="18" customWidth="1" style="439" min="1" max="1"/>
    <col width="18" customWidth="1" style="439" min="2" max="2"/>
    <col width="18" customWidth="1" style="439" min="3" max="3"/>
    <col width="20" customWidth="1" style="439" min="4" max="4"/>
    <col width="20" customWidth="1" style="439" min="5" max="5"/>
    <col width="20" customWidth="1" style="439" min="6" max="6"/>
    <col width="54" customWidth="1" style="439" min="7" max="7"/>
  </cols>
  <sheetData>
    <row r="1">
      <c r="A1" s="416" t="inlineStr">
        <is>
          <t>hero_id</t>
        </is>
      </c>
      <c r="B1" s="417" t="inlineStr">
        <is>
          <t>catalog_status</t>
        </is>
      </c>
      <c r="C1" s="417" t="inlineStr">
        <is>
          <t>source_archetype</t>
        </is>
      </c>
      <c r="D1" s="417" t="inlineStr">
        <is>
          <t>playable_pet_count</t>
        </is>
      </c>
      <c r="E1" s="417" t="inlineStr">
        <is>
          <t>reserved_record_count</t>
        </is>
      </c>
      <c r="F1" s="418" t="inlineStr">
        <is>
          <t>source_object_count</t>
        </is>
      </c>
      <c r="G1" s="442" t="inlineStr">
        <is>
          <t>note</t>
        </is>
      </c>
    </row>
    <row r="2">
      <c r="A2" s="398" t="inlineStr">
        <is>
          <t>hero_001</t>
        </is>
      </c>
      <c r="B2" s="399" t="inlineStr">
        <is>
          <t>playable</t>
        </is>
      </c>
      <c r="C2" s="399" t="inlineStr">
        <is>
          <t>vanessa_items</t>
        </is>
      </c>
      <c r="D2" s="399" t="n">
        <v>138</v>
      </c>
      <c r="E2" s="399" t="n">
        <v>231</v>
      </c>
      <c r="F2" s="399" t="n">
        <v>369</v>
      </c>
      <c r="G2" s="442" t="inlineStr">
        <is>
          <t>第一英雄只开放138个物品来源宠物；技能与商人包映射保留为内部记录。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18" customWidth="1" style="439" min="1" max="1"/>
    <col width="14" customWidth="1" style="439" min="2" max="2"/>
    <col width="14" customWidth="1" style="439" min="3" max="3"/>
    <col width="42" customWidth="1" style="439" min="4" max="4"/>
    <col width="14" customWidth="1" style="439" min="5" max="5"/>
    <col width="14" customWidth="1" style="439" min="6" max="6"/>
  </cols>
  <sheetData>
    <row r="1">
      <c r="A1" s="416" t="inlineStr">
        <is>
          <t>tag_id</t>
        </is>
      </c>
      <c r="B1" s="417" t="inlineStr">
        <is>
          <t>zh_label</t>
        </is>
      </c>
      <c r="C1" s="417" t="inlineStr">
        <is>
          <t>category</t>
        </is>
      </c>
      <c r="D1" s="417" t="inlineStr">
        <is>
          <t>description</t>
        </is>
      </c>
      <c r="E1" s="417" t="inlineStr">
        <is>
          <t>sort_order</t>
        </is>
      </c>
      <c r="F1" s="418" t="inlineStr">
        <is>
          <t>catalog_status</t>
        </is>
      </c>
    </row>
    <row r="2">
      <c r="A2" s="401" t="inlineStr">
        <is>
          <t>ammo</t>
        </is>
      </c>
      <c r="B2" s="402" t="inlineStr">
        <is>
          <t>弹药</t>
        </is>
      </c>
      <c r="C2" s="402" t="inlineStr">
        <is>
          <t>identity</t>
        </is>
      </c>
      <c r="D2" s="402" t="inlineStr">
        <is>
          <t>使用或关心弹药资源。</t>
        </is>
      </c>
      <c r="E2" s="402" t="n">
        <v>1</v>
      </c>
      <c r="F2" s="402" t="inlineStr">
        <is>
          <t>playable</t>
        </is>
      </c>
    </row>
    <row r="3">
      <c r="A3" s="404" t="inlineStr">
        <is>
          <t>apparel</t>
        </is>
      </c>
      <c r="B3" s="405" t="inlineStr">
        <is>
          <t>装备</t>
        </is>
      </c>
      <c r="C3" s="405" t="inlineStr">
        <is>
          <t>identity</t>
        </is>
      </c>
      <c r="D3" s="405" t="inlineStr">
        <is>
          <t>属于穿戴装备类构筑身份。</t>
        </is>
      </c>
      <c r="E3" s="405" t="n">
        <v>2</v>
      </c>
      <c r="F3" s="405" t="inlineStr">
        <is>
          <t>playable</t>
        </is>
      </c>
    </row>
    <row r="4">
      <c r="A4" s="404" t="inlineStr">
        <is>
          <t>aquatic</t>
        </is>
      </c>
      <c r="B4" s="405" t="inlineStr">
        <is>
          <t>水生</t>
        </is>
      </c>
      <c r="C4" s="405" t="inlineStr">
        <is>
          <t>identity</t>
        </is>
      </c>
      <c r="D4" s="405" t="inlineStr">
        <is>
          <t>水生生物或海洋构筑身份。</t>
        </is>
      </c>
      <c r="E4" s="405" t="n">
        <v>3</v>
      </c>
      <c r="F4" s="405" t="inlineStr">
        <is>
          <t>playable</t>
        </is>
      </c>
    </row>
    <row r="5">
      <c r="A5" s="404" t="inlineStr">
        <is>
          <t>burn</t>
        </is>
      </c>
      <c r="B5" s="405" t="inlineStr">
        <is>
          <t>燃烧</t>
        </is>
      </c>
      <c r="C5" s="405" t="inlineStr">
        <is>
          <t>combat</t>
        </is>
      </c>
      <c r="D5" s="405" t="inlineStr">
        <is>
          <t>产生或关心燃烧。</t>
        </is>
      </c>
      <c r="E5" s="405" t="n">
        <v>4</v>
      </c>
      <c r="F5" s="405" t="inlineStr">
        <is>
          <t>playable</t>
        </is>
      </c>
    </row>
    <row r="6">
      <c r="A6" s="404" t="inlineStr">
        <is>
          <t>charge</t>
        </is>
      </c>
      <c r="B6" s="405" t="inlineStr">
        <is>
          <t>充能</t>
        </is>
      </c>
      <c r="C6" s="405" t="inlineStr">
        <is>
          <t>combat</t>
        </is>
      </c>
      <c r="D6" s="405" t="inlineStr">
        <is>
          <t>推进技能或资源充能。</t>
        </is>
      </c>
      <c r="E6" s="405" t="n">
        <v>5</v>
      </c>
      <c r="F6" s="405" t="inlineStr">
        <is>
          <t>playable</t>
        </is>
      </c>
    </row>
    <row r="7">
      <c r="A7" s="404" t="inlineStr">
        <is>
          <t>cooldown</t>
        </is>
      </c>
      <c r="B7" s="405" t="inlineStr">
        <is>
          <t>冷却</t>
        </is>
      </c>
      <c r="C7" s="405" t="inlineStr">
        <is>
          <t>combat</t>
        </is>
      </c>
      <c r="D7" s="405" t="inlineStr">
        <is>
          <t>改变或关心冷却。</t>
        </is>
      </c>
      <c r="E7" s="405" t="n">
        <v>6</v>
      </c>
      <c r="F7" s="405" t="inlineStr">
        <is>
          <t>playable</t>
        </is>
      </c>
    </row>
    <row r="8">
      <c r="A8" s="404" t="inlineStr">
        <is>
          <t>crit</t>
        </is>
      </c>
      <c r="B8" s="405" t="inlineStr">
        <is>
          <t>暴击</t>
        </is>
      </c>
      <c r="C8" s="405" t="inlineStr">
        <is>
          <t>combat</t>
        </is>
      </c>
      <c r="D8" s="405" t="inlineStr">
        <is>
          <t>产生或关心暴击。</t>
        </is>
      </c>
      <c r="E8" s="405" t="n">
        <v>7</v>
      </c>
      <c r="F8" s="405" t="inlineStr">
        <is>
          <t>playable</t>
        </is>
      </c>
    </row>
    <row r="9">
      <c r="A9" s="404" t="inlineStr">
        <is>
          <t>damage</t>
        </is>
      </c>
      <c r="B9" s="405" t="inlineStr">
        <is>
          <t>伤害</t>
        </is>
      </c>
      <c r="C9" s="405" t="inlineStr">
        <is>
          <t>combat</t>
        </is>
      </c>
      <c r="D9" s="405" t="inlineStr">
        <is>
          <t>造成或关心直接伤害。</t>
        </is>
      </c>
      <c r="E9" s="405" t="n">
        <v>8</v>
      </c>
      <c r="F9" s="405" t="inlineStr">
        <is>
          <t>playable</t>
        </is>
      </c>
    </row>
    <row r="10">
      <c r="A10" s="404" t="inlineStr">
        <is>
          <t>economy</t>
        </is>
      </c>
      <c r="B10" s="405" t="inlineStr">
        <is>
          <t>经济</t>
        </is>
      </c>
      <c r="C10" s="405" t="inlineStr">
        <is>
          <t>economy</t>
        </is>
      </c>
      <c r="D10" s="405" t="inlineStr">
        <is>
          <t>影响金币、价格或局外收益。</t>
        </is>
      </c>
      <c r="E10" s="405" t="n">
        <v>9</v>
      </c>
      <c r="F10" s="405" t="inlineStr">
        <is>
          <t>playable</t>
        </is>
      </c>
    </row>
    <row r="11">
      <c r="A11" s="404" t="inlineStr">
        <is>
          <t>experience</t>
        </is>
      </c>
      <c r="B11" s="405" t="inlineStr">
        <is>
          <t>经验</t>
        </is>
      </c>
      <c r="C11" s="405" t="inlineStr">
        <is>
          <t>economy</t>
        </is>
      </c>
      <c r="D11" s="405" t="inlineStr">
        <is>
          <t>产生或关心英雄经验。</t>
        </is>
      </c>
      <c r="E11" s="405" t="n">
        <v>10</v>
      </c>
      <c r="F11" s="405" t="inlineStr">
        <is>
          <t>playable</t>
        </is>
      </c>
    </row>
    <row r="12">
      <c r="A12" s="404" t="inlineStr">
        <is>
          <t>flying</t>
        </is>
      </c>
      <c r="B12" s="405" t="inlineStr">
        <is>
          <t>飞行</t>
        </is>
      </c>
      <c r="C12" s="405" t="inlineStr">
        <is>
          <t>identity</t>
        </is>
      </c>
      <c r="D12" s="405" t="inlineStr">
        <is>
          <t>具有或关心飞行身份。</t>
        </is>
      </c>
      <c r="E12" s="405" t="n">
        <v>11</v>
      </c>
      <c r="F12" s="405" t="inlineStr">
        <is>
          <t>playable</t>
        </is>
      </c>
    </row>
    <row r="13">
      <c r="A13" s="404" t="inlineStr">
        <is>
          <t>food</t>
        </is>
      </c>
      <c r="B13" s="405" t="inlineStr">
        <is>
          <t>食物</t>
        </is>
      </c>
      <c r="C13" s="405" t="inlineStr">
        <is>
          <t>identity</t>
        </is>
      </c>
      <c r="D13" s="405" t="inlineStr">
        <is>
          <t>属于食物类构筑身份。</t>
        </is>
      </c>
      <c r="E13" s="405" t="n">
        <v>12</v>
      </c>
      <c r="F13" s="405" t="inlineStr">
        <is>
          <t>playable</t>
        </is>
      </c>
    </row>
    <row r="14">
      <c r="A14" s="404" t="inlineStr">
        <is>
          <t>freeze</t>
        </is>
      </c>
      <c r="B14" s="405" t="inlineStr">
        <is>
          <t>冻结</t>
        </is>
      </c>
      <c r="C14" s="405" t="inlineStr">
        <is>
          <t>combat</t>
        </is>
      </c>
      <c r="D14" s="405" t="inlineStr">
        <is>
          <t>产生或关心冻结。</t>
        </is>
      </c>
      <c r="E14" s="405" t="n">
        <v>13</v>
      </c>
      <c r="F14" s="405" t="inlineStr">
        <is>
          <t>playable</t>
        </is>
      </c>
    </row>
    <row r="15">
      <c r="A15" s="404" t="inlineStr">
        <is>
          <t>friend</t>
        </is>
      </c>
      <c r="B15" s="405" t="inlineStr">
        <is>
          <t>伙伴</t>
        </is>
      </c>
      <c r="C15" s="405" t="inlineStr">
        <is>
          <t>identity</t>
        </is>
      </c>
      <c r="D15" s="405" t="inlineStr">
        <is>
          <t>属于伙伴类构筑身份。</t>
        </is>
      </c>
      <c r="E15" s="405" t="n">
        <v>14</v>
      </c>
      <c r="F15" s="405" t="inlineStr">
        <is>
          <t>playable</t>
        </is>
      </c>
    </row>
    <row r="16">
      <c r="A16" s="404" t="inlineStr">
        <is>
          <t>gold</t>
        </is>
      </c>
      <c r="B16" s="405" t="inlineStr">
        <is>
          <t>金币</t>
        </is>
      </c>
      <c r="C16" s="405" t="inlineStr">
        <is>
          <t>economy</t>
        </is>
      </c>
      <c r="D16" s="405" t="inlineStr">
        <is>
          <t>直接产生或关心金币。</t>
        </is>
      </c>
      <c r="E16" s="405" t="n">
        <v>15</v>
      </c>
      <c r="F16" s="405" t="inlineStr">
        <is>
          <t>playable</t>
        </is>
      </c>
    </row>
    <row r="17">
      <c r="A17" s="404" t="inlineStr">
        <is>
          <t>haste</t>
        </is>
      </c>
      <c r="B17" s="405" t="inlineStr">
        <is>
          <t>加速</t>
        </is>
      </c>
      <c r="C17" s="405" t="inlineStr">
        <is>
          <t>combat</t>
        </is>
      </c>
      <c r="D17" s="405" t="inlineStr">
        <is>
          <t>产生、获得或关心加速。</t>
        </is>
      </c>
      <c r="E17" s="405" t="n">
        <v>16</v>
      </c>
      <c r="F17" s="405" t="inlineStr">
        <is>
          <t>playable</t>
        </is>
      </c>
    </row>
    <row r="18">
      <c r="A18" s="404" t="inlineStr">
        <is>
          <t>heal</t>
        </is>
      </c>
      <c r="B18" s="405" t="inlineStr">
        <is>
          <t>治疗</t>
        </is>
      </c>
      <c r="C18" s="405" t="inlineStr">
        <is>
          <t>combat</t>
        </is>
      </c>
      <c r="D18" s="405" t="inlineStr">
        <is>
          <t>产生或关心治疗。</t>
        </is>
      </c>
      <c r="E18" s="405" t="n">
        <v>17</v>
      </c>
      <c r="F18" s="405" t="inlineStr">
        <is>
          <t>playable</t>
        </is>
      </c>
    </row>
    <row r="19">
      <c r="A19" s="404" t="inlineStr">
        <is>
          <t>poison</t>
        </is>
      </c>
      <c r="B19" s="405" t="inlineStr">
        <is>
          <t>中毒</t>
        </is>
      </c>
      <c r="C19" s="405" t="inlineStr">
        <is>
          <t>combat</t>
        </is>
      </c>
      <c r="D19" s="405" t="inlineStr">
        <is>
          <t>产生或关心中毒。</t>
        </is>
      </c>
      <c r="E19" s="405" t="n">
        <v>18</v>
      </c>
      <c r="F19" s="405" t="inlineStr">
        <is>
          <t>playable</t>
        </is>
      </c>
    </row>
    <row r="20">
      <c r="A20" s="404" t="inlineStr">
        <is>
          <t>property</t>
        </is>
      </c>
      <c r="B20" s="405" t="inlineStr">
        <is>
          <t>设施</t>
        </is>
      </c>
      <c r="C20" s="405" t="inlineStr">
        <is>
          <t>identity</t>
        </is>
      </c>
      <c r="D20" s="405" t="inlineStr">
        <is>
          <t>属于设施或据点类构筑身份。</t>
        </is>
      </c>
      <c r="E20" s="405" t="n">
        <v>19</v>
      </c>
      <c r="F20" s="405" t="inlineStr">
        <is>
          <t>playable</t>
        </is>
      </c>
    </row>
    <row r="21">
      <c r="A21" s="404" t="inlineStr">
        <is>
          <t>ray</t>
        </is>
      </c>
      <c r="B21" s="405" t="inlineStr">
        <is>
          <t>鳐类</t>
        </is>
      </c>
      <c r="C21" s="405" t="inlineStr">
        <is>
          <t>identity</t>
        </is>
      </c>
      <c r="D21" s="405" t="inlineStr">
        <is>
          <t>属于鳐类构筑身份。</t>
        </is>
      </c>
      <c r="E21" s="405" t="n">
        <v>20</v>
      </c>
      <c r="F21" s="405" t="inlineStr">
        <is>
          <t>playable</t>
        </is>
      </c>
    </row>
    <row r="22">
      <c r="A22" s="404" t="inlineStr">
        <is>
          <t>regen</t>
        </is>
      </c>
      <c r="B22" s="405" t="inlineStr">
        <is>
          <t>再生</t>
        </is>
      </c>
      <c r="C22" s="405" t="inlineStr">
        <is>
          <t>combat</t>
        </is>
      </c>
      <c r="D22" s="405" t="inlineStr">
        <is>
          <t>产生或关心持续恢复。</t>
        </is>
      </c>
      <c r="E22" s="405" t="n">
        <v>21</v>
      </c>
      <c r="F22" s="405" t="inlineStr">
        <is>
          <t>playable</t>
        </is>
      </c>
    </row>
    <row r="23">
      <c r="A23" s="404" t="inlineStr">
        <is>
          <t>relic</t>
        </is>
      </c>
      <c r="B23" s="405" t="inlineStr">
        <is>
          <t>遗物</t>
        </is>
      </c>
      <c r="C23" s="405" t="inlineStr">
        <is>
          <t>identity</t>
        </is>
      </c>
      <c r="D23" s="405" t="inlineStr">
        <is>
          <t>属于遗物类构筑身份。</t>
        </is>
      </c>
      <c r="E23" s="405" t="n">
        <v>22</v>
      </c>
      <c r="F23" s="405" t="inlineStr">
        <is>
          <t>playable</t>
        </is>
      </c>
    </row>
    <row r="24">
      <c r="A24" s="404" t="inlineStr">
        <is>
          <t>shield</t>
        </is>
      </c>
      <c r="B24" s="405" t="inlineStr">
        <is>
          <t>护盾</t>
        </is>
      </c>
      <c r="C24" s="405" t="inlineStr">
        <is>
          <t>combat</t>
        </is>
      </c>
      <c r="D24" s="405" t="inlineStr">
        <is>
          <t>产生或关心护盾。</t>
        </is>
      </c>
      <c r="E24" s="405" t="n">
        <v>23</v>
      </c>
      <c r="F24" s="405" t="inlineStr">
        <is>
          <t>playable</t>
        </is>
      </c>
    </row>
    <row r="25">
      <c r="A25" s="404" t="inlineStr">
        <is>
          <t>slow</t>
        </is>
      </c>
      <c r="B25" s="405" t="inlineStr">
        <is>
          <t>减速</t>
        </is>
      </c>
      <c r="C25" s="405" t="inlineStr">
        <is>
          <t>combat</t>
        </is>
      </c>
      <c r="D25" s="405" t="inlineStr">
        <is>
          <t>产生或关心减速。</t>
        </is>
      </c>
      <c r="E25" s="405" t="n">
        <v>24</v>
      </c>
      <c r="F25" s="405" t="inlineStr">
        <is>
          <t>playable</t>
        </is>
      </c>
    </row>
    <row r="26">
      <c r="A26" s="404" t="inlineStr">
        <is>
          <t>tech</t>
        </is>
      </c>
      <c r="B26" s="405" t="inlineStr">
        <is>
          <t>科技</t>
        </is>
      </c>
      <c r="C26" s="405" t="inlineStr">
        <is>
          <t>identity</t>
        </is>
      </c>
      <c r="D26" s="405" t="inlineStr">
        <is>
          <t>属于科技类构筑身份。</t>
        </is>
      </c>
      <c r="E26" s="405" t="n">
        <v>25</v>
      </c>
      <c r="F26" s="405" t="inlineStr">
        <is>
          <t>playable</t>
        </is>
      </c>
    </row>
    <row r="27">
      <c r="A27" s="404" t="inlineStr">
        <is>
          <t>tool</t>
        </is>
      </c>
      <c r="B27" s="405" t="inlineStr">
        <is>
          <t>工具</t>
        </is>
      </c>
      <c r="C27" s="405" t="inlineStr">
        <is>
          <t>identity</t>
        </is>
      </c>
      <c r="D27" s="405" t="inlineStr">
        <is>
          <t>属于工具类构筑身份。</t>
        </is>
      </c>
      <c r="E27" s="405" t="n">
        <v>26</v>
      </c>
      <c r="F27" s="405" t="inlineStr">
        <is>
          <t>playable</t>
        </is>
      </c>
    </row>
    <row r="28">
      <c r="A28" s="404" t="inlineStr">
        <is>
          <t>toy</t>
        </is>
      </c>
      <c r="B28" s="405" t="inlineStr">
        <is>
          <t>玩具</t>
        </is>
      </c>
      <c r="C28" s="405" t="inlineStr">
        <is>
          <t>identity</t>
        </is>
      </c>
      <c r="D28" s="405" t="inlineStr">
        <is>
          <t>属于玩具类构筑身份。</t>
        </is>
      </c>
      <c r="E28" s="405" t="n">
        <v>27</v>
      </c>
      <c r="F28" s="405" t="inlineStr">
        <is>
          <t>playable</t>
        </is>
      </c>
    </row>
    <row r="29">
      <c r="A29" s="404" t="inlineStr">
        <is>
          <t>trap</t>
        </is>
      </c>
      <c r="B29" s="405" t="inlineStr">
        <is>
          <t>陷阱</t>
        </is>
      </c>
      <c r="C29" s="405" t="inlineStr">
        <is>
          <t>identity</t>
        </is>
      </c>
      <c r="D29" s="405" t="inlineStr">
        <is>
          <t>属于陷阱类构筑身份。</t>
        </is>
      </c>
      <c r="E29" s="405" t="n">
        <v>28</v>
      </c>
      <c r="F29" s="405" t="inlineStr">
        <is>
          <t>playable</t>
        </is>
      </c>
    </row>
    <row r="30">
      <c r="A30" s="404" t="inlineStr">
        <is>
          <t>value</t>
        </is>
      </c>
      <c r="B30" s="405" t="inlineStr">
        <is>
          <t>价值</t>
        </is>
      </c>
      <c r="C30" s="405" t="inlineStr">
        <is>
          <t>economy</t>
        </is>
      </c>
      <c r="D30" s="405" t="inlineStr">
        <is>
          <t>影响出售价值或价值成长。</t>
        </is>
      </c>
      <c r="E30" s="405" t="n">
        <v>29</v>
      </c>
      <c r="F30" s="405" t="inlineStr">
        <is>
          <t>playable</t>
        </is>
      </c>
    </row>
    <row r="31">
      <c r="A31" s="404" t="inlineStr">
        <is>
          <t>vehicle</t>
        </is>
      </c>
      <c r="B31" s="405" t="inlineStr">
        <is>
          <t>载具</t>
        </is>
      </c>
      <c r="C31" s="405" t="inlineStr">
        <is>
          <t>identity</t>
        </is>
      </c>
      <c r="D31" s="405" t="inlineStr">
        <is>
          <t>属于载具类构筑身份。</t>
        </is>
      </c>
      <c r="E31" s="405" t="n">
        <v>30</v>
      </c>
      <c r="F31" s="405" t="inlineStr">
        <is>
          <t>playable</t>
        </is>
      </c>
    </row>
    <row r="32">
      <c r="A32" s="404" t="inlineStr">
        <is>
          <t>weapon</t>
        </is>
      </c>
      <c r="B32" s="405" t="inlineStr">
        <is>
          <t>武器</t>
        </is>
      </c>
      <c r="C32" s="405" t="inlineStr">
        <is>
          <t>identity</t>
        </is>
      </c>
      <c r="D32" s="405" t="inlineStr">
        <is>
          <t>可作为武器构筑成员。</t>
        </is>
      </c>
      <c r="E32" s="405" t="n">
        <v>31</v>
      </c>
      <c r="F32" s="405" t="inlineStr">
        <is>
          <t>playable</t>
        </is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P8"/>
  <sheetViews>
    <sheetView workbookViewId="0">
      <selection activeCell="A1" sqref="A1"/>
    </sheetView>
  </sheetViews>
  <sheetFormatPr baseColWidth="8" defaultRowHeight="15"/>
  <cols>
    <col width="28" customWidth="1" style="439" min="1" max="1"/>
    <col width="14" customWidth="1" style="439" min="2" max="2"/>
    <col width="28" customWidth="1" style="439" min="3" max="3"/>
    <col width="18" customWidth="1" style="439" min="4" max="4"/>
    <col width="18" customWidth="1" style="439" min="5" max="5"/>
    <col width="18" customWidth="1" style="439" min="6" max="6"/>
    <col width="18" customWidth="1" style="439" min="7" max="7"/>
    <col width="64" customWidth="1" style="439" min="8" max="8"/>
    <col width="14" customWidth="1" style="439" min="9" max="9"/>
    <col width="20" customWidth="1" style="439" min="10" max="10"/>
    <col width="48" customWidth="1" style="439" min="11" max="11"/>
    <col width="28" customWidth="1" style="439" min="12" max="12"/>
    <col width="28" customWidth="1" style="439" min="13" max="13"/>
    <col width="12" customWidth="1" style="439" min="14" max="14"/>
    <col width="76" customWidth="1" style="439" min="15" max="15"/>
    <col width="76" customWidth="1" style="439" min="16" max="16"/>
    <col width="76" customWidth="1" style="439" min="17" max="17"/>
  </cols>
  <sheetData>
    <row r="1">
      <c r="A1" s="444" t="inlineStr">
        <is>
          <t>catalog_revision</t>
        </is>
      </c>
      <c r="B1" s="445" t="inlineStr">
        <is>
          <t>completeness</t>
        </is>
      </c>
      <c r="C1" s="445" t="inlineStr">
        <is>
          <t>skill_id</t>
        </is>
      </c>
      <c r="D1" s="445" t="inlineStr">
        <is>
          <t>owner_hero_id</t>
        </is>
      </c>
      <c r="E1" s="445" t="inlineStr">
        <is>
          <t>source_namespace</t>
        </is>
      </c>
      <c r="F1" s="445" t="inlineStr">
        <is>
          <t>source_object_id</t>
        </is>
      </c>
      <c r="G1" s="445" t="inlineStr">
        <is>
          <t>source_record_type</t>
        </is>
      </c>
      <c r="H1" s="445" t="inlineStr">
        <is>
          <t>source_trainer_ids</t>
        </is>
      </c>
      <c r="I1" s="445" t="inlineStr">
        <is>
          <t>base_quality</t>
        </is>
      </c>
      <c r="J1" s="445" t="inlineStr">
        <is>
          <t>name_zh</t>
        </is>
      </c>
      <c r="K1" s="445" t="inlineStr">
        <is>
          <t>description_zh</t>
        </is>
      </c>
      <c r="L1" s="445" t="inlineStr">
        <is>
          <t>tag_references</t>
        </is>
      </c>
      <c r="M1" s="445" t="inlineStr">
        <is>
          <t>priority</t>
        </is>
      </c>
      <c r="N1" s="445" t="inlineStr">
        <is>
          <t>trigger_json</t>
        </is>
      </c>
      <c r="O1" s="445" t="inlineStr">
        <is>
          <t>effects_json</t>
        </is>
      </c>
      <c r="P1" s="445" t="inlineStr">
        <is>
          <t>quality_values_json</t>
        </is>
      </c>
    </row>
    <row r="2">
      <c r="A2" s="447" t="inlineStr">
        <is>
          <t>hero-skills-slice-2026-08-31-v1</t>
        </is>
      </c>
      <c r="B2" s="448" t="inlineStr">
        <is>
          <t>slice</t>
        </is>
      </c>
      <c r="C2" s="448" t="inlineStr">
        <is>
          <t>hero_skill_tideblade_oath</t>
        </is>
      </c>
      <c r="D2" s="448" t="inlineStr">
        <is>
          <t>hero_001</t>
        </is>
      </c>
      <c r="E2" s="448" t="inlineStr">
        <is>
          <t>bazaar_skill_audit</t>
        </is>
      </c>
      <c r="F2" s="448" t="inlineStr">
        <is>
          <t>bz_van_162</t>
        </is>
      </c>
      <c r="G2" s="448" t="inlineStr">
        <is>
          <t>skill</t>
        </is>
      </c>
      <c r="H2" s="448" t="inlineStr">
        <is>
          <t>trainer_adira, trainer_argenta, trainer_nufu, trainer_old-zane, trainer_orlin</t>
        </is>
      </c>
      <c r="I2" s="448" t="inlineStr">
        <is>
          <t>bronze</t>
        </is>
      </c>
      <c r="J2" s="448" t="inlineStr">
        <is>
          <t>潮刃铭契</t>
        </is>
      </c>
      <c r="K2" s="448" t="inlineStr">
        <is>
          <t>开战时，带有水生与武器构筑标签的友方宠物获得本战攻击加成。</t>
        </is>
      </c>
      <c r="L2" s="448" t="inlineStr">
        <is>
          <t>aquatic, weapon, damage</t>
        </is>
      </c>
      <c r="M2" s="448" t="n">
        <v>100</v>
      </c>
      <c r="N2" s="448" t="inlineStr">
        <is>
          <t>{"event":"BATTLE_STARTED","conditions":[{"type":"always","params":{}}],"allow_secondary_events":false,"limit_scope":"battle","max_triggers":1}</t>
        </is>
      </c>
      <c r="O2" s="448" t="inlineStr">
        <is>
          <t>[{"id":"tideblade_attack","type":"stat_modifier","target":"all_allied_pets","value_keys":["attack_bonus"],"params":{"stat":"atk","operation":"add","duration":"battle","required_tags_all":["aquatic","weapon"]}}]</t>
        </is>
      </c>
      <c r="P2" s="448" t="inlineStr">
        <is>
          <t>{"bronze":{"attack_bonus":2},"silver":{"attack_bonus":4},"gold":{"attack_bonus":6},"diamond":{"attack_bonus":8}}</t>
        </is>
      </c>
    </row>
    <row r="3">
      <c r="A3" s="450" t="inlineStr">
        <is>
          <t>hero-skills-slice-2026-08-31-v1</t>
        </is>
      </c>
      <c r="B3" s="451" t="inlineStr">
        <is>
          <t>slice</t>
        </is>
      </c>
      <c r="C3" s="451" t="inlineStr">
        <is>
          <t>hero_skill_blacktide_abacus</t>
        </is>
      </c>
      <c r="D3" s="451" t="inlineStr">
        <is>
          <t>hero_001</t>
        </is>
      </c>
      <c r="E3" s="451" t="inlineStr">
        <is>
          <t>bazaar_skill_audit</t>
        </is>
      </c>
      <c r="F3" s="451" t="inlineStr">
        <is>
          <t>bz_van_140</t>
        </is>
      </c>
      <c r="G3" s="451" t="inlineStr">
        <is>
          <t>skill</t>
        </is>
      </c>
      <c r="H3" s="451" t="inlineStr">
        <is>
          <t>trainer_adira, trainer_argenta, trainer_nufu, trainer_orlin</t>
        </is>
      </c>
      <c r="I3" s="451" t="inlineStr">
        <is>
          <t>silver</t>
        </is>
      </c>
      <c r="J3" s="451" t="inlineStr">
        <is>
          <t>黑潮铁算盘</t>
        </is>
      </c>
      <c r="K3" s="451" t="inlineStr">
        <is>
          <t>每次请求刷新商店时，先降低本次刷新所需金币；最低费用仍由商店规则限制。</t>
        </is>
      </c>
      <c r="L3" s="451" t="inlineStr">
        <is>
          <t>economy</t>
        </is>
      </c>
      <c r="M3" s="451" t="n">
        <v>40</v>
      </c>
      <c r="N3" s="451" t="inlineStr">
        <is>
          <t>{"event":"SHOP_REFRESH_REQUESTED","conditions":[{"type":"always","params":{}}],"allow_secondary_events":false,"limit_scope":"event","max_triggers":1}</t>
        </is>
      </c>
      <c r="O3" s="451" t="inlineStr">
        <is>
          <t>[{"id":"abacus_discount","type":"shop_refresh_discount","target":"shop","value_keys":["discount_coins"],"params":{"minimum_cost":0}}]</t>
        </is>
      </c>
      <c r="P3" s="451" t="inlineStr">
        <is>
          <t>{"silver":{"discount_coins":1},"gold":{"discount_coins":2},"diamond":{"discount_coins":3}}</t>
        </is>
      </c>
    </row>
    <row r="4">
      <c r="A4" s="450" t="inlineStr">
        <is>
          <t>hero-skills-slice-2026-08-31-v1</t>
        </is>
      </c>
      <c r="B4" s="451" t="inlineStr">
        <is>
          <t>slice</t>
        </is>
      </c>
      <c r="C4" s="451" t="inlineStr">
        <is>
          <t>hero_skill_broadside_aftershock</t>
        </is>
      </c>
      <c r="D4" s="451" t="inlineStr">
        <is>
          <t>hero_001</t>
        </is>
      </c>
      <c r="E4" s="451" t="inlineStr">
        <is>
          <t>bazaar_skill_audit</t>
        </is>
      </c>
      <c r="F4" s="451" t="inlineStr">
        <is>
          <t>bz_van_180</t>
        </is>
      </c>
      <c r="G4" s="451" t="inlineStr">
        <is>
          <t>skill</t>
        </is>
      </c>
      <c r="H4" s="451" t="inlineStr">
        <is>
          <t>trainer_adira, trainer_nufu, trainer_old-zane, trainer_orlin, trainer_ryukon, trainer_zara</t>
        </is>
      </c>
      <c r="I4" s="451" t="inlineStr">
        <is>
          <t>gold</t>
        </is>
      </c>
      <c r="J4" s="451" t="inlineStr">
        <is>
          <t>舷炮余波</t>
        </is>
      </c>
      <c r="K4" s="451" t="inlineStr">
        <is>
          <t>每战前若干次武器技能根成功结算后，推进另一名友方宠物的技能冷却。</t>
        </is>
      </c>
      <c r="L4" s="451" t="inlineStr">
        <is>
          <t>weapon, cooldown</t>
        </is>
      </c>
      <c r="M4" s="451" t="n">
        <v>120</v>
      </c>
      <c r="N4" s="451" t="inlineStr">
        <is>
          <t>{"event":"PET_SKILL_ROOT_SUCCEEDED","conditions":[{"type":"event_skill_has_any_tag","params":{"tags":["weapon"]}}],"allow_secondary_events":false,"limit_scope":"battle","max_triggers_value_key":"trigger_limit"}</t>
        </is>
      </c>
      <c r="O4" s="451" t="inlineStr">
        <is>
          <t>[{"id":"aftershock_advance","type":"cooldown_advance_ticks","target":"random_allied_pet","value_keys":["advance_ticks"],"params":{"exclude_triggering_pet":true}}]</t>
        </is>
      </c>
      <c r="P4" s="451" t="inlineStr">
        <is>
          <t>{"gold":{"trigger_limit":2,"advance_ticks":1},"diamond":{"trigger_limit":3,"advance_ticks":2}}</t>
        </is>
      </c>
    </row>
    <row r="5">
      <c r="A5" s="450" t="inlineStr">
        <is>
          <t>hero-skills-slice-2026-08-31-v1</t>
        </is>
      </c>
      <c r="B5" s="451" t="inlineStr">
        <is>
          <t>slice</t>
        </is>
      </c>
      <c r="C5" s="451" t="inlineStr">
        <is>
          <t>hero_skill_dangerous_tailwind</t>
        </is>
      </c>
      <c r="D5" s="451" t="inlineStr">
        <is>
          <t>hero_001</t>
        </is>
      </c>
      <c r="E5" s="451" t="inlineStr">
        <is>
          <t>bazaar_skill_audit</t>
        </is>
      </c>
      <c r="F5" s="451" t="inlineStr">
        <is>
          <t>bz_van_150</t>
        </is>
      </c>
      <c r="G5" s="451" t="inlineStr">
        <is>
          <t>skill</t>
        </is>
      </c>
      <c r="H5" s="451" t="inlineStr">
        <is>
          <t>trainer_adira, trainer_argenta, trainer_nufu, trainer_orlin, trainer_zara</t>
        </is>
      </c>
      <c r="I5" s="451" t="inlineStr">
        <is>
          <t>silver</t>
        </is>
      </c>
      <c r="J5" s="451" t="inlineStr">
        <is>
          <t>危帆抢风</t>
        </is>
      </c>
      <c r="K5" s="451" t="inlineStr">
        <is>
          <t>每战首次生命从半数以上跌至半数或以下时，暂时加快全部友方宠物的冷却推进。</t>
        </is>
      </c>
      <c r="L5" s="451" t="inlineStr">
        <is>
          <t>haste, cooldown</t>
        </is>
      </c>
      <c r="M5" s="451" t="n">
        <v>80</v>
      </c>
      <c r="N5" s="451" t="inlineStr">
        <is>
          <t>{"event":"HERO_HEALTH_THRESHOLD_CROSSED","conditions":[{"type":"hero_health_crossed_below_permille","params":{"threshold_permille":500}}],"allow_secondary_events":false,"limit_scope":"battle","max_triggers":1}</t>
        </is>
      </c>
      <c r="O5" s="451" t="inlineStr">
        <is>
          <t>[{"id":"tailwind_haste","type":"cooldown_rate_permille","target":"all_allied_pets","value_keys":["rate_bonus_permille","duration_ticks"],"params":{"direction":"haste"}}]</t>
        </is>
      </c>
      <c r="P5" s="451" t="inlineStr">
        <is>
          <t>{"silver":{"rate_bonus_permille":250,"duration_ticks":2},"gold":{"rate_bonus_permille":350,"duration_ticks":3},"diamond":{"rate_bonus_permille":500,"duration_ticks":4}}</t>
        </is>
      </c>
    </row>
    <row r="6">
      <c r="A6" s="450" t="inlineStr">
        <is>
          <t>hero-skills-slice-2026-08-31-v1</t>
        </is>
      </c>
      <c r="B6" s="451" t="inlineStr">
        <is>
          <t>slice</t>
        </is>
      </c>
      <c r="C6" s="451" t="inlineStr">
        <is>
          <t>hero_skill_leaden_interval</t>
        </is>
      </c>
      <c r="D6" s="451" t="inlineStr">
        <is>
          <t>hero_001</t>
        </is>
      </c>
      <c r="E6" s="451" t="inlineStr">
        <is>
          <t>bazaar_skill_audit</t>
        </is>
      </c>
      <c r="F6" s="451" t="inlineStr">
        <is>
          <t>bz_van_152</t>
        </is>
      </c>
      <c r="G6" s="451" t="inlineStr">
        <is>
          <t>skill</t>
        </is>
      </c>
      <c r="H6" s="451" t="inlineStr">
        <is>
          <t>trainer_adira, trainer_c4, trainer_nufu, trainer_old-zane, trainer_orlin, trainer_slohmor-lumbra</t>
        </is>
      </c>
      <c r="I6" s="451" t="inlineStr">
        <is>
          <t>gold</t>
        </is>
      </c>
      <c r="J6" s="451" t="inlineStr">
        <is>
          <t>铅云时隙</t>
        </is>
      </c>
      <c r="K6" s="451" t="inlineStr">
        <is>
          <t>每战前若干次弹药技能根成功结算后，暂时减慢一名敌方宠物的冷却推进。</t>
        </is>
      </c>
      <c r="L6" s="451" t="inlineStr">
        <is>
          <t>ammo, slow, cooldown</t>
        </is>
      </c>
      <c r="M6" s="451" t="n">
        <v>130</v>
      </c>
      <c r="N6" s="451" t="inlineStr">
        <is>
          <t>{"event":"PET_SKILL_ROOT_SUCCEEDED","conditions":[{"type":"event_skill_has_any_tag","params":{"tags":["ammo"]}}],"allow_secondary_events":false,"limit_scope":"battle","max_triggers_value_key":"trigger_limit"}</t>
        </is>
      </c>
      <c r="O6" s="451" t="inlineStr">
        <is>
          <t>[{"id":"leaden_slow","type":"cooldown_rate_permille","target":"random_enemy_pet","value_keys":["rate_penalty_permille","duration_ticks"],"params":{"direction":"slow"}}]</t>
        </is>
      </c>
      <c r="P6" s="451" t="inlineStr">
        <is>
          <t>{"gold":{"trigger_limit":2,"rate_penalty_permille":250,"duration_ticks":2},"diamond":{"trigger_limit":3,"rate_penalty_permille":400,"duration_ticks":3}}</t>
        </is>
      </c>
    </row>
    <row r="7">
      <c r="A7" s="450" t="inlineStr">
        <is>
          <t>hero-skills-slice-2026-08-31-v1</t>
        </is>
      </c>
      <c r="B7" s="451" t="inlineStr">
        <is>
          <t>slice</t>
        </is>
      </c>
      <c r="C7" s="451" t="inlineStr">
        <is>
          <t>hero_skill_heavy_hull_lock</t>
        </is>
      </c>
      <c r="D7" s="451" t="inlineStr">
        <is>
          <t>hero_001</t>
        </is>
      </c>
      <c r="E7" s="451" t="inlineStr">
        <is>
          <t>bazaar_skill_audit</t>
        </is>
      </c>
      <c r="F7" s="451" t="inlineStr">
        <is>
          <t>bz_van_206</t>
        </is>
      </c>
      <c r="G7" s="451" t="inlineStr">
        <is>
          <t>skill</t>
        </is>
      </c>
      <c r="H7" s="451" t="inlineStr">
        <is>
          <t>trainer_adira, trainer_argenta, trainer_bjorn, trainer_nufu, trainer_orlin</t>
        </is>
      </c>
      <c r="I7" s="451" t="inlineStr">
        <is>
          <t>silver</t>
        </is>
      </c>
      <c r="J7" s="451" t="inlineStr">
        <is>
          <t>重舷封航</t>
        </is>
      </c>
      <c r="K7" s="451" t="inlineStr">
        <is>
          <t>每战首次大型技能根成功结算后，令一名敌方宠物跳过下一次本可执行的技能根。</t>
        </is>
      </c>
      <c r="L7" s="451" t="inlineStr">
        <is>
          <t>freeze, cooldown</t>
        </is>
      </c>
      <c r="M7" s="451" t="n">
        <v>140</v>
      </c>
      <c r="N7" s="451" t="inlineStr">
        <is>
          <t>{"event":"PET_SKILL_ROOT_SUCCEEDED","conditions":[{"type":"triggering_pet_size_is","params":{"size":"large"}}],"allow_secondary_events":false,"limit_scope":"battle","max_triggers":1}</t>
        </is>
      </c>
      <c r="O7" s="451" t="inlineStr">
        <is>
          <t>[{"id":"heavy_hull_freeze","type":"freeze_next_skill_root","target":"random_enemy_pet","value_keys":["root_skips"],"params":{}}]</t>
        </is>
      </c>
      <c r="P7" s="451" t="inlineStr">
        <is>
          <t>{"silver":{"root_skips":1},"gold":{"root_skips":1},"diamond":{"root_skips":2}}</t>
        </is>
      </c>
    </row>
    <row r="8">
      <c r="A8" s="453" t="inlineStr">
        <is>
          <t>hero-skills-slice-2026-08-31-v1</t>
        </is>
      </c>
      <c r="B8" s="454" t="inlineStr">
        <is>
          <t>slice</t>
        </is>
      </c>
      <c r="C8" s="454" t="inlineStr">
        <is>
          <t>hero_skill_last_stand_salvo</t>
        </is>
      </c>
      <c r="D8" s="454" t="inlineStr">
        <is>
          <t>hero_001</t>
        </is>
      </c>
      <c r="E8" s="454" t="inlineStr">
        <is>
          <t>bazaar_skill_audit</t>
        </is>
      </c>
      <c r="F8" s="454" t="inlineStr">
        <is>
          <t>bz_van_168</t>
        </is>
      </c>
      <c r="G8" s="454" t="inlineStr">
        <is>
          <t>skill</t>
        </is>
      </c>
      <c r="H8" s="454" t="inlineStr">
        <is>
          <t>trainer_adira, trainer_nufu, trainer_ryukon</t>
        </is>
      </c>
      <c r="I8" s="454" t="inlineStr">
        <is>
          <t>diamond</t>
        </is>
      </c>
      <c r="J8" s="454" t="inlineStr">
        <is>
          <t>绝境齐射</t>
        </is>
      </c>
      <c r="K8" s="454" t="inlineStr">
        <is>
          <t>每战首次生命从半数以上跌至半数或以下时，本战强化最左侧友方武器宠物的攻击。</t>
        </is>
      </c>
      <c r="L8" s="454" t="inlineStr">
        <is>
          <t>weapon, damage</t>
        </is>
      </c>
      <c r="M8" s="454" t="n">
        <v>90</v>
      </c>
      <c r="N8" s="454" t="inlineStr">
        <is>
          <t>{"event":"HERO_HEALTH_THRESHOLD_CROSSED","conditions":[{"type":"hero_health_crossed_below_permille","params":{"threshold_permille":500}}],"allow_secondary_events":false,"limit_scope":"battle","max_triggers":1}</t>
        </is>
      </c>
      <c r="O8" s="454" t="inlineStr">
        <is>
          <t>[{"id":"last_stand_attack","type":"stat_modifier","target":"leftmost_allied_pet","value_keys":["attack_multiplier_permille"],"params":{"stat":"atk","operation":"multiply_permille","duration":"battle","required_tags_all":["weapon"]}}]</t>
        </is>
      </c>
      <c r="P8" s="454" t="inlineStr">
        <is>
          <t>{"diamond":{"attack_multiplier_permille":1500}}</t>
        </is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tabColor rgb="001F4E78"/>
    <outlinePr summaryBelow="1" summaryRight="1"/>
    <pageSetUpPr/>
  </sheetPr>
  <dimension ref="A1:BZ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style="439" min="1" max="1"/>
    <col width="32" customWidth="1" style="439" min="2" max="2"/>
    <col width="16" customWidth="1" style="439" min="3" max="3"/>
    <col width="32" customWidth="1" style="439" min="4" max="4"/>
    <col width="32" customWidth="1" style="439" min="5" max="5"/>
    <col width="32" customWidth="1" style="439" min="6" max="6"/>
    <col width="32" customWidth="1" style="439" min="7" max="7"/>
    <col width="32" customWidth="1" style="439" min="8" max="8"/>
    <col width="32" customWidth="1" style="439" min="9" max="9"/>
    <col width="24" customWidth="1" style="439" min="10" max="10"/>
    <col width="24" customWidth="1" style="439" min="11" max="11"/>
    <col width="31" customWidth="1" style="439" min="12" max="12"/>
    <col width="32" customWidth="1" style="439" min="13" max="13"/>
    <col width="25" customWidth="1" style="439" min="14" max="14"/>
    <col width="22" customWidth="1" style="439" min="15" max="15"/>
    <col width="28" customWidth="1" style="439" min="16" max="16"/>
    <col width="10" customWidth="1" style="439" min="17" max="17"/>
    <col width="11" customWidth="1" style="439" min="18" max="18"/>
    <col width="12" customWidth="1" style="439" min="19" max="19"/>
    <col width="12" customWidth="1" style="439" min="20" max="20"/>
    <col width="27" customWidth="1" style="439" min="21" max="21"/>
    <col width="30" customWidth="1" style="439" min="22" max="22"/>
    <col width="34" customWidth="1" style="439" min="23" max="23"/>
    <col width="34" customWidth="1" style="439" min="24" max="24"/>
    <col width="36" customWidth="1" style="439" min="25" max="25"/>
    <col width="36" customWidth="1" style="439" min="26" max="26"/>
    <col width="36" customWidth="1" style="439" min="27" max="27"/>
    <col width="36" customWidth="1" style="439" min="28" max="28"/>
    <col width="36" customWidth="1" style="439" min="29" max="29"/>
    <col width="36" customWidth="1" style="439" min="30" max="30"/>
    <col width="36" customWidth="1" style="439" min="31" max="31"/>
    <col width="28" customWidth="1" style="439" min="32" max="32"/>
    <col width="28" customWidth="1" style="439" min="33" max="33"/>
    <col width="28" customWidth="1" style="439" min="34" max="34"/>
    <col width="28" customWidth="1" style="439" min="35" max="35"/>
    <col width="28" customWidth="1" style="439" min="36" max="36"/>
    <col width="28" customWidth="1" style="439" min="37" max="37"/>
    <col width="28" customWidth="1" style="439" min="38" max="38"/>
    <col width="28" customWidth="1" style="439" min="39" max="39"/>
    <col width="28" customWidth="1" style="439" min="40" max="40"/>
    <col width="28" customWidth="1" style="439" min="41" max="41"/>
  </cols>
  <sheetData>
    <row r="1" ht="24" customHeight="1" s="439">
      <c r="A1" s="464" t="inlineStr">
        <is>
          <t>gameplay_id</t>
        </is>
      </c>
      <c r="B1" s="464" t="inlineStr">
        <is>
          <t>content_schema</t>
        </is>
      </c>
      <c r="C1" s="464" t="inlineStr">
        <is>
          <t>schema_version</t>
        </is>
      </c>
      <c r="D1" s="464" t="inlineStr">
        <is>
          <t>quality_profile_schema</t>
        </is>
      </c>
      <c r="E1" s="464" t="inlineStr">
        <is>
          <t>rules_version</t>
        </is>
      </c>
      <c r="F1" s="464" t="inlineStr">
        <is>
          <t>source_revision</t>
        </is>
      </c>
      <c r="G1" s="464" t="inlineStr">
        <is>
          <t>bundle_revision</t>
        </is>
      </c>
      <c r="H1" s="464" t="inlineStr">
        <is>
          <t>content_revision</t>
        </is>
      </c>
      <c r="I1" s="464" t="inlineStr">
        <is>
          <t>runtime_schema</t>
        </is>
      </c>
      <c r="J1" s="464" t="inlineStr">
        <is>
          <t>runtime_schema_version</t>
        </is>
      </c>
      <c r="K1" s="464" t="inlineStr">
        <is>
          <t>new_run_schema_version</t>
        </is>
      </c>
      <c r="L1" s="464" t="inlineStr">
        <is>
          <t>battle_package_schema_version</t>
        </is>
      </c>
      <c r="M1" s="464" t="inlineStr">
        <is>
          <t>schedule_schema</t>
        </is>
      </c>
      <c r="N1" s="464" t="inlineStr">
        <is>
          <t>schedule_schema_version</t>
        </is>
      </c>
      <c r="O1" s="464" t="inlineStr">
        <is>
          <t>income_payout_policy</t>
        </is>
      </c>
      <c r="P1" s="464" t="inlineStr">
        <is>
          <t>seed</t>
        </is>
      </c>
      <c r="Q1" s="464" t="inlineStr">
        <is>
          <t>phase</t>
        </is>
      </c>
      <c r="R1" s="464" t="inlineStr">
        <is>
          <t>start_day</t>
        </is>
      </c>
      <c r="S1" s="464" t="inlineStr">
        <is>
          <t>start_hour</t>
        </is>
      </c>
      <c r="T1" s="464" t="inlineStr">
        <is>
          <t>board_size</t>
        </is>
      </c>
      <c r="U1" s="464" t="inlineStr">
        <is>
          <t>terminal_pressure_enabled</t>
        </is>
      </c>
      <c r="V1" s="464" t="inlineStr">
        <is>
          <t>terminal_pressure_start_tick</t>
        </is>
      </c>
      <c r="W1" s="464" t="inlineStr">
        <is>
          <t>terminal_pressure_interval_ticks</t>
        </is>
      </c>
      <c r="X1" s="464" t="inlineStr">
        <is>
          <t>terminal_pressure_initial_damage</t>
        </is>
      </c>
      <c r="Y1" s="464" t="inlineStr">
        <is>
          <t>terminal_pressure_increment_damage</t>
        </is>
      </c>
      <c r="Z1" s="464" t="inlineStr">
        <is>
          <t>crit_contract</t>
        </is>
      </c>
      <c r="AA1" s="464" t="inlineStr">
        <is>
          <t>chance_scale_bps</t>
        </is>
      </c>
      <c r="AB1" s="464" t="inlineStr">
        <is>
          <t>damage_multiplier_bps</t>
        </is>
      </c>
      <c r="AC1" s="464" t="inlineStr">
        <is>
          <t>rounding_mode</t>
        </is>
      </c>
      <c r="AD1" s="464" t="inlineStr">
        <is>
          <t>roll_scope</t>
        </is>
      </c>
      <c r="AE1" s="464" t="inlineStr">
        <is>
          <t>draw_policy</t>
        </is>
      </c>
      <c r="AF1" s="464" t="inlineStr">
        <is>
          <t>burn_contract</t>
        </is>
      </c>
      <c r="AG1" s="464" t="inlineStr">
        <is>
          <t>burn_pulse_interval_ticks</t>
        </is>
      </c>
      <c r="AH1" s="464" t="inlineStr">
        <is>
          <t>burn_first_pulse_policy</t>
        </is>
      </c>
      <c r="AI1" s="464" t="inlineStr">
        <is>
          <t>burn_pulse_phase</t>
        </is>
      </c>
      <c r="AJ1" s="464" t="inlineStr">
        <is>
          <t>burn_damage_per_stack</t>
        </is>
      </c>
      <c r="AK1" s="464" t="inlineStr">
        <is>
          <t>burn_decay_stacks_per_pulse</t>
        </is>
      </c>
      <c r="AL1" s="464" t="inlineStr">
        <is>
          <t>burn_shield_policy</t>
        </is>
      </c>
      <c r="AM1" s="464" t="inlineStr">
        <is>
          <t>burn_resolution_order</t>
        </is>
      </c>
      <c r="AN1" s="464" t="inlineStr">
        <is>
          <t>burn_max_stacks</t>
        </is>
      </c>
      <c r="AO1" s="464" t="inlineStr">
        <is>
          <t>burn_stack_overflow_policy</t>
        </is>
      </c>
      <c r="AP1" s="464" t="inlineStr">
        <is>
          <t>poison_contract</t>
        </is>
      </c>
      <c r="AQ1" s="464" t="inlineStr">
        <is>
          <t>poison_pulse_interval_ticks</t>
        </is>
      </c>
      <c r="AR1" s="464" t="inlineStr">
        <is>
          <t>poison_first_pulse_policy</t>
        </is>
      </c>
      <c r="AS1" s="464" t="inlineStr">
        <is>
          <t>poison_reapply_schedule_policy</t>
        </is>
      </c>
      <c r="AT1" s="464" t="inlineStr">
        <is>
          <t>poison_pulse_phase</t>
        </is>
      </c>
      <c r="AU1" s="464" t="inlineStr">
        <is>
          <t>poison_damage_per_stack</t>
        </is>
      </c>
      <c r="AV1" s="464" t="inlineStr">
        <is>
          <t>poison_decay_stacks_per_pulse</t>
        </is>
      </c>
      <c r="AW1" s="464" t="inlineStr">
        <is>
          <t>poison_shield_policy</t>
        </is>
      </c>
      <c r="AX1" s="464" t="inlineStr">
        <is>
          <t>poison_resolution_order</t>
        </is>
      </c>
      <c r="AY1" s="464" t="inlineStr">
        <is>
          <t>poison_heal_cleanse_policy</t>
        </is>
      </c>
      <c r="AZ1" s="464" t="inlineStr">
        <is>
          <t>poison_crit_policy</t>
        </is>
      </c>
      <c r="BA1" s="464" t="inlineStr">
        <is>
          <t>poison_max_stacks</t>
        </is>
      </c>
      <c r="BB1" s="464" t="inlineStr">
        <is>
          <t>poison_stack_overflow_policy</t>
        </is>
      </c>
      <c r="BC1" t="inlineStr">
        <is>
          <t>heal_status_cleanse_contract</t>
        </is>
      </c>
      <c r="BD1" t="inlineStr">
        <is>
          <t>heal_status_cleanse_trigger_policy</t>
        </is>
      </c>
      <c r="BE1" t="inlineStr">
        <is>
          <t>heal_status_cleanse_heal_basis</t>
        </is>
      </c>
      <c r="BF1" t="inlineStr">
        <is>
          <t>heal_status_cleanse_scale_bps</t>
        </is>
      </c>
      <c r="BG1" t="inlineStr">
        <is>
          <t>heal_status_cleanse_rounding_mode</t>
        </is>
      </c>
      <c r="BH1" t="inlineStr">
        <is>
          <t>heal_status_cleanse_status_targets</t>
        </is>
      </c>
      <c r="BI1" t="inlineStr">
        <is>
          <t>heal_status_cleanse_status_resolution_policy</t>
        </is>
      </c>
      <c r="BJ1" t="inlineStr">
        <is>
          <t>heal_status_cleanse_poison_schedule_policy</t>
        </is>
      </c>
      <c r="BK1" t="inlineStr">
        <is>
          <t>heal_status_cleanse_trace_emit_policy</t>
        </is>
      </c>
      <c r="BL1" t="inlineStr">
        <is>
          <t>heal_status_cleanse_crit_policy</t>
        </is>
      </c>
      <c r="BM1" t="inlineStr">
        <is>
          <t>heal_status_cleanse_rng_policy</t>
        </is>
      </c>
      <c r="BN1" s="464" t="inlineStr">
        <is>
          <t>pve_win_bonus_xp</t>
        </is>
      </c>
      <c r="BO1" s="464" t="inlineStr">
        <is>
          <t>prestige_battle_kind</t>
        </is>
      </c>
      <c r="BP1" s="464" t="inlineStr">
        <is>
          <t>ghost_loss_prestige</t>
        </is>
      </c>
      <c r="BQ1" s="464" t="inlineStr">
        <is>
          <t>ghost_draw_prestige</t>
        </is>
      </c>
      <c r="BR1" s="464" t="inlineStr">
        <is>
          <t>win_target</t>
        </is>
      </c>
      <c r="BS1" s="464" t="inlineStr">
        <is>
          <t>last_chance_policy_id</t>
        </is>
      </c>
      <c r="BT1" s="464" t="inlineStr">
        <is>
          <t>bootstrap_run_day_coverage</t>
        </is>
      </c>
      <c r="BU1" s="464" t="inlineStr">
        <is>
          <t>bootstrap_refresh_package_coverage</t>
        </is>
      </c>
      <c r="BV1" s="464" t="inlineStr">
        <is>
          <t>hour</t>
        </is>
      </c>
      <c r="BW1" s="464" t="inlineStr">
        <is>
          <t>kind</t>
        </is>
      </c>
      <c r="BX1" s="464" t="inlineStr">
        <is>
          <t>completion_xp</t>
        </is>
      </c>
      <c r="BY1" s="464" t="inlineStr">
        <is>
          <t>node_types</t>
        </is>
      </c>
      <c r="BZ1" s="464" t="inlineStr">
        <is>
          <t>catalog_status</t>
        </is>
      </c>
    </row>
    <row r="2">
      <c r="A2" t="inlineStr">
        <is>
          <t>original_pirate</t>
        </is>
      </c>
      <c r="B2" t="inlineStr">
        <is>
          <t>ysbzs.original-pirate-content.v1</t>
        </is>
      </c>
      <c r="C2" t="n">
        <v>25</v>
      </c>
      <c r="D2" t="inlineStr">
        <is>
          <t>ysbzs.original-pirate-item-quality-profiles.v1</t>
        </is>
      </c>
      <c r="E2" t="inlineStr">
        <is>
          <t>ysbzs.original-pirate-rules.2026-09-03-v23</t>
        </is>
      </c>
      <c r="F2" t="inlineStr">
        <is>
          <t>original-pirate-bootstrap-source-2026-09-03-v24</t>
        </is>
      </c>
      <c r="G2" t="inlineStr">
        <is>
          <t>original_pirate_bootstrap_bundle_v24</t>
        </is>
      </c>
      <c r="H2" t="inlineStr">
        <is>
          <t>original-pirate-bootstrap-content-2026-09-03-v24</t>
        </is>
      </c>
      <c r="I2" t="inlineStr">
        <is>
          <t>ysbzs.original-pirate-runtime-bundle.v1</t>
        </is>
      </c>
      <c r="J2" t="n">
        <v>23</v>
      </c>
      <c r="K2" t="inlineStr">
        <is>
          <t>3</t>
        </is>
      </c>
      <c r="L2" t="inlineStr">
        <is>
          <t>3</t>
        </is>
      </c>
      <c r="M2" t="inlineStr">
        <is>
          <t>ysbzs.original-pirate-schedule-config.v4</t>
        </is>
      </c>
      <c r="N2" t="inlineStr">
        <is>
          <t>4</t>
        </is>
      </c>
      <c r="O2" t="inlineStr">
        <is>
          <t>day_advance</t>
        </is>
      </c>
      <c r="P2" t="inlineStr">
        <is>
          <t>mistwake_bootstrap_seed_v1</t>
        </is>
      </c>
      <c r="Q2" t="inlineStr">
        <is>
          <t>schedule</t>
        </is>
      </c>
      <c r="R2" t="inlineStr">
        <is>
          <t>1</t>
        </is>
      </c>
      <c r="S2" t="inlineStr">
        <is>
          <t>1</t>
        </is>
      </c>
      <c r="T2" t="inlineStr">
        <is>
          <t>10</t>
        </is>
      </c>
      <c r="U2" t="inlineStr">
        <is>
          <t>true</t>
        </is>
      </c>
      <c r="V2" t="inlineStr">
        <is>
          <t>60</t>
        </is>
      </c>
      <c r="W2" t="inlineStr">
        <is>
          <t>5</t>
        </is>
      </c>
      <c r="X2" t="inlineStr">
        <is>
          <t>1</t>
        </is>
      </c>
      <c r="Y2" t="inlineStr">
        <is>
          <t>1</t>
        </is>
      </c>
      <c r="Z2" t="inlineStr">
        <is>
          <t>ysbzs.original-pirate-critical-damage.v1</t>
        </is>
      </c>
      <c r="AA2" t="n">
        <v>10000</v>
      </c>
      <c r="AB2" t="n">
        <v>20000</v>
      </c>
      <c r="AC2" t="inlineStr">
        <is>
          <t>floor</t>
        </is>
      </c>
      <c r="AD2" t="inlineStr">
        <is>
          <t>item_use</t>
        </is>
      </c>
      <c r="AE2" t="inlineStr">
        <is>
          <t>once_if_eligible_damage_effect</t>
        </is>
      </c>
      <c r="AF2" t="inlineStr">
        <is>
          <t>ysbzs.original-pirate-burn.v1</t>
        </is>
      </c>
      <c r="AG2" t="n">
        <v>1</v>
      </c>
      <c r="AH2" t="inlineStr">
        <is>
          <t>next_tick</t>
        </is>
      </c>
      <c r="AI2" t="inlineStr">
        <is>
          <t>tick_start_before_item_progress</t>
        </is>
      </c>
      <c r="AJ2" t="n">
        <v>1</v>
      </c>
      <c r="AK2" t="n">
        <v>1</v>
      </c>
      <c r="AL2" t="inlineStr">
        <is>
          <t>shield_first_consuming</t>
        </is>
      </c>
      <c r="AM2" t="inlineStr">
        <is>
          <t>simultaneous_sides_then_terminal</t>
        </is>
      </c>
      <c r="AN2" t="n">
        <v>1000000</v>
      </c>
      <c r="AO2" t="inlineStr">
        <is>
          <t>reject_advance</t>
        </is>
      </c>
      <c r="AP2" t="inlineStr">
        <is>
          <t>ysbzs.original-pirate-poison.v2</t>
        </is>
      </c>
      <c r="AQ2" t="inlineStr">
        <is>
          <t>10</t>
        </is>
      </c>
      <c r="AR2" t="inlineStr">
        <is>
          <t>after_full_interval</t>
        </is>
      </c>
      <c r="AS2" t="inlineStr">
        <is>
          <t>preserve_existing_due_tick</t>
        </is>
      </c>
      <c r="AT2" t="inlineStr">
        <is>
          <t>tick_start_after_burn_terminal_before_item_progress</t>
        </is>
      </c>
      <c r="AU2" t="inlineStr">
        <is>
          <t>1</t>
        </is>
      </c>
      <c r="AV2" t="inlineStr">
        <is>
          <t>0</t>
        </is>
      </c>
      <c r="AW2" t="inlineStr">
        <is>
          <t>bypass_without_consuming</t>
        </is>
      </c>
      <c r="AX2" t="inlineStr">
        <is>
          <t>due_sides_snapshot_then_terminal</t>
        </is>
      </c>
      <c r="AY2" t="inlineStr">
        <is>
          <t>delegated_to_heal_status_cleanse_rules</t>
        </is>
      </c>
      <c r="AZ2" t="inlineStr">
        <is>
          <t>never</t>
        </is>
      </c>
      <c r="BA2" t="inlineStr">
        <is>
          <t>1000000</t>
        </is>
      </c>
      <c r="BB2" t="inlineStr">
        <is>
          <t>reject_advance</t>
        </is>
      </c>
      <c r="BC2" t="inlineStr">
        <is>
          <t>ysbzs.original-pirate-heal-status-cleanse.v1</t>
        </is>
      </c>
      <c r="BD2" t="inlineStr">
        <is>
          <t>after_effective_heal</t>
        </is>
      </c>
      <c r="BE2" t="inlineStr">
        <is>
          <t>applied_heal</t>
        </is>
      </c>
      <c r="BF2" t="n">
        <v>2500</v>
      </c>
      <c r="BG2" t="inlineStr">
        <is>
          <t>floor_min_one_if_positive</t>
        </is>
      </c>
      <c r="BH2" t="inlineStr">
        <is>
          <t>burn, poison</t>
        </is>
      </c>
      <c r="BI2" t="inlineStr">
        <is>
          <t>independent_caps_from_same_snapshot</t>
        </is>
      </c>
      <c r="BJ2" t="inlineStr">
        <is>
          <t>clear_due_if_zero_else_preserve</t>
        </is>
      </c>
      <c r="BK2" t="inlineStr">
        <is>
          <t>only_when_effective_heal_and_any_status_present</t>
        </is>
      </c>
      <c r="BL2" t="inlineStr">
        <is>
          <t>never</t>
        </is>
      </c>
      <c r="BM2" t="inlineStr">
        <is>
          <t>never</t>
        </is>
      </c>
      <c r="BN2" t="inlineStr">
        <is>
          <t>2</t>
        </is>
      </c>
      <c r="BO2" t="inlineStr">
        <is>
          <t>ghost</t>
        </is>
      </c>
      <c r="BP2" t="inlineStr">
        <is>
          <t>6</t>
        </is>
      </c>
      <c r="BQ2" t="inlineStr">
        <is>
          <t>2</t>
        </is>
      </c>
      <c r="BR2" t="inlineStr">
        <is>
          <t>10</t>
        </is>
      </c>
      <c r="BS2" t="inlineStr">
        <is>
          <t>last_chance_mistwake_v1</t>
        </is>
      </c>
      <c r="BT2" t="inlineStr">
        <is>
          <t>10</t>
        </is>
      </c>
      <c r="BU2" t="inlineStr">
        <is>
          <t>10</t>
        </is>
      </c>
      <c r="BV2" t="inlineStr">
        <is>
          <t>1</t>
        </is>
      </c>
      <c r="BW2" t="inlineStr">
        <is>
          <t>choice</t>
        </is>
      </c>
      <c r="BX2" t="inlineStr">
        <is>
          <t>1</t>
        </is>
      </c>
      <c r="BY2" t="inlineStr">
        <is>
          <t>stall_mistwake,event_driftwood_cache</t>
        </is>
      </c>
      <c r="BZ2" t="inlineStr">
        <is>
          <t>formal</t>
        </is>
      </c>
    </row>
    <row r="3">
      <c r="A3" t="inlineStr">
        <is>
          <t>original_pirate</t>
        </is>
      </c>
      <c r="B3" t="inlineStr">
        <is>
          <t>ysbzs.original-pirate-content.v1</t>
        </is>
      </c>
      <c r="C3" t="n">
        <v>25</v>
      </c>
      <c r="D3" t="inlineStr">
        <is>
          <t>ysbzs.original-pirate-item-quality-profiles.v1</t>
        </is>
      </c>
      <c r="E3" t="inlineStr">
        <is>
          <t>ysbzs.original-pirate-rules.2026-09-03-v23</t>
        </is>
      </c>
      <c r="F3" t="inlineStr">
        <is>
          <t>original-pirate-bootstrap-source-2026-09-03-v24</t>
        </is>
      </c>
      <c r="G3" t="inlineStr">
        <is>
          <t>original_pirate_bootstrap_bundle_v24</t>
        </is>
      </c>
      <c r="H3" t="inlineStr">
        <is>
          <t>original-pirate-bootstrap-content-2026-09-03-v24</t>
        </is>
      </c>
      <c r="I3" t="inlineStr">
        <is>
          <t>ysbzs.original-pirate-runtime-bundle.v1</t>
        </is>
      </c>
      <c r="J3" t="n">
        <v>23</v>
      </c>
      <c r="K3" t="inlineStr">
        <is>
          <t>3</t>
        </is>
      </c>
      <c r="L3" t="inlineStr">
        <is>
          <t>3</t>
        </is>
      </c>
      <c r="M3" t="inlineStr">
        <is>
          <t>ysbzs.original-pirate-schedule-config.v4</t>
        </is>
      </c>
      <c r="N3" t="inlineStr">
        <is>
          <t>4</t>
        </is>
      </c>
      <c r="O3" t="inlineStr">
        <is>
          <t>day_advance</t>
        </is>
      </c>
      <c r="P3" t="inlineStr">
        <is>
          <t>mistwake_bootstrap_seed_v1</t>
        </is>
      </c>
      <c r="Q3" t="inlineStr">
        <is>
          <t>schedule</t>
        </is>
      </c>
      <c r="R3" t="inlineStr">
        <is>
          <t>1</t>
        </is>
      </c>
      <c r="S3" t="inlineStr">
        <is>
          <t>1</t>
        </is>
      </c>
      <c r="T3" t="inlineStr">
        <is>
          <t>10</t>
        </is>
      </c>
      <c r="U3" t="inlineStr">
        <is>
          <t>true</t>
        </is>
      </c>
      <c r="V3" t="inlineStr">
        <is>
          <t>60</t>
        </is>
      </c>
      <c r="W3" t="inlineStr">
        <is>
          <t>5</t>
        </is>
      </c>
      <c r="X3" t="inlineStr">
        <is>
          <t>1</t>
        </is>
      </c>
      <c r="Y3" t="inlineStr">
        <is>
          <t>1</t>
        </is>
      </c>
      <c r="Z3" t="inlineStr">
        <is>
          <t>ysbzs.original-pirate-critical-damage.v1</t>
        </is>
      </c>
      <c r="AA3" t="n">
        <v>10000</v>
      </c>
      <c r="AB3" t="n">
        <v>20000</v>
      </c>
      <c r="AC3" t="inlineStr">
        <is>
          <t>floor</t>
        </is>
      </c>
      <c r="AD3" t="inlineStr">
        <is>
          <t>item_use</t>
        </is>
      </c>
      <c r="AE3" t="inlineStr">
        <is>
          <t>once_if_eligible_damage_effect</t>
        </is>
      </c>
      <c r="AF3" t="inlineStr">
        <is>
          <t>ysbzs.original-pirate-burn.v1</t>
        </is>
      </c>
      <c r="AG3" t="n">
        <v>1</v>
      </c>
      <c r="AH3" t="inlineStr">
        <is>
          <t>next_tick</t>
        </is>
      </c>
      <c r="AI3" t="inlineStr">
        <is>
          <t>tick_start_before_item_progress</t>
        </is>
      </c>
      <c r="AJ3" t="n">
        <v>1</v>
      </c>
      <c r="AK3" t="n">
        <v>1</v>
      </c>
      <c r="AL3" t="inlineStr">
        <is>
          <t>shield_first_consuming</t>
        </is>
      </c>
      <c r="AM3" t="inlineStr">
        <is>
          <t>simultaneous_sides_then_terminal</t>
        </is>
      </c>
      <c r="AN3" t="n">
        <v>1000000</v>
      </c>
      <c r="AO3" t="inlineStr">
        <is>
          <t>reject_advance</t>
        </is>
      </c>
      <c r="AP3" t="inlineStr">
        <is>
          <t>ysbzs.original-pirate-poison.v2</t>
        </is>
      </c>
      <c r="AQ3" t="inlineStr">
        <is>
          <t>10</t>
        </is>
      </c>
      <c r="AR3" t="inlineStr">
        <is>
          <t>after_full_interval</t>
        </is>
      </c>
      <c r="AS3" t="inlineStr">
        <is>
          <t>preserve_existing_due_tick</t>
        </is>
      </c>
      <c r="AT3" t="inlineStr">
        <is>
          <t>tick_start_after_burn_terminal_before_item_progress</t>
        </is>
      </c>
      <c r="AU3" t="inlineStr">
        <is>
          <t>1</t>
        </is>
      </c>
      <c r="AV3" t="inlineStr">
        <is>
          <t>0</t>
        </is>
      </c>
      <c r="AW3" t="inlineStr">
        <is>
          <t>bypass_without_consuming</t>
        </is>
      </c>
      <c r="AX3" t="inlineStr">
        <is>
          <t>due_sides_snapshot_then_terminal</t>
        </is>
      </c>
      <c r="AY3" t="inlineStr">
        <is>
          <t>delegated_to_heal_status_cleanse_rules</t>
        </is>
      </c>
      <c r="AZ3" t="inlineStr">
        <is>
          <t>never</t>
        </is>
      </c>
      <c r="BA3" t="inlineStr">
        <is>
          <t>1000000</t>
        </is>
      </c>
      <c r="BB3" t="inlineStr">
        <is>
          <t>reject_advance</t>
        </is>
      </c>
      <c r="BC3" t="inlineStr">
        <is>
          <t>ysbzs.original-pirate-heal-status-cleanse.v1</t>
        </is>
      </c>
      <c r="BD3" t="inlineStr">
        <is>
          <t>after_effective_heal</t>
        </is>
      </c>
      <c r="BE3" t="inlineStr">
        <is>
          <t>applied_heal</t>
        </is>
      </c>
      <c r="BF3" t="n">
        <v>2500</v>
      </c>
      <c r="BG3" t="inlineStr">
        <is>
          <t>floor_min_one_if_positive</t>
        </is>
      </c>
      <c r="BH3" t="inlineStr">
        <is>
          <t>burn, poison</t>
        </is>
      </c>
      <c r="BI3" t="inlineStr">
        <is>
          <t>independent_caps_from_same_snapshot</t>
        </is>
      </c>
      <c r="BJ3" t="inlineStr">
        <is>
          <t>clear_due_if_zero_else_preserve</t>
        </is>
      </c>
      <c r="BK3" t="inlineStr">
        <is>
          <t>only_when_effective_heal_and_any_status_present</t>
        </is>
      </c>
      <c r="BL3" t="inlineStr">
        <is>
          <t>never</t>
        </is>
      </c>
      <c r="BM3" t="inlineStr">
        <is>
          <t>never</t>
        </is>
      </c>
      <c r="BN3" t="inlineStr">
        <is>
          <t>2</t>
        </is>
      </c>
      <c r="BO3" t="inlineStr">
        <is>
          <t>ghost</t>
        </is>
      </c>
      <c r="BP3" t="inlineStr">
        <is>
          <t>6</t>
        </is>
      </c>
      <c r="BQ3" t="inlineStr">
        <is>
          <t>2</t>
        </is>
      </c>
      <c r="BR3" t="inlineStr">
        <is>
          <t>10</t>
        </is>
      </c>
      <c r="BS3" t="inlineStr">
        <is>
          <t>last_chance_mistwake_v1</t>
        </is>
      </c>
      <c r="BT3" t="inlineStr">
        <is>
          <t>10</t>
        </is>
      </c>
      <c r="BU3" t="inlineStr">
        <is>
          <t>10</t>
        </is>
      </c>
      <c r="BV3" t="inlineStr">
        <is>
          <t>2</t>
        </is>
      </c>
      <c r="BW3" t="inlineStr">
        <is>
          <t>choice</t>
        </is>
      </c>
      <c r="BX3" t="inlineStr">
        <is>
          <t>1</t>
        </is>
      </c>
      <c r="BY3" t="inlineStr">
        <is>
          <t>event_compass_echo,reward_ration_crate</t>
        </is>
      </c>
      <c r="BZ3" t="inlineStr">
        <is>
          <t>formal</t>
        </is>
      </c>
    </row>
    <row r="4">
      <c r="A4" t="inlineStr">
        <is>
          <t>original_pirate</t>
        </is>
      </c>
      <c r="B4" t="inlineStr">
        <is>
          <t>ysbzs.original-pirate-content.v1</t>
        </is>
      </c>
      <c r="C4" t="n">
        <v>25</v>
      </c>
      <c r="D4" t="inlineStr">
        <is>
          <t>ysbzs.original-pirate-item-quality-profiles.v1</t>
        </is>
      </c>
      <c r="E4" t="inlineStr">
        <is>
          <t>ysbzs.original-pirate-rules.2026-09-03-v23</t>
        </is>
      </c>
      <c r="F4" t="inlineStr">
        <is>
          <t>original-pirate-bootstrap-source-2026-09-03-v24</t>
        </is>
      </c>
      <c r="G4" t="inlineStr">
        <is>
          <t>original_pirate_bootstrap_bundle_v24</t>
        </is>
      </c>
      <c r="H4" t="inlineStr">
        <is>
          <t>original-pirate-bootstrap-content-2026-09-03-v24</t>
        </is>
      </c>
      <c r="I4" t="inlineStr">
        <is>
          <t>ysbzs.original-pirate-runtime-bundle.v1</t>
        </is>
      </c>
      <c r="J4" t="n">
        <v>23</v>
      </c>
      <c r="K4" t="inlineStr">
        <is>
          <t>3</t>
        </is>
      </c>
      <c r="L4" t="inlineStr">
        <is>
          <t>3</t>
        </is>
      </c>
      <c r="M4" t="inlineStr">
        <is>
          <t>ysbzs.original-pirate-schedule-config.v4</t>
        </is>
      </c>
      <c r="N4" t="inlineStr">
        <is>
          <t>4</t>
        </is>
      </c>
      <c r="O4" t="inlineStr">
        <is>
          <t>day_advance</t>
        </is>
      </c>
      <c r="P4" t="inlineStr">
        <is>
          <t>mistwake_bootstrap_seed_v1</t>
        </is>
      </c>
      <c r="Q4" t="inlineStr">
        <is>
          <t>schedule</t>
        </is>
      </c>
      <c r="R4" t="inlineStr">
        <is>
          <t>1</t>
        </is>
      </c>
      <c r="S4" t="inlineStr">
        <is>
          <t>1</t>
        </is>
      </c>
      <c r="T4" t="inlineStr">
        <is>
          <t>10</t>
        </is>
      </c>
      <c r="U4" t="inlineStr">
        <is>
          <t>true</t>
        </is>
      </c>
      <c r="V4" t="inlineStr">
        <is>
          <t>60</t>
        </is>
      </c>
      <c r="W4" t="inlineStr">
        <is>
          <t>5</t>
        </is>
      </c>
      <c r="X4" t="inlineStr">
        <is>
          <t>1</t>
        </is>
      </c>
      <c r="Y4" t="inlineStr">
        <is>
          <t>1</t>
        </is>
      </c>
      <c r="Z4" t="inlineStr">
        <is>
          <t>ysbzs.original-pirate-critical-damage.v1</t>
        </is>
      </c>
      <c r="AA4" t="n">
        <v>10000</v>
      </c>
      <c r="AB4" t="n">
        <v>20000</v>
      </c>
      <c r="AC4" t="inlineStr">
        <is>
          <t>floor</t>
        </is>
      </c>
      <c r="AD4" t="inlineStr">
        <is>
          <t>item_use</t>
        </is>
      </c>
      <c r="AE4" t="inlineStr">
        <is>
          <t>once_if_eligible_damage_effect</t>
        </is>
      </c>
      <c r="AF4" t="inlineStr">
        <is>
          <t>ysbzs.original-pirate-burn.v1</t>
        </is>
      </c>
      <c r="AG4" t="n">
        <v>1</v>
      </c>
      <c r="AH4" t="inlineStr">
        <is>
          <t>next_tick</t>
        </is>
      </c>
      <c r="AI4" t="inlineStr">
        <is>
          <t>tick_start_before_item_progress</t>
        </is>
      </c>
      <c r="AJ4" t="n">
        <v>1</v>
      </c>
      <c r="AK4" t="n">
        <v>1</v>
      </c>
      <c r="AL4" t="inlineStr">
        <is>
          <t>shield_first_consuming</t>
        </is>
      </c>
      <c r="AM4" t="inlineStr">
        <is>
          <t>simultaneous_sides_then_terminal</t>
        </is>
      </c>
      <c r="AN4" t="n">
        <v>1000000</v>
      </c>
      <c r="AO4" t="inlineStr">
        <is>
          <t>reject_advance</t>
        </is>
      </c>
      <c r="AP4" t="inlineStr">
        <is>
          <t>ysbzs.original-pirate-poison.v2</t>
        </is>
      </c>
      <c r="AQ4" t="inlineStr">
        <is>
          <t>10</t>
        </is>
      </c>
      <c r="AR4" t="inlineStr">
        <is>
          <t>after_full_interval</t>
        </is>
      </c>
      <c r="AS4" t="inlineStr">
        <is>
          <t>preserve_existing_due_tick</t>
        </is>
      </c>
      <c r="AT4" t="inlineStr">
        <is>
          <t>tick_start_after_burn_terminal_before_item_progress</t>
        </is>
      </c>
      <c r="AU4" t="inlineStr">
        <is>
          <t>1</t>
        </is>
      </c>
      <c r="AV4" t="inlineStr">
        <is>
          <t>0</t>
        </is>
      </c>
      <c r="AW4" t="inlineStr">
        <is>
          <t>bypass_without_consuming</t>
        </is>
      </c>
      <c r="AX4" t="inlineStr">
        <is>
          <t>due_sides_snapshot_then_terminal</t>
        </is>
      </c>
      <c r="AY4" t="inlineStr">
        <is>
          <t>delegated_to_heal_status_cleanse_rules</t>
        </is>
      </c>
      <c r="AZ4" t="inlineStr">
        <is>
          <t>never</t>
        </is>
      </c>
      <c r="BA4" t="inlineStr">
        <is>
          <t>1000000</t>
        </is>
      </c>
      <c r="BB4" t="inlineStr">
        <is>
          <t>reject_advance</t>
        </is>
      </c>
      <c r="BC4" t="inlineStr">
        <is>
          <t>ysbzs.original-pirate-heal-status-cleanse.v1</t>
        </is>
      </c>
      <c r="BD4" t="inlineStr">
        <is>
          <t>after_effective_heal</t>
        </is>
      </c>
      <c r="BE4" t="inlineStr">
        <is>
          <t>applied_heal</t>
        </is>
      </c>
      <c r="BF4" t="n">
        <v>2500</v>
      </c>
      <c r="BG4" t="inlineStr">
        <is>
          <t>floor_min_one_if_positive</t>
        </is>
      </c>
      <c r="BH4" t="inlineStr">
        <is>
          <t>burn, poison</t>
        </is>
      </c>
      <c r="BI4" t="inlineStr">
        <is>
          <t>independent_caps_from_same_snapshot</t>
        </is>
      </c>
      <c r="BJ4" t="inlineStr">
        <is>
          <t>clear_due_if_zero_else_preserve</t>
        </is>
      </c>
      <c r="BK4" t="inlineStr">
        <is>
          <t>only_when_effective_heal_and_any_status_present</t>
        </is>
      </c>
      <c r="BL4" t="inlineStr">
        <is>
          <t>never</t>
        </is>
      </c>
      <c r="BM4" t="inlineStr">
        <is>
          <t>never</t>
        </is>
      </c>
      <c r="BN4" t="inlineStr">
        <is>
          <t>2</t>
        </is>
      </c>
      <c r="BO4" t="inlineStr">
        <is>
          <t>ghost</t>
        </is>
      </c>
      <c r="BP4" t="inlineStr">
        <is>
          <t>6</t>
        </is>
      </c>
      <c r="BQ4" t="inlineStr">
        <is>
          <t>2</t>
        </is>
      </c>
      <c r="BR4" t="inlineStr">
        <is>
          <t>10</t>
        </is>
      </c>
      <c r="BS4" t="inlineStr">
        <is>
          <t>last_chance_mistwake_v1</t>
        </is>
      </c>
      <c r="BT4" t="inlineStr">
        <is>
          <t>10</t>
        </is>
      </c>
      <c r="BU4" t="inlineStr">
        <is>
          <t>10</t>
        </is>
      </c>
      <c r="BV4" t="inlineStr">
        <is>
          <t>3</t>
        </is>
      </c>
      <c r="BW4" t="inlineStr">
        <is>
          <t>pve</t>
        </is>
      </c>
      <c r="BX4" t="inlineStr">
        <is>
          <t>1</t>
        </is>
      </c>
      <c r="BZ4" t="inlineStr">
        <is>
          <t>formal</t>
        </is>
      </c>
    </row>
    <row r="5">
      <c r="A5" t="inlineStr">
        <is>
          <t>original_pirate</t>
        </is>
      </c>
      <c r="B5" t="inlineStr">
        <is>
          <t>ysbzs.original-pirate-content.v1</t>
        </is>
      </c>
      <c r="C5" t="n">
        <v>25</v>
      </c>
      <c r="D5" t="inlineStr">
        <is>
          <t>ysbzs.original-pirate-item-quality-profiles.v1</t>
        </is>
      </c>
      <c r="E5" t="inlineStr">
        <is>
          <t>ysbzs.original-pirate-rules.2026-09-03-v23</t>
        </is>
      </c>
      <c r="F5" t="inlineStr">
        <is>
          <t>original-pirate-bootstrap-source-2026-09-03-v24</t>
        </is>
      </c>
      <c r="G5" t="inlineStr">
        <is>
          <t>original_pirate_bootstrap_bundle_v24</t>
        </is>
      </c>
      <c r="H5" t="inlineStr">
        <is>
          <t>original-pirate-bootstrap-content-2026-09-03-v24</t>
        </is>
      </c>
      <c r="I5" t="inlineStr">
        <is>
          <t>ysbzs.original-pirate-runtime-bundle.v1</t>
        </is>
      </c>
      <c r="J5" t="n">
        <v>23</v>
      </c>
      <c r="K5" t="inlineStr">
        <is>
          <t>3</t>
        </is>
      </c>
      <c r="L5" t="inlineStr">
        <is>
          <t>3</t>
        </is>
      </c>
      <c r="M5" t="inlineStr">
        <is>
          <t>ysbzs.original-pirate-schedule-config.v4</t>
        </is>
      </c>
      <c r="N5" t="inlineStr">
        <is>
          <t>4</t>
        </is>
      </c>
      <c r="O5" t="inlineStr">
        <is>
          <t>day_advance</t>
        </is>
      </c>
      <c r="P5" t="inlineStr">
        <is>
          <t>mistwake_bootstrap_seed_v1</t>
        </is>
      </c>
      <c r="Q5" t="inlineStr">
        <is>
          <t>schedule</t>
        </is>
      </c>
      <c r="R5" t="inlineStr">
        <is>
          <t>1</t>
        </is>
      </c>
      <c r="S5" t="inlineStr">
        <is>
          <t>1</t>
        </is>
      </c>
      <c r="T5" t="inlineStr">
        <is>
          <t>10</t>
        </is>
      </c>
      <c r="U5" t="inlineStr">
        <is>
          <t>true</t>
        </is>
      </c>
      <c r="V5" t="inlineStr">
        <is>
          <t>60</t>
        </is>
      </c>
      <c r="W5" t="inlineStr">
        <is>
          <t>5</t>
        </is>
      </c>
      <c r="X5" t="inlineStr">
        <is>
          <t>1</t>
        </is>
      </c>
      <c r="Y5" t="inlineStr">
        <is>
          <t>1</t>
        </is>
      </c>
      <c r="Z5" t="inlineStr">
        <is>
          <t>ysbzs.original-pirate-critical-damage.v1</t>
        </is>
      </c>
      <c r="AA5" t="n">
        <v>10000</v>
      </c>
      <c r="AB5" t="n">
        <v>20000</v>
      </c>
      <c r="AC5" t="inlineStr">
        <is>
          <t>floor</t>
        </is>
      </c>
      <c r="AD5" t="inlineStr">
        <is>
          <t>item_use</t>
        </is>
      </c>
      <c r="AE5" t="inlineStr">
        <is>
          <t>once_if_eligible_damage_effect</t>
        </is>
      </c>
      <c r="AF5" t="inlineStr">
        <is>
          <t>ysbzs.original-pirate-burn.v1</t>
        </is>
      </c>
      <c r="AG5" t="n">
        <v>1</v>
      </c>
      <c r="AH5" t="inlineStr">
        <is>
          <t>next_tick</t>
        </is>
      </c>
      <c r="AI5" t="inlineStr">
        <is>
          <t>tick_start_before_item_progress</t>
        </is>
      </c>
      <c r="AJ5" t="n">
        <v>1</v>
      </c>
      <c r="AK5" t="n">
        <v>1</v>
      </c>
      <c r="AL5" t="inlineStr">
        <is>
          <t>shield_first_consuming</t>
        </is>
      </c>
      <c r="AM5" t="inlineStr">
        <is>
          <t>simultaneous_sides_then_terminal</t>
        </is>
      </c>
      <c r="AN5" t="n">
        <v>1000000</v>
      </c>
      <c r="AO5" t="inlineStr">
        <is>
          <t>reject_advance</t>
        </is>
      </c>
      <c r="AP5" t="inlineStr">
        <is>
          <t>ysbzs.original-pirate-poison.v2</t>
        </is>
      </c>
      <c r="AQ5" t="inlineStr">
        <is>
          <t>10</t>
        </is>
      </c>
      <c r="AR5" t="inlineStr">
        <is>
          <t>after_full_interval</t>
        </is>
      </c>
      <c r="AS5" t="inlineStr">
        <is>
          <t>preserve_existing_due_tick</t>
        </is>
      </c>
      <c r="AT5" t="inlineStr">
        <is>
          <t>tick_start_after_burn_terminal_before_item_progress</t>
        </is>
      </c>
      <c r="AU5" t="inlineStr">
        <is>
          <t>1</t>
        </is>
      </c>
      <c r="AV5" t="inlineStr">
        <is>
          <t>0</t>
        </is>
      </c>
      <c r="AW5" t="inlineStr">
        <is>
          <t>bypass_without_consuming</t>
        </is>
      </c>
      <c r="AX5" t="inlineStr">
        <is>
          <t>due_sides_snapshot_then_terminal</t>
        </is>
      </c>
      <c r="AY5" t="inlineStr">
        <is>
          <t>delegated_to_heal_status_cleanse_rules</t>
        </is>
      </c>
      <c r="AZ5" t="inlineStr">
        <is>
          <t>never</t>
        </is>
      </c>
      <c r="BA5" t="inlineStr">
        <is>
          <t>1000000</t>
        </is>
      </c>
      <c r="BB5" t="inlineStr">
        <is>
          <t>reject_advance</t>
        </is>
      </c>
      <c r="BC5" t="inlineStr">
        <is>
          <t>ysbzs.original-pirate-heal-status-cleanse.v1</t>
        </is>
      </c>
      <c r="BD5" t="inlineStr">
        <is>
          <t>after_effective_heal</t>
        </is>
      </c>
      <c r="BE5" t="inlineStr">
        <is>
          <t>applied_heal</t>
        </is>
      </c>
      <c r="BF5" t="n">
        <v>2500</v>
      </c>
      <c r="BG5" t="inlineStr">
        <is>
          <t>floor_min_one_if_positive</t>
        </is>
      </c>
      <c r="BH5" t="inlineStr">
        <is>
          <t>burn, poison</t>
        </is>
      </c>
      <c r="BI5" t="inlineStr">
        <is>
          <t>independent_caps_from_same_snapshot</t>
        </is>
      </c>
      <c r="BJ5" t="inlineStr">
        <is>
          <t>clear_due_if_zero_else_preserve</t>
        </is>
      </c>
      <c r="BK5" t="inlineStr">
        <is>
          <t>only_when_effective_heal_and_any_status_present</t>
        </is>
      </c>
      <c r="BL5" t="inlineStr">
        <is>
          <t>never</t>
        </is>
      </c>
      <c r="BM5" t="inlineStr">
        <is>
          <t>never</t>
        </is>
      </c>
      <c r="BN5" t="inlineStr">
        <is>
          <t>2</t>
        </is>
      </c>
      <c r="BO5" t="inlineStr">
        <is>
          <t>ghost</t>
        </is>
      </c>
      <c r="BP5" t="inlineStr">
        <is>
          <t>6</t>
        </is>
      </c>
      <c r="BQ5" t="inlineStr">
        <is>
          <t>2</t>
        </is>
      </c>
      <c r="BR5" t="inlineStr">
        <is>
          <t>10</t>
        </is>
      </c>
      <c r="BS5" t="inlineStr">
        <is>
          <t>last_chance_mistwake_v1</t>
        </is>
      </c>
      <c r="BT5" t="inlineStr">
        <is>
          <t>10</t>
        </is>
      </c>
      <c r="BU5" t="inlineStr">
        <is>
          <t>10</t>
        </is>
      </c>
      <c r="BV5" t="inlineStr">
        <is>
          <t>4</t>
        </is>
      </c>
      <c r="BW5" t="inlineStr">
        <is>
          <t>choice</t>
        </is>
      </c>
      <c r="BX5" t="inlineStr">
        <is>
          <t>1</t>
        </is>
      </c>
      <c r="BY5" t="inlineStr">
        <is>
          <t>stall_mistwake,event_quiet_cove</t>
        </is>
      </c>
      <c r="BZ5" t="inlineStr">
        <is>
          <t>formal</t>
        </is>
      </c>
    </row>
    <row r="6">
      <c r="A6" t="inlineStr">
        <is>
          <t>original_pirate</t>
        </is>
      </c>
      <c r="B6" t="inlineStr">
        <is>
          <t>ysbzs.original-pirate-content.v1</t>
        </is>
      </c>
      <c r="C6" t="n">
        <v>25</v>
      </c>
      <c r="D6" t="inlineStr">
        <is>
          <t>ysbzs.original-pirate-item-quality-profiles.v1</t>
        </is>
      </c>
      <c r="E6" t="inlineStr">
        <is>
          <t>ysbzs.original-pirate-rules.2026-09-03-v23</t>
        </is>
      </c>
      <c r="F6" t="inlineStr">
        <is>
          <t>original-pirate-bootstrap-source-2026-09-03-v24</t>
        </is>
      </c>
      <c r="G6" t="inlineStr">
        <is>
          <t>original_pirate_bootstrap_bundle_v24</t>
        </is>
      </c>
      <c r="H6" t="inlineStr">
        <is>
          <t>original-pirate-bootstrap-content-2026-09-03-v24</t>
        </is>
      </c>
      <c r="I6" t="inlineStr">
        <is>
          <t>ysbzs.original-pirate-runtime-bundle.v1</t>
        </is>
      </c>
      <c r="J6" t="n">
        <v>23</v>
      </c>
      <c r="K6" t="inlineStr">
        <is>
          <t>3</t>
        </is>
      </c>
      <c r="L6" t="inlineStr">
        <is>
          <t>3</t>
        </is>
      </c>
      <c r="M6" t="inlineStr">
        <is>
          <t>ysbzs.original-pirate-schedule-config.v4</t>
        </is>
      </c>
      <c r="N6" t="inlineStr">
        <is>
          <t>4</t>
        </is>
      </c>
      <c r="O6" t="inlineStr">
        <is>
          <t>day_advance</t>
        </is>
      </c>
      <c r="P6" t="inlineStr">
        <is>
          <t>mistwake_bootstrap_seed_v1</t>
        </is>
      </c>
      <c r="Q6" t="inlineStr">
        <is>
          <t>schedule</t>
        </is>
      </c>
      <c r="R6" t="inlineStr">
        <is>
          <t>1</t>
        </is>
      </c>
      <c r="S6" t="inlineStr">
        <is>
          <t>1</t>
        </is>
      </c>
      <c r="T6" t="inlineStr">
        <is>
          <t>10</t>
        </is>
      </c>
      <c r="U6" t="inlineStr">
        <is>
          <t>true</t>
        </is>
      </c>
      <c r="V6" t="inlineStr">
        <is>
          <t>60</t>
        </is>
      </c>
      <c r="W6" t="inlineStr">
        <is>
          <t>5</t>
        </is>
      </c>
      <c r="X6" t="inlineStr">
        <is>
          <t>1</t>
        </is>
      </c>
      <c r="Y6" t="inlineStr">
        <is>
          <t>1</t>
        </is>
      </c>
      <c r="Z6" t="inlineStr">
        <is>
          <t>ysbzs.original-pirate-critical-damage.v1</t>
        </is>
      </c>
      <c r="AA6" t="n">
        <v>10000</v>
      </c>
      <c r="AB6" t="n">
        <v>20000</v>
      </c>
      <c r="AC6" t="inlineStr">
        <is>
          <t>floor</t>
        </is>
      </c>
      <c r="AD6" t="inlineStr">
        <is>
          <t>item_use</t>
        </is>
      </c>
      <c r="AE6" t="inlineStr">
        <is>
          <t>once_if_eligible_damage_effect</t>
        </is>
      </c>
      <c r="AF6" t="inlineStr">
        <is>
          <t>ysbzs.original-pirate-burn.v1</t>
        </is>
      </c>
      <c r="AG6" t="n">
        <v>1</v>
      </c>
      <c r="AH6" t="inlineStr">
        <is>
          <t>next_tick</t>
        </is>
      </c>
      <c r="AI6" t="inlineStr">
        <is>
          <t>tick_start_before_item_progress</t>
        </is>
      </c>
      <c r="AJ6" t="n">
        <v>1</v>
      </c>
      <c r="AK6" t="n">
        <v>1</v>
      </c>
      <c r="AL6" t="inlineStr">
        <is>
          <t>shield_first_consuming</t>
        </is>
      </c>
      <c r="AM6" t="inlineStr">
        <is>
          <t>simultaneous_sides_then_terminal</t>
        </is>
      </c>
      <c r="AN6" t="n">
        <v>1000000</v>
      </c>
      <c r="AO6" t="inlineStr">
        <is>
          <t>reject_advance</t>
        </is>
      </c>
      <c r="AP6" t="inlineStr">
        <is>
          <t>ysbzs.original-pirate-poison.v2</t>
        </is>
      </c>
      <c r="AQ6" t="inlineStr">
        <is>
          <t>10</t>
        </is>
      </c>
      <c r="AR6" t="inlineStr">
        <is>
          <t>after_full_interval</t>
        </is>
      </c>
      <c r="AS6" t="inlineStr">
        <is>
          <t>preserve_existing_due_tick</t>
        </is>
      </c>
      <c r="AT6" t="inlineStr">
        <is>
          <t>tick_start_after_burn_terminal_before_item_progress</t>
        </is>
      </c>
      <c r="AU6" t="inlineStr">
        <is>
          <t>1</t>
        </is>
      </c>
      <c r="AV6" t="inlineStr">
        <is>
          <t>0</t>
        </is>
      </c>
      <c r="AW6" t="inlineStr">
        <is>
          <t>bypass_without_consuming</t>
        </is>
      </c>
      <c r="AX6" t="inlineStr">
        <is>
          <t>due_sides_snapshot_then_terminal</t>
        </is>
      </c>
      <c r="AY6" t="inlineStr">
        <is>
          <t>delegated_to_heal_status_cleanse_rules</t>
        </is>
      </c>
      <c r="AZ6" t="inlineStr">
        <is>
          <t>never</t>
        </is>
      </c>
      <c r="BA6" t="inlineStr">
        <is>
          <t>1000000</t>
        </is>
      </c>
      <c r="BB6" t="inlineStr">
        <is>
          <t>reject_advance</t>
        </is>
      </c>
      <c r="BC6" t="inlineStr">
        <is>
          <t>ysbzs.original-pirate-heal-status-cleanse.v1</t>
        </is>
      </c>
      <c r="BD6" t="inlineStr">
        <is>
          <t>after_effective_heal</t>
        </is>
      </c>
      <c r="BE6" t="inlineStr">
        <is>
          <t>applied_heal</t>
        </is>
      </c>
      <c r="BF6" t="n">
        <v>2500</v>
      </c>
      <c r="BG6" t="inlineStr">
        <is>
          <t>floor_min_one_if_positive</t>
        </is>
      </c>
      <c r="BH6" t="inlineStr">
        <is>
          <t>burn, poison</t>
        </is>
      </c>
      <c r="BI6" t="inlineStr">
        <is>
          <t>independent_caps_from_same_snapshot</t>
        </is>
      </c>
      <c r="BJ6" t="inlineStr">
        <is>
          <t>clear_due_if_zero_else_preserve</t>
        </is>
      </c>
      <c r="BK6" t="inlineStr">
        <is>
          <t>only_when_effective_heal_and_any_status_present</t>
        </is>
      </c>
      <c r="BL6" t="inlineStr">
        <is>
          <t>never</t>
        </is>
      </c>
      <c r="BM6" t="inlineStr">
        <is>
          <t>never</t>
        </is>
      </c>
      <c r="BN6" t="inlineStr">
        <is>
          <t>2</t>
        </is>
      </c>
      <c r="BO6" t="inlineStr">
        <is>
          <t>ghost</t>
        </is>
      </c>
      <c r="BP6" t="inlineStr">
        <is>
          <t>6</t>
        </is>
      </c>
      <c r="BQ6" t="inlineStr">
        <is>
          <t>2</t>
        </is>
      </c>
      <c r="BR6" t="inlineStr">
        <is>
          <t>10</t>
        </is>
      </c>
      <c r="BS6" t="inlineStr">
        <is>
          <t>last_chance_mistwake_v1</t>
        </is>
      </c>
      <c r="BT6" t="inlineStr">
        <is>
          <t>10</t>
        </is>
      </c>
      <c r="BU6" t="inlineStr">
        <is>
          <t>10</t>
        </is>
      </c>
      <c r="BV6" t="inlineStr">
        <is>
          <t>5</t>
        </is>
      </c>
      <c r="BW6" t="inlineStr">
        <is>
          <t>choice</t>
        </is>
      </c>
      <c r="BX6" t="inlineStr">
        <is>
          <t>1</t>
        </is>
      </c>
      <c r="BY6" t="inlineStr">
        <is>
          <t>event_starlit_chart,reward_sailcloth_patch</t>
        </is>
      </c>
      <c r="BZ6" t="inlineStr">
        <is>
          <t>formal</t>
        </is>
      </c>
    </row>
    <row r="7">
      <c r="A7" t="inlineStr">
        <is>
          <t>original_pirate</t>
        </is>
      </c>
      <c r="B7" t="inlineStr">
        <is>
          <t>ysbzs.original-pirate-content.v1</t>
        </is>
      </c>
      <c r="C7" t="n">
        <v>25</v>
      </c>
      <c r="D7" t="inlineStr">
        <is>
          <t>ysbzs.original-pirate-item-quality-profiles.v1</t>
        </is>
      </c>
      <c r="E7" t="inlineStr">
        <is>
          <t>ysbzs.original-pirate-rules.2026-09-03-v23</t>
        </is>
      </c>
      <c r="F7" t="inlineStr">
        <is>
          <t>original-pirate-bootstrap-source-2026-09-03-v24</t>
        </is>
      </c>
      <c r="G7" t="inlineStr">
        <is>
          <t>original_pirate_bootstrap_bundle_v24</t>
        </is>
      </c>
      <c r="H7" t="inlineStr">
        <is>
          <t>original-pirate-bootstrap-content-2026-09-03-v24</t>
        </is>
      </c>
      <c r="I7" t="inlineStr">
        <is>
          <t>ysbzs.original-pirate-runtime-bundle.v1</t>
        </is>
      </c>
      <c r="J7" t="n">
        <v>23</v>
      </c>
      <c r="K7" t="inlineStr">
        <is>
          <t>3</t>
        </is>
      </c>
      <c r="L7" t="inlineStr">
        <is>
          <t>3</t>
        </is>
      </c>
      <c r="M7" t="inlineStr">
        <is>
          <t>ysbzs.original-pirate-schedule-config.v4</t>
        </is>
      </c>
      <c r="N7" t="inlineStr">
        <is>
          <t>4</t>
        </is>
      </c>
      <c r="O7" t="inlineStr">
        <is>
          <t>day_advance</t>
        </is>
      </c>
      <c r="P7" t="inlineStr">
        <is>
          <t>mistwake_bootstrap_seed_v1</t>
        </is>
      </c>
      <c r="Q7" t="inlineStr">
        <is>
          <t>schedule</t>
        </is>
      </c>
      <c r="R7" t="inlineStr">
        <is>
          <t>1</t>
        </is>
      </c>
      <c r="S7" t="inlineStr">
        <is>
          <t>1</t>
        </is>
      </c>
      <c r="T7" t="inlineStr">
        <is>
          <t>10</t>
        </is>
      </c>
      <c r="U7" t="inlineStr">
        <is>
          <t>true</t>
        </is>
      </c>
      <c r="V7" t="inlineStr">
        <is>
          <t>60</t>
        </is>
      </c>
      <c r="W7" t="inlineStr">
        <is>
          <t>5</t>
        </is>
      </c>
      <c r="X7" t="inlineStr">
        <is>
          <t>1</t>
        </is>
      </c>
      <c r="Y7" t="inlineStr">
        <is>
          <t>1</t>
        </is>
      </c>
      <c r="Z7" t="inlineStr">
        <is>
          <t>ysbzs.original-pirate-critical-damage.v1</t>
        </is>
      </c>
      <c r="AA7" t="n">
        <v>10000</v>
      </c>
      <c r="AB7" t="n">
        <v>20000</v>
      </c>
      <c r="AC7" t="inlineStr">
        <is>
          <t>floor</t>
        </is>
      </c>
      <c r="AD7" t="inlineStr">
        <is>
          <t>item_use</t>
        </is>
      </c>
      <c r="AE7" t="inlineStr">
        <is>
          <t>once_if_eligible_damage_effect</t>
        </is>
      </c>
      <c r="AF7" t="inlineStr">
        <is>
          <t>ysbzs.original-pirate-burn.v1</t>
        </is>
      </c>
      <c r="AG7" t="n">
        <v>1</v>
      </c>
      <c r="AH7" t="inlineStr">
        <is>
          <t>next_tick</t>
        </is>
      </c>
      <c r="AI7" t="inlineStr">
        <is>
          <t>tick_start_before_item_progress</t>
        </is>
      </c>
      <c r="AJ7" t="n">
        <v>1</v>
      </c>
      <c r="AK7" t="n">
        <v>1</v>
      </c>
      <c r="AL7" t="inlineStr">
        <is>
          <t>shield_first_consuming</t>
        </is>
      </c>
      <c r="AM7" t="inlineStr">
        <is>
          <t>simultaneous_sides_then_terminal</t>
        </is>
      </c>
      <c r="AN7" t="n">
        <v>1000000</v>
      </c>
      <c r="AO7" t="inlineStr">
        <is>
          <t>reject_advance</t>
        </is>
      </c>
      <c r="AP7" t="inlineStr">
        <is>
          <t>ysbzs.original-pirate-poison.v2</t>
        </is>
      </c>
      <c r="AQ7" t="inlineStr">
        <is>
          <t>10</t>
        </is>
      </c>
      <c r="AR7" t="inlineStr">
        <is>
          <t>after_full_interval</t>
        </is>
      </c>
      <c r="AS7" t="inlineStr">
        <is>
          <t>preserve_existing_due_tick</t>
        </is>
      </c>
      <c r="AT7" t="inlineStr">
        <is>
          <t>tick_start_after_burn_terminal_before_item_progress</t>
        </is>
      </c>
      <c r="AU7" t="inlineStr">
        <is>
          <t>1</t>
        </is>
      </c>
      <c r="AV7" t="inlineStr">
        <is>
          <t>0</t>
        </is>
      </c>
      <c r="AW7" t="inlineStr">
        <is>
          <t>bypass_without_consuming</t>
        </is>
      </c>
      <c r="AX7" t="inlineStr">
        <is>
          <t>due_sides_snapshot_then_terminal</t>
        </is>
      </c>
      <c r="AY7" t="inlineStr">
        <is>
          <t>delegated_to_heal_status_cleanse_rules</t>
        </is>
      </c>
      <c r="AZ7" t="inlineStr">
        <is>
          <t>never</t>
        </is>
      </c>
      <c r="BA7" t="inlineStr">
        <is>
          <t>1000000</t>
        </is>
      </c>
      <c r="BB7" t="inlineStr">
        <is>
          <t>reject_advance</t>
        </is>
      </c>
      <c r="BC7" t="inlineStr">
        <is>
          <t>ysbzs.original-pirate-heal-status-cleanse.v1</t>
        </is>
      </c>
      <c r="BD7" t="inlineStr">
        <is>
          <t>after_effective_heal</t>
        </is>
      </c>
      <c r="BE7" t="inlineStr">
        <is>
          <t>applied_heal</t>
        </is>
      </c>
      <c r="BF7" t="n">
        <v>2500</v>
      </c>
      <c r="BG7" t="inlineStr">
        <is>
          <t>floor_min_one_if_positive</t>
        </is>
      </c>
      <c r="BH7" t="inlineStr">
        <is>
          <t>burn, poison</t>
        </is>
      </c>
      <c r="BI7" t="inlineStr">
        <is>
          <t>independent_caps_from_same_snapshot</t>
        </is>
      </c>
      <c r="BJ7" t="inlineStr">
        <is>
          <t>clear_due_if_zero_else_preserve</t>
        </is>
      </c>
      <c r="BK7" t="inlineStr">
        <is>
          <t>only_when_effective_heal_and_any_status_present</t>
        </is>
      </c>
      <c r="BL7" t="inlineStr">
        <is>
          <t>never</t>
        </is>
      </c>
      <c r="BM7" t="inlineStr">
        <is>
          <t>never</t>
        </is>
      </c>
      <c r="BN7" t="inlineStr">
        <is>
          <t>2</t>
        </is>
      </c>
      <c r="BO7" t="inlineStr">
        <is>
          <t>ghost</t>
        </is>
      </c>
      <c r="BP7" t="inlineStr">
        <is>
          <t>6</t>
        </is>
      </c>
      <c r="BQ7" t="inlineStr">
        <is>
          <t>2</t>
        </is>
      </c>
      <c r="BR7" t="inlineStr">
        <is>
          <t>10</t>
        </is>
      </c>
      <c r="BS7" t="inlineStr">
        <is>
          <t>last_chance_mistwake_v1</t>
        </is>
      </c>
      <c r="BT7" t="inlineStr">
        <is>
          <t>10</t>
        </is>
      </c>
      <c r="BU7" t="inlineStr">
        <is>
          <t>10</t>
        </is>
      </c>
      <c r="BV7" t="inlineStr">
        <is>
          <t>6</t>
        </is>
      </c>
      <c r="BW7" t="inlineStr">
        <is>
          <t>ghost</t>
        </is>
      </c>
      <c r="BX7" t="inlineStr">
        <is>
          <t>1</t>
        </is>
      </c>
      <c r="BZ7" t="inlineStr">
        <is>
          <t>formal</t>
        </is>
      </c>
    </row>
  </sheetData>
  <autoFilter ref="A1:AL7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F4E78"/>
    <outlinePr summaryBelow="1" summaryRight="1"/>
    <pageSetUpPr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style="439" min="1" max="1"/>
    <col width="10" customWidth="1" style="439" min="2" max="2"/>
    <col width="10" customWidth="1" style="439" min="3" max="3"/>
    <col width="13" customWidth="1" style="439" min="4" max="4"/>
    <col width="10" customWidth="1" style="439" min="5" max="5"/>
    <col width="16" customWidth="1" style="439" min="6" max="6"/>
    <col width="12" customWidth="1" style="439" min="7" max="7"/>
    <col width="14" customWidth="1" style="439" min="8" max="8"/>
    <col width="40" customWidth="1" style="439" min="9" max="9"/>
    <col width="16" customWidth="1" style="439" min="10" max="10"/>
  </cols>
  <sheetData>
    <row r="1" ht="24" customHeight="1" s="439">
      <c r="A1" s="464" t="inlineStr">
        <is>
          <t>hero_id</t>
        </is>
      </c>
      <c r="B1" s="464" t="inlineStr">
        <is>
          <t>name_zh</t>
        </is>
      </c>
      <c r="C1" s="464" t="inlineStr">
        <is>
          <t>max_hp</t>
        </is>
      </c>
      <c r="D1" s="464" t="inlineStr">
        <is>
          <t>start_level</t>
        </is>
      </c>
      <c r="E1" s="464" t="inlineStr">
        <is>
          <t>start_xp</t>
        </is>
      </c>
      <c r="F1" s="464" t="inlineStr">
        <is>
          <t>start_prestige</t>
        </is>
      </c>
      <c r="G1" s="464" t="inlineStr">
        <is>
          <t>start_gold</t>
        </is>
      </c>
      <c r="H1" s="464" t="inlineStr">
        <is>
          <t>start_income</t>
        </is>
      </c>
      <c r="I1" s="464" t="inlineStr">
        <is>
          <t>catalog_status</t>
        </is>
      </c>
    </row>
    <row r="2">
      <c r="A2" s="465" t="inlineStr">
        <is>
          <t>hero_mistwake_captain</t>
        </is>
      </c>
      <c r="B2" s="465" t="inlineStr">
        <is>
          <t>雾航船长</t>
        </is>
      </c>
      <c r="C2" s="465" t="inlineStr">
        <is>
          <t>40</t>
        </is>
      </c>
      <c r="D2" s="465" t="inlineStr">
        <is>
          <t>1</t>
        </is>
      </c>
      <c r="E2" s="465" t="inlineStr">
        <is>
          <t>0</t>
        </is>
      </c>
      <c r="F2" s="465" t="inlineStr">
        <is>
          <t>20</t>
        </is>
      </c>
      <c r="G2" s="465" t="inlineStr">
        <is>
          <t>12</t>
        </is>
      </c>
      <c r="H2" s="465" t="inlineStr">
        <is>
          <t>5</t>
        </is>
      </c>
      <c r="I2" s="465" t="inlineStr">
        <is>
          <t>formal</t>
        </is>
      </c>
    </row>
  </sheetData>
  <autoFilter ref="A1:I2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F4E78"/>
    <outlinePr summaryBelow="1" summaryRight="1"/>
    <pageSetUpPr/>
  </sheetPr>
  <dimension ref="A1:R8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style="439" min="1" max="1"/>
    <col width="9" customWidth="1" style="439" min="2" max="2"/>
    <col width="17" customWidth="1" style="439" min="3" max="3"/>
    <col width="12" customWidth="1" style="439" min="4" max="4"/>
    <col width="14" customWidth="1" style="439" min="5" max="5"/>
    <col width="9" customWidth="1" style="439" min="6" max="6"/>
    <col width="11" customWidth="1" style="439" min="7" max="7"/>
    <col width="12" customWidth="1" style="439" min="8" max="8"/>
    <col width="16" customWidth="1" style="439" min="9" max="9"/>
    <col width="16" customWidth="1" style="439" min="10" max="10"/>
    <col width="14" customWidth="1" style="439" min="11" max="11"/>
    <col width="14" customWidth="1" style="439" min="12" max="12"/>
    <col width="24" customWidth="1" style="439" min="13" max="13"/>
    <col width="23" customWidth="1" style="439" min="14" max="14"/>
    <col width="18" customWidth="1" style="439" min="15" max="15"/>
    <col width="20" customWidth="1" style="439" min="16" max="16"/>
    <col width="16" customWidth="1" style="439" min="17" max="17"/>
  </cols>
  <sheetData>
    <row r="1" ht="24" customHeight="1" s="439">
      <c r="A1" s="464" t="inlineStr">
        <is>
          <t>item_id</t>
        </is>
      </c>
      <c r="B1" s="464" t="inlineStr">
        <is>
          <t>name_zh</t>
        </is>
      </c>
      <c r="C1" s="464" t="inlineStr">
        <is>
          <t>tags</t>
        </is>
      </c>
      <c r="D1" s="464" t="inlineStr">
        <is>
          <t>slot_width</t>
        </is>
      </c>
      <c r="E1" s="464" t="inlineStr">
        <is>
          <t>base_quality</t>
        </is>
      </c>
      <c r="F1" s="464" t="inlineStr">
        <is>
          <t>quality</t>
        </is>
      </c>
      <c r="G1" s="464" t="inlineStr">
        <is>
          <t>buy_price</t>
        </is>
      </c>
      <c r="H1" s="464" t="inlineStr">
        <is>
          <t>sell_price</t>
        </is>
      </c>
      <c r="I1" s="464" t="inlineStr">
        <is>
          <t>cooldown_ticks</t>
        </is>
      </c>
      <c r="J1" s="464" t="inlineStr">
        <is>
          <t>crit_chance_bps</t>
        </is>
      </c>
      <c r="K1" s="464" t="inlineStr">
        <is>
          <t>ammo_enabled</t>
        </is>
      </c>
      <c r="L1" s="464" t="inlineStr">
        <is>
          <t>ammo_initial</t>
        </is>
      </c>
      <c r="M1" s="464" t="inlineStr">
        <is>
          <t>ammo_maximum</t>
        </is>
      </c>
      <c r="N1" s="464" t="inlineStr">
        <is>
          <t>item_skill_id</t>
        </is>
      </c>
      <c r="O1" s="464" t="inlineStr">
        <is>
          <t>starter_instance_id</t>
        </is>
      </c>
      <c r="P1" s="464" t="inlineStr">
        <is>
          <t>starter_location</t>
        </is>
      </c>
      <c r="Q1" s="464" t="inlineStr">
        <is>
          <t>starter_start_slot</t>
        </is>
      </c>
      <c r="R1" s="464" t="inlineStr">
        <is>
          <t>catalog_status</t>
        </is>
      </c>
    </row>
    <row r="2">
      <c r="A2" s="465" t="inlineStr">
        <is>
          <t>item_brine_cannon</t>
        </is>
      </c>
      <c r="B2" s="465" t="inlineStr">
        <is>
          <t>盐雾炮</t>
        </is>
      </c>
      <c r="C2" s="465" t="inlineStr">
        <is>
          <t>ammo, weapon</t>
        </is>
      </c>
      <c r="D2" s="465" t="inlineStr">
        <is>
          <t>3</t>
        </is>
      </c>
      <c r="E2" s="465" t="inlineStr">
        <is>
          <t>bronze</t>
        </is>
      </c>
      <c r="F2" s="465" t="inlineStr">
        <is>
          <t>bronze</t>
        </is>
      </c>
      <c r="G2" s="465" t="inlineStr">
        <is>
          <t>6</t>
        </is>
      </c>
      <c r="H2" s="465" t="inlineStr">
        <is>
          <t>3</t>
        </is>
      </c>
      <c r="I2" s="465" t="inlineStr">
        <is>
          <t>6</t>
        </is>
      </c>
      <c r="J2" s="465" t="n">
        <v>0</v>
      </c>
      <c r="K2" s="465" t="inlineStr">
        <is>
          <t>true</t>
        </is>
      </c>
      <c r="L2" s="465" t="inlineStr">
        <is>
          <t>2</t>
        </is>
      </c>
      <c r="M2" s="465" t="inlineStr">
        <is>
          <t>2</t>
        </is>
      </c>
      <c r="N2" s="465" t="inlineStr">
        <is>
          <t>skill_brine_cannon</t>
        </is>
      </c>
      <c r="O2" s="465" t="inlineStr">
        <is>
          <t>starter_brine_cannon</t>
        </is>
      </c>
      <c r="P2" s="465" t="inlineStr">
        <is>
          <t>board</t>
        </is>
      </c>
      <c r="Q2" s="465" t="inlineStr">
        <is>
          <t>0</t>
        </is>
      </c>
      <c r="R2" s="465" t="inlineStr">
        <is>
          <t>formal</t>
        </is>
      </c>
    </row>
    <row r="3">
      <c r="A3" s="465" t="inlineStr">
        <is>
          <t>item_brine_cannon</t>
        </is>
      </c>
      <c r="B3" s="465" t="inlineStr">
        <is>
          <t>盐雾炮</t>
        </is>
      </c>
      <c r="C3" s="465" t="inlineStr">
        <is>
          <t>ammo, weapon</t>
        </is>
      </c>
      <c r="D3" s="465" t="inlineStr">
        <is>
          <t>3</t>
        </is>
      </c>
      <c r="E3" s="465" t="inlineStr">
        <is>
          <t>bronze</t>
        </is>
      </c>
      <c r="F3" s="465" t="inlineStr">
        <is>
          <t>silver</t>
        </is>
      </c>
      <c r="G3" s="465" t="inlineStr">
        <is>
          <t>9</t>
        </is>
      </c>
      <c r="H3" s="465" t="inlineStr">
        <is>
          <t>4</t>
        </is>
      </c>
      <c r="I3" s="465" t="inlineStr">
        <is>
          <t>5</t>
        </is>
      </c>
      <c r="J3" s="465" t="n">
        <v>0</v>
      </c>
      <c r="K3" s="465" t="inlineStr">
        <is>
          <t>true</t>
        </is>
      </c>
      <c r="L3" s="465" t="inlineStr">
        <is>
          <t>3</t>
        </is>
      </c>
      <c r="M3" s="465" t="inlineStr">
        <is>
          <t>3</t>
        </is>
      </c>
      <c r="N3" s="465" t="inlineStr">
        <is>
          <t>skill_brine_cannon</t>
        </is>
      </c>
      <c r="O3" s="465" t="inlineStr"/>
      <c r="P3" s="465" t="inlineStr"/>
      <c r="Q3" s="465" t="inlineStr"/>
      <c r="R3" s="465" t="inlineStr">
        <is>
          <t>formal</t>
        </is>
      </c>
    </row>
    <row r="4">
      <c r="A4" s="465" t="inlineStr">
        <is>
          <t>item_brine_cannon</t>
        </is>
      </c>
      <c r="B4" s="465" t="inlineStr">
        <is>
          <t>盐雾炮</t>
        </is>
      </c>
      <c r="C4" s="465" t="inlineStr">
        <is>
          <t>ammo, weapon</t>
        </is>
      </c>
      <c r="D4" s="465" t="inlineStr">
        <is>
          <t>3</t>
        </is>
      </c>
      <c r="E4" s="465" t="inlineStr">
        <is>
          <t>bronze</t>
        </is>
      </c>
      <c r="F4" s="465" t="inlineStr">
        <is>
          <t>gold</t>
        </is>
      </c>
      <c r="G4" s="465" t="inlineStr">
        <is>
          <t>13</t>
        </is>
      </c>
      <c r="H4" s="465" t="inlineStr">
        <is>
          <t>6</t>
        </is>
      </c>
      <c r="I4" s="465" t="inlineStr">
        <is>
          <t>4</t>
        </is>
      </c>
      <c r="J4" s="465" t="n">
        <v>0</v>
      </c>
      <c r="K4" s="465" t="inlineStr">
        <is>
          <t>true</t>
        </is>
      </c>
      <c r="L4" s="465" t="inlineStr">
        <is>
          <t>3</t>
        </is>
      </c>
      <c r="M4" s="465" t="inlineStr">
        <is>
          <t>4</t>
        </is>
      </c>
      <c r="N4" s="465" t="inlineStr">
        <is>
          <t>skill_brine_cannon</t>
        </is>
      </c>
      <c r="O4" s="465" t="inlineStr"/>
      <c r="P4" s="465" t="inlineStr"/>
      <c r="Q4" s="465" t="inlineStr"/>
      <c r="R4" s="465" t="inlineStr">
        <is>
          <t>formal</t>
        </is>
      </c>
    </row>
    <row r="5">
      <c r="A5" s="465" t="inlineStr">
        <is>
          <t>item_brine_cannon</t>
        </is>
      </c>
      <c r="B5" s="465" t="inlineStr">
        <is>
          <t>盐雾炮</t>
        </is>
      </c>
      <c r="C5" s="465" t="inlineStr">
        <is>
          <t>ammo, weapon</t>
        </is>
      </c>
      <c r="D5" s="465" t="inlineStr">
        <is>
          <t>3</t>
        </is>
      </c>
      <c r="E5" s="465" t="inlineStr">
        <is>
          <t>bronze</t>
        </is>
      </c>
      <c r="F5" s="465" t="inlineStr">
        <is>
          <t>diamond</t>
        </is>
      </c>
      <c r="G5" s="465" t="inlineStr">
        <is>
          <t>18</t>
        </is>
      </c>
      <c r="H5" s="465" t="inlineStr">
        <is>
          <t>9</t>
        </is>
      </c>
      <c r="I5" s="465" t="inlineStr">
        <is>
          <t>3</t>
        </is>
      </c>
      <c r="J5" s="465" t="n">
        <v>0</v>
      </c>
      <c r="K5" s="465" t="inlineStr">
        <is>
          <t>true</t>
        </is>
      </c>
      <c r="L5" s="465" t="inlineStr">
        <is>
          <t>4</t>
        </is>
      </c>
      <c r="M5" s="465" t="inlineStr">
        <is>
          <t>5</t>
        </is>
      </c>
      <c r="N5" s="465" t="inlineStr">
        <is>
          <t>skill_brine_cannon</t>
        </is>
      </c>
      <c r="O5" s="465" t="inlineStr"/>
      <c r="P5" s="465" t="inlineStr"/>
      <c r="Q5" s="465" t="inlineStr"/>
      <c r="R5" s="465" t="inlineStr">
        <is>
          <t>formal</t>
        </is>
      </c>
    </row>
    <row r="6">
      <c r="A6" s="465" t="inlineStr">
        <is>
          <t>item_patchwork_ram</t>
        </is>
      </c>
      <c r="B6" s="465" t="inlineStr">
        <is>
          <t>拼板冲角</t>
        </is>
      </c>
      <c r="C6" s="465" t="inlineStr">
        <is>
          <t>vehicle, weapon</t>
        </is>
      </c>
      <c r="D6" s="465" t="inlineStr">
        <is>
          <t>2</t>
        </is>
      </c>
      <c r="E6" s="465" t="inlineStr">
        <is>
          <t>bronze</t>
        </is>
      </c>
      <c r="F6" s="465" t="inlineStr">
        <is>
          <t>bronze</t>
        </is>
      </c>
      <c r="G6" s="465" t="inlineStr">
        <is>
          <t>4</t>
        </is>
      </c>
      <c r="H6" s="465" t="inlineStr">
        <is>
          <t>2</t>
        </is>
      </c>
      <c r="I6" s="465" t="inlineStr">
        <is>
          <t>5</t>
        </is>
      </c>
      <c r="J6" s="465" t="n">
        <v>0</v>
      </c>
      <c r="K6" s="465" t="inlineStr">
        <is>
          <t>false</t>
        </is>
      </c>
      <c r="L6" s="465" t="inlineStr">
        <is>
          <t>0</t>
        </is>
      </c>
      <c r="M6" s="465" t="inlineStr">
        <is>
          <t>0</t>
        </is>
      </c>
      <c r="N6" s="465" t="inlineStr">
        <is>
          <t>skill_patchwork_ram</t>
        </is>
      </c>
      <c r="O6" s="465" t="inlineStr">
        <is>
          <t>starter_patchwork_ram</t>
        </is>
      </c>
      <c r="P6" s="465" t="inlineStr">
        <is>
          <t>stash</t>
        </is>
      </c>
      <c r="Q6" s="465" t="inlineStr"/>
      <c r="R6" s="465" t="inlineStr">
        <is>
          <t>formal</t>
        </is>
      </c>
    </row>
    <row r="7">
      <c r="A7" s="465" t="inlineStr">
        <is>
          <t>item_patchwork_ram</t>
        </is>
      </c>
      <c r="B7" s="465" t="inlineStr">
        <is>
          <t>拼板冲角</t>
        </is>
      </c>
      <c r="C7" s="465" t="inlineStr">
        <is>
          <t>vehicle, weapon</t>
        </is>
      </c>
      <c r="D7" s="465" t="inlineStr">
        <is>
          <t>2</t>
        </is>
      </c>
      <c r="E7" s="465" t="inlineStr">
        <is>
          <t>bronze</t>
        </is>
      </c>
      <c r="F7" s="465" t="inlineStr">
        <is>
          <t>silver</t>
        </is>
      </c>
      <c r="G7" s="465" t="inlineStr">
        <is>
          <t>7</t>
        </is>
      </c>
      <c r="H7" s="465" t="inlineStr">
        <is>
          <t>3</t>
        </is>
      </c>
      <c r="I7" s="465" t="inlineStr">
        <is>
          <t>4</t>
        </is>
      </c>
      <c r="J7" s="465" t="n">
        <v>0</v>
      </c>
      <c r="K7" s="465" t="inlineStr">
        <is>
          <t>false</t>
        </is>
      </c>
      <c r="L7" s="465" t="inlineStr">
        <is>
          <t>0</t>
        </is>
      </c>
      <c r="M7" s="465" t="inlineStr">
        <is>
          <t>0</t>
        </is>
      </c>
      <c r="N7" s="465" t="inlineStr">
        <is>
          <t>skill_patchwork_ram</t>
        </is>
      </c>
      <c r="O7" s="465" t="inlineStr"/>
      <c r="P7" s="465" t="inlineStr"/>
      <c r="Q7" s="465" t="inlineStr"/>
      <c r="R7" s="465" t="inlineStr">
        <is>
          <t>formal</t>
        </is>
      </c>
    </row>
    <row r="8">
      <c r="A8" s="465" t="inlineStr">
        <is>
          <t>item_patchwork_ram</t>
        </is>
      </c>
      <c r="B8" s="465" t="inlineStr">
        <is>
          <t>拼板冲角</t>
        </is>
      </c>
      <c r="C8" s="465" t="inlineStr">
        <is>
          <t>vehicle, weapon</t>
        </is>
      </c>
      <c r="D8" s="465" t="inlineStr">
        <is>
          <t>2</t>
        </is>
      </c>
      <c r="E8" s="465" t="inlineStr">
        <is>
          <t>bronze</t>
        </is>
      </c>
      <c r="F8" s="465" t="inlineStr">
        <is>
          <t>gold</t>
        </is>
      </c>
      <c r="G8" s="465" t="inlineStr">
        <is>
          <t>10</t>
        </is>
      </c>
      <c r="H8" s="465" t="inlineStr">
        <is>
          <t>5</t>
        </is>
      </c>
      <c r="I8" s="465" t="inlineStr">
        <is>
          <t>3</t>
        </is>
      </c>
      <c r="J8" s="465" t="n">
        <v>0</v>
      </c>
      <c r="K8" s="465" t="inlineStr">
        <is>
          <t>false</t>
        </is>
      </c>
      <c r="L8" s="465" t="inlineStr">
        <is>
          <t>0</t>
        </is>
      </c>
      <c r="M8" s="465" t="inlineStr">
        <is>
          <t>0</t>
        </is>
      </c>
      <c r="N8" s="465" t="inlineStr">
        <is>
          <t>skill_patchwork_ram</t>
        </is>
      </c>
      <c r="O8" s="465" t="inlineStr"/>
      <c r="P8" s="465" t="inlineStr"/>
      <c r="Q8" s="465" t="inlineStr"/>
      <c r="R8" s="465" t="inlineStr">
        <is>
          <t>formal</t>
        </is>
      </c>
    </row>
    <row r="9">
      <c r="A9" s="465" t="inlineStr">
        <is>
          <t>item_patchwork_ram</t>
        </is>
      </c>
      <c r="B9" s="465" t="inlineStr">
        <is>
          <t>拼板冲角</t>
        </is>
      </c>
      <c r="C9" s="465" t="inlineStr">
        <is>
          <t>vehicle, weapon</t>
        </is>
      </c>
      <c r="D9" s="465" t="inlineStr">
        <is>
          <t>2</t>
        </is>
      </c>
      <c r="E9" s="465" t="inlineStr">
        <is>
          <t>bronze</t>
        </is>
      </c>
      <c r="F9" s="465" t="inlineStr">
        <is>
          <t>diamond</t>
        </is>
      </c>
      <c r="G9" s="465" t="inlineStr">
        <is>
          <t>14</t>
        </is>
      </c>
      <c r="H9" s="465" t="inlineStr">
        <is>
          <t>7</t>
        </is>
      </c>
      <c r="I9" s="465" t="inlineStr">
        <is>
          <t>2</t>
        </is>
      </c>
      <c r="J9" s="465" t="n">
        <v>0</v>
      </c>
      <c r="K9" s="465" t="inlineStr">
        <is>
          <t>false</t>
        </is>
      </c>
      <c r="L9" s="465" t="inlineStr">
        <is>
          <t>0</t>
        </is>
      </c>
      <c r="M9" s="465" t="inlineStr">
        <is>
          <t>0</t>
        </is>
      </c>
      <c r="N9" s="465" t="inlineStr">
        <is>
          <t>skill_patchwork_ram</t>
        </is>
      </c>
      <c r="O9" s="465" t="inlineStr"/>
      <c r="P9" s="465" t="inlineStr"/>
      <c r="Q9" s="465" t="inlineStr"/>
      <c r="R9" s="465" t="inlineStr">
        <is>
          <t>formal</t>
        </is>
      </c>
    </row>
    <row r="10">
      <c r="A10" s="465" t="inlineStr">
        <is>
          <t>item_signal_flare</t>
        </is>
      </c>
      <c r="B10" s="465" t="inlineStr">
        <is>
          <t>星火信标</t>
        </is>
      </c>
      <c r="C10" s="465" t="inlineStr">
        <is>
          <t>ammo, tool</t>
        </is>
      </c>
      <c r="D10" s="465" t="inlineStr">
        <is>
          <t>1</t>
        </is>
      </c>
      <c r="E10" s="465" t="inlineStr">
        <is>
          <t>silver</t>
        </is>
      </c>
      <c r="F10" s="465" t="inlineStr">
        <is>
          <t>silver</t>
        </is>
      </c>
      <c r="G10" s="465" t="inlineStr">
        <is>
          <t>6</t>
        </is>
      </c>
      <c r="H10" s="465" t="inlineStr">
        <is>
          <t>3</t>
        </is>
      </c>
      <c r="I10" s="465" t="inlineStr">
        <is>
          <t>4</t>
        </is>
      </c>
      <c r="J10" s="465" t="n">
        <v>0</v>
      </c>
      <c r="K10" s="465" t="inlineStr">
        <is>
          <t>true</t>
        </is>
      </c>
      <c r="L10" s="465" t="inlineStr">
        <is>
          <t>1</t>
        </is>
      </c>
      <c r="M10" s="465" t="inlineStr">
        <is>
          <t>1</t>
        </is>
      </c>
      <c r="N10" s="465" t="inlineStr">
        <is>
          <t>skill_signal_flare</t>
        </is>
      </c>
      <c r="O10" s="465" t="inlineStr"/>
      <c r="P10" s="465" t="inlineStr"/>
      <c r="Q10" s="465" t="inlineStr"/>
      <c r="R10" s="465" t="inlineStr">
        <is>
          <t>formal</t>
        </is>
      </c>
    </row>
    <row r="11">
      <c r="A11" s="465" t="inlineStr">
        <is>
          <t>item_signal_flare</t>
        </is>
      </c>
      <c r="B11" s="465" t="inlineStr">
        <is>
          <t>星火信标</t>
        </is>
      </c>
      <c r="C11" s="465" t="inlineStr">
        <is>
          <t>ammo, tool</t>
        </is>
      </c>
      <c r="D11" s="465" t="inlineStr">
        <is>
          <t>1</t>
        </is>
      </c>
      <c r="E11" s="465" t="inlineStr">
        <is>
          <t>silver</t>
        </is>
      </c>
      <c r="F11" s="465" t="inlineStr">
        <is>
          <t>gold</t>
        </is>
      </c>
      <c r="G11" s="465" t="inlineStr">
        <is>
          <t>9</t>
        </is>
      </c>
      <c r="H11" s="465" t="inlineStr">
        <is>
          <t>4</t>
        </is>
      </c>
      <c r="I11" s="465" t="inlineStr">
        <is>
          <t>3</t>
        </is>
      </c>
      <c r="J11" s="465" t="n">
        <v>0</v>
      </c>
      <c r="K11" s="465" t="inlineStr">
        <is>
          <t>true</t>
        </is>
      </c>
      <c r="L11" s="465" t="inlineStr">
        <is>
          <t>2</t>
        </is>
      </c>
      <c r="M11" s="465" t="inlineStr">
        <is>
          <t>2</t>
        </is>
      </c>
      <c r="N11" s="465" t="inlineStr">
        <is>
          <t>skill_signal_flare</t>
        </is>
      </c>
      <c r="O11" s="465" t="inlineStr"/>
      <c r="P11" s="465" t="inlineStr"/>
      <c r="Q11" s="465" t="inlineStr"/>
      <c r="R11" s="465" t="inlineStr">
        <is>
          <t>formal</t>
        </is>
      </c>
    </row>
    <row r="12">
      <c r="A12" s="465" t="inlineStr">
        <is>
          <t>item_signal_flare</t>
        </is>
      </c>
      <c r="B12" s="465" t="inlineStr">
        <is>
          <t>星火信标</t>
        </is>
      </c>
      <c r="C12" s="465" t="inlineStr">
        <is>
          <t>ammo, tool</t>
        </is>
      </c>
      <c r="D12" s="465" t="inlineStr">
        <is>
          <t>1</t>
        </is>
      </c>
      <c r="E12" s="465" t="inlineStr">
        <is>
          <t>silver</t>
        </is>
      </c>
      <c r="F12" s="465" t="inlineStr">
        <is>
          <t>diamond</t>
        </is>
      </c>
      <c r="G12" s="465" t="inlineStr">
        <is>
          <t>13</t>
        </is>
      </c>
      <c r="H12" s="465" t="inlineStr">
        <is>
          <t>6</t>
        </is>
      </c>
      <c r="I12" s="465" t="inlineStr">
        <is>
          <t>2</t>
        </is>
      </c>
      <c r="J12" s="465" t="n">
        <v>0</v>
      </c>
      <c r="K12" s="465" t="inlineStr">
        <is>
          <t>true</t>
        </is>
      </c>
      <c r="L12" s="465" t="inlineStr">
        <is>
          <t>2</t>
        </is>
      </c>
      <c r="M12" s="465" t="inlineStr">
        <is>
          <t>3</t>
        </is>
      </c>
      <c r="N12" s="465" t="inlineStr">
        <is>
          <t>skill_signal_flare</t>
        </is>
      </c>
      <c r="O12" s="465" t="inlineStr"/>
      <c r="P12" s="465" t="inlineStr"/>
      <c r="Q12" s="465" t="inlineStr"/>
      <c r="R12" s="465" t="inlineStr">
        <is>
          <t>formal</t>
        </is>
      </c>
    </row>
    <row r="13">
      <c r="A13" s="465" t="inlineStr">
        <is>
          <t>item_reef_hook</t>
        </is>
      </c>
      <c r="B13" s="465" t="inlineStr">
        <is>
          <t>暗礁钩</t>
        </is>
      </c>
      <c r="C13" s="465" t="inlineStr">
        <is>
          <t>tool, weapon</t>
        </is>
      </c>
      <c r="D13" s="465" t="inlineStr">
        <is>
          <t>1</t>
        </is>
      </c>
      <c r="E13" s="465" t="inlineStr">
        <is>
          <t>bronze</t>
        </is>
      </c>
      <c r="F13" s="465" t="inlineStr">
        <is>
          <t>bronze</t>
        </is>
      </c>
      <c r="G13" s="465" t="inlineStr">
        <is>
          <t>3</t>
        </is>
      </c>
      <c r="H13" s="465" t="inlineStr">
        <is>
          <t>1</t>
        </is>
      </c>
      <c r="I13" s="465" t="inlineStr">
        <is>
          <t>4</t>
        </is>
      </c>
      <c r="J13" s="465" t="n">
        <v>0</v>
      </c>
      <c r="K13" s="465" t="inlineStr">
        <is>
          <t>false</t>
        </is>
      </c>
      <c r="L13" s="465" t="inlineStr">
        <is>
          <t>0</t>
        </is>
      </c>
      <c r="M13" s="465" t="inlineStr">
        <is>
          <t>0</t>
        </is>
      </c>
      <c r="N13" s="465" t="inlineStr">
        <is>
          <t>skill_reef_hook</t>
        </is>
      </c>
      <c r="O13" s="465" t="inlineStr">
        <is>
          <t>starter_reef_hook</t>
        </is>
      </c>
      <c r="P13" s="465" t="inlineStr">
        <is>
          <t>board</t>
        </is>
      </c>
      <c r="Q13" s="465" t="inlineStr">
        <is>
          <t>3</t>
        </is>
      </c>
      <c r="R13" s="465" t="inlineStr">
        <is>
          <t>formal</t>
        </is>
      </c>
    </row>
    <row r="14">
      <c r="A14" s="465" t="inlineStr">
        <is>
          <t>item_reef_hook</t>
        </is>
      </c>
      <c r="B14" s="465" t="inlineStr">
        <is>
          <t>暗礁钩</t>
        </is>
      </c>
      <c r="C14" s="465" t="inlineStr">
        <is>
          <t>tool, weapon</t>
        </is>
      </c>
      <c r="D14" s="465" t="inlineStr">
        <is>
          <t>1</t>
        </is>
      </c>
      <c r="E14" s="465" t="inlineStr">
        <is>
          <t>bronze</t>
        </is>
      </c>
      <c r="F14" s="465" t="inlineStr">
        <is>
          <t>silver</t>
        </is>
      </c>
      <c r="G14" s="465" t="inlineStr">
        <is>
          <t>5</t>
        </is>
      </c>
      <c r="H14" s="465" t="inlineStr">
        <is>
          <t>2</t>
        </is>
      </c>
      <c r="I14" s="465" t="inlineStr">
        <is>
          <t>3</t>
        </is>
      </c>
      <c r="J14" s="465" t="n">
        <v>0</v>
      </c>
      <c r="K14" s="465" t="inlineStr">
        <is>
          <t>false</t>
        </is>
      </c>
      <c r="L14" s="465" t="inlineStr">
        <is>
          <t>0</t>
        </is>
      </c>
      <c r="M14" s="465" t="inlineStr">
        <is>
          <t>0</t>
        </is>
      </c>
      <c r="N14" s="465" t="inlineStr">
        <is>
          <t>skill_reef_hook</t>
        </is>
      </c>
      <c r="O14" s="465" t="inlineStr"/>
      <c r="P14" s="465" t="inlineStr"/>
      <c r="Q14" s="465" t="inlineStr"/>
      <c r="R14" s="465" t="inlineStr">
        <is>
          <t>formal</t>
        </is>
      </c>
    </row>
    <row r="15">
      <c r="A15" s="465" t="inlineStr">
        <is>
          <t>item_reef_hook</t>
        </is>
      </c>
      <c r="B15" s="465" t="inlineStr">
        <is>
          <t>暗礁钩</t>
        </is>
      </c>
      <c r="C15" s="465" t="inlineStr">
        <is>
          <t>tool, weapon</t>
        </is>
      </c>
      <c r="D15" s="465" t="inlineStr">
        <is>
          <t>1</t>
        </is>
      </c>
      <c r="E15" s="465" t="inlineStr">
        <is>
          <t>bronze</t>
        </is>
      </c>
      <c r="F15" s="465" t="inlineStr">
        <is>
          <t>gold</t>
        </is>
      </c>
      <c r="G15" s="465" t="inlineStr">
        <is>
          <t>8</t>
        </is>
      </c>
      <c r="H15" s="465" t="inlineStr">
        <is>
          <t>4</t>
        </is>
      </c>
      <c r="I15" s="465" t="inlineStr">
        <is>
          <t>3</t>
        </is>
      </c>
      <c r="J15" s="465" t="n">
        <v>0</v>
      </c>
      <c r="K15" s="465" t="inlineStr">
        <is>
          <t>false</t>
        </is>
      </c>
      <c r="L15" s="465" t="inlineStr">
        <is>
          <t>0</t>
        </is>
      </c>
      <c r="M15" s="465" t="inlineStr">
        <is>
          <t>0</t>
        </is>
      </c>
      <c r="N15" s="465" t="inlineStr">
        <is>
          <t>skill_reef_hook</t>
        </is>
      </c>
      <c r="O15" s="465" t="inlineStr"/>
      <c r="P15" s="465" t="inlineStr"/>
      <c r="Q15" s="465" t="inlineStr"/>
      <c r="R15" s="465" t="inlineStr">
        <is>
          <t>formal</t>
        </is>
      </c>
    </row>
    <row r="16">
      <c r="A16" s="465" t="inlineStr">
        <is>
          <t>item_reef_hook</t>
        </is>
      </c>
      <c r="B16" s="465" t="inlineStr">
        <is>
          <t>暗礁钩</t>
        </is>
      </c>
      <c r="C16" s="465" t="inlineStr">
        <is>
          <t>tool, weapon</t>
        </is>
      </c>
      <c r="D16" s="465" t="inlineStr">
        <is>
          <t>1</t>
        </is>
      </c>
      <c r="E16" s="465" t="inlineStr">
        <is>
          <t>bronze</t>
        </is>
      </c>
      <c r="F16" s="465" t="inlineStr">
        <is>
          <t>diamond</t>
        </is>
      </c>
      <c r="G16" s="465" t="inlineStr">
        <is>
          <t>12</t>
        </is>
      </c>
      <c r="H16" s="465" t="inlineStr">
        <is>
          <t>6</t>
        </is>
      </c>
      <c r="I16" s="465" t="inlineStr">
        <is>
          <t>2</t>
        </is>
      </c>
      <c r="J16" s="465" t="n">
        <v>0</v>
      </c>
      <c r="K16" s="465" t="inlineStr">
        <is>
          <t>false</t>
        </is>
      </c>
      <c r="L16" s="465" t="inlineStr">
        <is>
          <t>0</t>
        </is>
      </c>
      <c r="M16" s="465" t="inlineStr">
        <is>
          <t>0</t>
        </is>
      </c>
      <c r="N16" s="465" t="inlineStr">
        <is>
          <t>skill_reef_hook</t>
        </is>
      </c>
      <c r="O16" s="465" t="inlineStr"/>
      <c r="P16" s="465" t="inlineStr"/>
      <c r="Q16" s="465" t="inlineStr"/>
      <c r="R16" s="465" t="inlineStr">
        <is>
          <t>formal</t>
        </is>
      </c>
    </row>
    <row r="17">
      <c r="A17" s="465" t="inlineStr">
        <is>
          <t>item_storm_compass</t>
        </is>
      </c>
      <c r="B17" s="465" t="inlineStr">
        <is>
          <t>风暴罗盘</t>
        </is>
      </c>
      <c r="C17" s="465" t="inlineStr">
        <is>
          <t>relic, tool</t>
        </is>
      </c>
      <c r="D17" s="465" t="inlineStr">
        <is>
          <t>2</t>
        </is>
      </c>
      <c r="E17" s="465" t="inlineStr">
        <is>
          <t>gold</t>
        </is>
      </c>
      <c r="F17" s="465" t="inlineStr">
        <is>
          <t>gold</t>
        </is>
      </c>
      <c r="G17" s="465" t="inlineStr">
        <is>
          <t>11</t>
        </is>
      </c>
      <c r="H17" s="465" t="inlineStr">
        <is>
          <t>5</t>
        </is>
      </c>
      <c r="I17" s="465" t="inlineStr">
        <is>
          <t>4</t>
        </is>
      </c>
      <c r="J17" s="465" t="n">
        <v>0</v>
      </c>
      <c r="K17" s="465" t="inlineStr">
        <is>
          <t>false</t>
        </is>
      </c>
      <c r="L17" s="465" t="inlineStr">
        <is>
          <t>0</t>
        </is>
      </c>
      <c r="M17" s="465" t="inlineStr">
        <is>
          <t>0</t>
        </is>
      </c>
      <c r="N17" s="465" t="inlineStr">
        <is>
          <t>skill_storm_compass</t>
        </is>
      </c>
      <c r="O17" s="465" t="inlineStr"/>
      <c r="P17" s="465" t="inlineStr"/>
      <c r="Q17" s="465" t="inlineStr"/>
      <c r="R17" s="465" t="inlineStr">
        <is>
          <t>formal</t>
        </is>
      </c>
    </row>
    <row r="18">
      <c r="A18" s="465" t="inlineStr">
        <is>
          <t>item_storm_compass</t>
        </is>
      </c>
      <c r="B18" s="465" t="inlineStr">
        <is>
          <t>风暴罗盘</t>
        </is>
      </c>
      <c r="C18" s="465" t="inlineStr">
        <is>
          <t>relic, tool</t>
        </is>
      </c>
      <c r="D18" s="465" t="inlineStr">
        <is>
          <t>2</t>
        </is>
      </c>
      <c r="E18" s="465" t="inlineStr">
        <is>
          <t>gold</t>
        </is>
      </c>
      <c r="F18" s="465" t="inlineStr">
        <is>
          <t>diamond</t>
        </is>
      </c>
      <c r="G18" s="465" t="inlineStr">
        <is>
          <t>16</t>
        </is>
      </c>
      <c r="H18" s="465" t="inlineStr">
        <is>
          <t>8</t>
        </is>
      </c>
      <c r="I18" s="465" t="inlineStr">
        <is>
          <t>3</t>
        </is>
      </c>
      <c r="J18" s="465" t="n">
        <v>0</v>
      </c>
      <c r="K18" s="465" t="inlineStr">
        <is>
          <t>false</t>
        </is>
      </c>
      <c r="L18" s="465" t="inlineStr">
        <is>
          <t>0</t>
        </is>
      </c>
      <c r="M18" s="465" t="inlineStr">
        <is>
          <t>0</t>
        </is>
      </c>
      <c r="N18" s="465" t="inlineStr">
        <is>
          <t>skill_storm_compass</t>
        </is>
      </c>
      <c r="O18" s="465" t="inlineStr"/>
      <c r="P18" s="465" t="inlineStr"/>
      <c r="Q18" s="465" t="inlineStr"/>
      <c r="R18" s="465" t="inlineStr">
        <is>
          <t>formal</t>
        </is>
      </c>
    </row>
    <row r="19">
      <c r="A19" s="465" t="inlineStr">
        <is>
          <t>item_abyss_bell</t>
        </is>
      </c>
      <c r="B19" s="465" t="inlineStr">
        <is>
          <t>深潮钟</t>
        </is>
      </c>
      <c r="C19" s="465" t="inlineStr">
        <is>
          <t>ammo, relic</t>
        </is>
      </c>
      <c r="D19" s="465" t="inlineStr">
        <is>
          <t>1</t>
        </is>
      </c>
      <c r="E19" s="465" t="inlineStr">
        <is>
          <t>diamond</t>
        </is>
      </c>
      <c r="F19" s="465" t="inlineStr">
        <is>
          <t>diamond</t>
        </is>
      </c>
      <c r="G19" s="465" t="inlineStr">
        <is>
          <t>20</t>
        </is>
      </c>
      <c r="H19" s="465" t="inlineStr">
        <is>
          <t>10</t>
        </is>
      </c>
      <c r="I19" s="465" t="inlineStr">
        <is>
          <t>3</t>
        </is>
      </c>
      <c r="J19" s="465" t="n">
        <v>0</v>
      </c>
      <c r="K19" s="465" t="inlineStr">
        <is>
          <t>true</t>
        </is>
      </c>
      <c r="L19" s="465" t="inlineStr">
        <is>
          <t>1</t>
        </is>
      </c>
      <c r="M19" s="465" t="inlineStr">
        <is>
          <t>1</t>
        </is>
      </c>
      <c r="N19" s="465" t="inlineStr">
        <is>
          <t>skill_abyss_bell</t>
        </is>
      </c>
      <c r="O19" s="465" t="inlineStr"/>
      <c r="P19" s="465" t="inlineStr"/>
      <c r="Q19" s="465" t="inlineStr"/>
      <c r="R19" s="465" t="inlineStr">
        <is>
          <t>formal</t>
        </is>
      </c>
    </row>
    <row r="20">
      <c r="A20" s="465" t="inlineStr">
        <is>
          <t>item_wake_echo_drum</t>
        </is>
      </c>
      <c r="B20" s="465" t="inlineStr">
        <is>
          <t>尾潮回响鼓</t>
        </is>
      </c>
      <c r="C20" s="465" t="inlineStr">
        <is>
          <t>relic, weapon</t>
        </is>
      </c>
      <c r="D20" s="465" t="inlineStr">
        <is>
          <t>2</t>
        </is>
      </c>
      <c r="E20" s="465" t="inlineStr">
        <is>
          <t>bronze</t>
        </is>
      </c>
      <c r="F20" s="465" t="inlineStr">
        <is>
          <t>bronze</t>
        </is>
      </c>
      <c r="G20" s="465" t="inlineStr">
        <is>
          <t>5</t>
        </is>
      </c>
      <c r="H20" s="465" t="inlineStr">
        <is>
          <t>2</t>
        </is>
      </c>
      <c r="I20" s="465" t="inlineStr">
        <is>
          <t>6</t>
        </is>
      </c>
      <c r="J20" s="465" t="n">
        <v>0</v>
      </c>
      <c r="K20" s="465" t="inlineStr">
        <is>
          <t>false</t>
        </is>
      </c>
      <c r="L20" s="465" t="inlineStr">
        <is>
          <t>0</t>
        </is>
      </c>
      <c r="M20" s="465" t="inlineStr">
        <is>
          <t>0</t>
        </is>
      </c>
      <c r="N20" s="465" t="inlineStr">
        <is>
          <t>skill_wake_echo_drum</t>
        </is>
      </c>
      <c r="O20" s="465" t="inlineStr"/>
      <c r="P20" s="465" t="inlineStr"/>
      <c r="Q20" s="465" t="inlineStr"/>
      <c r="R20" s="465" t="inlineStr">
        <is>
          <t>formal</t>
        </is>
      </c>
    </row>
    <row r="21">
      <c r="A21" s="465" t="inlineStr">
        <is>
          <t>item_wake_echo_drum</t>
        </is>
      </c>
      <c r="B21" s="465" t="inlineStr">
        <is>
          <t>尾潮回响鼓</t>
        </is>
      </c>
      <c r="C21" s="465" t="inlineStr">
        <is>
          <t>relic, weapon</t>
        </is>
      </c>
      <c r="D21" s="465" t="inlineStr">
        <is>
          <t>2</t>
        </is>
      </c>
      <c r="E21" s="465" t="inlineStr">
        <is>
          <t>bronze</t>
        </is>
      </c>
      <c r="F21" s="465" t="inlineStr">
        <is>
          <t>silver</t>
        </is>
      </c>
      <c r="G21" s="465" t="inlineStr">
        <is>
          <t>8</t>
        </is>
      </c>
      <c r="H21" s="465" t="inlineStr">
        <is>
          <t>4</t>
        </is>
      </c>
      <c r="I21" s="465" t="inlineStr">
        <is>
          <t>5</t>
        </is>
      </c>
      <c r="J21" s="465" t="n">
        <v>0</v>
      </c>
      <c r="K21" s="465" t="inlineStr">
        <is>
          <t>false</t>
        </is>
      </c>
      <c r="L21" s="465" t="inlineStr">
        <is>
          <t>0</t>
        </is>
      </c>
      <c r="M21" s="465" t="inlineStr">
        <is>
          <t>0</t>
        </is>
      </c>
      <c r="N21" s="465" t="inlineStr">
        <is>
          <t>skill_wake_echo_drum</t>
        </is>
      </c>
      <c r="O21" s="465" t="inlineStr"/>
      <c r="P21" s="465" t="inlineStr"/>
      <c r="Q21" s="465" t="inlineStr"/>
      <c r="R21" s="465" t="inlineStr">
        <is>
          <t>formal</t>
        </is>
      </c>
    </row>
    <row r="22">
      <c r="A22" s="465" t="inlineStr">
        <is>
          <t>item_wake_echo_drum</t>
        </is>
      </c>
      <c r="B22" s="465" t="inlineStr">
        <is>
          <t>尾潮回响鼓</t>
        </is>
      </c>
      <c r="C22" s="465" t="inlineStr">
        <is>
          <t>relic, weapon</t>
        </is>
      </c>
      <c r="D22" s="465" t="inlineStr">
        <is>
          <t>2</t>
        </is>
      </c>
      <c r="E22" s="465" t="inlineStr">
        <is>
          <t>bronze</t>
        </is>
      </c>
      <c r="F22" s="465" t="inlineStr">
        <is>
          <t>gold</t>
        </is>
      </c>
      <c r="G22" s="465" t="inlineStr">
        <is>
          <t>12</t>
        </is>
      </c>
      <c r="H22" s="465" t="inlineStr">
        <is>
          <t>6</t>
        </is>
      </c>
      <c r="I22" s="465" t="inlineStr">
        <is>
          <t>4</t>
        </is>
      </c>
      <c r="J22" s="465" t="n">
        <v>0</v>
      </c>
      <c r="K22" s="465" t="inlineStr">
        <is>
          <t>false</t>
        </is>
      </c>
      <c r="L22" s="465" t="inlineStr">
        <is>
          <t>0</t>
        </is>
      </c>
      <c r="M22" s="465" t="inlineStr">
        <is>
          <t>0</t>
        </is>
      </c>
      <c r="N22" s="465" t="inlineStr">
        <is>
          <t>skill_wake_echo_drum</t>
        </is>
      </c>
      <c r="O22" s="465" t="inlineStr"/>
      <c r="P22" s="465" t="inlineStr"/>
      <c r="Q22" s="465" t="inlineStr"/>
      <c r="R22" s="465" t="inlineStr">
        <is>
          <t>formal</t>
        </is>
      </c>
    </row>
    <row r="23">
      <c r="A23" s="465" t="inlineStr">
        <is>
          <t>item_wake_echo_drum</t>
        </is>
      </c>
      <c r="B23" s="465" t="inlineStr">
        <is>
          <t>尾潮回响鼓</t>
        </is>
      </c>
      <c r="C23" s="465" t="inlineStr">
        <is>
          <t>relic, weapon</t>
        </is>
      </c>
      <c r="D23" s="465" t="inlineStr">
        <is>
          <t>2</t>
        </is>
      </c>
      <c r="E23" s="465" t="inlineStr">
        <is>
          <t>bronze</t>
        </is>
      </c>
      <c r="F23" s="465" t="inlineStr">
        <is>
          <t>diamond</t>
        </is>
      </c>
      <c r="G23" s="465" t="inlineStr">
        <is>
          <t>17</t>
        </is>
      </c>
      <c r="H23" s="465" t="inlineStr">
        <is>
          <t>8</t>
        </is>
      </c>
      <c r="I23" s="465" t="inlineStr">
        <is>
          <t>3</t>
        </is>
      </c>
      <c r="J23" s="465" t="n">
        <v>0</v>
      </c>
      <c r="K23" s="465" t="inlineStr">
        <is>
          <t>false</t>
        </is>
      </c>
      <c r="L23" s="465" t="inlineStr">
        <is>
          <t>0</t>
        </is>
      </c>
      <c r="M23" s="465" t="inlineStr">
        <is>
          <t>0</t>
        </is>
      </c>
      <c r="N23" s="465" t="inlineStr">
        <is>
          <t>skill_wake_echo_drum</t>
        </is>
      </c>
      <c r="O23" s="465" t="inlineStr"/>
      <c r="P23" s="465" t="inlineStr"/>
      <c r="Q23" s="465" t="inlineStr"/>
      <c r="R23" s="465" t="inlineStr">
        <is>
          <t>formal</t>
        </is>
      </c>
    </row>
    <row r="24">
      <c r="A24" s="465" t="inlineStr">
        <is>
          <t>item_saltwind_capstan</t>
        </is>
      </c>
      <c r="B24" s="465" t="inlineStr">
        <is>
          <t>盐风绞盘</t>
        </is>
      </c>
      <c r="C24" s="465" t="inlineStr">
        <is>
          <t>tool, vehicle</t>
        </is>
      </c>
      <c r="D24" s="465" t="inlineStr">
        <is>
          <t>2</t>
        </is>
      </c>
      <c r="E24" s="465" t="inlineStr">
        <is>
          <t>bronze</t>
        </is>
      </c>
      <c r="F24" s="465" t="inlineStr">
        <is>
          <t>bronze</t>
        </is>
      </c>
      <c r="G24" s="465" t="inlineStr">
        <is>
          <t>4</t>
        </is>
      </c>
      <c r="H24" s="465" t="inlineStr">
        <is>
          <t>2</t>
        </is>
      </c>
      <c r="I24" s="465" t="inlineStr">
        <is>
          <t>7</t>
        </is>
      </c>
      <c r="J24" s="465" t="n">
        <v>0</v>
      </c>
      <c r="K24" s="465" t="inlineStr">
        <is>
          <t>false</t>
        </is>
      </c>
      <c r="L24" s="465" t="inlineStr">
        <is>
          <t>0</t>
        </is>
      </c>
      <c r="M24" s="465" t="inlineStr">
        <is>
          <t>0</t>
        </is>
      </c>
      <c r="N24" s="465" t="inlineStr">
        <is>
          <t>skill_saltwind_capstan</t>
        </is>
      </c>
      <c r="O24" s="465" t="inlineStr"/>
      <c r="P24" s="465" t="inlineStr"/>
      <c r="Q24" s="465" t="inlineStr"/>
      <c r="R24" s="465" t="inlineStr">
        <is>
          <t>formal</t>
        </is>
      </c>
    </row>
    <row r="25">
      <c r="A25" s="465" t="inlineStr">
        <is>
          <t>item_saltwind_capstan</t>
        </is>
      </c>
      <c r="B25" s="465" t="inlineStr">
        <is>
          <t>盐风绞盘</t>
        </is>
      </c>
      <c r="C25" s="465" t="inlineStr">
        <is>
          <t>tool, vehicle</t>
        </is>
      </c>
      <c r="D25" s="465" t="inlineStr">
        <is>
          <t>2</t>
        </is>
      </c>
      <c r="E25" s="465" t="inlineStr">
        <is>
          <t>bronze</t>
        </is>
      </c>
      <c r="F25" s="465" t="inlineStr">
        <is>
          <t>silver</t>
        </is>
      </c>
      <c r="G25" s="465" t="inlineStr">
        <is>
          <t>7</t>
        </is>
      </c>
      <c r="H25" s="465" t="inlineStr">
        <is>
          <t>3</t>
        </is>
      </c>
      <c r="I25" s="465" t="inlineStr">
        <is>
          <t>6</t>
        </is>
      </c>
      <c r="J25" s="465" t="n">
        <v>0</v>
      </c>
      <c r="K25" s="465" t="inlineStr">
        <is>
          <t>false</t>
        </is>
      </c>
      <c r="L25" s="465" t="inlineStr">
        <is>
          <t>0</t>
        </is>
      </c>
      <c r="M25" s="465" t="inlineStr">
        <is>
          <t>0</t>
        </is>
      </c>
      <c r="N25" s="465" t="inlineStr">
        <is>
          <t>skill_saltwind_capstan</t>
        </is>
      </c>
      <c r="O25" s="465" t="inlineStr"/>
      <c r="P25" s="465" t="inlineStr"/>
      <c r="Q25" s="465" t="inlineStr"/>
      <c r="R25" s="465" t="inlineStr">
        <is>
          <t>formal</t>
        </is>
      </c>
    </row>
    <row r="26">
      <c r="A26" s="465" t="inlineStr">
        <is>
          <t>item_saltwind_capstan</t>
        </is>
      </c>
      <c r="B26" s="465" t="inlineStr">
        <is>
          <t>盐风绞盘</t>
        </is>
      </c>
      <c r="C26" s="465" t="inlineStr">
        <is>
          <t>tool, vehicle</t>
        </is>
      </c>
      <c r="D26" s="465" t="inlineStr">
        <is>
          <t>2</t>
        </is>
      </c>
      <c r="E26" s="465" t="inlineStr">
        <is>
          <t>bronze</t>
        </is>
      </c>
      <c r="F26" s="465" t="inlineStr">
        <is>
          <t>gold</t>
        </is>
      </c>
      <c r="G26" s="465" t="inlineStr">
        <is>
          <t>10</t>
        </is>
      </c>
      <c r="H26" s="465" t="inlineStr">
        <is>
          <t>5</t>
        </is>
      </c>
      <c r="I26" s="465" t="inlineStr">
        <is>
          <t>5</t>
        </is>
      </c>
      <c r="J26" s="465" t="n">
        <v>0</v>
      </c>
      <c r="K26" s="465" t="inlineStr">
        <is>
          <t>false</t>
        </is>
      </c>
      <c r="L26" s="465" t="inlineStr">
        <is>
          <t>0</t>
        </is>
      </c>
      <c r="M26" s="465" t="inlineStr">
        <is>
          <t>0</t>
        </is>
      </c>
      <c r="N26" s="465" t="inlineStr">
        <is>
          <t>skill_saltwind_capstan</t>
        </is>
      </c>
      <c r="O26" s="465" t="inlineStr"/>
      <c r="P26" s="465" t="inlineStr"/>
      <c r="Q26" s="465" t="inlineStr"/>
      <c r="R26" s="465" t="inlineStr">
        <is>
          <t>formal</t>
        </is>
      </c>
    </row>
    <row r="27">
      <c r="A27" s="465" t="inlineStr">
        <is>
          <t>item_saltwind_capstan</t>
        </is>
      </c>
      <c r="B27" s="465" t="inlineStr">
        <is>
          <t>盐风绞盘</t>
        </is>
      </c>
      <c r="C27" s="465" t="inlineStr">
        <is>
          <t>tool, vehicle</t>
        </is>
      </c>
      <c r="D27" s="465" t="inlineStr">
        <is>
          <t>2</t>
        </is>
      </c>
      <c r="E27" s="465" t="inlineStr">
        <is>
          <t>bronze</t>
        </is>
      </c>
      <c r="F27" s="465" t="inlineStr">
        <is>
          <t>diamond</t>
        </is>
      </c>
      <c r="G27" s="465" t="inlineStr">
        <is>
          <t>14</t>
        </is>
      </c>
      <c r="H27" s="465" t="inlineStr">
        <is>
          <t>7</t>
        </is>
      </c>
      <c r="I27" s="465" t="inlineStr">
        <is>
          <t>4</t>
        </is>
      </c>
      <c r="J27" s="465" t="n">
        <v>0</v>
      </c>
      <c r="K27" s="465" t="inlineStr">
        <is>
          <t>false</t>
        </is>
      </c>
      <c r="L27" s="465" t="inlineStr">
        <is>
          <t>0</t>
        </is>
      </c>
      <c r="M27" s="465" t="inlineStr">
        <is>
          <t>0</t>
        </is>
      </c>
      <c r="N27" s="465" t="inlineStr">
        <is>
          <t>skill_saltwind_capstan</t>
        </is>
      </c>
      <c r="O27" s="465" t="inlineStr"/>
      <c r="P27" s="465" t="inlineStr"/>
      <c r="Q27" s="465" t="inlineStr"/>
      <c r="R27" s="465" t="inlineStr">
        <is>
          <t>formal</t>
        </is>
      </c>
    </row>
    <row r="28">
      <c r="A28" s="465" t="inlineStr">
        <is>
          <t>item_tidefin_launcher</t>
        </is>
      </c>
      <c r="B28" s="465" t="inlineStr">
        <is>
          <t>潮鳍投筒</t>
        </is>
      </c>
      <c r="C28" s="465" t="inlineStr">
        <is>
          <t>ammo, aquatic</t>
        </is>
      </c>
      <c r="D28" s="465" t="inlineStr">
        <is>
          <t>1</t>
        </is>
      </c>
      <c r="E28" s="465" t="inlineStr">
        <is>
          <t>bronze</t>
        </is>
      </c>
      <c r="F28" s="465" t="inlineStr">
        <is>
          <t>bronze</t>
        </is>
      </c>
      <c r="G28" s="465" t="inlineStr">
        <is>
          <t>3</t>
        </is>
      </c>
      <c r="H28" s="465" t="inlineStr">
        <is>
          <t>1</t>
        </is>
      </c>
      <c r="I28" s="465" t="inlineStr">
        <is>
          <t>5</t>
        </is>
      </c>
      <c r="J28" s="465" t="n">
        <v>0</v>
      </c>
      <c r="K28" s="465" t="inlineStr">
        <is>
          <t>true</t>
        </is>
      </c>
      <c r="L28" s="465" t="inlineStr">
        <is>
          <t>1</t>
        </is>
      </c>
      <c r="M28" s="465" t="inlineStr">
        <is>
          <t>2</t>
        </is>
      </c>
      <c r="N28" s="465" t="inlineStr">
        <is>
          <t>skill_tidefin_launcher</t>
        </is>
      </c>
      <c r="O28" s="465" t="inlineStr"/>
      <c r="P28" s="465" t="inlineStr"/>
      <c r="Q28" s="465" t="inlineStr"/>
      <c r="R28" s="465" t="inlineStr">
        <is>
          <t>formal</t>
        </is>
      </c>
    </row>
    <row r="29">
      <c r="A29" s="465" t="inlineStr">
        <is>
          <t>item_tidefin_launcher</t>
        </is>
      </c>
      <c r="B29" s="465" t="inlineStr">
        <is>
          <t>潮鳍投筒</t>
        </is>
      </c>
      <c r="C29" s="465" t="inlineStr">
        <is>
          <t>ammo, aquatic</t>
        </is>
      </c>
      <c r="D29" s="465" t="inlineStr">
        <is>
          <t>1</t>
        </is>
      </c>
      <c r="E29" s="465" t="inlineStr">
        <is>
          <t>bronze</t>
        </is>
      </c>
      <c r="F29" s="465" t="inlineStr">
        <is>
          <t>silver</t>
        </is>
      </c>
      <c r="G29" s="465" t="inlineStr">
        <is>
          <t>5</t>
        </is>
      </c>
      <c r="H29" s="465" t="inlineStr">
        <is>
          <t>2</t>
        </is>
      </c>
      <c r="I29" s="465" t="inlineStr">
        <is>
          <t>4</t>
        </is>
      </c>
      <c r="J29" s="465" t="n">
        <v>0</v>
      </c>
      <c r="K29" s="465" t="inlineStr">
        <is>
          <t>true</t>
        </is>
      </c>
      <c r="L29" s="465" t="inlineStr">
        <is>
          <t>2</t>
        </is>
      </c>
      <c r="M29" s="465" t="inlineStr">
        <is>
          <t>3</t>
        </is>
      </c>
      <c r="N29" s="465" t="inlineStr">
        <is>
          <t>skill_tidefin_launcher</t>
        </is>
      </c>
      <c r="O29" s="465" t="inlineStr"/>
      <c r="P29" s="465" t="inlineStr"/>
      <c r="Q29" s="465" t="inlineStr"/>
      <c r="R29" s="465" t="inlineStr">
        <is>
          <t>formal</t>
        </is>
      </c>
    </row>
    <row r="30">
      <c r="A30" s="465" t="inlineStr">
        <is>
          <t>item_tidefin_launcher</t>
        </is>
      </c>
      <c r="B30" s="465" t="inlineStr">
        <is>
          <t>潮鳍投筒</t>
        </is>
      </c>
      <c r="C30" s="465" t="inlineStr">
        <is>
          <t>ammo, aquatic</t>
        </is>
      </c>
      <c r="D30" s="465" t="inlineStr">
        <is>
          <t>1</t>
        </is>
      </c>
      <c r="E30" s="465" t="inlineStr">
        <is>
          <t>bronze</t>
        </is>
      </c>
      <c r="F30" s="465" t="inlineStr">
        <is>
          <t>gold</t>
        </is>
      </c>
      <c r="G30" s="465" t="inlineStr">
        <is>
          <t>8</t>
        </is>
      </c>
      <c r="H30" s="465" t="inlineStr">
        <is>
          <t>4</t>
        </is>
      </c>
      <c r="I30" s="465" t="inlineStr">
        <is>
          <t>3</t>
        </is>
      </c>
      <c r="J30" s="465" t="n">
        <v>0</v>
      </c>
      <c r="K30" s="465" t="inlineStr">
        <is>
          <t>true</t>
        </is>
      </c>
      <c r="L30" s="465" t="inlineStr">
        <is>
          <t>2</t>
        </is>
      </c>
      <c r="M30" s="465" t="inlineStr">
        <is>
          <t>4</t>
        </is>
      </c>
      <c r="N30" s="465" t="inlineStr">
        <is>
          <t>skill_tidefin_launcher</t>
        </is>
      </c>
      <c r="O30" s="465" t="inlineStr"/>
      <c r="P30" s="465" t="inlineStr"/>
      <c r="Q30" s="465" t="inlineStr"/>
      <c r="R30" s="465" t="inlineStr">
        <is>
          <t>formal</t>
        </is>
      </c>
    </row>
    <row r="31">
      <c r="A31" s="465" t="inlineStr">
        <is>
          <t>item_tidefin_launcher</t>
        </is>
      </c>
      <c r="B31" s="465" t="inlineStr">
        <is>
          <t>潮鳍投筒</t>
        </is>
      </c>
      <c r="C31" s="465" t="inlineStr">
        <is>
          <t>ammo, aquatic</t>
        </is>
      </c>
      <c r="D31" s="465" t="inlineStr">
        <is>
          <t>1</t>
        </is>
      </c>
      <c r="E31" s="465" t="inlineStr">
        <is>
          <t>bronze</t>
        </is>
      </c>
      <c r="F31" s="465" t="inlineStr">
        <is>
          <t>diamond</t>
        </is>
      </c>
      <c r="G31" s="465" t="inlineStr">
        <is>
          <t>12</t>
        </is>
      </c>
      <c r="H31" s="465" t="inlineStr">
        <is>
          <t>6</t>
        </is>
      </c>
      <c r="I31" s="465" t="inlineStr">
        <is>
          <t>2</t>
        </is>
      </c>
      <c r="J31" s="465" t="n">
        <v>0</v>
      </c>
      <c r="K31" s="465" t="inlineStr">
        <is>
          <t>true</t>
        </is>
      </c>
      <c r="L31" s="465" t="inlineStr">
        <is>
          <t>3</t>
        </is>
      </c>
      <c r="M31" s="465" t="inlineStr">
        <is>
          <t>5</t>
        </is>
      </c>
      <c r="N31" s="465" t="inlineStr">
        <is>
          <t>skill_tidefin_launcher</t>
        </is>
      </c>
      <c r="O31" s="465" t="inlineStr"/>
      <c r="P31" s="465" t="inlineStr"/>
      <c r="Q31" s="465" t="inlineStr"/>
      <c r="R31" s="465" t="inlineStr">
        <is>
          <t>formal</t>
        </is>
      </c>
    </row>
    <row r="32">
      <c r="A32" s="465" t="inlineStr">
        <is>
          <t>item_mistkelp_remedy_kit</t>
        </is>
      </c>
      <c r="B32" s="465" t="inlineStr">
        <is>
          <t>雾藻疗匣</t>
        </is>
      </c>
      <c r="C32" s="465" t="inlineStr">
        <is>
          <t>aquatic, tool</t>
        </is>
      </c>
      <c r="D32" s="465" t="inlineStr">
        <is>
          <t>1</t>
        </is>
      </c>
      <c r="E32" s="465" t="inlineStr">
        <is>
          <t>bronze</t>
        </is>
      </c>
      <c r="F32" s="465" t="inlineStr">
        <is>
          <t>bronze</t>
        </is>
      </c>
      <c r="G32" s="465" t="inlineStr">
        <is>
          <t>4</t>
        </is>
      </c>
      <c r="H32" s="465" t="inlineStr">
        <is>
          <t>2</t>
        </is>
      </c>
      <c r="I32" s="465" t="inlineStr">
        <is>
          <t>7</t>
        </is>
      </c>
      <c r="J32" s="465" t="n">
        <v>0</v>
      </c>
      <c r="K32" s="465" t="inlineStr">
        <is>
          <t>false</t>
        </is>
      </c>
      <c r="L32" s="465" t="inlineStr">
        <is>
          <t>0</t>
        </is>
      </c>
      <c r="M32" s="465" t="inlineStr">
        <is>
          <t>0</t>
        </is>
      </c>
      <c r="N32" s="465" t="inlineStr">
        <is>
          <t>skill_mistkelp_remedy_kit</t>
        </is>
      </c>
      <c r="O32" s="465" t="inlineStr"/>
      <c r="P32" s="465" t="inlineStr"/>
      <c r="Q32" s="465" t="inlineStr"/>
      <c r="R32" s="465" t="inlineStr">
        <is>
          <t>formal</t>
        </is>
      </c>
    </row>
    <row r="33">
      <c r="A33" s="465" t="inlineStr">
        <is>
          <t>item_mistkelp_remedy_kit</t>
        </is>
      </c>
      <c r="B33" s="465" t="inlineStr">
        <is>
          <t>雾藻疗匣</t>
        </is>
      </c>
      <c r="C33" s="465" t="inlineStr">
        <is>
          <t>aquatic, tool</t>
        </is>
      </c>
      <c r="D33" s="465" t="inlineStr">
        <is>
          <t>1</t>
        </is>
      </c>
      <c r="E33" s="465" t="inlineStr">
        <is>
          <t>bronze</t>
        </is>
      </c>
      <c r="F33" s="465" t="inlineStr">
        <is>
          <t>silver</t>
        </is>
      </c>
      <c r="G33" s="465" t="inlineStr">
        <is>
          <t>7</t>
        </is>
      </c>
      <c r="H33" s="465" t="inlineStr">
        <is>
          <t>3</t>
        </is>
      </c>
      <c r="I33" s="465" t="inlineStr">
        <is>
          <t>6</t>
        </is>
      </c>
      <c r="J33" s="465" t="n">
        <v>0</v>
      </c>
      <c r="K33" s="465" t="inlineStr">
        <is>
          <t>false</t>
        </is>
      </c>
      <c r="L33" s="465" t="inlineStr">
        <is>
          <t>0</t>
        </is>
      </c>
      <c r="M33" s="465" t="inlineStr">
        <is>
          <t>0</t>
        </is>
      </c>
      <c r="N33" s="465" t="inlineStr">
        <is>
          <t>skill_mistkelp_remedy_kit</t>
        </is>
      </c>
      <c r="O33" s="465" t="inlineStr"/>
      <c r="P33" s="465" t="inlineStr"/>
      <c r="Q33" s="465" t="inlineStr"/>
      <c r="R33" s="465" t="inlineStr">
        <is>
          <t>formal</t>
        </is>
      </c>
    </row>
    <row r="34">
      <c r="A34" s="465" t="inlineStr">
        <is>
          <t>item_mistkelp_remedy_kit</t>
        </is>
      </c>
      <c r="B34" s="465" t="inlineStr">
        <is>
          <t>雾藻疗匣</t>
        </is>
      </c>
      <c r="C34" s="465" t="inlineStr">
        <is>
          <t>aquatic, tool</t>
        </is>
      </c>
      <c r="D34" s="465" t="inlineStr">
        <is>
          <t>1</t>
        </is>
      </c>
      <c r="E34" s="465" t="inlineStr">
        <is>
          <t>bronze</t>
        </is>
      </c>
      <c r="F34" s="465" t="inlineStr">
        <is>
          <t>gold</t>
        </is>
      </c>
      <c r="G34" s="465" t="inlineStr">
        <is>
          <t>10</t>
        </is>
      </c>
      <c r="H34" s="465" t="inlineStr">
        <is>
          <t>5</t>
        </is>
      </c>
      <c r="I34" s="465" t="inlineStr">
        <is>
          <t>5</t>
        </is>
      </c>
      <c r="J34" s="465" t="n">
        <v>0</v>
      </c>
      <c r="K34" s="465" t="inlineStr">
        <is>
          <t>false</t>
        </is>
      </c>
      <c r="L34" s="465" t="inlineStr">
        <is>
          <t>0</t>
        </is>
      </c>
      <c r="M34" s="465" t="inlineStr">
        <is>
          <t>0</t>
        </is>
      </c>
      <c r="N34" s="465" t="inlineStr">
        <is>
          <t>skill_mistkelp_remedy_kit</t>
        </is>
      </c>
      <c r="O34" s="465" t="inlineStr"/>
      <c r="P34" s="465" t="inlineStr"/>
      <c r="Q34" s="465" t="inlineStr"/>
      <c r="R34" s="465" t="inlineStr">
        <is>
          <t>formal</t>
        </is>
      </c>
    </row>
    <row r="35">
      <c r="A35" s="465" t="inlineStr">
        <is>
          <t>item_mistkelp_remedy_kit</t>
        </is>
      </c>
      <c r="B35" s="465" t="inlineStr">
        <is>
          <t>雾藻疗匣</t>
        </is>
      </c>
      <c r="C35" s="465" t="inlineStr">
        <is>
          <t>aquatic, tool</t>
        </is>
      </c>
      <c r="D35" s="465" t="inlineStr">
        <is>
          <t>1</t>
        </is>
      </c>
      <c r="E35" s="465" t="inlineStr">
        <is>
          <t>bronze</t>
        </is>
      </c>
      <c r="F35" s="465" t="inlineStr">
        <is>
          <t>diamond</t>
        </is>
      </c>
      <c r="G35" s="465" t="inlineStr">
        <is>
          <t>14</t>
        </is>
      </c>
      <c r="H35" s="465" t="inlineStr">
        <is>
          <t>7</t>
        </is>
      </c>
      <c r="I35" s="465" t="inlineStr">
        <is>
          <t>4</t>
        </is>
      </c>
      <c r="J35" s="465" t="n">
        <v>0</v>
      </c>
      <c r="K35" s="465" t="inlineStr">
        <is>
          <t>false</t>
        </is>
      </c>
      <c r="L35" s="465" t="inlineStr">
        <is>
          <t>0</t>
        </is>
      </c>
      <c r="M35" s="465" t="inlineStr">
        <is>
          <t>0</t>
        </is>
      </c>
      <c r="N35" s="465" t="inlineStr">
        <is>
          <t>skill_mistkelp_remedy_kit</t>
        </is>
      </c>
      <c r="O35" s="465" t="inlineStr"/>
      <c r="P35" s="465" t="inlineStr"/>
      <c r="Q35" s="465" t="inlineStr"/>
      <c r="R35" s="465" t="inlineStr">
        <is>
          <t>formal</t>
        </is>
      </c>
    </row>
    <row r="36">
      <c r="A36" s="465" t="inlineStr">
        <is>
          <t>item_tidefold_bulwark</t>
        </is>
      </c>
      <c r="B36" s="465" t="inlineStr">
        <is>
          <t>叠潮护舷</t>
        </is>
      </c>
      <c r="C36" s="465" t="inlineStr">
        <is>
          <t>relic, vehicle</t>
        </is>
      </c>
      <c r="D36" s="465" t="inlineStr">
        <is>
          <t>2</t>
        </is>
      </c>
      <c r="E36" s="465" t="inlineStr">
        <is>
          <t>bronze</t>
        </is>
      </c>
      <c r="F36" s="465" t="inlineStr">
        <is>
          <t>bronze</t>
        </is>
      </c>
      <c r="G36" s="465" t="inlineStr">
        <is>
          <t>5</t>
        </is>
      </c>
      <c r="H36" s="465" t="inlineStr">
        <is>
          <t>2</t>
        </is>
      </c>
      <c r="I36" s="465" t="inlineStr">
        <is>
          <t>7</t>
        </is>
      </c>
      <c r="J36" s="465" t="n">
        <v>0</v>
      </c>
      <c r="K36" s="465" t="inlineStr">
        <is>
          <t>false</t>
        </is>
      </c>
      <c r="L36" s="465" t="inlineStr">
        <is>
          <t>0</t>
        </is>
      </c>
      <c r="M36" s="465" t="inlineStr">
        <is>
          <t>0</t>
        </is>
      </c>
      <c r="N36" s="465" t="inlineStr">
        <is>
          <t>skill_tidefold_bulwark</t>
        </is>
      </c>
      <c r="O36" s="465" t="inlineStr"/>
      <c r="P36" s="465" t="inlineStr"/>
      <c r="Q36" s="465" t="inlineStr"/>
      <c r="R36" s="465" t="inlineStr">
        <is>
          <t>formal</t>
        </is>
      </c>
    </row>
    <row r="37">
      <c r="A37" s="465" t="inlineStr">
        <is>
          <t>item_tidefold_bulwark</t>
        </is>
      </c>
      <c r="B37" s="465" t="inlineStr">
        <is>
          <t>叠潮护舷</t>
        </is>
      </c>
      <c r="C37" s="465" t="inlineStr">
        <is>
          <t>relic, vehicle</t>
        </is>
      </c>
      <c r="D37" s="465" t="inlineStr">
        <is>
          <t>2</t>
        </is>
      </c>
      <c r="E37" s="465" t="inlineStr">
        <is>
          <t>bronze</t>
        </is>
      </c>
      <c r="F37" s="465" t="inlineStr">
        <is>
          <t>silver</t>
        </is>
      </c>
      <c r="G37" s="465" t="inlineStr">
        <is>
          <t>8</t>
        </is>
      </c>
      <c r="H37" s="465" t="inlineStr">
        <is>
          <t>4</t>
        </is>
      </c>
      <c r="I37" s="465" t="inlineStr">
        <is>
          <t>6</t>
        </is>
      </c>
      <c r="J37" s="465" t="n">
        <v>0</v>
      </c>
      <c r="K37" s="465" t="inlineStr">
        <is>
          <t>false</t>
        </is>
      </c>
      <c r="L37" s="465" t="inlineStr">
        <is>
          <t>0</t>
        </is>
      </c>
      <c r="M37" s="465" t="inlineStr">
        <is>
          <t>0</t>
        </is>
      </c>
      <c r="N37" s="465" t="inlineStr">
        <is>
          <t>skill_tidefold_bulwark</t>
        </is>
      </c>
      <c r="O37" s="465" t="inlineStr"/>
      <c r="P37" s="465" t="inlineStr"/>
      <c r="Q37" s="465" t="inlineStr"/>
      <c r="R37" s="465" t="inlineStr">
        <is>
          <t>formal</t>
        </is>
      </c>
    </row>
    <row r="38">
      <c r="A38" s="465" t="inlineStr">
        <is>
          <t>item_tidefold_bulwark</t>
        </is>
      </c>
      <c r="B38" s="465" t="inlineStr">
        <is>
          <t>叠潮护舷</t>
        </is>
      </c>
      <c r="C38" s="465" t="inlineStr">
        <is>
          <t>relic, vehicle</t>
        </is>
      </c>
      <c r="D38" s="465" t="inlineStr">
        <is>
          <t>2</t>
        </is>
      </c>
      <c r="E38" s="465" t="inlineStr">
        <is>
          <t>bronze</t>
        </is>
      </c>
      <c r="F38" s="465" t="inlineStr">
        <is>
          <t>gold</t>
        </is>
      </c>
      <c r="G38" s="465" t="inlineStr">
        <is>
          <t>12</t>
        </is>
      </c>
      <c r="H38" s="465" t="inlineStr">
        <is>
          <t>6</t>
        </is>
      </c>
      <c r="I38" s="465" t="inlineStr">
        <is>
          <t>5</t>
        </is>
      </c>
      <c r="J38" s="465" t="n">
        <v>0</v>
      </c>
      <c r="K38" s="465" t="inlineStr">
        <is>
          <t>false</t>
        </is>
      </c>
      <c r="L38" s="465" t="inlineStr">
        <is>
          <t>0</t>
        </is>
      </c>
      <c r="M38" s="465" t="inlineStr">
        <is>
          <t>0</t>
        </is>
      </c>
      <c r="N38" s="465" t="inlineStr">
        <is>
          <t>skill_tidefold_bulwark</t>
        </is>
      </c>
      <c r="O38" s="465" t="inlineStr"/>
      <c r="P38" s="465" t="inlineStr"/>
      <c r="Q38" s="465" t="inlineStr"/>
      <c r="R38" s="465" t="inlineStr">
        <is>
          <t>formal</t>
        </is>
      </c>
    </row>
    <row r="39">
      <c r="A39" s="465" t="inlineStr">
        <is>
          <t>item_tidefold_bulwark</t>
        </is>
      </c>
      <c r="B39" s="465" t="inlineStr">
        <is>
          <t>叠潮护舷</t>
        </is>
      </c>
      <c r="C39" s="465" t="inlineStr">
        <is>
          <t>relic, vehicle</t>
        </is>
      </c>
      <c r="D39" s="465" t="inlineStr">
        <is>
          <t>2</t>
        </is>
      </c>
      <c r="E39" s="465" t="inlineStr">
        <is>
          <t>bronze</t>
        </is>
      </c>
      <c r="F39" s="465" t="inlineStr">
        <is>
          <t>diamond</t>
        </is>
      </c>
      <c r="G39" s="465" t="inlineStr">
        <is>
          <t>17</t>
        </is>
      </c>
      <c r="H39" s="465" t="inlineStr">
        <is>
          <t>8</t>
        </is>
      </c>
      <c r="I39" s="465" t="inlineStr">
        <is>
          <t>4</t>
        </is>
      </c>
      <c r="J39" s="465" t="n">
        <v>0</v>
      </c>
      <c r="K39" s="465" t="inlineStr">
        <is>
          <t>false</t>
        </is>
      </c>
      <c r="L39" s="465" t="inlineStr">
        <is>
          <t>0</t>
        </is>
      </c>
      <c r="M39" s="465" t="inlineStr">
        <is>
          <t>0</t>
        </is>
      </c>
      <c r="N39" s="465" t="inlineStr">
        <is>
          <t>skill_tidefold_bulwark</t>
        </is>
      </c>
      <c r="O39" s="465" t="inlineStr"/>
      <c r="P39" s="465" t="inlineStr"/>
      <c r="Q39" s="465" t="inlineStr"/>
      <c r="R39" s="465" t="inlineStr">
        <is>
          <t>formal</t>
        </is>
      </c>
    </row>
    <row r="40">
      <c r="A40" s="465" t="inlineStr">
        <is>
          <t>item_homeglow_beacon</t>
        </is>
      </c>
      <c r="B40" s="465" t="inlineStr">
        <is>
          <t>归辉航标</t>
        </is>
      </c>
      <c r="C40" s="465" t="inlineStr">
        <is>
          <t>relic, tool</t>
        </is>
      </c>
      <c r="D40" s="465" t="inlineStr">
        <is>
          <t>2</t>
        </is>
      </c>
      <c r="E40" s="465" t="inlineStr">
        <is>
          <t>bronze</t>
        </is>
      </c>
      <c r="F40" s="465" t="inlineStr">
        <is>
          <t>bronze</t>
        </is>
      </c>
      <c r="G40" s="465" t="inlineStr">
        <is>
          <t>6</t>
        </is>
      </c>
      <c r="H40" s="465" t="inlineStr">
        <is>
          <t>3</t>
        </is>
      </c>
      <c r="I40" s="465" t="inlineStr">
        <is>
          <t>8</t>
        </is>
      </c>
      <c r="J40" s="465" t="n">
        <v>0</v>
      </c>
      <c r="K40" s="465" t="inlineStr">
        <is>
          <t>false</t>
        </is>
      </c>
      <c r="L40" s="465" t="inlineStr">
        <is>
          <t>0</t>
        </is>
      </c>
      <c r="M40" s="465" t="inlineStr">
        <is>
          <t>0</t>
        </is>
      </c>
      <c r="N40" s="465" t="inlineStr">
        <is>
          <t>skill_homeglow_beacon</t>
        </is>
      </c>
      <c r="O40" s="465" t="inlineStr"/>
      <c r="P40" s="465" t="inlineStr"/>
      <c r="Q40" s="465" t="inlineStr"/>
      <c r="R40" s="465" t="inlineStr">
        <is>
          <t>formal</t>
        </is>
      </c>
    </row>
    <row r="41">
      <c r="A41" s="465" t="inlineStr">
        <is>
          <t>item_homeglow_beacon</t>
        </is>
      </c>
      <c r="B41" s="465" t="inlineStr">
        <is>
          <t>归辉航标</t>
        </is>
      </c>
      <c r="C41" s="465" t="inlineStr">
        <is>
          <t>relic, tool</t>
        </is>
      </c>
      <c r="D41" s="465" t="inlineStr">
        <is>
          <t>2</t>
        </is>
      </c>
      <c r="E41" s="465" t="inlineStr">
        <is>
          <t>bronze</t>
        </is>
      </c>
      <c r="F41" s="465" t="inlineStr">
        <is>
          <t>silver</t>
        </is>
      </c>
      <c r="G41" s="465" t="inlineStr">
        <is>
          <t>9</t>
        </is>
      </c>
      <c r="H41" s="465" t="inlineStr">
        <is>
          <t>4</t>
        </is>
      </c>
      <c r="I41" s="465" t="inlineStr">
        <is>
          <t>7</t>
        </is>
      </c>
      <c r="J41" s="465" t="n">
        <v>0</v>
      </c>
      <c r="K41" s="465" t="inlineStr">
        <is>
          <t>false</t>
        </is>
      </c>
      <c r="L41" s="465" t="inlineStr">
        <is>
          <t>0</t>
        </is>
      </c>
      <c r="M41" s="465" t="inlineStr">
        <is>
          <t>0</t>
        </is>
      </c>
      <c r="N41" s="465" t="inlineStr">
        <is>
          <t>skill_homeglow_beacon</t>
        </is>
      </c>
      <c r="O41" s="465" t="inlineStr"/>
      <c r="P41" s="465" t="inlineStr"/>
      <c r="Q41" s="465" t="inlineStr"/>
      <c r="R41" s="465" t="inlineStr">
        <is>
          <t>formal</t>
        </is>
      </c>
    </row>
    <row r="42">
      <c r="A42" s="465" t="inlineStr">
        <is>
          <t>item_homeglow_beacon</t>
        </is>
      </c>
      <c r="B42" s="465" t="inlineStr">
        <is>
          <t>归辉航标</t>
        </is>
      </c>
      <c r="C42" s="465" t="inlineStr">
        <is>
          <t>relic, tool</t>
        </is>
      </c>
      <c r="D42" s="465" t="inlineStr">
        <is>
          <t>2</t>
        </is>
      </c>
      <c r="E42" s="465" t="inlineStr">
        <is>
          <t>bronze</t>
        </is>
      </c>
      <c r="F42" s="465" t="inlineStr">
        <is>
          <t>gold</t>
        </is>
      </c>
      <c r="G42" s="465" t="inlineStr">
        <is>
          <t>14</t>
        </is>
      </c>
      <c r="H42" s="465" t="inlineStr">
        <is>
          <t>7</t>
        </is>
      </c>
      <c r="I42" s="465" t="inlineStr">
        <is>
          <t>6</t>
        </is>
      </c>
      <c r="J42" s="465" t="n">
        <v>0</v>
      </c>
      <c r="K42" s="465" t="inlineStr">
        <is>
          <t>false</t>
        </is>
      </c>
      <c r="L42" s="465" t="inlineStr">
        <is>
          <t>0</t>
        </is>
      </c>
      <c r="M42" s="465" t="inlineStr">
        <is>
          <t>0</t>
        </is>
      </c>
      <c r="N42" s="465" t="inlineStr">
        <is>
          <t>skill_homeglow_beacon</t>
        </is>
      </c>
      <c r="O42" s="465" t="inlineStr"/>
      <c r="P42" s="465" t="inlineStr"/>
      <c r="Q42" s="465" t="inlineStr"/>
      <c r="R42" s="465" t="inlineStr">
        <is>
          <t>formal</t>
        </is>
      </c>
    </row>
    <row r="43" s="439">
      <c r="A43" s="465" t="inlineStr">
        <is>
          <t>item_homeglow_beacon</t>
        </is>
      </c>
      <c r="B43" s="465" t="inlineStr">
        <is>
          <t>归辉航标</t>
        </is>
      </c>
      <c r="C43" s="465" t="inlineStr">
        <is>
          <t>relic, tool</t>
        </is>
      </c>
      <c r="D43" s="465" t="inlineStr">
        <is>
          <t>2</t>
        </is>
      </c>
      <c r="E43" s="465" t="inlineStr">
        <is>
          <t>bronze</t>
        </is>
      </c>
      <c r="F43" s="465" t="inlineStr">
        <is>
          <t>diamond</t>
        </is>
      </c>
      <c r="G43" s="465" t="inlineStr">
        <is>
          <t>19</t>
        </is>
      </c>
      <c r="H43" s="465" t="inlineStr">
        <is>
          <t>9</t>
        </is>
      </c>
      <c r="I43" s="465" t="inlineStr">
        <is>
          <t>5</t>
        </is>
      </c>
      <c r="J43" s="465" t="n">
        <v>0</v>
      </c>
      <c r="K43" s="465" t="inlineStr">
        <is>
          <t>false</t>
        </is>
      </c>
      <c r="L43" s="465" t="inlineStr">
        <is>
          <t>0</t>
        </is>
      </c>
      <c r="M43" s="465" t="inlineStr">
        <is>
          <t>0</t>
        </is>
      </c>
      <c r="N43" s="465" t="inlineStr">
        <is>
          <t>skill_homeglow_beacon</t>
        </is>
      </c>
      <c r="O43" s="465" t="inlineStr"/>
      <c r="P43" s="465" t="inlineStr"/>
      <c r="Q43" s="465" t="inlineStr"/>
      <c r="R43" s="465" t="inlineStr">
        <is>
          <t>formal</t>
        </is>
      </c>
    </row>
    <row r="44">
      <c r="A44" s="465" t="inlineStr">
        <is>
          <t>item_tidescar_matchlock</t>
        </is>
      </c>
      <c r="B44" s="465" t="inlineStr">
        <is>
          <t>潮痕火绳枪</t>
        </is>
      </c>
      <c r="C44" s="465" t="inlineStr">
        <is>
          <t>tool, weapon</t>
        </is>
      </c>
      <c r="D44" s="465" t="inlineStr">
        <is>
          <t>2</t>
        </is>
      </c>
      <c r="E44" s="465" t="inlineStr">
        <is>
          <t>bronze</t>
        </is>
      </c>
      <c r="F44" s="465" t="inlineStr">
        <is>
          <t>bronze</t>
        </is>
      </c>
      <c r="G44" s="465" t="inlineStr">
        <is>
          <t>5</t>
        </is>
      </c>
      <c r="H44" s="465" t="inlineStr">
        <is>
          <t>2</t>
        </is>
      </c>
      <c r="I44" s="465" t="inlineStr">
        <is>
          <t>7</t>
        </is>
      </c>
      <c r="J44" s="465" t="n">
        <v>0</v>
      </c>
      <c r="K44" s="465" t="inlineStr">
        <is>
          <t>false</t>
        </is>
      </c>
      <c r="L44" s="465" t="inlineStr">
        <is>
          <t>0</t>
        </is>
      </c>
      <c r="M44" s="465" t="inlineStr">
        <is>
          <t>0</t>
        </is>
      </c>
      <c r="N44" s="465" t="inlineStr">
        <is>
          <t>skill_tidescar_matchlock</t>
        </is>
      </c>
      <c r="O44" s="465" t="inlineStr"/>
      <c r="P44" s="465" t="inlineStr"/>
      <c r="Q44" s="465" t="inlineStr"/>
      <c r="R44" s="465" t="inlineStr">
        <is>
          <t>formal</t>
        </is>
      </c>
    </row>
    <row r="45">
      <c r="A45" s="465" t="inlineStr">
        <is>
          <t>item_tidescar_matchlock</t>
        </is>
      </c>
      <c r="B45" s="465" t="inlineStr">
        <is>
          <t>潮痕火绳枪</t>
        </is>
      </c>
      <c r="C45" s="465" t="inlineStr">
        <is>
          <t>tool, weapon</t>
        </is>
      </c>
      <c r="D45" s="465" t="inlineStr">
        <is>
          <t>2</t>
        </is>
      </c>
      <c r="E45" s="465" t="inlineStr">
        <is>
          <t>bronze</t>
        </is>
      </c>
      <c r="F45" s="465" t="inlineStr">
        <is>
          <t>silver</t>
        </is>
      </c>
      <c r="G45" s="465" t="inlineStr">
        <is>
          <t>8</t>
        </is>
      </c>
      <c r="H45" s="465" t="inlineStr">
        <is>
          <t>4</t>
        </is>
      </c>
      <c r="I45" s="465" t="inlineStr">
        <is>
          <t>6</t>
        </is>
      </c>
      <c r="J45" s="465" t="n">
        <v>0</v>
      </c>
      <c r="K45" s="465" t="inlineStr">
        <is>
          <t>false</t>
        </is>
      </c>
      <c r="L45" s="465" t="inlineStr">
        <is>
          <t>0</t>
        </is>
      </c>
      <c r="M45" s="465" t="inlineStr">
        <is>
          <t>0</t>
        </is>
      </c>
      <c r="N45" s="465" t="inlineStr">
        <is>
          <t>skill_tidescar_matchlock</t>
        </is>
      </c>
      <c r="O45" s="465" t="inlineStr"/>
      <c r="P45" s="465" t="inlineStr"/>
      <c r="Q45" s="465" t="inlineStr"/>
      <c r="R45" s="465" t="inlineStr">
        <is>
          <t>formal</t>
        </is>
      </c>
    </row>
    <row r="46">
      <c r="A46" s="465" t="inlineStr">
        <is>
          <t>item_tidescar_matchlock</t>
        </is>
      </c>
      <c r="B46" s="465" t="inlineStr">
        <is>
          <t>潮痕火绳枪</t>
        </is>
      </c>
      <c r="C46" s="465" t="inlineStr">
        <is>
          <t>tool, weapon</t>
        </is>
      </c>
      <c r="D46" s="465" t="inlineStr">
        <is>
          <t>2</t>
        </is>
      </c>
      <c r="E46" s="465" t="inlineStr">
        <is>
          <t>bronze</t>
        </is>
      </c>
      <c r="F46" s="465" t="inlineStr">
        <is>
          <t>gold</t>
        </is>
      </c>
      <c r="G46" s="465" t="inlineStr">
        <is>
          <t>12</t>
        </is>
      </c>
      <c r="H46" s="465" t="inlineStr">
        <is>
          <t>6</t>
        </is>
      </c>
      <c r="I46" s="465" t="inlineStr">
        <is>
          <t>5</t>
        </is>
      </c>
      <c r="J46" s="465" t="n">
        <v>0</v>
      </c>
      <c r="K46" s="465" t="inlineStr">
        <is>
          <t>false</t>
        </is>
      </c>
      <c r="L46" s="465" t="inlineStr">
        <is>
          <t>0</t>
        </is>
      </c>
      <c r="M46" s="465" t="inlineStr">
        <is>
          <t>0</t>
        </is>
      </c>
      <c r="N46" s="465" t="inlineStr">
        <is>
          <t>skill_tidescar_matchlock</t>
        </is>
      </c>
      <c r="O46" s="465" t="inlineStr"/>
      <c r="P46" s="465" t="inlineStr"/>
      <c r="Q46" s="465" t="inlineStr"/>
      <c r="R46" s="465" t="inlineStr">
        <is>
          <t>formal</t>
        </is>
      </c>
    </row>
    <row r="47">
      <c r="A47" s="465" t="inlineStr">
        <is>
          <t>item_tidescar_matchlock</t>
        </is>
      </c>
      <c r="B47" s="465" t="inlineStr">
        <is>
          <t>潮痕火绳枪</t>
        </is>
      </c>
      <c r="C47" s="465" t="inlineStr">
        <is>
          <t>tool, weapon</t>
        </is>
      </c>
      <c r="D47" s="465" t="inlineStr">
        <is>
          <t>2</t>
        </is>
      </c>
      <c r="E47" s="465" t="inlineStr">
        <is>
          <t>bronze</t>
        </is>
      </c>
      <c r="F47" s="465" t="inlineStr">
        <is>
          <t>diamond</t>
        </is>
      </c>
      <c r="G47" s="465" t="inlineStr">
        <is>
          <t>17</t>
        </is>
      </c>
      <c r="H47" s="465" t="inlineStr">
        <is>
          <t>8</t>
        </is>
      </c>
      <c r="I47" s="465" t="inlineStr">
        <is>
          <t>4</t>
        </is>
      </c>
      <c r="J47" s="465" t="n">
        <v>0</v>
      </c>
      <c r="K47" s="465" t="inlineStr">
        <is>
          <t>false</t>
        </is>
      </c>
      <c r="L47" s="465" t="inlineStr">
        <is>
          <t>0</t>
        </is>
      </c>
      <c r="M47" s="465" t="inlineStr">
        <is>
          <t>0</t>
        </is>
      </c>
      <c r="N47" s="465" t="inlineStr">
        <is>
          <t>skill_tidescar_matchlock</t>
        </is>
      </c>
      <c r="O47" s="465" t="inlineStr"/>
      <c r="P47" s="465" t="inlineStr"/>
      <c r="Q47" s="465" t="inlineStr"/>
      <c r="R47" s="465" t="inlineStr">
        <is>
          <t>formal</t>
        </is>
      </c>
    </row>
    <row r="48">
      <c r="A48" s="465" t="inlineStr">
        <is>
          <t>item_mistline_ratchet</t>
        </is>
      </c>
      <c r="B48" s="465" t="inlineStr">
        <is>
          <t>雾索棘轮</t>
        </is>
      </c>
      <c r="C48" s="465" t="inlineStr">
        <is>
          <t>tool, weapon</t>
        </is>
      </c>
      <c r="D48" s="465" t="inlineStr">
        <is>
          <t>1</t>
        </is>
      </c>
      <c r="E48" s="465" t="inlineStr">
        <is>
          <t>bronze</t>
        </is>
      </c>
      <c r="F48" s="465" t="inlineStr">
        <is>
          <t>bronze</t>
        </is>
      </c>
      <c r="G48" s="465" t="inlineStr">
        <is>
          <t>4</t>
        </is>
      </c>
      <c r="H48" s="465" t="inlineStr">
        <is>
          <t>2</t>
        </is>
      </c>
      <c r="I48" s="465" t="inlineStr">
        <is>
          <t>7</t>
        </is>
      </c>
      <c r="J48" s="465" t="n">
        <v>0</v>
      </c>
      <c r="K48" s="465" t="inlineStr">
        <is>
          <t>false</t>
        </is>
      </c>
      <c r="L48" s="465" t="inlineStr">
        <is>
          <t>0</t>
        </is>
      </c>
      <c r="M48" s="465" t="inlineStr">
        <is>
          <t>0</t>
        </is>
      </c>
      <c r="N48" s="465" t="inlineStr">
        <is>
          <t>skill_mistline_ratchet</t>
        </is>
      </c>
      <c r="O48" s="465" t="inlineStr"/>
      <c r="P48" s="465" t="inlineStr"/>
      <c r="Q48" s="465" t="inlineStr"/>
      <c r="R48" s="465" t="inlineStr">
        <is>
          <t>formal</t>
        </is>
      </c>
    </row>
    <row r="49">
      <c r="A49" s="465" t="inlineStr">
        <is>
          <t>item_mistline_ratchet</t>
        </is>
      </c>
      <c r="B49" s="465" t="inlineStr">
        <is>
          <t>雾索棘轮</t>
        </is>
      </c>
      <c r="C49" s="465" t="inlineStr">
        <is>
          <t>tool, weapon</t>
        </is>
      </c>
      <c r="D49" s="465" t="inlineStr">
        <is>
          <t>1</t>
        </is>
      </c>
      <c r="E49" s="465" t="inlineStr">
        <is>
          <t>bronze</t>
        </is>
      </c>
      <c r="F49" s="465" t="inlineStr">
        <is>
          <t>silver</t>
        </is>
      </c>
      <c r="G49" s="465" t="inlineStr">
        <is>
          <t>7</t>
        </is>
      </c>
      <c r="H49" s="465" t="inlineStr">
        <is>
          <t>3</t>
        </is>
      </c>
      <c r="I49" s="465" t="inlineStr">
        <is>
          <t>6</t>
        </is>
      </c>
      <c r="J49" s="465" t="n">
        <v>0</v>
      </c>
      <c r="K49" s="465" t="inlineStr">
        <is>
          <t>false</t>
        </is>
      </c>
      <c r="L49" s="465" t="inlineStr">
        <is>
          <t>0</t>
        </is>
      </c>
      <c r="M49" s="465" t="inlineStr">
        <is>
          <t>0</t>
        </is>
      </c>
      <c r="N49" s="465" t="inlineStr">
        <is>
          <t>skill_mistline_ratchet</t>
        </is>
      </c>
      <c r="O49" s="465" t="inlineStr"/>
      <c r="P49" s="465" t="inlineStr"/>
      <c r="Q49" s="465" t="inlineStr"/>
      <c r="R49" s="465" t="inlineStr">
        <is>
          <t>formal</t>
        </is>
      </c>
    </row>
    <row r="50">
      <c r="A50" s="465" t="inlineStr">
        <is>
          <t>item_mistline_ratchet</t>
        </is>
      </c>
      <c r="B50" s="465" t="inlineStr">
        <is>
          <t>雾索棘轮</t>
        </is>
      </c>
      <c r="C50" s="465" t="inlineStr">
        <is>
          <t>tool, weapon</t>
        </is>
      </c>
      <c r="D50" s="465" t="inlineStr">
        <is>
          <t>1</t>
        </is>
      </c>
      <c r="E50" s="465" t="inlineStr">
        <is>
          <t>bronze</t>
        </is>
      </c>
      <c r="F50" s="465" t="inlineStr">
        <is>
          <t>gold</t>
        </is>
      </c>
      <c r="G50" s="465" t="inlineStr">
        <is>
          <t>11</t>
        </is>
      </c>
      <c r="H50" s="465" t="inlineStr">
        <is>
          <t>5</t>
        </is>
      </c>
      <c r="I50" s="465" t="inlineStr">
        <is>
          <t>5</t>
        </is>
      </c>
      <c r="J50" s="465" t="n">
        <v>0</v>
      </c>
      <c r="K50" s="465" t="inlineStr">
        <is>
          <t>false</t>
        </is>
      </c>
      <c r="L50" s="465" t="inlineStr">
        <is>
          <t>0</t>
        </is>
      </c>
      <c r="M50" s="465" t="inlineStr">
        <is>
          <t>0</t>
        </is>
      </c>
      <c r="N50" s="465" t="inlineStr">
        <is>
          <t>skill_mistline_ratchet</t>
        </is>
      </c>
      <c r="O50" s="465" t="inlineStr"/>
      <c r="P50" s="465" t="inlineStr"/>
      <c r="Q50" s="465" t="inlineStr"/>
      <c r="R50" s="465" t="inlineStr">
        <is>
          <t>formal</t>
        </is>
      </c>
    </row>
    <row r="51" s="439">
      <c r="A51" s="465" t="inlineStr">
        <is>
          <t>item_mistline_ratchet</t>
        </is>
      </c>
      <c r="B51" s="465" t="inlineStr">
        <is>
          <t>雾索棘轮</t>
        </is>
      </c>
      <c r="C51" s="465" t="inlineStr">
        <is>
          <t>tool, weapon</t>
        </is>
      </c>
      <c r="D51" s="465" t="inlineStr">
        <is>
          <t>1</t>
        </is>
      </c>
      <c r="E51" s="465" t="inlineStr">
        <is>
          <t>bronze</t>
        </is>
      </c>
      <c r="F51" s="465" t="inlineStr">
        <is>
          <t>diamond</t>
        </is>
      </c>
      <c r="G51" s="465" t="inlineStr">
        <is>
          <t>16</t>
        </is>
      </c>
      <c r="H51" s="465" t="inlineStr">
        <is>
          <t>8</t>
        </is>
      </c>
      <c r="I51" s="465" t="inlineStr">
        <is>
          <t>4</t>
        </is>
      </c>
      <c r="J51" s="465" t="n">
        <v>0</v>
      </c>
      <c r="K51" s="465" t="inlineStr">
        <is>
          <t>false</t>
        </is>
      </c>
      <c r="L51" s="465" t="inlineStr">
        <is>
          <t>0</t>
        </is>
      </c>
      <c r="M51" s="465" t="inlineStr">
        <is>
          <t>0</t>
        </is>
      </c>
      <c r="N51" s="465" t="inlineStr">
        <is>
          <t>skill_mistline_ratchet</t>
        </is>
      </c>
      <c r="O51" s="465" t="inlineStr"/>
      <c r="P51" s="465" t="inlineStr"/>
      <c r="Q51" s="465" t="inlineStr"/>
      <c r="R51" s="465" t="inlineStr">
        <is>
          <t>formal</t>
        </is>
      </c>
    </row>
    <row r="52" s="439">
      <c r="A52" s="465" t="inlineStr">
        <is>
          <t>item_quadrant_linkage</t>
        </is>
      </c>
      <c r="B52" s="465" t="inlineStr">
        <is>
          <t>四缆联动轮</t>
        </is>
      </c>
      <c r="C52" s="465" t="inlineStr">
        <is>
          <t>tool, vehicle</t>
        </is>
      </c>
      <c r="D52" s="465" t="inlineStr">
        <is>
          <t>2</t>
        </is>
      </c>
      <c r="E52" s="465" t="inlineStr">
        <is>
          <t>bronze</t>
        </is>
      </c>
      <c r="F52" s="465" t="inlineStr">
        <is>
          <t>bronze</t>
        </is>
      </c>
      <c r="G52" s="465" t="inlineStr">
        <is>
          <t>5</t>
        </is>
      </c>
      <c r="H52" s="465" t="inlineStr">
        <is>
          <t>2</t>
        </is>
      </c>
      <c r="I52" s="465" t="inlineStr">
        <is>
          <t>8</t>
        </is>
      </c>
      <c r="J52" s="465" t="n">
        <v>0</v>
      </c>
      <c r="K52" s="465" t="inlineStr">
        <is>
          <t>false</t>
        </is>
      </c>
      <c r="L52" s="465" t="inlineStr">
        <is>
          <t>0</t>
        </is>
      </c>
      <c r="M52" s="465" t="inlineStr">
        <is>
          <t>0</t>
        </is>
      </c>
      <c r="N52" s="465" t="inlineStr">
        <is>
          <t>skill_quadrant_linkage</t>
        </is>
      </c>
      <c r="O52" s="465" t="inlineStr"/>
      <c r="P52" s="465" t="inlineStr"/>
      <c r="Q52" s="465" t="inlineStr"/>
      <c r="R52" s="465" t="inlineStr">
        <is>
          <t>formal</t>
        </is>
      </c>
    </row>
    <row r="53" s="439">
      <c r="A53" s="465" t="inlineStr">
        <is>
          <t>item_quadrant_linkage</t>
        </is>
      </c>
      <c r="B53" s="465" t="inlineStr">
        <is>
          <t>四缆联动轮</t>
        </is>
      </c>
      <c r="C53" s="465" t="inlineStr">
        <is>
          <t>tool, vehicle</t>
        </is>
      </c>
      <c r="D53" s="465" t="inlineStr">
        <is>
          <t>2</t>
        </is>
      </c>
      <c r="E53" s="465" t="inlineStr">
        <is>
          <t>bronze</t>
        </is>
      </c>
      <c r="F53" s="465" t="inlineStr">
        <is>
          <t>silver</t>
        </is>
      </c>
      <c r="G53" s="465" t="inlineStr">
        <is>
          <t>8</t>
        </is>
      </c>
      <c r="H53" s="465" t="inlineStr">
        <is>
          <t>4</t>
        </is>
      </c>
      <c r="I53" s="465" t="inlineStr">
        <is>
          <t>7</t>
        </is>
      </c>
      <c r="J53" s="465" t="n">
        <v>0</v>
      </c>
      <c r="K53" s="465" t="inlineStr">
        <is>
          <t>false</t>
        </is>
      </c>
      <c r="L53" s="465" t="inlineStr">
        <is>
          <t>0</t>
        </is>
      </c>
      <c r="M53" s="465" t="inlineStr">
        <is>
          <t>0</t>
        </is>
      </c>
      <c r="N53" s="465" t="inlineStr">
        <is>
          <t>skill_quadrant_linkage</t>
        </is>
      </c>
      <c r="O53" s="465" t="inlineStr"/>
      <c r="P53" s="465" t="inlineStr"/>
      <c r="Q53" s="465" t="inlineStr"/>
      <c r="R53" s="465" t="inlineStr">
        <is>
          <t>formal</t>
        </is>
      </c>
    </row>
    <row r="54" s="439">
      <c r="A54" s="465" t="inlineStr">
        <is>
          <t>item_quadrant_linkage</t>
        </is>
      </c>
      <c r="B54" s="465" t="inlineStr">
        <is>
          <t>四缆联动轮</t>
        </is>
      </c>
      <c r="C54" s="465" t="inlineStr">
        <is>
          <t>tool, vehicle</t>
        </is>
      </c>
      <c r="D54" s="465" t="inlineStr">
        <is>
          <t>2</t>
        </is>
      </c>
      <c r="E54" s="465" t="inlineStr">
        <is>
          <t>bronze</t>
        </is>
      </c>
      <c r="F54" s="465" t="inlineStr">
        <is>
          <t>gold</t>
        </is>
      </c>
      <c r="G54" s="465" t="inlineStr">
        <is>
          <t>12</t>
        </is>
      </c>
      <c r="H54" s="465" t="inlineStr">
        <is>
          <t>6</t>
        </is>
      </c>
      <c r="I54" s="465" t="inlineStr">
        <is>
          <t>6</t>
        </is>
      </c>
      <c r="J54" s="465" t="n">
        <v>0</v>
      </c>
      <c r="K54" s="465" t="inlineStr">
        <is>
          <t>false</t>
        </is>
      </c>
      <c r="L54" s="465" t="inlineStr">
        <is>
          <t>0</t>
        </is>
      </c>
      <c r="M54" s="465" t="inlineStr">
        <is>
          <t>0</t>
        </is>
      </c>
      <c r="N54" s="465" t="inlineStr">
        <is>
          <t>skill_quadrant_linkage</t>
        </is>
      </c>
      <c r="O54" s="465" t="inlineStr"/>
      <c r="P54" s="465" t="inlineStr"/>
      <c r="Q54" s="465" t="inlineStr"/>
      <c r="R54" s="465" t="inlineStr">
        <is>
          <t>formal</t>
        </is>
      </c>
    </row>
    <row r="55" s="439">
      <c r="A55" s="465" t="inlineStr">
        <is>
          <t>item_quadrant_linkage</t>
        </is>
      </c>
      <c r="B55" s="465" t="inlineStr">
        <is>
          <t>四缆联动轮</t>
        </is>
      </c>
      <c r="C55" s="465" t="inlineStr">
        <is>
          <t>tool, vehicle</t>
        </is>
      </c>
      <c r="D55" s="465" t="inlineStr">
        <is>
          <t>2</t>
        </is>
      </c>
      <c r="E55" s="465" t="inlineStr">
        <is>
          <t>bronze</t>
        </is>
      </c>
      <c r="F55" s="465" t="inlineStr">
        <is>
          <t>diamond</t>
        </is>
      </c>
      <c r="G55" s="465" t="inlineStr">
        <is>
          <t>17</t>
        </is>
      </c>
      <c r="H55" s="465" t="inlineStr">
        <is>
          <t>8</t>
        </is>
      </c>
      <c r="I55" s="465" t="inlineStr">
        <is>
          <t>5</t>
        </is>
      </c>
      <c r="J55" s="465" t="n">
        <v>0</v>
      </c>
      <c r="K55" s="465" t="inlineStr">
        <is>
          <t>false</t>
        </is>
      </c>
      <c r="L55" s="465" t="inlineStr">
        <is>
          <t>0</t>
        </is>
      </c>
      <c r="M55" s="465" t="inlineStr">
        <is>
          <t>0</t>
        </is>
      </c>
      <c r="N55" s="465" t="inlineStr">
        <is>
          <t>skill_quadrant_linkage</t>
        </is>
      </c>
      <c r="O55" s="465" t="inlineStr"/>
      <c r="P55" s="465" t="inlineStr"/>
      <c r="Q55" s="465" t="inlineStr"/>
      <c r="R55" s="465" t="inlineStr">
        <is>
          <t>formal</t>
        </is>
      </c>
    </row>
    <row r="56" s="439">
      <c r="A56" s="465" t="inlineStr">
        <is>
          <t>item_followwake_calibrator</t>
        </is>
      </c>
      <c r="B56" s="465" t="inlineStr">
        <is>
          <t>继航校炮仪</t>
        </is>
      </c>
      <c r="C56" s="465" t="inlineStr">
        <is>
          <t>relic, tool</t>
        </is>
      </c>
      <c r="D56" s="465" t="inlineStr">
        <is>
          <t>1</t>
        </is>
      </c>
      <c r="E56" s="465" t="inlineStr">
        <is>
          <t>bronze</t>
        </is>
      </c>
      <c r="F56" s="465" t="inlineStr">
        <is>
          <t>bronze</t>
        </is>
      </c>
      <c r="G56" s="465" t="inlineStr">
        <is>
          <t>4</t>
        </is>
      </c>
      <c r="H56" s="465" t="inlineStr">
        <is>
          <t>2</t>
        </is>
      </c>
      <c r="I56" s="465" t="inlineStr">
        <is>
          <t>9</t>
        </is>
      </c>
      <c r="J56" s="465" t="n">
        <v>0</v>
      </c>
      <c r="K56" s="465" t="inlineStr">
        <is>
          <t>false</t>
        </is>
      </c>
      <c r="L56" s="465" t="inlineStr">
        <is>
          <t>0</t>
        </is>
      </c>
      <c r="M56" s="465" t="inlineStr">
        <is>
          <t>0</t>
        </is>
      </c>
      <c r="N56" s="465" t="inlineStr">
        <is>
          <t>skill_followwake_calibrator</t>
        </is>
      </c>
      <c r="O56" s="465" t="inlineStr"/>
      <c r="P56" s="465" t="inlineStr"/>
      <c r="Q56" s="465" t="inlineStr"/>
      <c r="R56" s="465" t="inlineStr">
        <is>
          <t>formal</t>
        </is>
      </c>
    </row>
    <row r="57" s="439">
      <c r="A57" s="465" t="inlineStr">
        <is>
          <t>item_followwake_calibrator</t>
        </is>
      </c>
      <c r="B57" s="465" t="inlineStr">
        <is>
          <t>继航校炮仪</t>
        </is>
      </c>
      <c r="C57" s="465" t="inlineStr">
        <is>
          <t>relic, tool</t>
        </is>
      </c>
      <c r="D57" s="465" t="inlineStr">
        <is>
          <t>1</t>
        </is>
      </c>
      <c r="E57" s="465" t="inlineStr">
        <is>
          <t>bronze</t>
        </is>
      </c>
      <c r="F57" s="465" t="inlineStr">
        <is>
          <t>silver</t>
        </is>
      </c>
      <c r="G57" s="465" t="inlineStr">
        <is>
          <t>7</t>
        </is>
      </c>
      <c r="H57" s="465" t="inlineStr">
        <is>
          <t>3</t>
        </is>
      </c>
      <c r="I57" s="465" t="inlineStr">
        <is>
          <t>8</t>
        </is>
      </c>
      <c r="J57" s="465" t="n">
        <v>0</v>
      </c>
      <c r="K57" s="465" t="inlineStr">
        <is>
          <t>false</t>
        </is>
      </c>
      <c r="L57" s="465" t="inlineStr">
        <is>
          <t>0</t>
        </is>
      </c>
      <c r="M57" s="465" t="inlineStr">
        <is>
          <t>0</t>
        </is>
      </c>
      <c r="N57" s="465" t="inlineStr">
        <is>
          <t>skill_followwake_calibrator</t>
        </is>
      </c>
      <c r="O57" s="465" t="inlineStr"/>
      <c r="P57" s="465" t="inlineStr"/>
      <c r="Q57" s="465" t="inlineStr"/>
      <c r="R57" s="465" t="inlineStr">
        <is>
          <t>formal</t>
        </is>
      </c>
    </row>
    <row r="58" s="439">
      <c r="A58" s="465" t="inlineStr">
        <is>
          <t>item_followwake_calibrator</t>
        </is>
      </c>
      <c r="B58" s="465" t="inlineStr">
        <is>
          <t>继航校炮仪</t>
        </is>
      </c>
      <c r="C58" s="465" t="inlineStr">
        <is>
          <t>relic, tool</t>
        </is>
      </c>
      <c r="D58" s="465" t="inlineStr">
        <is>
          <t>1</t>
        </is>
      </c>
      <c r="E58" s="465" t="inlineStr">
        <is>
          <t>bronze</t>
        </is>
      </c>
      <c r="F58" s="465" t="inlineStr">
        <is>
          <t>gold</t>
        </is>
      </c>
      <c r="G58" s="465" t="inlineStr">
        <is>
          <t>11</t>
        </is>
      </c>
      <c r="H58" s="465" t="inlineStr">
        <is>
          <t>5</t>
        </is>
      </c>
      <c r="I58" s="465" t="inlineStr">
        <is>
          <t>7</t>
        </is>
      </c>
      <c r="J58" s="465" t="n">
        <v>0</v>
      </c>
      <c r="K58" s="465" t="inlineStr">
        <is>
          <t>false</t>
        </is>
      </c>
      <c r="L58" s="465" t="inlineStr">
        <is>
          <t>0</t>
        </is>
      </c>
      <c r="M58" s="465" t="inlineStr">
        <is>
          <t>0</t>
        </is>
      </c>
      <c r="N58" s="465" t="inlineStr">
        <is>
          <t>skill_followwake_calibrator</t>
        </is>
      </c>
      <c r="O58" s="465" t="inlineStr"/>
      <c r="P58" s="465" t="inlineStr"/>
      <c r="Q58" s="465" t="inlineStr"/>
      <c r="R58" s="465" t="inlineStr">
        <is>
          <t>formal</t>
        </is>
      </c>
    </row>
    <row r="59" s="439">
      <c r="A59" s="465" t="inlineStr">
        <is>
          <t>item_followwake_calibrator</t>
        </is>
      </c>
      <c r="B59" s="465" t="inlineStr">
        <is>
          <t>继航校炮仪</t>
        </is>
      </c>
      <c r="C59" s="465" t="inlineStr">
        <is>
          <t>relic, tool</t>
        </is>
      </c>
      <c r="D59" s="465" t="inlineStr">
        <is>
          <t>1</t>
        </is>
      </c>
      <c r="E59" s="465" t="inlineStr">
        <is>
          <t>bronze</t>
        </is>
      </c>
      <c r="F59" s="465" t="inlineStr">
        <is>
          <t>diamond</t>
        </is>
      </c>
      <c r="G59" s="465" t="inlineStr">
        <is>
          <t>16</t>
        </is>
      </c>
      <c r="H59" s="465" t="inlineStr">
        <is>
          <t>8</t>
        </is>
      </c>
      <c r="I59" s="465" t="inlineStr">
        <is>
          <t>6</t>
        </is>
      </c>
      <c r="J59" s="465" t="n">
        <v>0</v>
      </c>
      <c r="K59" s="465" t="inlineStr">
        <is>
          <t>false</t>
        </is>
      </c>
      <c r="L59" s="465" t="inlineStr">
        <is>
          <t>0</t>
        </is>
      </c>
      <c r="M59" s="465" t="inlineStr">
        <is>
          <t>0</t>
        </is>
      </c>
      <c r="N59" s="465" t="inlineStr">
        <is>
          <t>skill_followwake_calibrator</t>
        </is>
      </c>
      <c r="O59" s="465" t="inlineStr"/>
      <c r="P59" s="465" t="inlineStr"/>
      <c r="Q59" s="465" t="inlineStr"/>
      <c r="R59" s="465" t="inlineStr">
        <is>
          <t>formal</t>
        </is>
      </c>
    </row>
    <row r="60">
      <c r="A60" s="465" t="inlineStr">
        <is>
          <t>item_dawntide_timer</t>
        </is>
      </c>
      <c r="B60" s="465" t="inlineStr">
        <is>
          <t>晨潮校时器</t>
        </is>
      </c>
      <c r="C60" s="465" t="inlineStr">
        <is>
          <t>relic, tool</t>
        </is>
      </c>
      <c r="D60" s="465" t="inlineStr">
        <is>
          <t>1</t>
        </is>
      </c>
      <c r="E60" s="465" t="inlineStr">
        <is>
          <t>bronze</t>
        </is>
      </c>
      <c r="F60" s="465" t="inlineStr">
        <is>
          <t>bronze</t>
        </is>
      </c>
      <c r="G60" s="465" t="inlineStr">
        <is>
          <t>4</t>
        </is>
      </c>
      <c r="H60" s="465" t="inlineStr">
        <is>
          <t>2</t>
        </is>
      </c>
      <c r="I60" s="465" t="inlineStr">
        <is>
          <t>9</t>
        </is>
      </c>
      <c r="J60" s="465" t="n">
        <v>0</v>
      </c>
      <c r="K60" s="465" t="inlineStr">
        <is>
          <t>false</t>
        </is>
      </c>
      <c r="L60" s="465" t="inlineStr">
        <is>
          <t>0</t>
        </is>
      </c>
      <c r="M60" s="465" t="inlineStr">
        <is>
          <t>0</t>
        </is>
      </c>
      <c r="N60" s="465" t="inlineStr">
        <is>
          <t>skill_dawntide_timer</t>
        </is>
      </c>
      <c r="O60" s="465" t="inlineStr"/>
      <c r="P60" s="465" t="inlineStr"/>
      <c r="Q60" s="465" t="inlineStr"/>
      <c r="R60" s="465" t="inlineStr">
        <is>
          <t>formal</t>
        </is>
      </c>
    </row>
    <row r="61">
      <c r="A61" s="465" t="inlineStr">
        <is>
          <t>item_dawntide_timer</t>
        </is>
      </c>
      <c r="B61" s="465" t="inlineStr">
        <is>
          <t>晨潮校时器</t>
        </is>
      </c>
      <c r="C61" s="465" t="inlineStr">
        <is>
          <t>relic, tool</t>
        </is>
      </c>
      <c r="D61" s="465" t="inlineStr">
        <is>
          <t>1</t>
        </is>
      </c>
      <c r="E61" s="465" t="inlineStr">
        <is>
          <t>bronze</t>
        </is>
      </c>
      <c r="F61" s="465" t="inlineStr">
        <is>
          <t>silver</t>
        </is>
      </c>
      <c r="G61" s="465" t="inlineStr">
        <is>
          <t>7</t>
        </is>
      </c>
      <c r="H61" s="465" t="inlineStr">
        <is>
          <t>3</t>
        </is>
      </c>
      <c r="I61" s="465" t="inlineStr">
        <is>
          <t>8</t>
        </is>
      </c>
      <c r="J61" s="465" t="n">
        <v>0</v>
      </c>
      <c r="K61" s="465" t="inlineStr">
        <is>
          <t>false</t>
        </is>
      </c>
      <c r="L61" s="465" t="inlineStr">
        <is>
          <t>0</t>
        </is>
      </c>
      <c r="M61" s="465" t="inlineStr">
        <is>
          <t>0</t>
        </is>
      </c>
      <c r="N61" s="465" t="inlineStr">
        <is>
          <t>skill_dawntide_timer</t>
        </is>
      </c>
      <c r="O61" s="465" t="inlineStr"/>
      <c r="P61" s="465" t="inlineStr"/>
      <c r="Q61" s="465" t="inlineStr"/>
      <c r="R61" s="465" t="inlineStr">
        <is>
          <t>formal</t>
        </is>
      </c>
    </row>
    <row r="62">
      <c r="A62" s="465" t="inlineStr">
        <is>
          <t>item_dawntide_timer</t>
        </is>
      </c>
      <c r="B62" s="465" t="inlineStr">
        <is>
          <t>晨潮校时器</t>
        </is>
      </c>
      <c r="C62" s="465" t="inlineStr">
        <is>
          <t>relic, tool</t>
        </is>
      </c>
      <c r="D62" s="465" t="inlineStr">
        <is>
          <t>1</t>
        </is>
      </c>
      <c r="E62" s="465" t="inlineStr">
        <is>
          <t>bronze</t>
        </is>
      </c>
      <c r="F62" s="465" t="inlineStr">
        <is>
          <t>gold</t>
        </is>
      </c>
      <c r="G62" s="465" t="inlineStr">
        <is>
          <t>11</t>
        </is>
      </c>
      <c r="H62" s="465" t="inlineStr">
        <is>
          <t>5</t>
        </is>
      </c>
      <c r="I62" s="465" t="inlineStr">
        <is>
          <t>7</t>
        </is>
      </c>
      <c r="J62" s="465" t="n">
        <v>0</v>
      </c>
      <c r="K62" s="465" t="inlineStr">
        <is>
          <t>false</t>
        </is>
      </c>
      <c r="L62" s="465" t="inlineStr">
        <is>
          <t>0</t>
        </is>
      </c>
      <c r="M62" s="465" t="inlineStr">
        <is>
          <t>0</t>
        </is>
      </c>
      <c r="N62" s="465" t="inlineStr">
        <is>
          <t>skill_dawntide_timer</t>
        </is>
      </c>
      <c r="O62" s="465" t="inlineStr"/>
      <c r="P62" s="465" t="inlineStr"/>
      <c r="Q62" s="465" t="inlineStr"/>
      <c r="R62" s="465" t="inlineStr">
        <is>
          <t>formal</t>
        </is>
      </c>
    </row>
    <row r="63" s="439">
      <c r="A63" s="465" t="inlineStr">
        <is>
          <t>item_dawntide_timer</t>
        </is>
      </c>
      <c r="B63" s="465" t="inlineStr">
        <is>
          <t>晨潮校时器</t>
        </is>
      </c>
      <c r="C63" s="465" t="inlineStr">
        <is>
          <t>relic, tool</t>
        </is>
      </c>
      <c r="D63" s="465" t="inlineStr">
        <is>
          <t>1</t>
        </is>
      </c>
      <c r="E63" s="465" t="inlineStr">
        <is>
          <t>bronze</t>
        </is>
      </c>
      <c r="F63" s="465" t="inlineStr">
        <is>
          <t>diamond</t>
        </is>
      </c>
      <c r="G63" s="465" t="inlineStr">
        <is>
          <t>16</t>
        </is>
      </c>
      <c r="H63" s="465" t="inlineStr">
        <is>
          <t>8</t>
        </is>
      </c>
      <c r="I63" s="465" t="inlineStr">
        <is>
          <t>6</t>
        </is>
      </c>
      <c r="J63" s="465" t="n">
        <v>0</v>
      </c>
      <c r="K63" s="465" t="inlineStr">
        <is>
          <t>false</t>
        </is>
      </c>
      <c r="L63" s="465" t="inlineStr">
        <is>
          <t>0</t>
        </is>
      </c>
      <c r="M63" s="465" t="inlineStr">
        <is>
          <t>0</t>
        </is>
      </c>
      <c r="N63" s="465" t="inlineStr">
        <is>
          <t>skill_dawntide_timer</t>
        </is>
      </c>
      <c r="O63" s="465" t="inlineStr"/>
      <c r="P63" s="465" t="inlineStr"/>
      <c r="Q63" s="465" t="inlineStr"/>
      <c r="R63" s="465" t="inlineStr">
        <is>
          <t>formal</t>
        </is>
      </c>
    </row>
    <row r="64" s="439">
      <c r="A64" s="465" t="inlineStr">
        <is>
          <t>item_broadside_signal_relay</t>
        </is>
      </c>
      <c r="B64" s="465" t="inlineStr">
        <is>
          <t>齐射传令台</t>
        </is>
      </c>
      <c r="C64" s="465" t="inlineStr">
        <is>
          <t>relic, tool</t>
        </is>
      </c>
      <c r="D64" s="465" t="inlineStr">
        <is>
          <t>2</t>
        </is>
      </c>
      <c r="E64" s="465" t="inlineStr">
        <is>
          <t>bronze</t>
        </is>
      </c>
      <c r="F64" s="465" t="inlineStr">
        <is>
          <t>bronze</t>
        </is>
      </c>
      <c r="G64" s="465" t="inlineStr">
        <is>
          <t>4</t>
        </is>
      </c>
      <c r="H64" s="465" t="inlineStr">
        <is>
          <t>2</t>
        </is>
      </c>
      <c r="I64" s="465" t="inlineStr">
        <is>
          <t>9</t>
        </is>
      </c>
      <c r="J64" s="465" t="n">
        <v>0</v>
      </c>
      <c r="K64" s="465" t="inlineStr">
        <is>
          <t>false</t>
        </is>
      </c>
      <c r="L64" s="465" t="inlineStr">
        <is>
          <t>0</t>
        </is>
      </c>
      <c r="M64" s="465" t="inlineStr">
        <is>
          <t>0</t>
        </is>
      </c>
      <c r="N64" s="465" t="inlineStr">
        <is>
          <t>skill_broadside_signal_relay</t>
        </is>
      </c>
      <c r="O64" s="465" t="inlineStr"/>
      <c r="P64" s="465" t="inlineStr"/>
      <c r="Q64" s="465" t="inlineStr"/>
      <c r="R64" s="465" t="inlineStr">
        <is>
          <t>formal</t>
        </is>
      </c>
    </row>
    <row r="65" s="439">
      <c r="A65" s="465" t="inlineStr">
        <is>
          <t>item_broadside_signal_relay</t>
        </is>
      </c>
      <c r="B65" s="465" t="inlineStr">
        <is>
          <t>齐射传令台</t>
        </is>
      </c>
      <c r="C65" s="465" t="inlineStr">
        <is>
          <t>relic, tool</t>
        </is>
      </c>
      <c r="D65" s="465" t="inlineStr">
        <is>
          <t>2</t>
        </is>
      </c>
      <c r="E65" s="465" t="inlineStr">
        <is>
          <t>bronze</t>
        </is>
      </c>
      <c r="F65" s="465" t="inlineStr">
        <is>
          <t>silver</t>
        </is>
      </c>
      <c r="G65" s="465" t="inlineStr">
        <is>
          <t>7</t>
        </is>
      </c>
      <c r="H65" s="465" t="inlineStr">
        <is>
          <t>3</t>
        </is>
      </c>
      <c r="I65" s="465" t="inlineStr">
        <is>
          <t>8</t>
        </is>
      </c>
      <c r="J65" s="465" t="n">
        <v>0</v>
      </c>
      <c r="K65" s="465" t="inlineStr">
        <is>
          <t>false</t>
        </is>
      </c>
      <c r="L65" s="465" t="inlineStr">
        <is>
          <t>0</t>
        </is>
      </c>
      <c r="M65" s="465" t="inlineStr">
        <is>
          <t>0</t>
        </is>
      </c>
      <c r="N65" s="465" t="inlineStr">
        <is>
          <t>skill_broadside_signal_relay</t>
        </is>
      </c>
      <c r="O65" s="465" t="inlineStr"/>
      <c r="P65" s="465" t="inlineStr"/>
      <c r="Q65" s="465" t="inlineStr"/>
      <c r="R65" s="465" t="inlineStr">
        <is>
          <t>formal</t>
        </is>
      </c>
    </row>
    <row r="66" s="439">
      <c r="A66" s="465" t="inlineStr">
        <is>
          <t>item_broadside_signal_relay</t>
        </is>
      </c>
      <c r="B66" s="465" t="inlineStr">
        <is>
          <t>齐射传令台</t>
        </is>
      </c>
      <c r="C66" s="465" t="inlineStr">
        <is>
          <t>relic, tool</t>
        </is>
      </c>
      <c r="D66" s="465" t="inlineStr">
        <is>
          <t>2</t>
        </is>
      </c>
      <c r="E66" s="465" t="inlineStr">
        <is>
          <t>bronze</t>
        </is>
      </c>
      <c r="F66" s="465" t="inlineStr">
        <is>
          <t>gold</t>
        </is>
      </c>
      <c r="G66" s="465" t="inlineStr">
        <is>
          <t>11</t>
        </is>
      </c>
      <c r="H66" s="465" t="inlineStr">
        <is>
          <t>5</t>
        </is>
      </c>
      <c r="I66" s="465" t="inlineStr">
        <is>
          <t>7</t>
        </is>
      </c>
      <c r="J66" s="465" t="n">
        <v>0</v>
      </c>
      <c r="K66" s="465" t="inlineStr">
        <is>
          <t>false</t>
        </is>
      </c>
      <c r="L66" s="465" t="inlineStr">
        <is>
          <t>0</t>
        </is>
      </c>
      <c r="M66" s="465" t="inlineStr">
        <is>
          <t>0</t>
        </is>
      </c>
      <c r="N66" s="465" t="inlineStr">
        <is>
          <t>skill_broadside_signal_relay</t>
        </is>
      </c>
      <c r="O66" s="465" t="inlineStr"/>
      <c r="P66" s="465" t="inlineStr"/>
      <c r="Q66" s="465" t="inlineStr"/>
      <c r="R66" s="465" t="inlineStr">
        <is>
          <t>formal</t>
        </is>
      </c>
    </row>
    <row r="67" s="439">
      <c r="A67" s="465" t="inlineStr">
        <is>
          <t>item_broadside_signal_relay</t>
        </is>
      </c>
      <c r="B67" s="465" t="inlineStr">
        <is>
          <t>齐射传令台</t>
        </is>
      </c>
      <c r="C67" s="465" t="inlineStr">
        <is>
          <t>relic, tool</t>
        </is>
      </c>
      <c r="D67" s="465" t="inlineStr">
        <is>
          <t>2</t>
        </is>
      </c>
      <c r="E67" s="465" t="inlineStr">
        <is>
          <t>bronze</t>
        </is>
      </c>
      <c r="F67" s="465" t="inlineStr">
        <is>
          <t>diamond</t>
        </is>
      </c>
      <c r="G67" s="465" t="inlineStr">
        <is>
          <t>16</t>
        </is>
      </c>
      <c r="H67" s="465" t="inlineStr">
        <is>
          <t>8</t>
        </is>
      </c>
      <c r="I67" s="465" t="inlineStr">
        <is>
          <t>6</t>
        </is>
      </c>
      <c r="J67" s="465" t="n">
        <v>0</v>
      </c>
      <c r="K67" s="465" t="inlineStr">
        <is>
          <t>false</t>
        </is>
      </c>
      <c r="L67" s="465" t="inlineStr">
        <is>
          <t>0</t>
        </is>
      </c>
      <c r="M67" s="465" t="inlineStr">
        <is>
          <t>0</t>
        </is>
      </c>
      <c r="N67" s="465" t="inlineStr">
        <is>
          <t>skill_broadside_signal_relay</t>
        </is>
      </c>
      <c r="O67" s="465" t="inlineStr"/>
      <c r="P67" s="465" t="inlineStr"/>
      <c r="Q67" s="465" t="inlineStr"/>
      <c r="R67" s="465" t="inlineStr">
        <is>
          <t>formal</t>
        </is>
      </c>
    </row>
    <row r="68" s="439">
      <c r="A68" s="465" t="inlineStr">
        <is>
          <t>item_crosswind_selector</t>
        </is>
      </c>
      <c r="B68" s="465" t="inlineStr">
        <is>
          <t>侧风择发器</t>
        </is>
      </c>
      <c r="C68" s="465" t="inlineStr">
        <is>
          <t>tool, weapon</t>
        </is>
      </c>
      <c r="D68" s="465" t="inlineStr">
        <is>
          <t>1</t>
        </is>
      </c>
      <c r="E68" s="465" t="inlineStr">
        <is>
          <t>bronze</t>
        </is>
      </c>
      <c r="F68" s="465" t="inlineStr">
        <is>
          <t>bronze</t>
        </is>
      </c>
      <c r="G68" s="465" t="inlineStr">
        <is>
          <t>2</t>
        </is>
      </c>
      <c r="H68" s="465" t="inlineStr">
        <is>
          <t>1</t>
        </is>
      </c>
      <c r="I68" s="465" t="inlineStr">
        <is>
          <t>8</t>
        </is>
      </c>
      <c r="J68" s="465" t="n">
        <v>0</v>
      </c>
      <c r="K68" s="465" t="inlineStr">
        <is>
          <t>false</t>
        </is>
      </c>
      <c r="L68" s="465" t="inlineStr">
        <is>
          <t>0</t>
        </is>
      </c>
      <c r="M68" s="465" t="inlineStr">
        <is>
          <t>0</t>
        </is>
      </c>
      <c r="N68" s="465" t="inlineStr">
        <is>
          <t>skill_crosswind_selector</t>
        </is>
      </c>
      <c r="O68" s="465" t="n"/>
      <c r="P68" s="465" t="n"/>
      <c r="Q68" s="465" t="n"/>
      <c r="R68" s="465" t="inlineStr">
        <is>
          <t>formal</t>
        </is>
      </c>
    </row>
    <row r="69" s="439">
      <c r="A69" s="465" t="inlineStr">
        <is>
          <t>item_crosswind_selector</t>
        </is>
      </c>
      <c r="B69" s="465" t="inlineStr">
        <is>
          <t>侧风择发器</t>
        </is>
      </c>
      <c r="C69" s="465" t="inlineStr">
        <is>
          <t>tool, weapon</t>
        </is>
      </c>
      <c r="D69" s="465" t="inlineStr">
        <is>
          <t>1</t>
        </is>
      </c>
      <c r="E69" s="465" t="inlineStr">
        <is>
          <t>bronze</t>
        </is>
      </c>
      <c r="F69" s="465" t="inlineStr">
        <is>
          <t>silver</t>
        </is>
      </c>
      <c r="G69" s="465" t="inlineStr">
        <is>
          <t>5</t>
        </is>
      </c>
      <c r="H69" s="465" t="inlineStr">
        <is>
          <t>2</t>
        </is>
      </c>
      <c r="I69" s="465" t="inlineStr">
        <is>
          <t>7</t>
        </is>
      </c>
      <c r="J69" s="465" t="n">
        <v>0</v>
      </c>
      <c r="K69" s="465" t="inlineStr">
        <is>
          <t>false</t>
        </is>
      </c>
      <c r="L69" s="465" t="inlineStr">
        <is>
          <t>0</t>
        </is>
      </c>
      <c r="M69" s="465" t="inlineStr">
        <is>
          <t>0</t>
        </is>
      </c>
      <c r="N69" s="465" t="inlineStr">
        <is>
          <t>skill_crosswind_selector</t>
        </is>
      </c>
      <c r="O69" s="465" t="n"/>
      <c r="P69" s="465" t="n"/>
      <c r="Q69" s="465" t="n"/>
      <c r="R69" s="465" t="inlineStr">
        <is>
          <t>formal</t>
        </is>
      </c>
    </row>
    <row r="70" s="439">
      <c r="A70" s="465" t="inlineStr">
        <is>
          <t>item_crosswind_selector</t>
        </is>
      </c>
      <c r="B70" s="465" t="inlineStr">
        <is>
          <t>侧风择发器</t>
        </is>
      </c>
      <c r="C70" s="465" t="inlineStr">
        <is>
          <t>tool, weapon</t>
        </is>
      </c>
      <c r="D70" s="465" t="inlineStr">
        <is>
          <t>1</t>
        </is>
      </c>
      <c r="E70" s="465" t="inlineStr">
        <is>
          <t>bronze</t>
        </is>
      </c>
      <c r="F70" s="465" t="inlineStr">
        <is>
          <t>gold</t>
        </is>
      </c>
      <c r="G70" s="465" t="inlineStr">
        <is>
          <t>9</t>
        </is>
      </c>
      <c r="H70" s="465" t="inlineStr">
        <is>
          <t>4</t>
        </is>
      </c>
      <c r="I70" s="465" t="inlineStr">
        <is>
          <t>6</t>
        </is>
      </c>
      <c r="J70" s="465" t="n">
        <v>0</v>
      </c>
      <c r="K70" s="465" t="inlineStr">
        <is>
          <t>false</t>
        </is>
      </c>
      <c r="L70" s="465" t="inlineStr">
        <is>
          <t>0</t>
        </is>
      </c>
      <c r="M70" s="465" t="inlineStr">
        <is>
          <t>0</t>
        </is>
      </c>
      <c r="N70" s="465" t="inlineStr">
        <is>
          <t>skill_crosswind_selector</t>
        </is>
      </c>
      <c r="O70" s="465" t="n"/>
      <c r="P70" s="465" t="n"/>
      <c r="Q70" s="465" t="n"/>
      <c r="R70" s="465" t="inlineStr">
        <is>
          <t>formal</t>
        </is>
      </c>
    </row>
    <row r="71" s="439">
      <c r="A71" s="465" t="inlineStr">
        <is>
          <t>item_crosswind_selector</t>
        </is>
      </c>
      <c r="B71" s="465" t="inlineStr">
        <is>
          <t>侧风择发器</t>
        </is>
      </c>
      <c r="C71" s="465" t="inlineStr">
        <is>
          <t>tool, weapon</t>
        </is>
      </c>
      <c r="D71" s="465" t="inlineStr">
        <is>
          <t>1</t>
        </is>
      </c>
      <c r="E71" s="465" t="inlineStr">
        <is>
          <t>bronze</t>
        </is>
      </c>
      <c r="F71" s="465" t="inlineStr">
        <is>
          <t>diamond</t>
        </is>
      </c>
      <c r="G71" s="465" t="inlineStr">
        <is>
          <t>14</t>
        </is>
      </c>
      <c r="H71" s="465" t="inlineStr">
        <is>
          <t>7</t>
        </is>
      </c>
      <c r="I71" s="465" t="inlineStr">
        <is>
          <t>5</t>
        </is>
      </c>
      <c r="J71" s="465" t="n">
        <v>0</v>
      </c>
      <c r="K71" s="465" t="inlineStr">
        <is>
          <t>false</t>
        </is>
      </c>
      <c r="L71" s="465" t="inlineStr">
        <is>
          <t>0</t>
        </is>
      </c>
      <c r="M71" s="465" t="inlineStr">
        <is>
          <t>0</t>
        </is>
      </c>
      <c r="N71" s="465" t="inlineStr">
        <is>
          <t>skill_crosswind_selector</t>
        </is>
      </c>
      <c r="O71" s="465" t="n"/>
      <c r="P71" s="465" t="n"/>
      <c r="Q71" s="465" t="n"/>
      <c r="R71" s="465" t="inlineStr">
        <is>
          <t>formal</t>
        </is>
      </c>
    </row>
    <row r="72">
      <c r="A72" s="465" t="inlineStr">
        <is>
          <t>item_tideglass_sidearm</t>
        </is>
      </c>
      <c r="B72" s="465" t="inlineStr">
        <is>
          <t>潮镜短铳</t>
        </is>
      </c>
      <c r="C72" s="465" t="inlineStr">
        <is>
          <t>tool, weapon</t>
        </is>
      </c>
      <c r="D72" s="465" t="n">
        <v>1</v>
      </c>
      <c r="E72" s="465" t="inlineStr">
        <is>
          <t>bronze</t>
        </is>
      </c>
      <c r="F72" s="465" t="inlineStr">
        <is>
          <t>bronze</t>
        </is>
      </c>
      <c r="G72" s="465" t="n">
        <v>4</v>
      </c>
      <c r="H72" s="465" t="n">
        <v>2</v>
      </c>
      <c r="I72" s="465" t="n">
        <v>5</v>
      </c>
      <c r="J72" s="465" t="n">
        <v>2500</v>
      </c>
      <c r="K72" s="465" t="inlineStr">
        <is>
          <t>false</t>
        </is>
      </c>
      <c r="L72" s="465" t="n">
        <v>0</v>
      </c>
      <c r="M72" s="465" t="n">
        <v>0</v>
      </c>
      <c r="N72" s="465" t="inlineStr">
        <is>
          <t>skill_tideglass_sidearm</t>
        </is>
      </c>
      <c r="O72" s="465" t="inlineStr"/>
      <c r="P72" s="465" t="inlineStr"/>
      <c r="Q72" s="465" t="inlineStr"/>
      <c r="R72" s="465" t="inlineStr">
        <is>
          <t>formal</t>
        </is>
      </c>
    </row>
    <row r="73">
      <c r="A73" s="465" t="inlineStr">
        <is>
          <t>item_tideglass_sidearm</t>
        </is>
      </c>
      <c r="B73" s="465" t="inlineStr">
        <is>
          <t>潮镜短铳</t>
        </is>
      </c>
      <c r="C73" s="465" t="inlineStr">
        <is>
          <t>tool, weapon</t>
        </is>
      </c>
      <c r="D73" s="465" t="n">
        <v>1</v>
      </c>
      <c r="E73" s="465" t="inlineStr">
        <is>
          <t>bronze</t>
        </is>
      </c>
      <c r="F73" s="465" t="inlineStr">
        <is>
          <t>silver</t>
        </is>
      </c>
      <c r="G73" s="465" t="n">
        <v>7</v>
      </c>
      <c r="H73" s="465" t="n">
        <v>3</v>
      </c>
      <c r="I73" s="465" t="n">
        <v>4</v>
      </c>
      <c r="J73" s="465" t="n">
        <v>4000</v>
      </c>
      <c r="K73" s="465" t="inlineStr">
        <is>
          <t>false</t>
        </is>
      </c>
      <c r="L73" s="465" t="n">
        <v>0</v>
      </c>
      <c r="M73" s="465" t="n">
        <v>0</v>
      </c>
      <c r="N73" s="465" t="inlineStr">
        <is>
          <t>skill_tideglass_sidearm</t>
        </is>
      </c>
      <c r="O73" s="465" t="inlineStr"/>
      <c r="P73" s="465" t="inlineStr"/>
      <c r="Q73" s="465" t="inlineStr"/>
      <c r="R73" s="465" t="inlineStr">
        <is>
          <t>formal</t>
        </is>
      </c>
    </row>
    <row r="74">
      <c r="A74" s="465" t="inlineStr">
        <is>
          <t>item_tideglass_sidearm</t>
        </is>
      </c>
      <c r="B74" s="465" t="inlineStr">
        <is>
          <t>潮镜短铳</t>
        </is>
      </c>
      <c r="C74" s="465" t="inlineStr">
        <is>
          <t>tool, weapon</t>
        </is>
      </c>
      <c r="D74" s="465" t="n">
        <v>1</v>
      </c>
      <c r="E74" s="465" t="inlineStr">
        <is>
          <t>bronze</t>
        </is>
      </c>
      <c r="F74" s="465" t="inlineStr">
        <is>
          <t>gold</t>
        </is>
      </c>
      <c r="G74" s="465" t="n">
        <v>11</v>
      </c>
      <c r="H74" s="465" t="n">
        <v>5</v>
      </c>
      <c r="I74" s="465" t="n">
        <v>3</v>
      </c>
      <c r="J74" s="465" t="n">
        <v>5500</v>
      </c>
      <c r="K74" s="465" t="inlineStr">
        <is>
          <t>false</t>
        </is>
      </c>
      <c r="L74" s="465" t="n">
        <v>0</v>
      </c>
      <c r="M74" s="465" t="n">
        <v>0</v>
      </c>
      <c r="N74" s="465" t="inlineStr">
        <is>
          <t>skill_tideglass_sidearm</t>
        </is>
      </c>
      <c r="O74" s="465" t="inlineStr"/>
      <c r="P74" s="465" t="inlineStr"/>
      <c r="Q74" s="465" t="inlineStr"/>
      <c r="R74" s="465" t="inlineStr">
        <is>
          <t>formal</t>
        </is>
      </c>
    </row>
    <row r="75">
      <c r="A75" s="465" t="inlineStr">
        <is>
          <t>item_tideglass_sidearm</t>
        </is>
      </c>
      <c r="B75" s="465" t="inlineStr">
        <is>
          <t>潮镜短铳</t>
        </is>
      </c>
      <c r="C75" s="465" t="inlineStr">
        <is>
          <t>tool, weapon</t>
        </is>
      </c>
      <c r="D75" s="465" t="n">
        <v>1</v>
      </c>
      <c r="E75" s="465" t="inlineStr">
        <is>
          <t>bronze</t>
        </is>
      </c>
      <c r="F75" s="465" t="inlineStr">
        <is>
          <t>diamond</t>
        </is>
      </c>
      <c r="G75" s="465" t="n">
        <v>16</v>
      </c>
      <c r="H75" s="465" t="n">
        <v>8</v>
      </c>
      <c r="I75" s="465" t="n">
        <v>2</v>
      </c>
      <c r="J75" s="465" t="n">
        <v>7000</v>
      </c>
      <c r="K75" s="465" t="inlineStr">
        <is>
          <t>false</t>
        </is>
      </c>
      <c r="L75" s="465" t="n">
        <v>0</v>
      </c>
      <c r="M75" s="465" t="n">
        <v>0</v>
      </c>
      <c r="N75" s="465" t="inlineStr">
        <is>
          <t>skill_tideglass_sidearm</t>
        </is>
      </c>
      <c r="O75" s="465" t="inlineStr"/>
      <c r="P75" s="465" t="inlineStr"/>
      <c r="Q75" s="465" t="inlineStr"/>
      <c r="R75" s="465" t="inlineStr">
        <is>
          <t>formal</t>
        </is>
      </c>
    </row>
    <row r="76">
      <c r="A76" s="465" t="inlineStr">
        <is>
          <t>item_emberwake_lantern</t>
        </is>
      </c>
      <c r="B76" s="465" t="inlineStr">
        <is>
          <t>烬航灯</t>
        </is>
      </c>
      <c r="C76" s="465" t="inlineStr">
        <is>
          <t>burn, relic, tool</t>
        </is>
      </c>
      <c r="D76" s="465" t="n">
        <v>1</v>
      </c>
      <c r="E76" s="465" t="inlineStr">
        <is>
          <t>bronze</t>
        </is>
      </c>
      <c r="F76" s="465" t="inlineStr">
        <is>
          <t>bronze</t>
        </is>
      </c>
      <c r="G76" s="465" t="n">
        <v>3</v>
      </c>
      <c r="H76" s="465" t="n">
        <v>1</v>
      </c>
      <c r="I76" s="465" t="n">
        <v>9</v>
      </c>
      <c r="J76" s="465" t="n">
        <v>0</v>
      </c>
      <c r="K76" s="465" t="inlineStr">
        <is>
          <t>false</t>
        </is>
      </c>
      <c r="L76" s="465" t="n">
        <v>0</v>
      </c>
      <c r="M76" s="465" t="n">
        <v>0</v>
      </c>
      <c r="N76" s="465" t="inlineStr">
        <is>
          <t>skill_emberwake_lantern</t>
        </is>
      </c>
      <c r="O76" s="465" t="inlineStr"/>
      <c r="P76" s="465" t="inlineStr"/>
      <c r="Q76" s="465" t="inlineStr"/>
      <c r="R76" s="465" t="inlineStr">
        <is>
          <t>formal</t>
        </is>
      </c>
    </row>
    <row r="77">
      <c r="A77" s="465" t="inlineStr">
        <is>
          <t>item_emberwake_lantern</t>
        </is>
      </c>
      <c r="B77" s="465" t="inlineStr">
        <is>
          <t>烬航灯</t>
        </is>
      </c>
      <c r="C77" s="465" t="inlineStr">
        <is>
          <t>burn, relic, tool</t>
        </is>
      </c>
      <c r="D77" s="465" t="n">
        <v>1</v>
      </c>
      <c r="E77" s="465" t="inlineStr">
        <is>
          <t>bronze</t>
        </is>
      </c>
      <c r="F77" s="465" t="inlineStr">
        <is>
          <t>silver</t>
        </is>
      </c>
      <c r="G77" s="465" t="n">
        <v>5</v>
      </c>
      <c r="H77" s="465" t="n">
        <v>2</v>
      </c>
      <c r="I77" s="465" t="n">
        <v>8</v>
      </c>
      <c r="J77" s="465" t="n">
        <v>0</v>
      </c>
      <c r="K77" s="465" t="inlineStr">
        <is>
          <t>false</t>
        </is>
      </c>
      <c r="L77" s="465" t="n">
        <v>0</v>
      </c>
      <c r="M77" s="465" t="n">
        <v>0</v>
      </c>
      <c r="N77" s="465" t="inlineStr">
        <is>
          <t>skill_emberwake_lantern</t>
        </is>
      </c>
      <c r="O77" s="465" t="inlineStr"/>
      <c r="P77" s="465" t="inlineStr"/>
      <c r="Q77" s="465" t="inlineStr"/>
      <c r="R77" s="465" t="inlineStr">
        <is>
          <t>formal</t>
        </is>
      </c>
    </row>
    <row r="78">
      <c r="A78" s="465" t="inlineStr">
        <is>
          <t>item_emberwake_lantern</t>
        </is>
      </c>
      <c r="B78" s="465" t="inlineStr">
        <is>
          <t>烬航灯</t>
        </is>
      </c>
      <c r="C78" s="465" t="inlineStr">
        <is>
          <t>burn, relic, tool</t>
        </is>
      </c>
      <c r="D78" s="465" t="n">
        <v>1</v>
      </c>
      <c r="E78" s="465" t="inlineStr">
        <is>
          <t>bronze</t>
        </is>
      </c>
      <c r="F78" s="465" t="inlineStr">
        <is>
          <t>gold</t>
        </is>
      </c>
      <c r="G78" s="465" t="n">
        <v>8</v>
      </c>
      <c r="H78" s="465" t="n">
        <v>4</v>
      </c>
      <c r="I78" s="465" t="n">
        <v>7</v>
      </c>
      <c r="J78" s="465" t="n">
        <v>0</v>
      </c>
      <c r="K78" s="465" t="inlineStr">
        <is>
          <t>false</t>
        </is>
      </c>
      <c r="L78" s="465" t="n">
        <v>0</v>
      </c>
      <c r="M78" s="465" t="n">
        <v>0</v>
      </c>
      <c r="N78" s="465" t="inlineStr">
        <is>
          <t>skill_emberwake_lantern</t>
        </is>
      </c>
      <c r="O78" s="465" t="inlineStr"/>
      <c r="P78" s="465" t="inlineStr"/>
      <c r="Q78" s="465" t="inlineStr"/>
      <c r="R78" s="465" t="inlineStr">
        <is>
          <t>formal</t>
        </is>
      </c>
    </row>
    <row r="79">
      <c r="A79" s="465" t="inlineStr">
        <is>
          <t>item_emberwake_lantern</t>
        </is>
      </c>
      <c r="B79" s="465" t="inlineStr">
        <is>
          <t>烬航灯</t>
        </is>
      </c>
      <c r="C79" s="465" t="inlineStr">
        <is>
          <t>burn, relic, tool</t>
        </is>
      </c>
      <c r="D79" s="465" t="n">
        <v>1</v>
      </c>
      <c r="E79" s="465" t="inlineStr">
        <is>
          <t>bronze</t>
        </is>
      </c>
      <c r="F79" s="465" t="inlineStr">
        <is>
          <t>diamond</t>
        </is>
      </c>
      <c r="G79" s="465" t="n">
        <v>12</v>
      </c>
      <c r="H79" s="465" t="n">
        <v>6</v>
      </c>
      <c r="I79" s="465" t="n">
        <v>6</v>
      </c>
      <c r="J79" s="465" t="n">
        <v>0</v>
      </c>
      <c r="K79" s="465" t="inlineStr">
        <is>
          <t>false</t>
        </is>
      </c>
      <c r="L79" s="465" t="n">
        <v>0</v>
      </c>
      <c r="M79" s="465" t="n">
        <v>0</v>
      </c>
      <c r="N79" s="465" t="inlineStr">
        <is>
          <t>skill_emberwake_lantern</t>
        </is>
      </c>
      <c r="O79" s="465" t="inlineStr"/>
      <c r="P79" s="465" t="inlineStr"/>
      <c r="Q79" s="465" t="inlineStr"/>
      <c r="R79" s="465" t="inlineStr">
        <is>
          <t>formal</t>
        </is>
      </c>
    </row>
    <row r="80">
      <c r="A80" s="465" t="inlineStr">
        <is>
          <t>item_inkwake_doser</t>
        </is>
      </c>
      <c r="B80" s="465" t="inlineStr">
        <is>
          <t>墨航滴液器</t>
        </is>
      </c>
      <c r="C80" s="465" t="inlineStr">
        <is>
          <t>poison, relic, tool</t>
        </is>
      </c>
      <c r="D80" s="465" t="inlineStr">
        <is>
          <t>1</t>
        </is>
      </c>
      <c r="E80" s="465" t="inlineStr">
        <is>
          <t>bronze</t>
        </is>
      </c>
      <c r="F80" s="465" t="inlineStr">
        <is>
          <t>bronze</t>
        </is>
      </c>
      <c r="G80" s="465" t="inlineStr">
        <is>
          <t>2</t>
        </is>
      </c>
      <c r="H80" s="465" t="inlineStr">
        <is>
          <t>1</t>
        </is>
      </c>
      <c r="I80" s="465" t="inlineStr">
        <is>
          <t>10</t>
        </is>
      </c>
      <c r="J80" s="465" t="inlineStr">
        <is>
          <t>0</t>
        </is>
      </c>
      <c r="K80" s="465" t="inlineStr">
        <is>
          <t>false</t>
        </is>
      </c>
      <c r="L80" s="465" t="inlineStr">
        <is>
          <t>0</t>
        </is>
      </c>
      <c r="M80" s="465" t="inlineStr">
        <is>
          <t>0</t>
        </is>
      </c>
      <c r="N80" s="465" t="inlineStr">
        <is>
          <t>skill_inkwake_doser</t>
        </is>
      </c>
      <c r="O80" s="465" t="inlineStr"/>
      <c r="P80" s="465" t="inlineStr"/>
      <c r="Q80" s="465" t="inlineStr"/>
      <c r="R80" s="465" t="inlineStr">
        <is>
          <t>formal</t>
        </is>
      </c>
    </row>
    <row r="81">
      <c r="A81" s="465" t="inlineStr">
        <is>
          <t>item_inkwake_doser</t>
        </is>
      </c>
      <c r="B81" s="465" t="inlineStr">
        <is>
          <t>墨航滴液器</t>
        </is>
      </c>
      <c r="C81" s="465" t="inlineStr">
        <is>
          <t>poison, relic, tool</t>
        </is>
      </c>
      <c r="D81" s="465" t="inlineStr">
        <is>
          <t>1</t>
        </is>
      </c>
      <c r="E81" s="465" t="inlineStr">
        <is>
          <t>bronze</t>
        </is>
      </c>
      <c r="F81" s="465" t="inlineStr">
        <is>
          <t>silver</t>
        </is>
      </c>
      <c r="G81" s="465" t="inlineStr">
        <is>
          <t>4</t>
        </is>
      </c>
      <c r="H81" s="465" t="inlineStr">
        <is>
          <t>2</t>
        </is>
      </c>
      <c r="I81" s="465" t="inlineStr">
        <is>
          <t>9</t>
        </is>
      </c>
      <c r="J81" s="465" t="inlineStr">
        <is>
          <t>0</t>
        </is>
      </c>
      <c r="K81" s="465" t="inlineStr">
        <is>
          <t>false</t>
        </is>
      </c>
      <c r="L81" s="465" t="inlineStr">
        <is>
          <t>0</t>
        </is>
      </c>
      <c r="M81" s="465" t="inlineStr">
        <is>
          <t>0</t>
        </is>
      </c>
      <c r="N81" s="465" t="inlineStr">
        <is>
          <t>skill_inkwake_doser</t>
        </is>
      </c>
      <c r="O81" s="465" t="inlineStr"/>
      <c r="P81" s="465" t="inlineStr"/>
      <c r="Q81" s="465" t="inlineStr"/>
      <c r="R81" s="465" t="inlineStr">
        <is>
          <t>formal</t>
        </is>
      </c>
    </row>
    <row r="82">
      <c r="A82" s="465" t="inlineStr">
        <is>
          <t>item_inkwake_doser</t>
        </is>
      </c>
      <c r="B82" s="465" t="inlineStr">
        <is>
          <t>墨航滴液器</t>
        </is>
      </c>
      <c r="C82" s="465" t="inlineStr">
        <is>
          <t>poison, relic, tool</t>
        </is>
      </c>
      <c r="D82" s="465" t="inlineStr">
        <is>
          <t>1</t>
        </is>
      </c>
      <c r="E82" s="465" t="inlineStr">
        <is>
          <t>bronze</t>
        </is>
      </c>
      <c r="F82" s="465" t="inlineStr">
        <is>
          <t>gold</t>
        </is>
      </c>
      <c r="G82" s="465" t="inlineStr">
        <is>
          <t>7</t>
        </is>
      </c>
      <c r="H82" s="465" t="inlineStr">
        <is>
          <t>3</t>
        </is>
      </c>
      <c r="I82" s="465" t="inlineStr">
        <is>
          <t>8</t>
        </is>
      </c>
      <c r="J82" s="465" t="inlineStr">
        <is>
          <t>0</t>
        </is>
      </c>
      <c r="K82" s="465" t="inlineStr">
        <is>
          <t>false</t>
        </is>
      </c>
      <c r="L82" s="465" t="inlineStr">
        <is>
          <t>0</t>
        </is>
      </c>
      <c r="M82" s="465" t="inlineStr">
        <is>
          <t>0</t>
        </is>
      </c>
      <c r="N82" s="465" t="inlineStr">
        <is>
          <t>skill_inkwake_doser</t>
        </is>
      </c>
      <c r="O82" s="465" t="inlineStr"/>
      <c r="P82" s="465" t="inlineStr"/>
      <c r="Q82" s="465" t="inlineStr"/>
      <c r="R82" s="465" t="inlineStr">
        <is>
          <t>formal</t>
        </is>
      </c>
    </row>
    <row r="83">
      <c r="A83" s="465" t="inlineStr">
        <is>
          <t>item_inkwake_doser</t>
        </is>
      </c>
      <c r="B83" s="465" t="inlineStr">
        <is>
          <t>墨航滴液器</t>
        </is>
      </c>
      <c r="C83" s="465" t="inlineStr">
        <is>
          <t>poison, relic, tool</t>
        </is>
      </c>
      <c r="D83" s="465" t="inlineStr">
        <is>
          <t>1</t>
        </is>
      </c>
      <c r="E83" s="465" t="inlineStr">
        <is>
          <t>bronze</t>
        </is>
      </c>
      <c r="F83" s="465" t="inlineStr">
        <is>
          <t>diamond</t>
        </is>
      </c>
      <c r="G83" s="465" t="inlineStr">
        <is>
          <t>11</t>
        </is>
      </c>
      <c r="H83" s="465" t="inlineStr">
        <is>
          <t>5</t>
        </is>
      </c>
      <c r="I83" s="465" t="inlineStr">
        <is>
          <t>7</t>
        </is>
      </c>
      <c r="J83" s="465" t="inlineStr">
        <is>
          <t>0</t>
        </is>
      </c>
      <c r="K83" s="465" t="inlineStr">
        <is>
          <t>false</t>
        </is>
      </c>
      <c r="L83" s="465" t="inlineStr">
        <is>
          <t>0</t>
        </is>
      </c>
      <c r="M83" s="465" t="inlineStr">
        <is>
          <t>0</t>
        </is>
      </c>
      <c r="N83" s="465" t="inlineStr">
        <is>
          <t>skill_inkwake_doser</t>
        </is>
      </c>
      <c r="O83" s="465" t="inlineStr"/>
      <c r="P83" s="465" t="inlineStr"/>
      <c r="Q83" s="465" t="inlineStr"/>
      <c r="R83" s="465" t="inlineStr">
        <is>
          <t>formal</t>
        </is>
      </c>
    </row>
  </sheetData>
  <autoFilter ref="A1:Q71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F4E78"/>
    <outlinePr summaryBelow="1" summaryRight="1"/>
    <pageSetUpPr/>
  </sheetPr>
  <dimension ref="A1:T1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style="439" min="1" max="1"/>
    <col width="23" customWidth="1" style="439" min="2" max="2"/>
    <col width="9" customWidth="1" style="439" min="3" max="3"/>
    <col width="24" customWidth="1" style="439" min="4" max="4"/>
    <col width="10" customWidth="1" style="439" min="5" max="5"/>
    <col width="28" customWidth="1" style="439" min="6" max="6"/>
    <col width="25" customWidth="1" style="439" min="7" max="7"/>
    <col width="16" customWidth="1" style="439" min="8" max="8"/>
    <col width="18" customWidth="1" style="439" min="9" max="9"/>
    <col width="16" customWidth="1" style="439" min="10" max="10"/>
    <col width="16" customWidth="1" style="439" min="11" max="11"/>
    <col width="20" customWidth="1" style="439" min="12" max="12"/>
    <col width="14" customWidth="1" style="439" min="13" max="13"/>
    <col width="16" customWidth="1" style="439" min="14" max="14"/>
    <col width="13" customWidth="1" style="439" min="15" max="15"/>
    <col width="13" customWidth="1" style="439" min="16" max="16"/>
  </cols>
  <sheetData>
    <row r="1" ht="24" customHeight="1" s="439">
      <c r="A1" s="464" t="inlineStr">
        <is>
          <t>effect_id</t>
        </is>
      </c>
      <c r="B1" s="464" t="inlineStr">
        <is>
          <t>item_id</t>
        </is>
      </c>
      <c r="C1" s="464" t="inlineStr">
        <is>
          <t>quality</t>
        </is>
      </c>
      <c r="D1" s="464" t="inlineStr">
        <is>
          <t>item_skill_id</t>
        </is>
      </c>
      <c r="E1" s="464" t="inlineStr">
        <is>
          <t>priority</t>
        </is>
      </c>
      <c r="F1" s="464" t="inlineStr">
        <is>
          <t>trigger_event</t>
        </is>
      </c>
      <c r="G1" s="464" t="inlineStr">
        <is>
          <t>condition_type</t>
        </is>
      </c>
      <c r="H1" s="464" t="inlineStr">
        <is>
          <t>condition_tags</t>
        </is>
      </c>
      <c r="I1" s="464" t="inlineStr">
        <is>
          <t>condition_source_relation</t>
        </is>
      </c>
      <c r="J1" s="464" t="inlineStr">
        <is>
          <t>target_type</t>
        </is>
      </c>
      <c r="K1" s="464" t="inlineStr">
        <is>
          <t>target_tags</t>
        </is>
      </c>
      <c r="L1" s="464" t="inlineStr">
        <is>
          <t>target_exclude_self</t>
        </is>
      </c>
      <c r="M1" s="464" t="inlineStr">
        <is>
          <t>target_count</t>
        </is>
      </c>
      <c r="N1" s="464" t="inlineStr">
        <is>
          <t>operation_type</t>
        </is>
      </c>
      <c r="O1" s="464" t="inlineStr">
        <is>
          <t>amount</t>
        </is>
      </c>
      <c r="P1" s="464" t="inlineStr">
        <is>
          <t>stacks</t>
        </is>
      </c>
      <c r="Q1" s="464" t="inlineStr">
        <is>
          <t>can_crit</t>
        </is>
      </c>
      <c r="R1" s="464" t="inlineStr">
        <is>
          <t>status</t>
        </is>
      </c>
      <c r="S1" s="464" t="inlineStr">
        <is>
          <t>ticks</t>
        </is>
      </c>
      <c r="T1" s="464" t="inlineStr">
        <is>
          <t>catalog_status</t>
        </is>
      </c>
    </row>
    <row r="2">
      <c r="A2" s="465" t="inlineStr">
        <is>
          <t>effect_brine_cannon_bronze_hit</t>
        </is>
      </c>
      <c r="B2" s="465" t="inlineStr">
        <is>
          <t>item_brine_cannon</t>
        </is>
      </c>
      <c r="C2" s="465" t="inlineStr">
        <is>
          <t>bronze</t>
        </is>
      </c>
      <c r="D2" s="465" t="inlineStr">
        <is>
          <t>skill_brine_cannon</t>
        </is>
      </c>
      <c r="E2" s="465" t="inlineStr">
        <is>
          <t>20</t>
        </is>
      </c>
      <c r="F2" s="465" t="inlineStr">
        <is>
          <t>item_ready</t>
        </is>
      </c>
      <c r="G2" s="465" t="inlineStr">
        <is>
          <t>always</t>
        </is>
      </c>
      <c r="H2" s="465" t="inlineStr"/>
      <c r="I2" s="465" t="inlineStr">
        <is>
          <t>any</t>
        </is>
      </c>
      <c r="J2" s="465" t="inlineStr">
        <is>
          <t>selected_enemy</t>
        </is>
      </c>
      <c r="K2" s="465" t="n"/>
      <c r="L2" s="465" t="n"/>
      <c r="M2" s="465" t="n"/>
      <c r="N2" s="465" t="inlineStr">
        <is>
          <t>deal_damage</t>
        </is>
      </c>
      <c r="O2" s="465" t="inlineStr">
        <is>
          <t>6</t>
        </is>
      </c>
      <c r="Q2" s="465" t="inlineStr">
        <is>
          <t>false</t>
        </is>
      </c>
      <c r="R2" s="465" t="inlineStr"/>
      <c r="S2" s="465" t="inlineStr"/>
      <c r="T2" s="465" t="inlineStr">
        <is>
          <t>formal</t>
        </is>
      </c>
    </row>
    <row r="3">
      <c r="A3" s="465" t="inlineStr">
        <is>
          <t>effect_brine_cannon_silver_hit</t>
        </is>
      </c>
      <c r="B3" s="465" t="inlineStr">
        <is>
          <t>item_brine_cannon</t>
        </is>
      </c>
      <c r="C3" s="465" t="inlineStr">
        <is>
          <t>silver</t>
        </is>
      </c>
      <c r="D3" s="465" t="inlineStr">
        <is>
          <t>skill_brine_cannon</t>
        </is>
      </c>
      <c r="E3" s="465" t="inlineStr">
        <is>
          <t>20</t>
        </is>
      </c>
      <c r="F3" s="465" t="inlineStr">
        <is>
          <t>item_ready</t>
        </is>
      </c>
      <c r="G3" s="465" t="inlineStr">
        <is>
          <t>always</t>
        </is>
      </c>
      <c r="H3" s="465" t="inlineStr"/>
      <c r="I3" s="465" t="inlineStr">
        <is>
          <t>any</t>
        </is>
      </c>
      <c r="J3" s="465" t="inlineStr">
        <is>
          <t>selected_enemy</t>
        </is>
      </c>
      <c r="K3" s="465" t="n"/>
      <c r="L3" s="465" t="n"/>
      <c r="M3" s="465" t="n"/>
      <c r="N3" s="465" t="inlineStr">
        <is>
          <t>deal_damage</t>
        </is>
      </c>
      <c r="O3" s="465" t="inlineStr">
        <is>
          <t>9</t>
        </is>
      </c>
      <c r="Q3" s="465" t="inlineStr">
        <is>
          <t>false</t>
        </is>
      </c>
      <c r="R3" s="465" t="inlineStr"/>
      <c r="S3" s="465" t="inlineStr"/>
      <c r="T3" s="465" t="inlineStr">
        <is>
          <t>formal</t>
        </is>
      </c>
    </row>
    <row r="4">
      <c r="A4" s="465" t="inlineStr">
        <is>
          <t>effect_brine_cannon_gold_hit</t>
        </is>
      </c>
      <c r="B4" s="465" t="inlineStr">
        <is>
          <t>item_brine_cannon</t>
        </is>
      </c>
      <c r="C4" s="465" t="inlineStr">
        <is>
          <t>gold</t>
        </is>
      </c>
      <c r="D4" s="465" t="inlineStr">
        <is>
          <t>skill_brine_cannon</t>
        </is>
      </c>
      <c r="E4" s="465" t="inlineStr">
        <is>
          <t>20</t>
        </is>
      </c>
      <c r="F4" s="465" t="inlineStr">
        <is>
          <t>item_ready</t>
        </is>
      </c>
      <c r="G4" s="465" t="inlineStr">
        <is>
          <t>always</t>
        </is>
      </c>
      <c r="H4" s="465" t="inlineStr"/>
      <c r="I4" s="465" t="inlineStr">
        <is>
          <t>any</t>
        </is>
      </c>
      <c r="J4" s="465" t="inlineStr">
        <is>
          <t>selected_enemy</t>
        </is>
      </c>
      <c r="K4" s="465" t="n"/>
      <c r="L4" s="465" t="n"/>
      <c r="M4" s="465" t="n"/>
      <c r="N4" s="465" t="inlineStr">
        <is>
          <t>deal_damage</t>
        </is>
      </c>
      <c r="O4" s="465" t="inlineStr">
        <is>
          <t>13</t>
        </is>
      </c>
      <c r="Q4" s="465" t="inlineStr">
        <is>
          <t>false</t>
        </is>
      </c>
      <c r="R4" s="465" t="inlineStr"/>
      <c r="S4" s="465" t="inlineStr"/>
      <c r="T4" s="465" t="inlineStr">
        <is>
          <t>formal</t>
        </is>
      </c>
    </row>
    <row r="5">
      <c r="A5" s="465" t="inlineStr">
        <is>
          <t>effect_brine_cannon_diamond_hit</t>
        </is>
      </c>
      <c r="B5" s="465" t="inlineStr">
        <is>
          <t>item_brine_cannon</t>
        </is>
      </c>
      <c r="C5" s="465" t="inlineStr">
        <is>
          <t>diamond</t>
        </is>
      </c>
      <c r="D5" s="465" t="inlineStr">
        <is>
          <t>skill_brine_cannon</t>
        </is>
      </c>
      <c r="E5" s="465" t="inlineStr">
        <is>
          <t>20</t>
        </is>
      </c>
      <c r="F5" s="465" t="inlineStr">
        <is>
          <t>item_ready</t>
        </is>
      </c>
      <c r="G5" s="465" t="inlineStr">
        <is>
          <t>always</t>
        </is>
      </c>
      <c r="H5" s="465" t="inlineStr"/>
      <c r="I5" s="465" t="inlineStr">
        <is>
          <t>any</t>
        </is>
      </c>
      <c r="J5" s="465" t="inlineStr">
        <is>
          <t>selected_enemy</t>
        </is>
      </c>
      <c r="K5" s="465" t="n"/>
      <c r="L5" s="465" t="n"/>
      <c r="M5" s="465" t="n"/>
      <c r="N5" s="465" t="inlineStr">
        <is>
          <t>deal_damage</t>
        </is>
      </c>
      <c r="O5" s="465" t="inlineStr">
        <is>
          <t>18</t>
        </is>
      </c>
      <c r="Q5" s="465" t="inlineStr">
        <is>
          <t>false</t>
        </is>
      </c>
      <c r="R5" s="465" t="inlineStr"/>
      <c r="S5" s="465" t="inlineStr"/>
      <c r="T5" s="465" t="inlineStr">
        <is>
          <t>formal</t>
        </is>
      </c>
    </row>
    <row r="6">
      <c r="A6" s="465" t="inlineStr">
        <is>
          <t>effect_patchwork_ram_bronze_hit</t>
        </is>
      </c>
      <c r="B6" s="465" t="inlineStr">
        <is>
          <t>item_patchwork_ram</t>
        </is>
      </c>
      <c r="C6" s="465" t="inlineStr">
        <is>
          <t>bronze</t>
        </is>
      </c>
      <c r="D6" s="465" t="inlineStr">
        <is>
          <t>skill_patchwork_ram</t>
        </is>
      </c>
      <c r="E6" s="465" t="inlineStr">
        <is>
          <t>30</t>
        </is>
      </c>
      <c r="F6" s="465" t="inlineStr">
        <is>
          <t>item_ready</t>
        </is>
      </c>
      <c r="G6" s="465" t="inlineStr">
        <is>
          <t>always</t>
        </is>
      </c>
      <c r="H6" s="465" t="inlineStr"/>
      <c r="I6" s="465" t="inlineStr">
        <is>
          <t>any</t>
        </is>
      </c>
      <c r="J6" s="465" t="inlineStr">
        <is>
          <t>selected_enemy</t>
        </is>
      </c>
      <c r="K6" s="465" t="n"/>
      <c r="L6" s="465" t="n"/>
      <c r="M6" s="465" t="n"/>
      <c r="N6" s="465" t="inlineStr">
        <is>
          <t>deal_damage</t>
        </is>
      </c>
      <c r="O6" s="465" t="inlineStr">
        <is>
          <t>3</t>
        </is>
      </c>
      <c r="Q6" s="465" t="inlineStr">
        <is>
          <t>false</t>
        </is>
      </c>
      <c r="R6" s="465" t="inlineStr"/>
      <c r="S6" s="465" t="inlineStr"/>
      <c r="T6" s="465" t="inlineStr">
        <is>
          <t>formal</t>
        </is>
      </c>
    </row>
    <row r="7">
      <c r="A7" s="465" t="inlineStr">
        <is>
          <t>effect_patchwork_ram_bronze_charge</t>
        </is>
      </c>
      <c r="B7" s="465" t="inlineStr">
        <is>
          <t>item_patchwork_ram</t>
        </is>
      </c>
      <c r="C7" s="465" t="inlineStr">
        <is>
          <t>bronze</t>
        </is>
      </c>
      <c r="D7" s="465" t="inlineStr">
        <is>
          <t>skill_patchwork_ram</t>
        </is>
      </c>
      <c r="E7" s="465" t="inlineStr">
        <is>
          <t>31</t>
        </is>
      </c>
      <c r="F7" s="465" t="inlineStr">
        <is>
          <t>item_ready</t>
        </is>
      </c>
      <c r="G7" s="465" t="inlineStr">
        <is>
          <t>always</t>
        </is>
      </c>
      <c r="H7" s="465" t="inlineStr"/>
      <c r="I7" s="465" t="inlineStr">
        <is>
          <t>any</t>
        </is>
      </c>
      <c r="J7" s="465" t="inlineStr">
        <is>
          <t>self_item</t>
        </is>
      </c>
      <c r="K7" s="465" t="n"/>
      <c r="L7" s="465" t="n"/>
      <c r="M7" s="465" t="n"/>
      <c r="N7" s="465" t="inlineStr">
        <is>
          <t>charge</t>
        </is>
      </c>
      <c r="O7" s="465" t="inlineStr"/>
      <c r="Q7" s="465" t="inlineStr"/>
      <c r="R7" s="465" t="inlineStr"/>
      <c r="S7" s="465" t="inlineStr">
        <is>
          <t>1</t>
        </is>
      </c>
      <c r="T7" s="465" t="inlineStr">
        <is>
          <t>formal</t>
        </is>
      </c>
    </row>
    <row r="8">
      <c r="A8" s="465" t="inlineStr">
        <is>
          <t>effect_patchwork_ram_silver_hit</t>
        </is>
      </c>
      <c r="B8" s="465" t="inlineStr">
        <is>
          <t>item_patchwork_ram</t>
        </is>
      </c>
      <c r="C8" s="465" t="inlineStr">
        <is>
          <t>silver</t>
        </is>
      </c>
      <c r="D8" s="465" t="inlineStr">
        <is>
          <t>skill_patchwork_ram</t>
        </is>
      </c>
      <c r="E8" s="465" t="inlineStr">
        <is>
          <t>30</t>
        </is>
      </c>
      <c r="F8" s="465" t="inlineStr">
        <is>
          <t>item_ready</t>
        </is>
      </c>
      <c r="G8" s="465" t="inlineStr">
        <is>
          <t>always</t>
        </is>
      </c>
      <c r="H8" s="465" t="inlineStr"/>
      <c r="I8" s="465" t="inlineStr">
        <is>
          <t>any</t>
        </is>
      </c>
      <c r="J8" s="465" t="inlineStr">
        <is>
          <t>selected_enemy</t>
        </is>
      </c>
      <c r="K8" s="465" t="n"/>
      <c r="L8" s="465" t="n"/>
      <c r="M8" s="465" t="n"/>
      <c r="N8" s="465" t="inlineStr">
        <is>
          <t>deal_damage</t>
        </is>
      </c>
      <c r="O8" s="465" t="inlineStr">
        <is>
          <t>5</t>
        </is>
      </c>
      <c r="Q8" s="465" t="inlineStr">
        <is>
          <t>false</t>
        </is>
      </c>
      <c r="R8" s="465" t="inlineStr"/>
      <c r="S8" s="465" t="inlineStr"/>
      <c r="T8" s="465" t="inlineStr">
        <is>
          <t>formal</t>
        </is>
      </c>
    </row>
    <row r="9">
      <c r="A9" s="465" t="inlineStr">
        <is>
          <t>effect_patchwork_ram_silver_charge</t>
        </is>
      </c>
      <c r="B9" s="465" t="inlineStr">
        <is>
          <t>item_patchwork_ram</t>
        </is>
      </c>
      <c r="C9" s="465" t="inlineStr">
        <is>
          <t>silver</t>
        </is>
      </c>
      <c r="D9" s="465" t="inlineStr">
        <is>
          <t>skill_patchwork_ram</t>
        </is>
      </c>
      <c r="E9" s="465" t="inlineStr">
        <is>
          <t>31</t>
        </is>
      </c>
      <c r="F9" s="465" t="inlineStr">
        <is>
          <t>item_ready</t>
        </is>
      </c>
      <c r="G9" s="465" t="inlineStr">
        <is>
          <t>always</t>
        </is>
      </c>
      <c r="H9" s="465" t="inlineStr"/>
      <c r="I9" s="465" t="inlineStr">
        <is>
          <t>any</t>
        </is>
      </c>
      <c r="J9" s="465" t="inlineStr">
        <is>
          <t>self_item</t>
        </is>
      </c>
      <c r="K9" s="465" t="n"/>
      <c r="L9" s="465" t="n"/>
      <c r="M9" s="465" t="n"/>
      <c r="N9" s="465" t="inlineStr">
        <is>
          <t>charge</t>
        </is>
      </c>
      <c r="O9" s="465" t="inlineStr"/>
      <c r="Q9" s="465" t="inlineStr"/>
      <c r="R9" s="465" t="inlineStr"/>
      <c r="S9" s="465" t="inlineStr">
        <is>
          <t>1</t>
        </is>
      </c>
      <c r="T9" s="465" t="inlineStr">
        <is>
          <t>formal</t>
        </is>
      </c>
    </row>
    <row r="10">
      <c r="A10" s="465" t="inlineStr">
        <is>
          <t>effect_patchwork_ram_gold_hit</t>
        </is>
      </c>
      <c r="B10" s="465" t="inlineStr">
        <is>
          <t>item_patchwork_ram</t>
        </is>
      </c>
      <c r="C10" s="465" t="inlineStr">
        <is>
          <t>gold</t>
        </is>
      </c>
      <c r="D10" s="465" t="inlineStr">
        <is>
          <t>skill_patchwork_ram</t>
        </is>
      </c>
      <c r="E10" s="465" t="inlineStr">
        <is>
          <t>30</t>
        </is>
      </c>
      <c r="F10" s="465" t="inlineStr">
        <is>
          <t>item_ready</t>
        </is>
      </c>
      <c r="G10" s="465" t="inlineStr">
        <is>
          <t>always</t>
        </is>
      </c>
      <c r="H10" s="465" t="inlineStr"/>
      <c r="I10" s="465" t="inlineStr">
        <is>
          <t>any</t>
        </is>
      </c>
      <c r="J10" s="465" t="inlineStr">
        <is>
          <t>selected_enemy</t>
        </is>
      </c>
      <c r="K10" s="465" t="n"/>
      <c r="L10" s="465" t="n"/>
      <c r="M10" s="465" t="n"/>
      <c r="N10" s="465" t="inlineStr">
        <is>
          <t>deal_damage</t>
        </is>
      </c>
      <c r="O10" s="465" t="inlineStr">
        <is>
          <t>8</t>
        </is>
      </c>
      <c r="Q10" s="465" t="inlineStr">
        <is>
          <t>false</t>
        </is>
      </c>
      <c r="R10" s="465" t="inlineStr"/>
      <c r="S10" s="465" t="inlineStr"/>
      <c r="T10" s="465" t="inlineStr">
        <is>
          <t>formal</t>
        </is>
      </c>
    </row>
    <row r="11">
      <c r="A11" s="465" t="inlineStr">
        <is>
          <t>effect_patchwork_ram_gold_charge</t>
        </is>
      </c>
      <c r="B11" s="465" t="inlineStr">
        <is>
          <t>item_patchwork_ram</t>
        </is>
      </c>
      <c r="C11" s="465" t="inlineStr">
        <is>
          <t>gold</t>
        </is>
      </c>
      <c r="D11" s="465" t="inlineStr">
        <is>
          <t>skill_patchwork_ram</t>
        </is>
      </c>
      <c r="E11" s="465" t="inlineStr">
        <is>
          <t>31</t>
        </is>
      </c>
      <c r="F11" s="465" t="inlineStr">
        <is>
          <t>item_ready</t>
        </is>
      </c>
      <c r="G11" s="465" t="inlineStr">
        <is>
          <t>always</t>
        </is>
      </c>
      <c r="H11" s="465" t="inlineStr"/>
      <c r="I11" s="465" t="inlineStr">
        <is>
          <t>any</t>
        </is>
      </c>
      <c r="J11" s="465" t="inlineStr">
        <is>
          <t>self_item</t>
        </is>
      </c>
      <c r="K11" s="465" t="n"/>
      <c r="L11" s="465" t="n"/>
      <c r="M11" s="465" t="n"/>
      <c r="N11" s="465" t="inlineStr">
        <is>
          <t>charge</t>
        </is>
      </c>
      <c r="O11" s="465" t="inlineStr"/>
      <c r="Q11" s="465" t="inlineStr"/>
      <c r="R11" s="465" t="inlineStr"/>
      <c r="S11" s="465" t="inlineStr">
        <is>
          <t>1</t>
        </is>
      </c>
      <c r="T11" s="465" t="inlineStr">
        <is>
          <t>formal</t>
        </is>
      </c>
    </row>
    <row r="12">
      <c r="A12" s="465" t="inlineStr">
        <is>
          <t>effect_patchwork_ram_diamond_hit</t>
        </is>
      </c>
      <c r="B12" s="465" t="inlineStr">
        <is>
          <t>item_patchwork_ram</t>
        </is>
      </c>
      <c r="C12" s="465" t="inlineStr">
        <is>
          <t>diamond</t>
        </is>
      </c>
      <c r="D12" s="465" t="inlineStr">
        <is>
          <t>skill_patchwork_ram</t>
        </is>
      </c>
      <c r="E12" s="465" t="inlineStr">
        <is>
          <t>30</t>
        </is>
      </c>
      <c r="F12" s="465" t="inlineStr">
        <is>
          <t>item_ready</t>
        </is>
      </c>
      <c r="G12" s="465" t="inlineStr">
        <is>
          <t>always</t>
        </is>
      </c>
      <c r="H12" s="465" t="inlineStr"/>
      <c r="I12" s="465" t="inlineStr">
        <is>
          <t>any</t>
        </is>
      </c>
      <c r="J12" s="465" t="inlineStr">
        <is>
          <t>selected_enemy</t>
        </is>
      </c>
      <c r="K12" s="465" t="n"/>
      <c r="L12" s="465" t="n"/>
      <c r="M12" s="465" t="n"/>
      <c r="N12" s="465" t="inlineStr">
        <is>
          <t>deal_damage</t>
        </is>
      </c>
      <c r="O12" s="465" t="inlineStr">
        <is>
          <t>12</t>
        </is>
      </c>
      <c r="Q12" s="465" t="inlineStr">
        <is>
          <t>false</t>
        </is>
      </c>
      <c r="R12" s="465" t="inlineStr"/>
      <c r="S12" s="465" t="inlineStr"/>
      <c r="T12" s="465" t="inlineStr">
        <is>
          <t>formal</t>
        </is>
      </c>
    </row>
    <row r="13">
      <c r="A13" s="465" t="inlineStr">
        <is>
          <t>effect_patchwork_ram_diamond_charge</t>
        </is>
      </c>
      <c r="B13" s="465" t="inlineStr">
        <is>
          <t>item_patchwork_ram</t>
        </is>
      </c>
      <c r="C13" s="465" t="inlineStr">
        <is>
          <t>diamond</t>
        </is>
      </c>
      <c r="D13" s="465" t="inlineStr">
        <is>
          <t>skill_patchwork_ram</t>
        </is>
      </c>
      <c r="E13" s="465" t="inlineStr">
        <is>
          <t>31</t>
        </is>
      </c>
      <c r="F13" s="465" t="inlineStr">
        <is>
          <t>item_ready</t>
        </is>
      </c>
      <c r="G13" s="465" t="inlineStr">
        <is>
          <t>always</t>
        </is>
      </c>
      <c r="H13" s="465" t="inlineStr"/>
      <c r="I13" s="465" t="inlineStr">
        <is>
          <t>any</t>
        </is>
      </c>
      <c r="J13" s="465" t="inlineStr">
        <is>
          <t>self_item</t>
        </is>
      </c>
      <c r="K13" s="465" t="n"/>
      <c r="L13" s="465" t="n"/>
      <c r="M13" s="465" t="n"/>
      <c r="N13" s="465" t="inlineStr">
        <is>
          <t>charge</t>
        </is>
      </c>
      <c r="O13" s="465" t="inlineStr"/>
      <c r="Q13" s="465" t="inlineStr"/>
      <c r="R13" s="465" t="inlineStr"/>
      <c r="S13" s="465" t="inlineStr">
        <is>
          <t>1</t>
        </is>
      </c>
      <c r="T13" s="465" t="inlineStr">
        <is>
          <t>formal</t>
        </is>
      </c>
    </row>
    <row r="14">
      <c r="A14" s="465" t="inlineStr">
        <is>
          <t>effect_signal_flare_silver_hit</t>
        </is>
      </c>
      <c r="B14" s="465" t="inlineStr">
        <is>
          <t>item_signal_flare</t>
        </is>
      </c>
      <c r="C14" s="465" t="inlineStr">
        <is>
          <t>silver</t>
        </is>
      </c>
      <c r="D14" s="465" t="inlineStr">
        <is>
          <t>skill_signal_flare</t>
        </is>
      </c>
      <c r="E14" s="465" t="inlineStr">
        <is>
          <t>10</t>
        </is>
      </c>
      <c r="F14" s="465" t="inlineStr">
        <is>
          <t>item_ready</t>
        </is>
      </c>
      <c r="G14" s="465" t="inlineStr">
        <is>
          <t>always</t>
        </is>
      </c>
      <c r="H14" s="465" t="inlineStr"/>
      <c r="I14" s="465" t="inlineStr">
        <is>
          <t>any</t>
        </is>
      </c>
      <c r="J14" s="465" t="inlineStr">
        <is>
          <t>selected_enemy</t>
        </is>
      </c>
      <c r="K14" s="465" t="n"/>
      <c r="L14" s="465" t="n"/>
      <c r="M14" s="465" t="n"/>
      <c r="N14" s="465" t="inlineStr">
        <is>
          <t>deal_damage</t>
        </is>
      </c>
      <c r="O14" s="465" t="inlineStr">
        <is>
          <t>5</t>
        </is>
      </c>
      <c r="Q14" s="465" t="inlineStr">
        <is>
          <t>false</t>
        </is>
      </c>
      <c r="R14" s="465" t="inlineStr"/>
      <c r="S14" s="465" t="inlineStr"/>
      <c r="T14" s="465" t="inlineStr">
        <is>
          <t>formal</t>
        </is>
      </c>
    </row>
    <row r="15">
      <c r="A15" s="465" t="inlineStr">
        <is>
          <t>effect_signal_flare_silver_haste</t>
        </is>
      </c>
      <c r="B15" s="465" t="inlineStr">
        <is>
          <t>item_signal_flare</t>
        </is>
      </c>
      <c r="C15" s="465" t="inlineStr">
        <is>
          <t>silver</t>
        </is>
      </c>
      <c r="D15" s="465" t="inlineStr">
        <is>
          <t>skill_signal_flare</t>
        </is>
      </c>
      <c r="E15" s="465" t="inlineStr">
        <is>
          <t>11</t>
        </is>
      </c>
      <c r="F15" s="465" t="inlineStr">
        <is>
          <t>item_ready</t>
        </is>
      </c>
      <c r="G15" s="465" t="inlineStr">
        <is>
          <t>always</t>
        </is>
      </c>
      <c r="H15" s="465" t="inlineStr"/>
      <c r="I15" s="465" t="inlineStr">
        <is>
          <t>any</t>
        </is>
      </c>
      <c r="J15" s="465" t="inlineStr">
        <is>
          <t>self_item</t>
        </is>
      </c>
      <c r="K15" s="465" t="n"/>
      <c r="L15" s="465" t="n"/>
      <c r="M15" s="465" t="n"/>
      <c r="N15" s="465" t="inlineStr">
        <is>
          <t>apply_status</t>
        </is>
      </c>
      <c r="O15" s="465" t="inlineStr"/>
      <c r="Q15" s="465" t="inlineStr"/>
      <c r="R15" s="465" t="inlineStr">
        <is>
          <t>haste</t>
        </is>
      </c>
      <c r="S15" s="465" t="inlineStr">
        <is>
          <t>2</t>
        </is>
      </c>
      <c r="T15" s="465" t="inlineStr">
        <is>
          <t>formal</t>
        </is>
      </c>
    </row>
    <row r="16">
      <c r="A16" s="465" t="inlineStr">
        <is>
          <t>effect_signal_flare_gold_hit</t>
        </is>
      </c>
      <c r="B16" s="465" t="inlineStr">
        <is>
          <t>item_signal_flare</t>
        </is>
      </c>
      <c r="C16" s="465" t="inlineStr">
        <is>
          <t>gold</t>
        </is>
      </c>
      <c r="D16" s="465" t="inlineStr">
        <is>
          <t>skill_signal_flare</t>
        </is>
      </c>
      <c r="E16" s="465" t="inlineStr">
        <is>
          <t>10</t>
        </is>
      </c>
      <c r="F16" s="465" t="inlineStr">
        <is>
          <t>item_ready</t>
        </is>
      </c>
      <c r="G16" s="465" t="inlineStr">
        <is>
          <t>always</t>
        </is>
      </c>
      <c r="H16" s="465" t="inlineStr"/>
      <c r="I16" s="465" t="inlineStr">
        <is>
          <t>any</t>
        </is>
      </c>
      <c r="J16" s="465" t="inlineStr">
        <is>
          <t>selected_enemy</t>
        </is>
      </c>
      <c r="K16" s="465" t="n"/>
      <c r="L16" s="465" t="n"/>
      <c r="M16" s="465" t="n"/>
      <c r="N16" s="465" t="inlineStr">
        <is>
          <t>deal_damage</t>
        </is>
      </c>
      <c r="O16" s="465" t="inlineStr">
        <is>
          <t>8</t>
        </is>
      </c>
      <c r="Q16" s="465" t="inlineStr">
        <is>
          <t>false</t>
        </is>
      </c>
      <c r="R16" s="465" t="inlineStr"/>
      <c r="S16" s="465" t="inlineStr"/>
      <c r="T16" s="465" t="inlineStr">
        <is>
          <t>formal</t>
        </is>
      </c>
    </row>
    <row r="17">
      <c r="A17" s="465" t="inlineStr">
        <is>
          <t>effect_signal_flare_gold_haste</t>
        </is>
      </c>
      <c r="B17" s="465" t="inlineStr">
        <is>
          <t>item_signal_flare</t>
        </is>
      </c>
      <c r="C17" s="465" t="inlineStr">
        <is>
          <t>gold</t>
        </is>
      </c>
      <c r="D17" s="465" t="inlineStr">
        <is>
          <t>skill_signal_flare</t>
        </is>
      </c>
      <c r="E17" s="465" t="inlineStr">
        <is>
          <t>11</t>
        </is>
      </c>
      <c r="F17" s="465" t="inlineStr">
        <is>
          <t>item_ready</t>
        </is>
      </c>
      <c r="G17" s="465" t="inlineStr">
        <is>
          <t>always</t>
        </is>
      </c>
      <c r="H17" s="465" t="inlineStr"/>
      <c r="I17" s="465" t="inlineStr">
        <is>
          <t>any</t>
        </is>
      </c>
      <c r="J17" s="465" t="inlineStr">
        <is>
          <t>self_item</t>
        </is>
      </c>
      <c r="K17" s="465" t="n"/>
      <c r="L17" s="465" t="n"/>
      <c r="M17" s="465" t="n"/>
      <c r="N17" s="465" t="inlineStr">
        <is>
          <t>apply_status</t>
        </is>
      </c>
      <c r="O17" s="465" t="inlineStr"/>
      <c r="Q17" s="465" t="inlineStr"/>
      <c r="R17" s="465" t="inlineStr">
        <is>
          <t>haste</t>
        </is>
      </c>
      <c r="S17" s="465" t="inlineStr">
        <is>
          <t>2</t>
        </is>
      </c>
      <c r="T17" s="465" t="inlineStr">
        <is>
          <t>formal</t>
        </is>
      </c>
    </row>
    <row r="18">
      <c r="A18" s="465" t="inlineStr">
        <is>
          <t>effect_signal_flare_diamond_hit</t>
        </is>
      </c>
      <c r="B18" s="465" t="inlineStr">
        <is>
          <t>item_signal_flare</t>
        </is>
      </c>
      <c r="C18" s="465" t="inlineStr">
        <is>
          <t>diamond</t>
        </is>
      </c>
      <c r="D18" s="465" t="inlineStr">
        <is>
          <t>skill_signal_flare</t>
        </is>
      </c>
      <c r="E18" s="465" t="inlineStr">
        <is>
          <t>10</t>
        </is>
      </c>
      <c r="F18" s="465" t="inlineStr">
        <is>
          <t>item_ready</t>
        </is>
      </c>
      <c r="G18" s="465" t="inlineStr">
        <is>
          <t>always</t>
        </is>
      </c>
      <c r="H18" s="465" t="inlineStr"/>
      <c r="I18" s="465" t="inlineStr">
        <is>
          <t>any</t>
        </is>
      </c>
      <c r="J18" s="465" t="inlineStr">
        <is>
          <t>selected_enemy</t>
        </is>
      </c>
      <c r="K18" s="465" t="n"/>
      <c r="L18" s="465" t="n"/>
      <c r="M18" s="465" t="n"/>
      <c r="N18" s="465" t="inlineStr">
        <is>
          <t>deal_damage</t>
        </is>
      </c>
      <c r="O18" s="465" t="inlineStr">
        <is>
          <t>12</t>
        </is>
      </c>
      <c r="Q18" s="465" t="inlineStr">
        <is>
          <t>false</t>
        </is>
      </c>
      <c r="R18" s="465" t="inlineStr"/>
      <c r="S18" s="465" t="inlineStr"/>
      <c r="T18" s="465" t="inlineStr">
        <is>
          <t>formal</t>
        </is>
      </c>
    </row>
    <row r="19">
      <c r="A19" s="465" t="inlineStr">
        <is>
          <t>effect_signal_flare_diamond_haste</t>
        </is>
      </c>
      <c r="B19" s="465" t="inlineStr">
        <is>
          <t>item_signal_flare</t>
        </is>
      </c>
      <c r="C19" s="465" t="inlineStr">
        <is>
          <t>diamond</t>
        </is>
      </c>
      <c r="D19" s="465" t="inlineStr">
        <is>
          <t>skill_signal_flare</t>
        </is>
      </c>
      <c r="E19" s="465" t="inlineStr">
        <is>
          <t>11</t>
        </is>
      </c>
      <c r="F19" s="465" t="inlineStr">
        <is>
          <t>item_ready</t>
        </is>
      </c>
      <c r="G19" s="465" t="inlineStr">
        <is>
          <t>always</t>
        </is>
      </c>
      <c r="H19" s="465" t="inlineStr"/>
      <c r="I19" s="465" t="inlineStr">
        <is>
          <t>any</t>
        </is>
      </c>
      <c r="J19" s="465" t="inlineStr">
        <is>
          <t>self_item</t>
        </is>
      </c>
      <c r="K19" s="465" t="n"/>
      <c r="L19" s="465" t="n"/>
      <c r="M19" s="465" t="n"/>
      <c r="N19" s="465" t="inlineStr">
        <is>
          <t>apply_status</t>
        </is>
      </c>
      <c r="O19" s="465" t="inlineStr"/>
      <c r="Q19" s="465" t="inlineStr"/>
      <c r="R19" s="465" t="inlineStr">
        <is>
          <t>haste</t>
        </is>
      </c>
      <c r="S19" s="465" t="inlineStr">
        <is>
          <t>2</t>
        </is>
      </c>
      <c r="T19" s="465" t="inlineStr">
        <is>
          <t>formal</t>
        </is>
      </c>
    </row>
    <row r="20">
      <c r="A20" s="465" t="inlineStr">
        <is>
          <t>effect_reef_hook_bronze_hit</t>
        </is>
      </c>
      <c r="B20" s="465" t="inlineStr">
        <is>
          <t>item_reef_hook</t>
        </is>
      </c>
      <c r="C20" s="465" t="inlineStr">
        <is>
          <t>bronze</t>
        </is>
      </c>
      <c r="D20" s="465" t="inlineStr">
        <is>
          <t>skill_reef_hook</t>
        </is>
      </c>
      <c r="E20" s="465" t="inlineStr">
        <is>
          <t>15</t>
        </is>
      </c>
      <c r="F20" s="465" t="inlineStr">
        <is>
          <t>item_ready</t>
        </is>
      </c>
      <c r="G20" s="465" t="inlineStr">
        <is>
          <t>always</t>
        </is>
      </c>
      <c r="H20" s="465" t="inlineStr"/>
      <c r="I20" s="465" t="inlineStr">
        <is>
          <t>any</t>
        </is>
      </c>
      <c r="J20" s="465" t="inlineStr">
        <is>
          <t>selected_enemy</t>
        </is>
      </c>
      <c r="K20" s="465" t="n"/>
      <c r="L20" s="465" t="n"/>
      <c r="M20" s="465" t="n"/>
      <c r="N20" s="465" t="inlineStr">
        <is>
          <t>deal_damage</t>
        </is>
      </c>
      <c r="O20" s="465" t="inlineStr">
        <is>
          <t>4</t>
        </is>
      </c>
      <c r="Q20" s="465" t="inlineStr">
        <is>
          <t>false</t>
        </is>
      </c>
      <c r="R20" s="465" t="inlineStr"/>
      <c r="S20" s="465" t="inlineStr"/>
      <c r="T20" s="465" t="inlineStr">
        <is>
          <t>formal</t>
        </is>
      </c>
    </row>
    <row r="21">
      <c r="A21" s="465" t="inlineStr">
        <is>
          <t>effect_reef_hook_bronze_slow</t>
        </is>
      </c>
      <c r="B21" s="465" t="inlineStr">
        <is>
          <t>item_reef_hook</t>
        </is>
      </c>
      <c r="C21" s="465" t="inlineStr">
        <is>
          <t>bronze</t>
        </is>
      </c>
      <c r="D21" s="465" t="inlineStr">
        <is>
          <t>skill_reef_hook</t>
        </is>
      </c>
      <c r="E21" s="465" t="inlineStr">
        <is>
          <t>16</t>
        </is>
      </c>
      <c r="F21" s="465" t="inlineStr">
        <is>
          <t>item_ready</t>
        </is>
      </c>
      <c r="G21" s="465" t="inlineStr">
        <is>
          <t>always</t>
        </is>
      </c>
      <c r="H21" s="465" t="inlineStr"/>
      <c r="I21" s="465" t="inlineStr">
        <is>
          <t>any</t>
        </is>
      </c>
      <c r="J21" s="465" t="inlineStr">
        <is>
          <t>first_enemy_item</t>
        </is>
      </c>
      <c r="K21" s="465" t="n"/>
      <c r="L21" s="465" t="n"/>
      <c r="M21" s="465" t="n"/>
      <c r="N21" s="465" t="inlineStr">
        <is>
          <t>apply_status</t>
        </is>
      </c>
      <c r="O21" s="465" t="inlineStr"/>
      <c r="Q21" s="465" t="inlineStr"/>
      <c r="R21" s="465" t="inlineStr">
        <is>
          <t>slow</t>
        </is>
      </c>
      <c r="S21" s="465" t="inlineStr">
        <is>
          <t>2</t>
        </is>
      </c>
      <c r="T21" s="465" t="inlineStr">
        <is>
          <t>formal</t>
        </is>
      </c>
    </row>
    <row r="22">
      <c r="A22" s="465" t="inlineStr">
        <is>
          <t>effect_reef_hook_silver_hit</t>
        </is>
      </c>
      <c r="B22" s="465" t="inlineStr">
        <is>
          <t>item_reef_hook</t>
        </is>
      </c>
      <c r="C22" s="465" t="inlineStr">
        <is>
          <t>silver</t>
        </is>
      </c>
      <c r="D22" s="465" t="inlineStr">
        <is>
          <t>skill_reef_hook</t>
        </is>
      </c>
      <c r="E22" s="465" t="inlineStr">
        <is>
          <t>15</t>
        </is>
      </c>
      <c r="F22" s="465" t="inlineStr">
        <is>
          <t>item_ready</t>
        </is>
      </c>
      <c r="G22" s="465" t="inlineStr">
        <is>
          <t>always</t>
        </is>
      </c>
      <c r="H22" s="465" t="inlineStr"/>
      <c r="I22" s="465" t="inlineStr">
        <is>
          <t>any</t>
        </is>
      </c>
      <c r="J22" s="465" t="inlineStr">
        <is>
          <t>selected_enemy</t>
        </is>
      </c>
      <c r="K22" s="465" t="n"/>
      <c r="L22" s="465" t="n"/>
      <c r="M22" s="465" t="n"/>
      <c r="N22" s="465" t="inlineStr">
        <is>
          <t>deal_damage</t>
        </is>
      </c>
      <c r="O22" s="465" t="inlineStr">
        <is>
          <t>6</t>
        </is>
      </c>
      <c r="Q22" s="465" t="inlineStr">
        <is>
          <t>false</t>
        </is>
      </c>
      <c r="R22" s="465" t="inlineStr"/>
      <c r="S22" s="465" t="inlineStr"/>
      <c r="T22" s="465" t="inlineStr">
        <is>
          <t>formal</t>
        </is>
      </c>
    </row>
    <row r="23">
      <c r="A23" s="465" t="inlineStr">
        <is>
          <t>effect_reef_hook_silver_slow</t>
        </is>
      </c>
      <c r="B23" s="465" t="inlineStr">
        <is>
          <t>item_reef_hook</t>
        </is>
      </c>
      <c r="C23" s="465" t="inlineStr">
        <is>
          <t>silver</t>
        </is>
      </c>
      <c r="D23" s="465" t="inlineStr">
        <is>
          <t>skill_reef_hook</t>
        </is>
      </c>
      <c r="E23" s="465" t="inlineStr">
        <is>
          <t>16</t>
        </is>
      </c>
      <c r="F23" s="465" t="inlineStr">
        <is>
          <t>item_ready</t>
        </is>
      </c>
      <c r="G23" s="465" t="inlineStr">
        <is>
          <t>always</t>
        </is>
      </c>
      <c r="H23" s="465" t="inlineStr"/>
      <c r="I23" s="465" t="inlineStr">
        <is>
          <t>any</t>
        </is>
      </c>
      <c r="J23" s="465" t="inlineStr">
        <is>
          <t>first_enemy_item</t>
        </is>
      </c>
      <c r="K23" s="465" t="n"/>
      <c r="L23" s="465" t="n"/>
      <c r="M23" s="465" t="n"/>
      <c r="N23" s="465" t="inlineStr">
        <is>
          <t>apply_status</t>
        </is>
      </c>
      <c r="O23" s="465" t="inlineStr"/>
      <c r="Q23" s="465" t="inlineStr"/>
      <c r="R23" s="465" t="inlineStr">
        <is>
          <t>slow</t>
        </is>
      </c>
      <c r="S23" s="465" t="inlineStr">
        <is>
          <t>2</t>
        </is>
      </c>
      <c r="T23" s="465" t="inlineStr">
        <is>
          <t>formal</t>
        </is>
      </c>
    </row>
    <row r="24">
      <c r="A24" s="465" t="inlineStr">
        <is>
          <t>effect_reef_hook_gold_hit</t>
        </is>
      </c>
      <c r="B24" s="465" t="inlineStr">
        <is>
          <t>item_reef_hook</t>
        </is>
      </c>
      <c r="C24" s="465" t="inlineStr">
        <is>
          <t>gold</t>
        </is>
      </c>
      <c r="D24" s="465" t="inlineStr">
        <is>
          <t>skill_reef_hook</t>
        </is>
      </c>
      <c r="E24" s="465" t="inlineStr">
        <is>
          <t>15</t>
        </is>
      </c>
      <c r="F24" s="465" t="inlineStr">
        <is>
          <t>item_ready</t>
        </is>
      </c>
      <c r="G24" s="465" t="inlineStr">
        <is>
          <t>always</t>
        </is>
      </c>
      <c r="H24" s="465" t="inlineStr"/>
      <c r="I24" s="465" t="inlineStr">
        <is>
          <t>any</t>
        </is>
      </c>
      <c r="J24" s="465" t="inlineStr">
        <is>
          <t>selected_enemy</t>
        </is>
      </c>
      <c r="K24" s="465" t="n"/>
      <c r="L24" s="465" t="n"/>
      <c r="M24" s="465" t="n"/>
      <c r="N24" s="465" t="inlineStr">
        <is>
          <t>deal_damage</t>
        </is>
      </c>
      <c r="O24" s="465" t="inlineStr">
        <is>
          <t>9</t>
        </is>
      </c>
      <c r="Q24" s="465" t="inlineStr">
        <is>
          <t>false</t>
        </is>
      </c>
      <c r="R24" s="465" t="inlineStr"/>
      <c r="S24" s="465" t="inlineStr"/>
      <c r="T24" s="465" t="inlineStr">
        <is>
          <t>formal</t>
        </is>
      </c>
    </row>
    <row r="25">
      <c r="A25" s="465" t="inlineStr">
        <is>
          <t>effect_reef_hook_gold_slow</t>
        </is>
      </c>
      <c r="B25" s="465" t="inlineStr">
        <is>
          <t>item_reef_hook</t>
        </is>
      </c>
      <c r="C25" s="465" t="inlineStr">
        <is>
          <t>gold</t>
        </is>
      </c>
      <c r="D25" s="465" t="inlineStr">
        <is>
          <t>skill_reef_hook</t>
        </is>
      </c>
      <c r="E25" s="465" t="inlineStr">
        <is>
          <t>16</t>
        </is>
      </c>
      <c r="F25" s="465" t="inlineStr">
        <is>
          <t>item_ready</t>
        </is>
      </c>
      <c r="G25" s="465" t="inlineStr">
        <is>
          <t>always</t>
        </is>
      </c>
      <c r="H25" s="465" t="inlineStr"/>
      <c r="I25" s="465" t="inlineStr">
        <is>
          <t>any</t>
        </is>
      </c>
      <c r="J25" s="465" t="inlineStr">
        <is>
          <t>first_enemy_item</t>
        </is>
      </c>
      <c r="K25" s="465" t="n"/>
      <c r="L25" s="465" t="n"/>
      <c r="M25" s="465" t="n"/>
      <c r="N25" s="465" t="inlineStr">
        <is>
          <t>apply_status</t>
        </is>
      </c>
      <c r="O25" s="465" t="inlineStr"/>
      <c r="Q25" s="465" t="inlineStr"/>
      <c r="R25" s="465" t="inlineStr">
        <is>
          <t>slow</t>
        </is>
      </c>
      <c r="S25" s="465" t="inlineStr">
        <is>
          <t>2</t>
        </is>
      </c>
      <c r="T25" s="465" t="inlineStr">
        <is>
          <t>formal</t>
        </is>
      </c>
    </row>
    <row r="26">
      <c r="A26" s="465" t="inlineStr">
        <is>
          <t>effect_reef_hook_diamond_hit</t>
        </is>
      </c>
      <c r="B26" s="465" t="inlineStr">
        <is>
          <t>item_reef_hook</t>
        </is>
      </c>
      <c r="C26" s="465" t="inlineStr">
        <is>
          <t>diamond</t>
        </is>
      </c>
      <c r="D26" s="465" t="inlineStr">
        <is>
          <t>skill_reef_hook</t>
        </is>
      </c>
      <c r="E26" s="465" t="inlineStr">
        <is>
          <t>15</t>
        </is>
      </c>
      <c r="F26" s="465" t="inlineStr">
        <is>
          <t>item_ready</t>
        </is>
      </c>
      <c r="G26" s="465" t="inlineStr">
        <is>
          <t>always</t>
        </is>
      </c>
      <c r="H26" s="465" t="inlineStr"/>
      <c r="I26" s="465" t="inlineStr">
        <is>
          <t>any</t>
        </is>
      </c>
      <c r="J26" s="465" t="inlineStr">
        <is>
          <t>selected_enemy</t>
        </is>
      </c>
      <c r="K26" s="465" t="n"/>
      <c r="L26" s="465" t="n"/>
      <c r="M26" s="465" t="n"/>
      <c r="N26" s="465" t="inlineStr">
        <is>
          <t>deal_damage</t>
        </is>
      </c>
      <c r="O26" s="465" t="inlineStr">
        <is>
          <t>13</t>
        </is>
      </c>
      <c r="Q26" s="465" t="inlineStr">
        <is>
          <t>false</t>
        </is>
      </c>
      <c r="R26" s="465" t="inlineStr"/>
      <c r="S26" s="465" t="inlineStr"/>
      <c r="T26" s="465" t="inlineStr">
        <is>
          <t>formal</t>
        </is>
      </c>
    </row>
    <row r="27">
      <c r="A27" s="465" t="inlineStr">
        <is>
          <t>effect_reef_hook_diamond_slow</t>
        </is>
      </c>
      <c r="B27" s="465" t="inlineStr">
        <is>
          <t>item_reef_hook</t>
        </is>
      </c>
      <c r="C27" s="465" t="inlineStr">
        <is>
          <t>diamond</t>
        </is>
      </c>
      <c r="D27" s="465" t="inlineStr">
        <is>
          <t>skill_reef_hook</t>
        </is>
      </c>
      <c r="E27" s="465" t="inlineStr">
        <is>
          <t>16</t>
        </is>
      </c>
      <c r="F27" s="465" t="inlineStr">
        <is>
          <t>item_ready</t>
        </is>
      </c>
      <c r="G27" s="465" t="inlineStr">
        <is>
          <t>always</t>
        </is>
      </c>
      <c r="H27" s="465" t="inlineStr"/>
      <c r="I27" s="465" t="inlineStr">
        <is>
          <t>any</t>
        </is>
      </c>
      <c r="J27" s="465" t="inlineStr">
        <is>
          <t>first_enemy_item</t>
        </is>
      </c>
      <c r="K27" s="465" t="n"/>
      <c r="L27" s="465" t="n"/>
      <c r="M27" s="465" t="n"/>
      <c r="N27" s="465" t="inlineStr">
        <is>
          <t>apply_status</t>
        </is>
      </c>
      <c r="O27" s="465" t="inlineStr"/>
      <c r="Q27" s="465" t="inlineStr"/>
      <c r="R27" s="465" t="inlineStr">
        <is>
          <t>slow</t>
        </is>
      </c>
      <c r="S27" s="465" t="inlineStr">
        <is>
          <t>2</t>
        </is>
      </c>
      <c r="T27" s="465" t="inlineStr">
        <is>
          <t>formal</t>
        </is>
      </c>
    </row>
    <row r="28">
      <c r="A28" s="465" t="inlineStr">
        <is>
          <t>effect_storm_compass_gold_hit</t>
        </is>
      </c>
      <c r="B28" s="465" t="inlineStr">
        <is>
          <t>item_storm_compass</t>
        </is>
      </c>
      <c r="C28" s="465" t="inlineStr">
        <is>
          <t>gold</t>
        </is>
      </c>
      <c r="D28" s="465" t="inlineStr">
        <is>
          <t>skill_storm_compass</t>
        </is>
      </c>
      <c r="E28" s="465" t="inlineStr">
        <is>
          <t>20</t>
        </is>
      </c>
      <c r="F28" s="465" t="inlineStr">
        <is>
          <t>item_ready</t>
        </is>
      </c>
      <c r="G28" s="465" t="inlineStr">
        <is>
          <t>always</t>
        </is>
      </c>
      <c r="H28" s="465" t="inlineStr"/>
      <c r="I28" s="465" t="inlineStr">
        <is>
          <t>any</t>
        </is>
      </c>
      <c r="J28" s="465" t="inlineStr">
        <is>
          <t>selected_enemy</t>
        </is>
      </c>
      <c r="K28" s="465" t="n"/>
      <c r="L28" s="465" t="n"/>
      <c r="M28" s="465" t="n"/>
      <c r="N28" s="465" t="inlineStr">
        <is>
          <t>deal_damage</t>
        </is>
      </c>
      <c r="O28" s="465" t="inlineStr">
        <is>
          <t>10</t>
        </is>
      </c>
      <c r="Q28" s="465" t="inlineStr">
        <is>
          <t>false</t>
        </is>
      </c>
      <c r="R28" s="465" t="inlineStr"/>
      <c r="S28" s="465" t="inlineStr"/>
      <c r="T28" s="465" t="inlineStr">
        <is>
          <t>formal</t>
        </is>
      </c>
    </row>
    <row r="29">
      <c r="A29" s="465" t="inlineStr">
        <is>
          <t>effect_storm_compass_gold_freeze</t>
        </is>
      </c>
      <c r="B29" s="465" t="inlineStr">
        <is>
          <t>item_storm_compass</t>
        </is>
      </c>
      <c r="C29" s="465" t="inlineStr">
        <is>
          <t>gold</t>
        </is>
      </c>
      <c r="D29" s="465" t="inlineStr">
        <is>
          <t>skill_storm_compass</t>
        </is>
      </c>
      <c r="E29" s="465" t="inlineStr">
        <is>
          <t>21</t>
        </is>
      </c>
      <c r="F29" s="465" t="inlineStr">
        <is>
          <t>item_ready</t>
        </is>
      </c>
      <c r="G29" s="465" t="inlineStr">
        <is>
          <t>always</t>
        </is>
      </c>
      <c r="H29" s="465" t="inlineStr"/>
      <c r="I29" s="465" t="inlineStr">
        <is>
          <t>any</t>
        </is>
      </c>
      <c r="J29" s="465" t="inlineStr">
        <is>
          <t>first_enemy_item</t>
        </is>
      </c>
      <c r="K29" s="465" t="n"/>
      <c r="L29" s="465" t="n"/>
      <c r="M29" s="465" t="n"/>
      <c r="N29" s="465" t="inlineStr">
        <is>
          <t>apply_status</t>
        </is>
      </c>
      <c r="O29" s="465" t="inlineStr"/>
      <c r="Q29" s="465" t="inlineStr"/>
      <c r="R29" s="465" t="inlineStr">
        <is>
          <t>freeze</t>
        </is>
      </c>
      <c r="S29" s="465" t="inlineStr">
        <is>
          <t>1</t>
        </is>
      </c>
      <c r="T29" s="465" t="inlineStr">
        <is>
          <t>formal</t>
        </is>
      </c>
    </row>
    <row r="30">
      <c r="A30" s="465" t="inlineStr">
        <is>
          <t>effect_storm_compass_diamond_hit</t>
        </is>
      </c>
      <c r="B30" s="465" t="inlineStr">
        <is>
          <t>item_storm_compass</t>
        </is>
      </c>
      <c r="C30" s="465" t="inlineStr">
        <is>
          <t>diamond</t>
        </is>
      </c>
      <c r="D30" s="465" t="inlineStr">
        <is>
          <t>skill_storm_compass</t>
        </is>
      </c>
      <c r="E30" s="465" t="inlineStr">
        <is>
          <t>20</t>
        </is>
      </c>
      <c r="F30" s="465" t="inlineStr">
        <is>
          <t>item_ready</t>
        </is>
      </c>
      <c r="G30" s="465" t="inlineStr">
        <is>
          <t>always</t>
        </is>
      </c>
      <c r="H30" s="465" t="inlineStr"/>
      <c r="I30" s="465" t="inlineStr">
        <is>
          <t>any</t>
        </is>
      </c>
      <c r="J30" s="465" t="inlineStr">
        <is>
          <t>selected_enemy</t>
        </is>
      </c>
      <c r="K30" s="465" t="n"/>
      <c r="L30" s="465" t="n"/>
      <c r="M30" s="465" t="n"/>
      <c r="N30" s="465" t="inlineStr">
        <is>
          <t>deal_damage</t>
        </is>
      </c>
      <c r="O30" s="465" t="inlineStr">
        <is>
          <t>15</t>
        </is>
      </c>
      <c r="Q30" s="465" t="inlineStr">
        <is>
          <t>false</t>
        </is>
      </c>
      <c r="R30" s="465" t="inlineStr"/>
      <c r="S30" s="465" t="inlineStr"/>
      <c r="T30" s="465" t="inlineStr">
        <is>
          <t>formal</t>
        </is>
      </c>
    </row>
    <row r="31">
      <c r="A31" s="465" t="inlineStr">
        <is>
          <t>effect_storm_compass_diamond_freeze</t>
        </is>
      </c>
      <c r="B31" s="465" t="inlineStr">
        <is>
          <t>item_storm_compass</t>
        </is>
      </c>
      <c r="C31" s="465" t="inlineStr">
        <is>
          <t>diamond</t>
        </is>
      </c>
      <c r="D31" s="465" t="inlineStr">
        <is>
          <t>skill_storm_compass</t>
        </is>
      </c>
      <c r="E31" s="465" t="inlineStr">
        <is>
          <t>21</t>
        </is>
      </c>
      <c r="F31" s="465" t="inlineStr">
        <is>
          <t>item_ready</t>
        </is>
      </c>
      <c r="G31" s="465" t="inlineStr">
        <is>
          <t>always</t>
        </is>
      </c>
      <c r="H31" s="465" t="inlineStr"/>
      <c r="I31" s="465" t="inlineStr">
        <is>
          <t>any</t>
        </is>
      </c>
      <c r="J31" s="465" t="inlineStr">
        <is>
          <t>first_enemy_item</t>
        </is>
      </c>
      <c r="K31" s="465" t="n"/>
      <c r="L31" s="465" t="n"/>
      <c r="M31" s="465" t="n"/>
      <c r="N31" s="465" t="inlineStr">
        <is>
          <t>apply_status</t>
        </is>
      </c>
      <c r="O31" s="465" t="inlineStr"/>
      <c r="Q31" s="465" t="inlineStr"/>
      <c r="R31" s="465" t="inlineStr">
        <is>
          <t>freeze</t>
        </is>
      </c>
      <c r="S31" s="465" t="inlineStr">
        <is>
          <t>1</t>
        </is>
      </c>
      <c r="T31" s="465" t="inlineStr">
        <is>
          <t>formal</t>
        </is>
      </c>
    </row>
    <row r="32">
      <c r="A32" s="465" t="inlineStr">
        <is>
          <t>effect_abyss_bell_diamond_hit</t>
        </is>
      </c>
      <c r="B32" s="465" t="inlineStr">
        <is>
          <t>item_abyss_bell</t>
        </is>
      </c>
      <c r="C32" s="465" t="inlineStr">
        <is>
          <t>diamond</t>
        </is>
      </c>
      <c r="D32" s="465" t="inlineStr">
        <is>
          <t>skill_abyss_bell</t>
        </is>
      </c>
      <c r="E32" s="465" t="inlineStr">
        <is>
          <t>5</t>
        </is>
      </c>
      <c r="F32" s="465" t="inlineStr">
        <is>
          <t>item_ready</t>
        </is>
      </c>
      <c r="G32" s="465" t="inlineStr">
        <is>
          <t>always</t>
        </is>
      </c>
      <c r="H32" s="465" t="inlineStr"/>
      <c r="I32" s="465" t="inlineStr">
        <is>
          <t>any</t>
        </is>
      </c>
      <c r="J32" s="465" t="inlineStr">
        <is>
          <t>selected_enemy</t>
        </is>
      </c>
      <c r="K32" s="465" t="n"/>
      <c r="L32" s="465" t="n"/>
      <c r="M32" s="465" t="n"/>
      <c r="N32" s="465" t="inlineStr">
        <is>
          <t>deal_damage</t>
        </is>
      </c>
      <c r="O32" s="465" t="inlineStr">
        <is>
          <t>20</t>
        </is>
      </c>
      <c r="Q32" s="465" t="inlineStr">
        <is>
          <t>false</t>
        </is>
      </c>
      <c r="R32" s="465" t="inlineStr"/>
      <c r="S32" s="465" t="inlineStr"/>
      <c r="T32" s="465" t="inlineStr">
        <is>
          <t>formal</t>
        </is>
      </c>
    </row>
    <row r="33">
      <c r="A33" s="465" t="inlineStr">
        <is>
          <t>effect_abyss_bell_diamond_reload</t>
        </is>
      </c>
      <c r="B33" s="465" t="inlineStr">
        <is>
          <t>item_abyss_bell</t>
        </is>
      </c>
      <c r="C33" s="465" t="inlineStr">
        <is>
          <t>diamond</t>
        </is>
      </c>
      <c r="D33" s="465" t="inlineStr">
        <is>
          <t>skill_abyss_bell</t>
        </is>
      </c>
      <c r="E33" s="465" t="inlineStr">
        <is>
          <t>6</t>
        </is>
      </c>
      <c r="F33" s="465" t="inlineStr">
        <is>
          <t>item_ready</t>
        </is>
      </c>
      <c r="G33" s="465" t="inlineStr">
        <is>
          <t>always</t>
        </is>
      </c>
      <c r="H33" s="465" t="inlineStr"/>
      <c r="I33" s="465" t="inlineStr">
        <is>
          <t>any</t>
        </is>
      </c>
      <c r="J33" s="465" t="inlineStr">
        <is>
          <t>self_item</t>
        </is>
      </c>
      <c r="K33" s="465" t="n"/>
      <c r="L33" s="465" t="n"/>
      <c r="M33" s="465" t="n"/>
      <c r="N33" s="465" t="inlineStr">
        <is>
          <t>reload</t>
        </is>
      </c>
      <c r="O33" s="465" t="inlineStr">
        <is>
          <t>1</t>
        </is>
      </c>
      <c r="Q33" s="465" t="inlineStr"/>
      <c r="R33" s="465" t="inlineStr"/>
      <c r="S33" s="465" t="inlineStr"/>
      <c r="T33" s="465" t="inlineStr">
        <is>
          <t>formal</t>
        </is>
      </c>
    </row>
    <row r="34">
      <c r="A34" s="465" t="inlineStr">
        <is>
          <t>effect_wake_echo_drum_bronze_ready</t>
        </is>
      </c>
      <c r="B34" s="465" t="inlineStr">
        <is>
          <t>item_wake_echo_drum</t>
        </is>
      </c>
      <c r="C34" s="465" t="inlineStr">
        <is>
          <t>bronze</t>
        </is>
      </c>
      <c r="D34" s="465" t="inlineStr">
        <is>
          <t>skill_wake_echo_drum</t>
        </is>
      </c>
      <c r="E34" s="465" t="inlineStr">
        <is>
          <t>20</t>
        </is>
      </c>
      <c r="F34" s="465" t="inlineStr">
        <is>
          <t>item_ready</t>
        </is>
      </c>
      <c r="G34" s="465" t="inlineStr">
        <is>
          <t>always</t>
        </is>
      </c>
      <c r="H34" s="465" t="inlineStr"/>
      <c r="I34" s="465" t="inlineStr">
        <is>
          <t>any</t>
        </is>
      </c>
      <c r="J34" s="465" t="inlineStr">
        <is>
          <t>selected_enemy</t>
        </is>
      </c>
      <c r="K34" s="465" t="n"/>
      <c r="L34" s="465" t="n"/>
      <c r="M34" s="465" t="n"/>
      <c r="N34" s="465" t="inlineStr">
        <is>
          <t>deal_damage</t>
        </is>
      </c>
      <c r="O34" s="465" t="inlineStr">
        <is>
          <t>2</t>
        </is>
      </c>
      <c r="Q34" s="465" t="inlineStr">
        <is>
          <t>false</t>
        </is>
      </c>
      <c r="R34" s="465" t="inlineStr"/>
      <c r="S34" s="465" t="inlineStr"/>
      <c r="T34" s="465" t="inlineStr">
        <is>
          <t>formal</t>
        </is>
      </c>
    </row>
    <row r="35">
      <c r="A35" s="465" t="inlineStr">
        <is>
          <t>effect_wake_echo_drum_bronze_response</t>
        </is>
      </c>
      <c r="B35" s="465" t="inlineStr">
        <is>
          <t>item_wake_echo_drum</t>
        </is>
      </c>
      <c r="C35" s="465" t="inlineStr">
        <is>
          <t>bronze</t>
        </is>
      </c>
      <c r="D35" s="465" t="inlineStr">
        <is>
          <t>skill_wake_echo_drum</t>
        </is>
      </c>
      <c r="E35" s="465" t="inlineStr">
        <is>
          <t>30</t>
        </is>
      </c>
      <c r="F35" s="465" t="inlineStr">
        <is>
          <t>another_friendly_item_used</t>
        </is>
      </c>
      <c r="G35" s="465" t="inlineStr">
        <is>
          <t>source_item_has_any_tag</t>
        </is>
      </c>
      <c r="H35" s="465" t="inlineStr">
        <is>
          <t>ammo, weapon</t>
        </is>
      </c>
      <c r="I35" s="465" t="inlineStr">
        <is>
          <t>any</t>
        </is>
      </c>
      <c r="J35" s="465" t="inlineStr">
        <is>
          <t>selected_enemy</t>
        </is>
      </c>
      <c r="K35" s="465" t="n"/>
      <c r="L35" s="465" t="n"/>
      <c r="M35" s="465" t="n"/>
      <c r="N35" s="465" t="inlineStr">
        <is>
          <t>deal_damage</t>
        </is>
      </c>
      <c r="O35" s="465" t="inlineStr">
        <is>
          <t>2</t>
        </is>
      </c>
      <c r="Q35" s="465" t="inlineStr">
        <is>
          <t>false</t>
        </is>
      </c>
      <c r="R35" s="465" t="inlineStr"/>
      <c r="S35" s="465" t="inlineStr"/>
      <c r="T35" s="465" t="inlineStr">
        <is>
          <t>formal</t>
        </is>
      </c>
    </row>
    <row r="36">
      <c r="A36" s="465" t="inlineStr">
        <is>
          <t>effect_wake_echo_drum_silver_ready</t>
        </is>
      </c>
      <c r="B36" s="465" t="inlineStr">
        <is>
          <t>item_wake_echo_drum</t>
        </is>
      </c>
      <c r="C36" s="465" t="inlineStr">
        <is>
          <t>silver</t>
        </is>
      </c>
      <c r="D36" s="465" t="inlineStr">
        <is>
          <t>skill_wake_echo_drum</t>
        </is>
      </c>
      <c r="E36" s="465" t="inlineStr">
        <is>
          <t>20</t>
        </is>
      </c>
      <c r="F36" s="465" t="inlineStr">
        <is>
          <t>item_ready</t>
        </is>
      </c>
      <c r="G36" s="465" t="inlineStr">
        <is>
          <t>always</t>
        </is>
      </c>
      <c r="H36" s="465" t="inlineStr"/>
      <c r="I36" s="465" t="inlineStr">
        <is>
          <t>any</t>
        </is>
      </c>
      <c r="J36" s="465" t="inlineStr">
        <is>
          <t>selected_enemy</t>
        </is>
      </c>
      <c r="K36" s="465" t="n"/>
      <c r="L36" s="465" t="n"/>
      <c r="M36" s="465" t="n"/>
      <c r="N36" s="465" t="inlineStr">
        <is>
          <t>deal_damage</t>
        </is>
      </c>
      <c r="O36" s="465" t="inlineStr">
        <is>
          <t>3</t>
        </is>
      </c>
      <c r="Q36" s="465" t="inlineStr">
        <is>
          <t>false</t>
        </is>
      </c>
      <c r="R36" s="465" t="inlineStr"/>
      <c r="S36" s="465" t="inlineStr"/>
      <c r="T36" s="465" t="inlineStr">
        <is>
          <t>formal</t>
        </is>
      </c>
    </row>
    <row r="37">
      <c r="A37" s="465" t="inlineStr">
        <is>
          <t>effect_wake_echo_drum_silver_response</t>
        </is>
      </c>
      <c r="B37" s="465" t="inlineStr">
        <is>
          <t>item_wake_echo_drum</t>
        </is>
      </c>
      <c r="C37" s="465" t="inlineStr">
        <is>
          <t>silver</t>
        </is>
      </c>
      <c r="D37" s="465" t="inlineStr">
        <is>
          <t>skill_wake_echo_drum</t>
        </is>
      </c>
      <c r="E37" s="465" t="inlineStr">
        <is>
          <t>30</t>
        </is>
      </c>
      <c r="F37" s="465" t="inlineStr">
        <is>
          <t>another_friendly_item_used</t>
        </is>
      </c>
      <c r="G37" s="465" t="inlineStr">
        <is>
          <t>source_item_has_any_tag</t>
        </is>
      </c>
      <c r="H37" s="465" t="inlineStr">
        <is>
          <t>ammo, weapon</t>
        </is>
      </c>
      <c r="I37" s="465" t="inlineStr">
        <is>
          <t>any</t>
        </is>
      </c>
      <c r="J37" s="465" t="inlineStr">
        <is>
          <t>selected_enemy</t>
        </is>
      </c>
      <c r="K37" s="465" t="n"/>
      <c r="L37" s="465" t="n"/>
      <c r="M37" s="465" t="n"/>
      <c r="N37" s="465" t="inlineStr">
        <is>
          <t>deal_damage</t>
        </is>
      </c>
      <c r="O37" s="465" t="inlineStr">
        <is>
          <t>3</t>
        </is>
      </c>
      <c r="Q37" s="465" t="inlineStr">
        <is>
          <t>false</t>
        </is>
      </c>
      <c r="R37" s="465" t="inlineStr"/>
      <c r="S37" s="465" t="inlineStr"/>
      <c r="T37" s="465" t="inlineStr">
        <is>
          <t>formal</t>
        </is>
      </c>
    </row>
    <row r="38">
      <c r="A38" s="465" t="inlineStr">
        <is>
          <t>effect_wake_echo_drum_gold_ready</t>
        </is>
      </c>
      <c r="B38" s="465" t="inlineStr">
        <is>
          <t>item_wake_echo_drum</t>
        </is>
      </c>
      <c r="C38" s="465" t="inlineStr">
        <is>
          <t>gold</t>
        </is>
      </c>
      <c r="D38" s="465" t="inlineStr">
        <is>
          <t>skill_wake_echo_drum</t>
        </is>
      </c>
      <c r="E38" s="465" t="inlineStr">
        <is>
          <t>20</t>
        </is>
      </c>
      <c r="F38" s="465" t="inlineStr">
        <is>
          <t>item_ready</t>
        </is>
      </c>
      <c r="G38" s="465" t="inlineStr">
        <is>
          <t>always</t>
        </is>
      </c>
      <c r="H38" s="465" t="inlineStr"/>
      <c r="I38" s="465" t="inlineStr">
        <is>
          <t>any</t>
        </is>
      </c>
      <c r="J38" s="465" t="inlineStr">
        <is>
          <t>selected_enemy</t>
        </is>
      </c>
      <c r="K38" s="465" t="n"/>
      <c r="L38" s="465" t="n"/>
      <c r="M38" s="465" t="n"/>
      <c r="N38" s="465" t="inlineStr">
        <is>
          <t>deal_damage</t>
        </is>
      </c>
      <c r="O38" s="465" t="inlineStr">
        <is>
          <t>5</t>
        </is>
      </c>
      <c r="Q38" s="465" t="inlineStr">
        <is>
          <t>false</t>
        </is>
      </c>
      <c r="R38" s="465" t="inlineStr"/>
      <c r="S38" s="465" t="inlineStr"/>
      <c r="T38" s="465" t="inlineStr">
        <is>
          <t>formal</t>
        </is>
      </c>
    </row>
    <row r="39">
      <c r="A39" s="465" t="inlineStr">
        <is>
          <t>effect_wake_echo_drum_gold_response</t>
        </is>
      </c>
      <c r="B39" s="465" t="inlineStr">
        <is>
          <t>item_wake_echo_drum</t>
        </is>
      </c>
      <c r="C39" s="465" t="inlineStr">
        <is>
          <t>gold</t>
        </is>
      </c>
      <c r="D39" s="465" t="inlineStr">
        <is>
          <t>skill_wake_echo_drum</t>
        </is>
      </c>
      <c r="E39" s="465" t="inlineStr">
        <is>
          <t>30</t>
        </is>
      </c>
      <c r="F39" s="465" t="inlineStr">
        <is>
          <t>another_friendly_item_used</t>
        </is>
      </c>
      <c r="G39" s="465" t="inlineStr">
        <is>
          <t>source_item_has_any_tag</t>
        </is>
      </c>
      <c r="H39" s="465" t="inlineStr">
        <is>
          <t>ammo, weapon</t>
        </is>
      </c>
      <c r="I39" s="465" t="inlineStr">
        <is>
          <t>any</t>
        </is>
      </c>
      <c r="J39" s="465" t="inlineStr">
        <is>
          <t>selected_enemy</t>
        </is>
      </c>
      <c r="K39" s="465" t="n"/>
      <c r="L39" s="465" t="n"/>
      <c r="M39" s="465" t="n"/>
      <c r="N39" s="465" t="inlineStr">
        <is>
          <t>deal_damage</t>
        </is>
      </c>
      <c r="O39" s="465" t="inlineStr">
        <is>
          <t>5</t>
        </is>
      </c>
      <c r="Q39" s="465" t="inlineStr">
        <is>
          <t>false</t>
        </is>
      </c>
      <c r="R39" s="465" t="inlineStr"/>
      <c r="S39" s="465" t="inlineStr"/>
      <c r="T39" s="465" t="inlineStr">
        <is>
          <t>formal</t>
        </is>
      </c>
    </row>
    <row r="40">
      <c r="A40" s="465" t="inlineStr">
        <is>
          <t>effect_wake_echo_drum_diamond_ready</t>
        </is>
      </c>
      <c r="B40" s="465" t="inlineStr">
        <is>
          <t>item_wake_echo_drum</t>
        </is>
      </c>
      <c r="C40" s="465" t="inlineStr">
        <is>
          <t>diamond</t>
        </is>
      </c>
      <c r="D40" s="465" t="inlineStr">
        <is>
          <t>skill_wake_echo_drum</t>
        </is>
      </c>
      <c r="E40" s="465" t="inlineStr">
        <is>
          <t>20</t>
        </is>
      </c>
      <c r="F40" s="465" t="inlineStr">
        <is>
          <t>item_ready</t>
        </is>
      </c>
      <c r="G40" s="465" t="inlineStr">
        <is>
          <t>always</t>
        </is>
      </c>
      <c r="H40" s="465" t="inlineStr"/>
      <c r="I40" s="465" t="inlineStr">
        <is>
          <t>any</t>
        </is>
      </c>
      <c r="J40" s="465" t="inlineStr">
        <is>
          <t>selected_enemy</t>
        </is>
      </c>
      <c r="K40" s="465" t="n"/>
      <c r="L40" s="465" t="n"/>
      <c r="M40" s="465" t="n"/>
      <c r="N40" s="465" t="inlineStr">
        <is>
          <t>deal_damage</t>
        </is>
      </c>
      <c r="O40" s="465" t="inlineStr">
        <is>
          <t>7</t>
        </is>
      </c>
      <c r="Q40" s="465" t="inlineStr">
        <is>
          <t>false</t>
        </is>
      </c>
      <c r="R40" s="465" t="inlineStr"/>
      <c r="S40" s="465" t="inlineStr"/>
      <c r="T40" s="465" t="inlineStr">
        <is>
          <t>formal</t>
        </is>
      </c>
    </row>
    <row r="41">
      <c r="A41" s="465" t="inlineStr">
        <is>
          <t>effect_wake_echo_drum_diamond_response</t>
        </is>
      </c>
      <c r="B41" s="465" t="inlineStr">
        <is>
          <t>item_wake_echo_drum</t>
        </is>
      </c>
      <c r="C41" s="465" t="inlineStr">
        <is>
          <t>diamond</t>
        </is>
      </c>
      <c r="D41" s="465" t="inlineStr">
        <is>
          <t>skill_wake_echo_drum</t>
        </is>
      </c>
      <c r="E41" s="465" t="inlineStr">
        <is>
          <t>30</t>
        </is>
      </c>
      <c r="F41" s="465" t="inlineStr">
        <is>
          <t>another_friendly_item_used</t>
        </is>
      </c>
      <c r="G41" s="465" t="inlineStr">
        <is>
          <t>source_item_has_any_tag</t>
        </is>
      </c>
      <c r="H41" s="465" t="inlineStr">
        <is>
          <t>ammo, weapon</t>
        </is>
      </c>
      <c r="I41" s="465" t="inlineStr">
        <is>
          <t>any</t>
        </is>
      </c>
      <c r="J41" s="465" t="inlineStr">
        <is>
          <t>selected_enemy</t>
        </is>
      </c>
      <c r="K41" s="465" t="n"/>
      <c r="L41" s="465" t="n"/>
      <c r="M41" s="465" t="n"/>
      <c r="N41" s="465" t="inlineStr">
        <is>
          <t>deal_damage</t>
        </is>
      </c>
      <c r="O41" s="465" t="inlineStr">
        <is>
          <t>8</t>
        </is>
      </c>
      <c r="Q41" s="465" t="inlineStr">
        <is>
          <t>false</t>
        </is>
      </c>
      <c r="R41" s="465" t="inlineStr"/>
      <c r="S41" s="465" t="inlineStr"/>
      <c r="T41" s="465" t="inlineStr">
        <is>
          <t>formal</t>
        </is>
      </c>
    </row>
    <row r="42">
      <c r="A42" s="465" t="inlineStr">
        <is>
          <t>effect_saltwind_capstan_bronze_ready</t>
        </is>
      </c>
      <c r="B42" s="465" t="inlineStr">
        <is>
          <t>item_saltwind_capstan</t>
        </is>
      </c>
      <c r="C42" s="465" t="inlineStr">
        <is>
          <t>bronze</t>
        </is>
      </c>
      <c r="D42" s="465" t="inlineStr">
        <is>
          <t>skill_saltwind_capstan</t>
        </is>
      </c>
      <c r="E42" s="465" t="inlineStr">
        <is>
          <t>20</t>
        </is>
      </c>
      <c r="F42" s="465" t="inlineStr">
        <is>
          <t>item_ready</t>
        </is>
      </c>
      <c r="G42" s="465" t="inlineStr">
        <is>
          <t>always</t>
        </is>
      </c>
      <c r="H42" s="465" t="inlineStr"/>
      <c r="I42" s="465" t="inlineStr">
        <is>
          <t>any</t>
        </is>
      </c>
      <c r="J42" s="465" t="inlineStr">
        <is>
          <t>selected_enemy</t>
        </is>
      </c>
      <c r="K42" s="465" t="n"/>
      <c r="L42" s="465" t="n"/>
      <c r="M42" s="465" t="n"/>
      <c r="N42" s="465" t="inlineStr">
        <is>
          <t>deal_damage</t>
        </is>
      </c>
      <c r="O42" s="465" t="inlineStr">
        <is>
          <t>2</t>
        </is>
      </c>
      <c r="Q42" s="465" t="inlineStr">
        <is>
          <t>false</t>
        </is>
      </c>
      <c r="R42" s="465" t="inlineStr"/>
      <c r="S42" s="465" t="inlineStr"/>
      <c r="T42" s="465" t="inlineStr">
        <is>
          <t>formal</t>
        </is>
      </c>
    </row>
    <row r="43">
      <c r="A43" s="465" t="inlineStr">
        <is>
          <t>effect_saltwind_capstan_bronze_response</t>
        </is>
      </c>
      <c r="B43" s="465" t="inlineStr">
        <is>
          <t>item_saltwind_capstan</t>
        </is>
      </c>
      <c r="C43" s="465" t="inlineStr">
        <is>
          <t>bronze</t>
        </is>
      </c>
      <c r="D43" s="465" t="inlineStr">
        <is>
          <t>skill_saltwind_capstan</t>
        </is>
      </c>
      <c r="E43" s="465" t="inlineStr">
        <is>
          <t>30</t>
        </is>
      </c>
      <c r="F43" s="465" t="inlineStr">
        <is>
          <t>another_friendly_item_used</t>
        </is>
      </c>
      <c r="G43" s="465" t="inlineStr">
        <is>
          <t>source_item_has_any_tag</t>
        </is>
      </c>
      <c r="H43" s="465" t="inlineStr">
        <is>
          <t>tool</t>
        </is>
      </c>
      <c r="I43" s="465" t="inlineStr">
        <is>
          <t>any</t>
        </is>
      </c>
      <c r="J43" s="465" t="inlineStr">
        <is>
          <t>self_item</t>
        </is>
      </c>
      <c r="K43" s="465" t="n"/>
      <c r="L43" s="465" t="n"/>
      <c r="M43" s="465" t="n"/>
      <c r="N43" s="465" t="inlineStr">
        <is>
          <t>charge</t>
        </is>
      </c>
      <c r="O43" s="465" t="inlineStr"/>
      <c r="Q43" s="465" t="inlineStr"/>
      <c r="R43" s="465" t="inlineStr"/>
      <c r="S43" s="465" t="inlineStr">
        <is>
          <t>1</t>
        </is>
      </c>
      <c r="T43" s="465" t="inlineStr">
        <is>
          <t>formal</t>
        </is>
      </c>
    </row>
    <row r="44">
      <c r="A44" s="465" t="inlineStr">
        <is>
          <t>effect_saltwind_capstan_silver_ready</t>
        </is>
      </c>
      <c r="B44" s="465" t="inlineStr">
        <is>
          <t>item_saltwind_capstan</t>
        </is>
      </c>
      <c r="C44" s="465" t="inlineStr">
        <is>
          <t>silver</t>
        </is>
      </c>
      <c r="D44" s="465" t="inlineStr">
        <is>
          <t>skill_saltwind_capstan</t>
        </is>
      </c>
      <c r="E44" s="465" t="inlineStr">
        <is>
          <t>20</t>
        </is>
      </c>
      <c r="F44" s="465" t="inlineStr">
        <is>
          <t>item_ready</t>
        </is>
      </c>
      <c r="G44" s="465" t="inlineStr">
        <is>
          <t>always</t>
        </is>
      </c>
      <c r="H44" s="465" t="inlineStr"/>
      <c r="I44" s="465" t="inlineStr">
        <is>
          <t>any</t>
        </is>
      </c>
      <c r="J44" s="465" t="inlineStr">
        <is>
          <t>selected_enemy</t>
        </is>
      </c>
      <c r="K44" s="465" t="n"/>
      <c r="L44" s="465" t="n"/>
      <c r="M44" s="465" t="n"/>
      <c r="N44" s="465" t="inlineStr">
        <is>
          <t>deal_damage</t>
        </is>
      </c>
      <c r="O44" s="465" t="inlineStr">
        <is>
          <t>4</t>
        </is>
      </c>
      <c r="Q44" s="465" t="inlineStr">
        <is>
          <t>false</t>
        </is>
      </c>
      <c r="R44" s="465" t="inlineStr"/>
      <c r="S44" s="465" t="inlineStr"/>
      <c r="T44" s="465" t="inlineStr">
        <is>
          <t>formal</t>
        </is>
      </c>
    </row>
    <row r="45">
      <c r="A45" s="465" t="inlineStr">
        <is>
          <t>effect_saltwind_capstan_silver_response</t>
        </is>
      </c>
      <c r="B45" s="465" t="inlineStr">
        <is>
          <t>item_saltwind_capstan</t>
        </is>
      </c>
      <c r="C45" s="465" t="inlineStr">
        <is>
          <t>silver</t>
        </is>
      </c>
      <c r="D45" s="465" t="inlineStr">
        <is>
          <t>skill_saltwind_capstan</t>
        </is>
      </c>
      <c r="E45" s="465" t="inlineStr">
        <is>
          <t>30</t>
        </is>
      </c>
      <c r="F45" s="465" t="inlineStr">
        <is>
          <t>another_friendly_item_used</t>
        </is>
      </c>
      <c r="G45" s="465" t="inlineStr">
        <is>
          <t>source_item_has_any_tag</t>
        </is>
      </c>
      <c r="H45" s="465" t="inlineStr">
        <is>
          <t>tool</t>
        </is>
      </c>
      <c r="I45" s="465" t="inlineStr">
        <is>
          <t>any</t>
        </is>
      </c>
      <c r="J45" s="465" t="inlineStr">
        <is>
          <t>self_item</t>
        </is>
      </c>
      <c r="K45" s="465" t="n"/>
      <c r="L45" s="465" t="n"/>
      <c r="M45" s="465" t="n"/>
      <c r="N45" s="465" t="inlineStr">
        <is>
          <t>charge</t>
        </is>
      </c>
      <c r="O45" s="465" t="inlineStr"/>
      <c r="Q45" s="465" t="inlineStr"/>
      <c r="R45" s="465" t="inlineStr"/>
      <c r="S45" s="465" t="inlineStr">
        <is>
          <t>1</t>
        </is>
      </c>
      <c r="T45" s="465" t="inlineStr">
        <is>
          <t>formal</t>
        </is>
      </c>
    </row>
    <row r="46">
      <c r="A46" s="465" t="inlineStr">
        <is>
          <t>effect_saltwind_capstan_gold_ready</t>
        </is>
      </c>
      <c r="B46" s="465" t="inlineStr">
        <is>
          <t>item_saltwind_capstan</t>
        </is>
      </c>
      <c r="C46" s="465" t="inlineStr">
        <is>
          <t>gold</t>
        </is>
      </c>
      <c r="D46" s="465" t="inlineStr">
        <is>
          <t>skill_saltwind_capstan</t>
        </is>
      </c>
      <c r="E46" s="465" t="inlineStr">
        <is>
          <t>20</t>
        </is>
      </c>
      <c r="F46" s="465" t="inlineStr">
        <is>
          <t>item_ready</t>
        </is>
      </c>
      <c r="G46" s="465" t="inlineStr">
        <is>
          <t>always</t>
        </is>
      </c>
      <c r="H46" s="465" t="inlineStr"/>
      <c r="I46" s="465" t="inlineStr">
        <is>
          <t>any</t>
        </is>
      </c>
      <c r="J46" s="465" t="inlineStr">
        <is>
          <t>selected_enemy</t>
        </is>
      </c>
      <c r="K46" s="465" t="n"/>
      <c r="L46" s="465" t="n"/>
      <c r="M46" s="465" t="n"/>
      <c r="N46" s="465" t="inlineStr">
        <is>
          <t>deal_damage</t>
        </is>
      </c>
      <c r="O46" s="465" t="inlineStr">
        <is>
          <t>6</t>
        </is>
      </c>
      <c r="Q46" s="465" t="inlineStr">
        <is>
          <t>false</t>
        </is>
      </c>
      <c r="R46" s="465" t="inlineStr"/>
      <c r="S46" s="465" t="inlineStr"/>
      <c r="T46" s="465" t="inlineStr">
        <is>
          <t>formal</t>
        </is>
      </c>
    </row>
    <row r="47">
      <c r="A47" s="465" t="inlineStr">
        <is>
          <t>effect_saltwind_capstan_gold_response</t>
        </is>
      </c>
      <c r="B47" s="465" t="inlineStr">
        <is>
          <t>item_saltwind_capstan</t>
        </is>
      </c>
      <c r="C47" s="465" t="inlineStr">
        <is>
          <t>gold</t>
        </is>
      </c>
      <c r="D47" s="465" t="inlineStr">
        <is>
          <t>skill_saltwind_capstan</t>
        </is>
      </c>
      <c r="E47" s="465" t="inlineStr">
        <is>
          <t>30</t>
        </is>
      </c>
      <c r="F47" s="465" t="inlineStr">
        <is>
          <t>another_friendly_item_used</t>
        </is>
      </c>
      <c r="G47" s="465" t="inlineStr">
        <is>
          <t>source_item_has_any_tag</t>
        </is>
      </c>
      <c r="H47" s="465" t="inlineStr">
        <is>
          <t>tool</t>
        </is>
      </c>
      <c r="I47" s="465" t="inlineStr">
        <is>
          <t>any</t>
        </is>
      </c>
      <c r="J47" s="465" t="inlineStr">
        <is>
          <t>self_item</t>
        </is>
      </c>
      <c r="K47" s="465" t="n"/>
      <c r="L47" s="465" t="n"/>
      <c r="M47" s="465" t="n"/>
      <c r="N47" s="465" t="inlineStr">
        <is>
          <t>charge</t>
        </is>
      </c>
      <c r="O47" s="465" t="inlineStr"/>
      <c r="Q47" s="465" t="inlineStr"/>
      <c r="R47" s="465" t="inlineStr"/>
      <c r="S47" s="465" t="inlineStr">
        <is>
          <t>2</t>
        </is>
      </c>
      <c r="T47" s="465" t="inlineStr">
        <is>
          <t>formal</t>
        </is>
      </c>
    </row>
    <row r="48">
      <c r="A48" s="465" t="inlineStr">
        <is>
          <t>effect_saltwind_capstan_diamond_ready</t>
        </is>
      </c>
      <c r="B48" s="465" t="inlineStr">
        <is>
          <t>item_saltwind_capstan</t>
        </is>
      </c>
      <c r="C48" s="465" t="inlineStr">
        <is>
          <t>diamond</t>
        </is>
      </c>
      <c r="D48" s="465" t="inlineStr">
        <is>
          <t>skill_saltwind_capstan</t>
        </is>
      </c>
      <c r="E48" s="465" t="inlineStr">
        <is>
          <t>20</t>
        </is>
      </c>
      <c r="F48" s="465" t="inlineStr">
        <is>
          <t>item_ready</t>
        </is>
      </c>
      <c r="G48" s="465" t="inlineStr">
        <is>
          <t>always</t>
        </is>
      </c>
      <c r="H48" s="465" t="inlineStr"/>
      <c r="I48" s="465" t="inlineStr">
        <is>
          <t>any</t>
        </is>
      </c>
      <c r="J48" s="465" t="inlineStr">
        <is>
          <t>selected_enemy</t>
        </is>
      </c>
      <c r="K48" s="465" t="n"/>
      <c r="L48" s="465" t="n"/>
      <c r="M48" s="465" t="n"/>
      <c r="N48" s="465" t="inlineStr">
        <is>
          <t>deal_damage</t>
        </is>
      </c>
      <c r="O48" s="465" t="inlineStr">
        <is>
          <t>9</t>
        </is>
      </c>
      <c r="Q48" s="465" t="inlineStr">
        <is>
          <t>false</t>
        </is>
      </c>
      <c r="R48" s="465" t="inlineStr"/>
      <c r="S48" s="465" t="inlineStr"/>
      <c r="T48" s="465" t="inlineStr">
        <is>
          <t>formal</t>
        </is>
      </c>
    </row>
    <row r="49">
      <c r="A49" s="465" t="inlineStr">
        <is>
          <t>effect_saltwind_capstan_diamond_response</t>
        </is>
      </c>
      <c r="B49" s="465" t="inlineStr">
        <is>
          <t>item_saltwind_capstan</t>
        </is>
      </c>
      <c r="C49" s="465" t="inlineStr">
        <is>
          <t>diamond</t>
        </is>
      </c>
      <c r="D49" s="465" t="inlineStr">
        <is>
          <t>skill_saltwind_capstan</t>
        </is>
      </c>
      <c r="E49" s="465" t="inlineStr">
        <is>
          <t>30</t>
        </is>
      </c>
      <c r="F49" s="465" t="inlineStr">
        <is>
          <t>another_friendly_item_used</t>
        </is>
      </c>
      <c r="G49" s="465" t="inlineStr">
        <is>
          <t>source_item_has_any_tag</t>
        </is>
      </c>
      <c r="H49" s="465" t="inlineStr">
        <is>
          <t>tool</t>
        </is>
      </c>
      <c r="I49" s="465" t="inlineStr">
        <is>
          <t>any</t>
        </is>
      </c>
      <c r="J49" s="465" t="inlineStr">
        <is>
          <t>self_item</t>
        </is>
      </c>
      <c r="K49" s="465" t="n"/>
      <c r="L49" s="465" t="n"/>
      <c r="M49" s="465" t="n"/>
      <c r="N49" s="465" t="inlineStr">
        <is>
          <t>charge</t>
        </is>
      </c>
      <c r="O49" s="465" t="inlineStr"/>
      <c r="Q49" s="465" t="inlineStr"/>
      <c r="R49" s="465" t="inlineStr"/>
      <c r="S49" s="465" t="inlineStr">
        <is>
          <t>2</t>
        </is>
      </c>
      <c r="T49" s="465" t="inlineStr">
        <is>
          <t>formal</t>
        </is>
      </c>
    </row>
    <row r="50">
      <c r="A50" s="465" t="inlineStr">
        <is>
          <t>effect_tidefin_launcher_bronze_ready</t>
        </is>
      </c>
      <c r="B50" s="465" t="inlineStr">
        <is>
          <t>item_tidefin_launcher</t>
        </is>
      </c>
      <c r="C50" s="465" t="inlineStr">
        <is>
          <t>bronze</t>
        </is>
      </c>
      <c r="D50" s="465" t="inlineStr">
        <is>
          <t>skill_tidefin_launcher</t>
        </is>
      </c>
      <c r="E50" s="465" t="inlineStr">
        <is>
          <t>20</t>
        </is>
      </c>
      <c r="F50" s="465" t="inlineStr">
        <is>
          <t>item_ready</t>
        </is>
      </c>
      <c r="G50" s="465" t="inlineStr">
        <is>
          <t>always</t>
        </is>
      </c>
      <c r="H50" s="465" t="inlineStr"/>
      <c r="I50" s="465" t="inlineStr">
        <is>
          <t>any</t>
        </is>
      </c>
      <c r="J50" s="465" t="inlineStr">
        <is>
          <t>selected_enemy</t>
        </is>
      </c>
      <c r="K50" s="465" t="n"/>
      <c r="L50" s="465" t="n"/>
      <c r="M50" s="465" t="n"/>
      <c r="N50" s="465" t="inlineStr">
        <is>
          <t>deal_damage</t>
        </is>
      </c>
      <c r="O50" s="465" t="inlineStr">
        <is>
          <t>1</t>
        </is>
      </c>
      <c r="Q50" s="465" t="inlineStr">
        <is>
          <t>false</t>
        </is>
      </c>
      <c r="R50" s="465" t="inlineStr"/>
      <c r="S50" s="465" t="inlineStr"/>
      <c r="T50" s="465" t="inlineStr">
        <is>
          <t>formal</t>
        </is>
      </c>
    </row>
    <row r="51">
      <c r="A51" s="465" t="inlineStr">
        <is>
          <t>effect_tidefin_launcher_bronze_response</t>
        </is>
      </c>
      <c r="B51" s="465" t="inlineStr">
        <is>
          <t>item_tidefin_launcher</t>
        </is>
      </c>
      <c r="C51" s="465" t="inlineStr">
        <is>
          <t>bronze</t>
        </is>
      </c>
      <c r="D51" s="465" t="inlineStr">
        <is>
          <t>skill_tidefin_launcher</t>
        </is>
      </c>
      <c r="E51" s="465" t="inlineStr">
        <is>
          <t>30</t>
        </is>
      </c>
      <c r="F51" s="465" t="inlineStr">
        <is>
          <t>another_friendly_item_used</t>
        </is>
      </c>
      <c r="G51" s="465" t="inlineStr">
        <is>
          <t>source_item_has_any_tag</t>
        </is>
      </c>
      <c r="H51" s="465" t="inlineStr">
        <is>
          <t>aquatic</t>
        </is>
      </c>
      <c r="I51" s="465" t="inlineStr">
        <is>
          <t>any</t>
        </is>
      </c>
      <c r="J51" s="465" t="inlineStr">
        <is>
          <t>self_item</t>
        </is>
      </c>
      <c r="K51" s="465" t="n"/>
      <c r="L51" s="465" t="n"/>
      <c r="M51" s="465" t="n"/>
      <c r="N51" s="465" t="inlineStr">
        <is>
          <t>reload</t>
        </is>
      </c>
      <c r="O51" s="465" t="inlineStr">
        <is>
          <t>1</t>
        </is>
      </c>
      <c r="Q51" s="465" t="inlineStr"/>
      <c r="R51" s="465" t="inlineStr"/>
      <c r="S51" s="465" t="inlineStr"/>
      <c r="T51" s="465" t="inlineStr">
        <is>
          <t>formal</t>
        </is>
      </c>
    </row>
    <row r="52">
      <c r="A52" s="465" t="inlineStr">
        <is>
          <t>effect_tidefin_launcher_silver_ready</t>
        </is>
      </c>
      <c r="B52" s="465" t="inlineStr">
        <is>
          <t>item_tidefin_launcher</t>
        </is>
      </c>
      <c r="C52" s="465" t="inlineStr">
        <is>
          <t>silver</t>
        </is>
      </c>
      <c r="D52" s="465" t="inlineStr">
        <is>
          <t>skill_tidefin_launcher</t>
        </is>
      </c>
      <c r="E52" s="465" t="inlineStr">
        <is>
          <t>20</t>
        </is>
      </c>
      <c r="F52" s="465" t="inlineStr">
        <is>
          <t>item_ready</t>
        </is>
      </c>
      <c r="G52" s="465" t="inlineStr">
        <is>
          <t>always</t>
        </is>
      </c>
      <c r="H52" s="465" t="inlineStr"/>
      <c r="I52" s="465" t="inlineStr">
        <is>
          <t>any</t>
        </is>
      </c>
      <c r="J52" s="465" t="inlineStr">
        <is>
          <t>selected_enemy</t>
        </is>
      </c>
      <c r="K52" s="465" t="n"/>
      <c r="L52" s="465" t="n"/>
      <c r="M52" s="465" t="n"/>
      <c r="N52" s="465" t="inlineStr">
        <is>
          <t>deal_damage</t>
        </is>
      </c>
      <c r="O52" s="465" t="inlineStr">
        <is>
          <t>2</t>
        </is>
      </c>
      <c r="Q52" s="465" t="inlineStr">
        <is>
          <t>false</t>
        </is>
      </c>
      <c r="R52" s="465" t="inlineStr"/>
      <c r="S52" s="465" t="inlineStr"/>
      <c r="T52" s="465" t="inlineStr">
        <is>
          <t>formal</t>
        </is>
      </c>
    </row>
    <row r="53">
      <c r="A53" s="465" t="inlineStr">
        <is>
          <t>effect_tidefin_launcher_silver_response</t>
        </is>
      </c>
      <c r="B53" s="465" t="inlineStr">
        <is>
          <t>item_tidefin_launcher</t>
        </is>
      </c>
      <c r="C53" s="465" t="inlineStr">
        <is>
          <t>silver</t>
        </is>
      </c>
      <c r="D53" s="465" t="inlineStr">
        <is>
          <t>skill_tidefin_launcher</t>
        </is>
      </c>
      <c r="E53" s="465" t="inlineStr">
        <is>
          <t>30</t>
        </is>
      </c>
      <c r="F53" s="465" t="inlineStr">
        <is>
          <t>another_friendly_item_used</t>
        </is>
      </c>
      <c r="G53" s="465" t="inlineStr">
        <is>
          <t>source_item_has_any_tag</t>
        </is>
      </c>
      <c r="H53" s="465" t="inlineStr">
        <is>
          <t>aquatic</t>
        </is>
      </c>
      <c r="I53" s="465" t="inlineStr">
        <is>
          <t>any</t>
        </is>
      </c>
      <c r="J53" s="465" t="inlineStr">
        <is>
          <t>self_item</t>
        </is>
      </c>
      <c r="K53" s="465" t="n"/>
      <c r="L53" s="465" t="n"/>
      <c r="M53" s="465" t="n"/>
      <c r="N53" s="465" t="inlineStr">
        <is>
          <t>reload</t>
        </is>
      </c>
      <c r="O53" s="465" t="inlineStr">
        <is>
          <t>1</t>
        </is>
      </c>
      <c r="Q53" s="465" t="inlineStr"/>
      <c r="R53" s="465" t="inlineStr"/>
      <c r="S53" s="465" t="inlineStr"/>
      <c r="T53" s="465" t="inlineStr">
        <is>
          <t>formal</t>
        </is>
      </c>
    </row>
    <row r="54">
      <c r="A54" s="465" t="inlineStr">
        <is>
          <t>effect_tidefin_launcher_gold_ready</t>
        </is>
      </c>
      <c r="B54" s="465" t="inlineStr">
        <is>
          <t>item_tidefin_launcher</t>
        </is>
      </c>
      <c r="C54" s="465" t="inlineStr">
        <is>
          <t>gold</t>
        </is>
      </c>
      <c r="D54" s="465" t="inlineStr">
        <is>
          <t>skill_tidefin_launcher</t>
        </is>
      </c>
      <c r="E54" s="465" t="inlineStr">
        <is>
          <t>20</t>
        </is>
      </c>
      <c r="F54" s="465" t="inlineStr">
        <is>
          <t>item_ready</t>
        </is>
      </c>
      <c r="G54" s="465" t="inlineStr">
        <is>
          <t>always</t>
        </is>
      </c>
      <c r="H54" s="465" t="inlineStr"/>
      <c r="I54" s="465" t="inlineStr">
        <is>
          <t>any</t>
        </is>
      </c>
      <c r="J54" s="465" t="inlineStr">
        <is>
          <t>selected_enemy</t>
        </is>
      </c>
      <c r="K54" s="465" t="n"/>
      <c r="L54" s="465" t="n"/>
      <c r="M54" s="465" t="n"/>
      <c r="N54" s="465" t="inlineStr">
        <is>
          <t>deal_damage</t>
        </is>
      </c>
      <c r="O54" s="465" t="inlineStr">
        <is>
          <t>4</t>
        </is>
      </c>
      <c r="Q54" s="465" t="inlineStr">
        <is>
          <t>false</t>
        </is>
      </c>
      <c r="R54" s="465" t="inlineStr"/>
      <c r="S54" s="465" t="inlineStr"/>
      <c r="T54" s="465" t="inlineStr">
        <is>
          <t>formal</t>
        </is>
      </c>
    </row>
    <row r="55">
      <c r="A55" s="465" t="inlineStr">
        <is>
          <t>effect_tidefin_launcher_gold_response</t>
        </is>
      </c>
      <c r="B55" s="465" t="inlineStr">
        <is>
          <t>item_tidefin_launcher</t>
        </is>
      </c>
      <c r="C55" s="465" t="inlineStr">
        <is>
          <t>gold</t>
        </is>
      </c>
      <c r="D55" s="465" t="inlineStr">
        <is>
          <t>skill_tidefin_launcher</t>
        </is>
      </c>
      <c r="E55" s="465" t="inlineStr">
        <is>
          <t>30</t>
        </is>
      </c>
      <c r="F55" s="465" t="inlineStr">
        <is>
          <t>another_friendly_item_used</t>
        </is>
      </c>
      <c r="G55" s="465" t="inlineStr">
        <is>
          <t>source_item_has_any_tag</t>
        </is>
      </c>
      <c r="H55" s="465" t="inlineStr">
        <is>
          <t>aquatic</t>
        </is>
      </c>
      <c r="I55" s="465" t="inlineStr">
        <is>
          <t>any</t>
        </is>
      </c>
      <c r="J55" s="465" t="inlineStr">
        <is>
          <t>self_item</t>
        </is>
      </c>
      <c r="K55" s="465" t="n"/>
      <c r="L55" s="465" t="n"/>
      <c r="M55" s="465" t="n"/>
      <c r="N55" s="465" t="inlineStr">
        <is>
          <t>reload</t>
        </is>
      </c>
      <c r="O55" s="465" t="inlineStr">
        <is>
          <t>1</t>
        </is>
      </c>
      <c r="Q55" s="465" t="inlineStr"/>
      <c r="R55" s="465" t="inlineStr"/>
      <c r="S55" s="465" t="inlineStr"/>
      <c r="T55" s="465" t="inlineStr">
        <is>
          <t>formal</t>
        </is>
      </c>
    </row>
    <row r="56">
      <c r="A56" s="465" t="inlineStr">
        <is>
          <t>effect_tidefin_launcher_diamond_ready</t>
        </is>
      </c>
      <c r="B56" s="465" t="inlineStr">
        <is>
          <t>item_tidefin_launcher</t>
        </is>
      </c>
      <c r="C56" s="465" t="inlineStr">
        <is>
          <t>diamond</t>
        </is>
      </c>
      <c r="D56" s="465" t="inlineStr">
        <is>
          <t>skill_tidefin_launcher</t>
        </is>
      </c>
      <c r="E56" s="465" t="inlineStr">
        <is>
          <t>20</t>
        </is>
      </c>
      <c r="F56" s="465" t="inlineStr">
        <is>
          <t>item_ready</t>
        </is>
      </c>
      <c r="G56" s="465" t="inlineStr">
        <is>
          <t>always</t>
        </is>
      </c>
      <c r="H56" s="465" t="inlineStr"/>
      <c r="I56" s="465" t="inlineStr">
        <is>
          <t>any</t>
        </is>
      </c>
      <c r="J56" s="465" t="inlineStr">
        <is>
          <t>selected_enemy</t>
        </is>
      </c>
      <c r="K56" s="465" t="n"/>
      <c r="L56" s="465" t="n"/>
      <c r="M56" s="465" t="n"/>
      <c r="N56" s="465" t="inlineStr">
        <is>
          <t>deal_damage</t>
        </is>
      </c>
      <c r="O56" s="465" t="inlineStr">
        <is>
          <t>6</t>
        </is>
      </c>
      <c r="Q56" s="465" t="inlineStr">
        <is>
          <t>false</t>
        </is>
      </c>
      <c r="R56" s="465" t="inlineStr"/>
      <c r="S56" s="465" t="inlineStr"/>
      <c r="T56" s="465" t="inlineStr">
        <is>
          <t>formal</t>
        </is>
      </c>
    </row>
    <row r="57">
      <c r="A57" s="465" t="inlineStr">
        <is>
          <t>effect_tidefin_launcher_diamond_response</t>
        </is>
      </c>
      <c r="B57" s="465" t="inlineStr">
        <is>
          <t>item_tidefin_launcher</t>
        </is>
      </c>
      <c r="C57" s="465" t="inlineStr">
        <is>
          <t>diamond</t>
        </is>
      </c>
      <c r="D57" s="465" t="inlineStr">
        <is>
          <t>skill_tidefin_launcher</t>
        </is>
      </c>
      <c r="E57" s="465" t="inlineStr">
        <is>
          <t>30</t>
        </is>
      </c>
      <c r="F57" s="465" t="inlineStr">
        <is>
          <t>another_friendly_item_used</t>
        </is>
      </c>
      <c r="G57" s="465" t="inlineStr">
        <is>
          <t>source_item_has_any_tag</t>
        </is>
      </c>
      <c r="H57" s="465" t="inlineStr">
        <is>
          <t>aquatic</t>
        </is>
      </c>
      <c r="I57" s="465" t="inlineStr">
        <is>
          <t>any</t>
        </is>
      </c>
      <c r="J57" s="465" t="inlineStr">
        <is>
          <t>self_item</t>
        </is>
      </c>
      <c r="K57" s="465" t="n"/>
      <c r="L57" s="465" t="n"/>
      <c r="M57" s="465" t="n"/>
      <c r="N57" s="465" t="inlineStr">
        <is>
          <t>reload</t>
        </is>
      </c>
      <c r="O57" s="465" t="inlineStr">
        <is>
          <t>2</t>
        </is>
      </c>
      <c r="Q57" s="465" t="inlineStr"/>
      <c r="R57" s="465" t="inlineStr"/>
      <c r="S57" s="465" t="inlineStr"/>
      <c r="T57" s="465" t="inlineStr">
        <is>
          <t>formal</t>
        </is>
      </c>
    </row>
    <row r="58">
      <c r="A58" s="465" t="inlineStr">
        <is>
          <t>effect_mistkelp_remedy_kit_bronze_heal</t>
        </is>
      </c>
      <c r="B58" s="465" t="inlineStr">
        <is>
          <t>item_mistkelp_remedy_kit</t>
        </is>
      </c>
      <c r="C58" s="465" t="inlineStr">
        <is>
          <t>bronze</t>
        </is>
      </c>
      <c r="D58" s="465" t="inlineStr">
        <is>
          <t>skill_mistkelp_remedy_kit</t>
        </is>
      </c>
      <c r="E58" s="465" t="inlineStr">
        <is>
          <t>20</t>
        </is>
      </c>
      <c r="F58" s="465" t="inlineStr">
        <is>
          <t>item_ready</t>
        </is>
      </c>
      <c r="G58" s="465" t="inlineStr">
        <is>
          <t>always</t>
        </is>
      </c>
      <c r="H58" s="465" t="inlineStr"/>
      <c r="I58" s="465" t="inlineStr">
        <is>
          <t>any</t>
        </is>
      </c>
      <c r="J58" s="465" t="inlineStr">
        <is>
          <t>owner_hero</t>
        </is>
      </c>
      <c r="K58" s="465" t="n"/>
      <c r="L58" s="465" t="n"/>
      <c r="M58" s="465" t="n"/>
      <c r="N58" s="465" t="inlineStr">
        <is>
          <t>heal</t>
        </is>
      </c>
      <c r="O58" s="465" t="inlineStr">
        <is>
          <t>5</t>
        </is>
      </c>
      <c r="Q58" s="465" t="inlineStr"/>
      <c r="R58" s="465" t="inlineStr"/>
      <c r="S58" s="465" t="inlineStr"/>
      <c r="T58" s="465" t="inlineStr">
        <is>
          <t>formal</t>
        </is>
      </c>
    </row>
    <row r="59">
      <c r="A59" s="465" t="inlineStr">
        <is>
          <t>effect_mistkelp_remedy_kit_silver_heal</t>
        </is>
      </c>
      <c r="B59" s="465" t="inlineStr">
        <is>
          <t>item_mistkelp_remedy_kit</t>
        </is>
      </c>
      <c r="C59" s="465" t="inlineStr">
        <is>
          <t>silver</t>
        </is>
      </c>
      <c r="D59" s="465" t="inlineStr">
        <is>
          <t>skill_mistkelp_remedy_kit</t>
        </is>
      </c>
      <c r="E59" s="465" t="inlineStr">
        <is>
          <t>20</t>
        </is>
      </c>
      <c r="F59" s="465" t="inlineStr">
        <is>
          <t>item_ready</t>
        </is>
      </c>
      <c r="G59" s="465" t="inlineStr">
        <is>
          <t>always</t>
        </is>
      </c>
      <c r="H59" s="465" t="inlineStr"/>
      <c r="I59" s="465" t="inlineStr">
        <is>
          <t>any</t>
        </is>
      </c>
      <c r="J59" s="465" t="inlineStr">
        <is>
          <t>owner_hero</t>
        </is>
      </c>
      <c r="K59" s="465" t="n"/>
      <c r="L59" s="465" t="n"/>
      <c r="M59" s="465" t="n"/>
      <c r="N59" s="465" t="inlineStr">
        <is>
          <t>heal</t>
        </is>
      </c>
      <c r="O59" s="465" t="inlineStr">
        <is>
          <t>7</t>
        </is>
      </c>
      <c r="Q59" s="465" t="inlineStr"/>
      <c r="R59" s="465" t="inlineStr"/>
      <c r="S59" s="465" t="inlineStr"/>
      <c r="T59" s="465" t="inlineStr">
        <is>
          <t>formal</t>
        </is>
      </c>
    </row>
    <row r="60">
      <c r="A60" s="465" t="inlineStr">
        <is>
          <t>effect_mistkelp_remedy_kit_gold_heal</t>
        </is>
      </c>
      <c r="B60" s="465" t="inlineStr">
        <is>
          <t>item_mistkelp_remedy_kit</t>
        </is>
      </c>
      <c r="C60" s="465" t="inlineStr">
        <is>
          <t>gold</t>
        </is>
      </c>
      <c r="D60" s="465" t="inlineStr">
        <is>
          <t>skill_mistkelp_remedy_kit</t>
        </is>
      </c>
      <c r="E60" s="465" t="inlineStr">
        <is>
          <t>20</t>
        </is>
      </c>
      <c r="F60" s="465" t="inlineStr">
        <is>
          <t>item_ready</t>
        </is>
      </c>
      <c r="G60" s="465" t="inlineStr">
        <is>
          <t>always</t>
        </is>
      </c>
      <c r="H60" s="465" t="inlineStr"/>
      <c r="I60" s="465" t="inlineStr">
        <is>
          <t>any</t>
        </is>
      </c>
      <c r="J60" s="465" t="inlineStr">
        <is>
          <t>owner_hero</t>
        </is>
      </c>
      <c r="K60" s="465" t="n"/>
      <c r="L60" s="465" t="n"/>
      <c r="M60" s="465" t="n"/>
      <c r="N60" s="465" t="inlineStr">
        <is>
          <t>heal</t>
        </is>
      </c>
      <c r="O60" s="465" t="inlineStr">
        <is>
          <t>10</t>
        </is>
      </c>
      <c r="Q60" s="465" t="inlineStr"/>
      <c r="R60" s="465" t="inlineStr"/>
      <c r="S60" s="465" t="inlineStr"/>
      <c r="T60" s="465" t="inlineStr">
        <is>
          <t>formal</t>
        </is>
      </c>
    </row>
    <row r="61">
      <c r="A61" s="465" t="inlineStr">
        <is>
          <t>effect_mistkelp_remedy_kit_diamond_heal</t>
        </is>
      </c>
      <c r="B61" s="465" t="inlineStr">
        <is>
          <t>item_mistkelp_remedy_kit</t>
        </is>
      </c>
      <c r="C61" s="465" t="inlineStr">
        <is>
          <t>diamond</t>
        </is>
      </c>
      <c r="D61" s="465" t="inlineStr">
        <is>
          <t>skill_mistkelp_remedy_kit</t>
        </is>
      </c>
      <c r="E61" s="465" t="inlineStr">
        <is>
          <t>20</t>
        </is>
      </c>
      <c r="F61" s="465" t="inlineStr">
        <is>
          <t>item_ready</t>
        </is>
      </c>
      <c r="G61" s="465" t="inlineStr">
        <is>
          <t>always</t>
        </is>
      </c>
      <c r="H61" s="465" t="inlineStr"/>
      <c r="I61" s="465" t="inlineStr">
        <is>
          <t>any</t>
        </is>
      </c>
      <c r="J61" s="465" t="inlineStr">
        <is>
          <t>owner_hero</t>
        </is>
      </c>
      <c r="K61" s="465" t="n"/>
      <c r="L61" s="465" t="n"/>
      <c r="M61" s="465" t="n"/>
      <c r="N61" s="465" t="inlineStr">
        <is>
          <t>heal</t>
        </is>
      </c>
      <c r="O61" s="465" t="inlineStr">
        <is>
          <t>14</t>
        </is>
      </c>
      <c r="Q61" s="465" t="inlineStr"/>
      <c r="R61" s="465" t="inlineStr"/>
      <c r="S61" s="465" t="inlineStr"/>
      <c r="T61" s="465" t="inlineStr">
        <is>
          <t>formal</t>
        </is>
      </c>
    </row>
    <row r="62">
      <c r="A62" s="465" t="inlineStr">
        <is>
          <t>effect_tidefold_bulwark_bronze_shield</t>
        </is>
      </c>
      <c r="B62" s="465" t="inlineStr">
        <is>
          <t>item_tidefold_bulwark</t>
        </is>
      </c>
      <c r="C62" s="465" t="inlineStr">
        <is>
          <t>bronze</t>
        </is>
      </c>
      <c r="D62" s="465" t="inlineStr">
        <is>
          <t>skill_tidefold_bulwark</t>
        </is>
      </c>
      <c r="E62" s="465" t="inlineStr">
        <is>
          <t>20</t>
        </is>
      </c>
      <c r="F62" s="465" t="inlineStr">
        <is>
          <t>item_ready</t>
        </is>
      </c>
      <c r="G62" s="465" t="inlineStr">
        <is>
          <t>always</t>
        </is>
      </c>
      <c r="H62" s="465" t="inlineStr"/>
      <c r="I62" s="465" t="inlineStr">
        <is>
          <t>any</t>
        </is>
      </c>
      <c r="J62" s="465" t="inlineStr">
        <is>
          <t>owner_hero</t>
        </is>
      </c>
      <c r="K62" s="465" t="n"/>
      <c r="L62" s="465" t="n"/>
      <c r="M62" s="465" t="n"/>
      <c r="N62" s="465" t="inlineStr">
        <is>
          <t>gain_shield</t>
        </is>
      </c>
      <c r="O62" s="465" t="inlineStr">
        <is>
          <t>6</t>
        </is>
      </c>
      <c r="Q62" s="465" t="inlineStr"/>
      <c r="R62" s="465" t="inlineStr"/>
      <c r="S62" s="465" t="inlineStr"/>
      <c r="T62" s="465" t="inlineStr">
        <is>
          <t>formal</t>
        </is>
      </c>
    </row>
    <row r="63">
      <c r="A63" s="465" t="inlineStr">
        <is>
          <t>effect_tidefold_bulwark_silver_shield</t>
        </is>
      </c>
      <c r="B63" s="465" t="inlineStr">
        <is>
          <t>item_tidefold_bulwark</t>
        </is>
      </c>
      <c r="C63" s="465" t="inlineStr">
        <is>
          <t>silver</t>
        </is>
      </c>
      <c r="D63" s="465" t="inlineStr">
        <is>
          <t>skill_tidefold_bulwark</t>
        </is>
      </c>
      <c r="E63" s="465" t="inlineStr">
        <is>
          <t>20</t>
        </is>
      </c>
      <c r="F63" s="465" t="inlineStr">
        <is>
          <t>item_ready</t>
        </is>
      </c>
      <c r="G63" s="465" t="inlineStr">
        <is>
          <t>always</t>
        </is>
      </c>
      <c r="H63" s="465" t="inlineStr"/>
      <c r="I63" s="465" t="inlineStr">
        <is>
          <t>any</t>
        </is>
      </c>
      <c r="J63" s="465" t="inlineStr">
        <is>
          <t>owner_hero</t>
        </is>
      </c>
      <c r="K63" s="465" t="n"/>
      <c r="L63" s="465" t="n"/>
      <c r="M63" s="465" t="n"/>
      <c r="N63" s="465" t="inlineStr">
        <is>
          <t>gain_shield</t>
        </is>
      </c>
      <c r="O63" s="465" t="inlineStr">
        <is>
          <t>9</t>
        </is>
      </c>
      <c r="Q63" s="465" t="inlineStr"/>
      <c r="R63" s="465" t="inlineStr"/>
      <c r="S63" s="465" t="inlineStr"/>
      <c r="T63" s="465" t="inlineStr">
        <is>
          <t>formal</t>
        </is>
      </c>
    </row>
    <row r="64">
      <c r="A64" s="465" t="inlineStr">
        <is>
          <t>effect_tidefold_bulwark_gold_shield</t>
        </is>
      </c>
      <c r="B64" s="465" t="inlineStr">
        <is>
          <t>item_tidefold_bulwark</t>
        </is>
      </c>
      <c r="C64" s="465" t="inlineStr">
        <is>
          <t>gold</t>
        </is>
      </c>
      <c r="D64" s="465" t="inlineStr">
        <is>
          <t>skill_tidefold_bulwark</t>
        </is>
      </c>
      <c r="E64" s="465" t="inlineStr">
        <is>
          <t>20</t>
        </is>
      </c>
      <c r="F64" s="465" t="inlineStr">
        <is>
          <t>item_ready</t>
        </is>
      </c>
      <c r="G64" s="465" t="inlineStr">
        <is>
          <t>always</t>
        </is>
      </c>
      <c r="H64" s="465" t="inlineStr"/>
      <c r="I64" s="465" t="inlineStr">
        <is>
          <t>any</t>
        </is>
      </c>
      <c r="J64" s="465" t="inlineStr">
        <is>
          <t>owner_hero</t>
        </is>
      </c>
      <c r="K64" s="465" t="n"/>
      <c r="L64" s="465" t="n"/>
      <c r="M64" s="465" t="n"/>
      <c r="N64" s="465" t="inlineStr">
        <is>
          <t>gain_shield</t>
        </is>
      </c>
      <c r="O64" s="465" t="inlineStr">
        <is>
          <t>13</t>
        </is>
      </c>
      <c r="Q64" s="465" t="inlineStr"/>
      <c r="R64" s="465" t="inlineStr"/>
      <c r="S64" s="465" t="inlineStr"/>
      <c r="T64" s="465" t="inlineStr">
        <is>
          <t>formal</t>
        </is>
      </c>
    </row>
    <row r="65">
      <c r="A65" s="465" t="inlineStr">
        <is>
          <t>effect_tidefold_bulwark_diamond_shield</t>
        </is>
      </c>
      <c r="B65" s="465" t="inlineStr">
        <is>
          <t>item_tidefold_bulwark</t>
        </is>
      </c>
      <c r="C65" s="465" t="inlineStr">
        <is>
          <t>diamond</t>
        </is>
      </c>
      <c r="D65" s="465" t="inlineStr">
        <is>
          <t>skill_tidefold_bulwark</t>
        </is>
      </c>
      <c r="E65" s="465" t="inlineStr">
        <is>
          <t>20</t>
        </is>
      </c>
      <c r="F65" s="465" t="inlineStr">
        <is>
          <t>item_ready</t>
        </is>
      </c>
      <c r="G65" s="465" t="inlineStr">
        <is>
          <t>always</t>
        </is>
      </c>
      <c r="H65" s="465" t="inlineStr"/>
      <c r="I65" s="465" t="inlineStr">
        <is>
          <t>any</t>
        </is>
      </c>
      <c r="J65" s="465" t="inlineStr">
        <is>
          <t>owner_hero</t>
        </is>
      </c>
      <c r="K65" s="465" t="n"/>
      <c r="L65" s="465" t="n"/>
      <c r="M65" s="465" t="n"/>
      <c r="N65" s="465" t="inlineStr">
        <is>
          <t>gain_shield</t>
        </is>
      </c>
      <c r="O65" s="465" t="inlineStr">
        <is>
          <t>18</t>
        </is>
      </c>
      <c r="Q65" s="465" t="inlineStr"/>
      <c r="R65" s="465" t="inlineStr"/>
      <c r="S65" s="465" t="inlineStr"/>
      <c r="T65" s="465" t="inlineStr">
        <is>
          <t>formal</t>
        </is>
      </c>
    </row>
    <row r="66">
      <c r="A66" s="465" t="inlineStr">
        <is>
          <t>effect_homeglow_beacon_bronze_heal</t>
        </is>
      </c>
      <c r="B66" s="465" t="inlineStr">
        <is>
          <t>item_homeglow_beacon</t>
        </is>
      </c>
      <c r="C66" s="465" t="inlineStr">
        <is>
          <t>bronze</t>
        </is>
      </c>
      <c r="D66" s="465" t="inlineStr">
        <is>
          <t>skill_homeglow_beacon</t>
        </is>
      </c>
      <c r="E66" s="465" t="inlineStr">
        <is>
          <t>20</t>
        </is>
      </c>
      <c r="F66" s="465" t="inlineStr">
        <is>
          <t>item_ready</t>
        </is>
      </c>
      <c r="G66" s="465" t="inlineStr">
        <is>
          <t>always</t>
        </is>
      </c>
      <c r="H66" s="465" t="inlineStr"/>
      <c r="I66" s="465" t="inlineStr">
        <is>
          <t>any</t>
        </is>
      </c>
      <c r="J66" s="465" t="inlineStr">
        <is>
          <t>owner_hero</t>
        </is>
      </c>
      <c r="K66" s="465" t="n"/>
      <c r="L66" s="465" t="n"/>
      <c r="M66" s="465" t="n"/>
      <c r="N66" s="465" t="inlineStr">
        <is>
          <t>heal</t>
        </is>
      </c>
      <c r="O66" s="465" t="inlineStr">
        <is>
          <t>3</t>
        </is>
      </c>
      <c r="Q66" s="465" t="inlineStr"/>
      <c r="R66" s="465" t="inlineStr"/>
      <c r="S66" s="465" t="inlineStr"/>
      <c r="T66" s="465" t="inlineStr">
        <is>
          <t>formal</t>
        </is>
      </c>
    </row>
    <row r="67">
      <c r="A67" s="465" t="inlineStr">
        <is>
          <t>effect_homeglow_beacon_bronze_shield</t>
        </is>
      </c>
      <c r="B67" s="465" t="inlineStr">
        <is>
          <t>item_homeglow_beacon</t>
        </is>
      </c>
      <c r="C67" s="465" t="inlineStr">
        <is>
          <t>bronze</t>
        </is>
      </c>
      <c r="D67" s="465" t="inlineStr">
        <is>
          <t>skill_homeglow_beacon</t>
        </is>
      </c>
      <c r="E67" s="465" t="inlineStr">
        <is>
          <t>21</t>
        </is>
      </c>
      <c r="F67" s="465" t="inlineStr">
        <is>
          <t>item_ready</t>
        </is>
      </c>
      <c r="G67" s="465" t="inlineStr">
        <is>
          <t>always</t>
        </is>
      </c>
      <c r="H67" s="465" t="inlineStr"/>
      <c r="I67" s="465" t="inlineStr">
        <is>
          <t>any</t>
        </is>
      </c>
      <c r="J67" s="465" t="inlineStr">
        <is>
          <t>owner_hero</t>
        </is>
      </c>
      <c r="K67" s="465" t="n"/>
      <c r="L67" s="465" t="n"/>
      <c r="M67" s="465" t="n"/>
      <c r="N67" s="465" t="inlineStr">
        <is>
          <t>gain_shield</t>
        </is>
      </c>
      <c r="O67" s="465" t="inlineStr">
        <is>
          <t>4</t>
        </is>
      </c>
      <c r="Q67" s="465" t="inlineStr"/>
      <c r="R67" s="465" t="inlineStr"/>
      <c r="S67" s="465" t="inlineStr"/>
      <c r="T67" s="465" t="inlineStr">
        <is>
          <t>formal</t>
        </is>
      </c>
    </row>
    <row r="68">
      <c r="A68" s="465" t="inlineStr">
        <is>
          <t>effect_homeglow_beacon_silver_heal</t>
        </is>
      </c>
      <c r="B68" s="465" t="inlineStr">
        <is>
          <t>item_homeglow_beacon</t>
        </is>
      </c>
      <c r="C68" s="465" t="inlineStr">
        <is>
          <t>silver</t>
        </is>
      </c>
      <c r="D68" s="465" t="inlineStr">
        <is>
          <t>skill_homeglow_beacon</t>
        </is>
      </c>
      <c r="E68" s="465" t="inlineStr">
        <is>
          <t>20</t>
        </is>
      </c>
      <c r="F68" s="465" t="inlineStr">
        <is>
          <t>item_ready</t>
        </is>
      </c>
      <c r="G68" s="465" t="inlineStr">
        <is>
          <t>always</t>
        </is>
      </c>
      <c r="H68" s="465" t="inlineStr"/>
      <c r="I68" s="465" t="inlineStr">
        <is>
          <t>any</t>
        </is>
      </c>
      <c r="J68" s="465" t="inlineStr">
        <is>
          <t>owner_hero</t>
        </is>
      </c>
      <c r="K68" s="465" t="n"/>
      <c r="L68" s="465" t="n"/>
      <c r="M68" s="465" t="n"/>
      <c r="N68" s="465" t="inlineStr">
        <is>
          <t>heal</t>
        </is>
      </c>
      <c r="O68" s="465" t="inlineStr">
        <is>
          <t>4</t>
        </is>
      </c>
      <c r="Q68" s="465" t="inlineStr"/>
      <c r="R68" s="465" t="inlineStr"/>
      <c r="S68" s="465" t="inlineStr"/>
      <c r="T68" s="465" t="inlineStr">
        <is>
          <t>formal</t>
        </is>
      </c>
    </row>
    <row r="69">
      <c r="A69" s="465" t="inlineStr">
        <is>
          <t>effect_homeglow_beacon_silver_shield</t>
        </is>
      </c>
      <c r="B69" s="465" t="inlineStr">
        <is>
          <t>item_homeglow_beacon</t>
        </is>
      </c>
      <c r="C69" s="465" t="inlineStr">
        <is>
          <t>silver</t>
        </is>
      </c>
      <c r="D69" s="465" t="inlineStr">
        <is>
          <t>skill_homeglow_beacon</t>
        </is>
      </c>
      <c r="E69" s="465" t="inlineStr">
        <is>
          <t>21</t>
        </is>
      </c>
      <c r="F69" s="465" t="inlineStr">
        <is>
          <t>item_ready</t>
        </is>
      </c>
      <c r="G69" s="465" t="inlineStr">
        <is>
          <t>always</t>
        </is>
      </c>
      <c r="H69" s="465" t="inlineStr"/>
      <c r="I69" s="465" t="inlineStr">
        <is>
          <t>any</t>
        </is>
      </c>
      <c r="J69" s="465" t="inlineStr">
        <is>
          <t>owner_hero</t>
        </is>
      </c>
      <c r="K69" s="465" t="n"/>
      <c r="L69" s="465" t="n"/>
      <c r="M69" s="465" t="n"/>
      <c r="N69" s="465" t="inlineStr">
        <is>
          <t>gain_shield</t>
        </is>
      </c>
      <c r="O69" s="465" t="inlineStr">
        <is>
          <t>6</t>
        </is>
      </c>
      <c r="Q69" s="465" t="inlineStr"/>
      <c r="R69" s="465" t="inlineStr"/>
      <c r="S69" s="465" t="inlineStr"/>
      <c r="T69" s="465" t="inlineStr">
        <is>
          <t>formal</t>
        </is>
      </c>
    </row>
    <row r="70">
      <c r="A70" s="465" t="inlineStr">
        <is>
          <t>effect_homeglow_beacon_gold_heal</t>
        </is>
      </c>
      <c r="B70" s="465" t="inlineStr">
        <is>
          <t>item_homeglow_beacon</t>
        </is>
      </c>
      <c r="C70" s="465" t="inlineStr">
        <is>
          <t>gold</t>
        </is>
      </c>
      <c r="D70" s="465" t="inlineStr">
        <is>
          <t>skill_homeglow_beacon</t>
        </is>
      </c>
      <c r="E70" s="465" t="inlineStr">
        <is>
          <t>20</t>
        </is>
      </c>
      <c r="F70" s="465" t="inlineStr">
        <is>
          <t>item_ready</t>
        </is>
      </c>
      <c r="G70" s="465" t="inlineStr">
        <is>
          <t>always</t>
        </is>
      </c>
      <c r="H70" s="465" t="inlineStr"/>
      <c r="I70" s="465" t="inlineStr">
        <is>
          <t>any</t>
        </is>
      </c>
      <c r="J70" s="465" t="inlineStr">
        <is>
          <t>owner_hero</t>
        </is>
      </c>
      <c r="K70" s="465" t="n"/>
      <c r="L70" s="465" t="n"/>
      <c r="M70" s="465" t="n"/>
      <c r="N70" s="465" t="inlineStr">
        <is>
          <t>heal</t>
        </is>
      </c>
      <c r="O70" s="465" t="inlineStr">
        <is>
          <t>6</t>
        </is>
      </c>
      <c r="Q70" s="465" t="inlineStr"/>
      <c r="R70" s="465" t="inlineStr"/>
      <c r="S70" s="465" t="inlineStr"/>
      <c r="T70" s="465" t="inlineStr">
        <is>
          <t>formal</t>
        </is>
      </c>
    </row>
    <row r="71">
      <c r="A71" s="465" t="inlineStr">
        <is>
          <t>effect_homeglow_beacon_gold_shield</t>
        </is>
      </c>
      <c r="B71" s="465" t="inlineStr">
        <is>
          <t>item_homeglow_beacon</t>
        </is>
      </c>
      <c r="C71" s="465" t="inlineStr">
        <is>
          <t>gold</t>
        </is>
      </c>
      <c r="D71" s="465" t="inlineStr">
        <is>
          <t>skill_homeglow_beacon</t>
        </is>
      </c>
      <c r="E71" s="465" t="inlineStr">
        <is>
          <t>21</t>
        </is>
      </c>
      <c r="F71" s="465" t="inlineStr">
        <is>
          <t>item_ready</t>
        </is>
      </c>
      <c r="G71" s="465" t="inlineStr">
        <is>
          <t>always</t>
        </is>
      </c>
      <c r="H71" s="465" t="inlineStr"/>
      <c r="I71" s="465" t="inlineStr">
        <is>
          <t>any</t>
        </is>
      </c>
      <c r="J71" s="465" t="inlineStr">
        <is>
          <t>owner_hero</t>
        </is>
      </c>
      <c r="K71" s="465" t="n"/>
      <c r="L71" s="465" t="n"/>
      <c r="M71" s="465" t="n"/>
      <c r="N71" s="465" t="inlineStr">
        <is>
          <t>gain_shield</t>
        </is>
      </c>
      <c r="O71" s="465" t="inlineStr">
        <is>
          <t>9</t>
        </is>
      </c>
      <c r="Q71" s="465" t="inlineStr"/>
      <c r="R71" s="465" t="inlineStr"/>
      <c r="S71" s="465" t="inlineStr"/>
      <c r="T71" s="465" t="inlineStr">
        <is>
          <t>formal</t>
        </is>
      </c>
    </row>
    <row r="72">
      <c r="A72" s="465" t="inlineStr">
        <is>
          <t>effect_homeglow_beacon_diamond_heal</t>
        </is>
      </c>
      <c r="B72" s="465" t="inlineStr">
        <is>
          <t>item_homeglow_beacon</t>
        </is>
      </c>
      <c r="C72" s="465" t="inlineStr">
        <is>
          <t>diamond</t>
        </is>
      </c>
      <c r="D72" s="465" t="inlineStr">
        <is>
          <t>skill_homeglow_beacon</t>
        </is>
      </c>
      <c r="E72" s="465" t="inlineStr">
        <is>
          <t>20</t>
        </is>
      </c>
      <c r="F72" s="465" t="inlineStr">
        <is>
          <t>item_ready</t>
        </is>
      </c>
      <c r="G72" s="465" t="inlineStr">
        <is>
          <t>always</t>
        </is>
      </c>
      <c r="H72" s="465" t="inlineStr"/>
      <c r="I72" s="465" t="inlineStr">
        <is>
          <t>any</t>
        </is>
      </c>
      <c r="J72" s="465" t="inlineStr">
        <is>
          <t>owner_hero</t>
        </is>
      </c>
      <c r="K72" s="465" t="n"/>
      <c r="L72" s="465" t="n"/>
      <c r="M72" s="465" t="n"/>
      <c r="N72" s="465" t="inlineStr">
        <is>
          <t>heal</t>
        </is>
      </c>
      <c r="O72" s="465" t="inlineStr">
        <is>
          <t>8</t>
        </is>
      </c>
      <c r="Q72" s="465" t="inlineStr"/>
      <c r="R72" s="465" t="inlineStr"/>
      <c r="S72" s="465" t="inlineStr"/>
      <c r="T72" s="465" t="inlineStr">
        <is>
          <t>formal</t>
        </is>
      </c>
    </row>
    <row r="73" s="439">
      <c r="A73" s="465" t="inlineStr">
        <is>
          <t>effect_homeglow_beacon_diamond_shield</t>
        </is>
      </c>
      <c r="B73" s="465" t="inlineStr">
        <is>
          <t>item_homeglow_beacon</t>
        </is>
      </c>
      <c r="C73" s="465" t="inlineStr">
        <is>
          <t>diamond</t>
        </is>
      </c>
      <c r="D73" s="465" t="inlineStr">
        <is>
          <t>skill_homeglow_beacon</t>
        </is>
      </c>
      <c r="E73" s="465" t="inlineStr">
        <is>
          <t>21</t>
        </is>
      </c>
      <c r="F73" s="465" t="inlineStr">
        <is>
          <t>item_ready</t>
        </is>
      </c>
      <c r="G73" s="465" t="inlineStr">
        <is>
          <t>always</t>
        </is>
      </c>
      <c r="H73" s="465" t="inlineStr"/>
      <c r="I73" s="465" t="inlineStr">
        <is>
          <t>any</t>
        </is>
      </c>
      <c r="J73" s="465" t="inlineStr">
        <is>
          <t>owner_hero</t>
        </is>
      </c>
      <c r="K73" s="465" t="n"/>
      <c r="L73" s="465" t="n"/>
      <c r="M73" s="465" t="n"/>
      <c r="N73" s="465" t="inlineStr">
        <is>
          <t>gain_shield</t>
        </is>
      </c>
      <c r="O73" s="465" t="inlineStr">
        <is>
          <t>12</t>
        </is>
      </c>
      <c r="Q73" s="465" t="inlineStr"/>
      <c r="R73" s="465" t="inlineStr"/>
      <c r="S73" s="465" t="inlineStr"/>
      <c r="T73" s="465" t="inlineStr">
        <is>
          <t>formal</t>
        </is>
      </c>
    </row>
    <row r="74">
      <c r="A74" s="465" t="inlineStr">
        <is>
          <t>effect_tidescar_matchlock_bronze_ready</t>
        </is>
      </c>
      <c r="B74" s="465" t="inlineStr">
        <is>
          <t>item_tidescar_matchlock</t>
        </is>
      </c>
      <c r="C74" s="465" t="inlineStr">
        <is>
          <t>bronze</t>
        </is>
      </c>
      <c r="D74" s="465" t="inlineStr">
        <is>
          <t>skill_tidescar_matchlock</t>
        </is>
      </c>
      <c r="E74" s="465" t="inlineStr">
        <is>
          <t>20</t>
        </is>
      </c>
      <c r="F74" s="465" t="inlineStr">
        <is>
          <t>item_ready</t>
        </is>
      </c>
      <c r="G74" s="465" t="inlineStr">
        <is>
          <t>always</t>
        </is>
      </c>
      <c r="H74" s="465" t="inlineStr"/>
      <c r="I74" s="465" t="inlineStr">
        <is>
          <t>any</t>
        </is>
      </c>
      <c r="J74" s="465" t="inlineStr">
        <is>
          <t>selected_enemy</t>
        </is>
      </c>
      <c r="K74" s="465" t="n"/>
      <c r="L74" s="465" t="n"/>
      <c r="M74" s="465" t="n"/>
      <c r="N74" s="465" t="inlineStr">
        <is>
          <t>deal_damage</t>
        </is>
      </c>
      <c r="O74" s="465" t="inlineStr">
        <is>
          <t>4</t>
        </is>
      </c>
      <c r="Q74" s="465" t="inlineStr">
        <is>
          <t>false</t>
        </is>
      </c>
      <c r="R74" s="465" t="inlineStr"/>
      <c r="S74" s="465" t="inlineStr"/>
      <c r="T74" s="465" t="inlineStr">
        <is>
          <t>formal</t>
        </is>
      </c>
    </row>
    <row r="75">
      <c r="A75" s="465" t="inlineStr">
        <is>
          <t>effect_tidescar_matchlock_bronze_growth</t>
        </is>
      </c>
      <c r="B75" s="465" t="inlineStr">
        <is>
          <t>item_tidescar_matchlock</t>
        </is>
      </c>
      <c r="C75" s="465" t="inlineStr">
        <is>
          <t>bronze</t>
        </is>
      </c>
      <c r="D75" s="465" t="inlineStr">
        <is>
          <t>skill_tidescar_matchlock</t>
        </is>
      </c>
      <c r="E75" s="465" t="inlineStr">
        <is>
          <t>30</t>
        </is>
      </c>
      <c r="F75" s="465" t="inlineStr">
        <is>
          <t>another_friendly_item_used</t>
        </is>
      </c>
      <c r="G75" s="465" t="inlineStr">
        <is>
          <t>source_item_has_any_tag</t>
        </is>
      </c>
      <c r="H75" s="465" t="inlineStr">
        <is>
          <t>ammo</t>
        </is>
      </c>
      <c r="I75" s="465" t="inlineStr">
        <is>
          <t>any</t>
        </is>
      </c>
      <c r="J75" s="465" t="inlineStr">
        <is>
          <t>self_item</t>
        </is>
      </c>
      <c r="K75" s="465" t="n"/>
      <c r="L75" s="465" t="n"/>
      <c r="M75" s="465" t="n"/>
      <c r="N75" s="465" t="inlineStr">
        <is>
          <t>gain_damage_for_fight</t>
        </is>
      </c>
      <c r="O75" s="465" t="inlineStr">
        <is>
          <t>2</t>
        </is>
      </c>
      <c r="Q75" s="465" t="inlineStr"/>
      <c r="R75" s="465" t="inlineStr"/>
      <c r="S75" s="465" t="inlineStr"/>
      <c r="T75" s="465" t="inlineStr">
        <is>
          <t>formal</t>
        </is>
      </c>
    </row>
    <row r="76">
      <c r="A76" s="465" t="inlineStr">
        <is>
          <t>effect_tidescar_matchlock_silver_ready</t>
        </is>
      </c>
      <c r="B76" s="465" t="inlineStr">
        <is>
          <t>item_tidescar_matchlock</t>
        </is>
      </c>
      <c r="C76" s="465" t="inlineStr">
        <is>
          <t>silver</t>
        </is>
      </c>
      <c r="D76" s="465" t="inlineStr">
        <is>
          <t>skill_tidescar_matchlock</t>
        </is>
      </c>
      <c r="E76" s="465" t="inlineStr">
        <is>
          <t>20</t>
        </is>
      </c>
      <c r="F76" s="465" t="inlineStr">
        <is>
          <t>item_ready</t>
        </is>
      </c>
      <c r="G76" s="465" t="inlineStr">
        <is>
          <t>always</t>
        </is>
      </c>
      <c r="H76" s="465" t="inlineStr"/>
      <c r="I76" s="465" t="inlineStr">
        <is>
          <t>any</t>
        </is>
      </c>
      <c r="J76" s="465" t="inlineStr">
        <is>
          <t>selected_enemy</t>
        </is>
      </c>
      <c r="K76" s="465" t="n"/>
      <c r="L76" s="465" t="n"/>
      <c r="M76" s="465" t="n"/>
      <c r="N76" s="465" t="inlineStr">
        <is>
          <t>deal_damage</t>
        </is>
      </c>
      <c r="O76" s="465" t="inlineStr">
        <is>
          <t>7</t>
        </is>
      </c>
      <c r="Q76" s="465" t="inlineStr">
        <is>
          <t>false</t>
        </is>
      </c>
      <c r="R76" s="465" t="inlineStr"/>
      <c r="S76" s="465" t="inlineStr"/>
      <c r="T76" s="465" t="inlineStr">
        <is>
          <t>formal</t>
        </is>
      </c>
    </row>
    <row r="77">
      <c r="A77" s="465" t="inlineStr">
        <is>
          <t>effect_tidescar_matchlock_silver_growth</t>
        </is>
      </c>
      <c r="B77" s="465" t="inlineStr">
        <is>
          <t>item_tidescar_matchlock</t>
        </is>
      </c>
      <c r="C77" s="465" t="inlineStr">
        <is>
          <t>silver</t>
        </is>
      </c>
      <c r="D77" s="465" t="inlineStr">
        <is>
          <t>skill_tidescar_matchlock</t>
        </is>
      </c>
      <c r="E77" s="465" t="inlineStr">
        <is>
          <t>30</t>
        </is>
      </c>
      <c r="F77" s="465" t="inlineStr">
        <is>
          <t>another_friendly_item_used</t>
        </is>
      </c>
      <c r="G77" s="465" t="inlineStr">
        <is>
          <t>source_item_has_any_tag</t>
        </is>
      </c>
      <c r="H77" s="465" t="inlineStr">
        <is>
          <t>ammo</t>
        </is>
      </c>
      <c r="I77" s="465" t="inlineStr">
        <is>
          <t>any</t>
        </is>
      </c>
      <c r="J77" s="465" t="inlineStr">
        <is>
          <t>self_item</t>
        </is>
      </c>
      <c r="K77" s="465" t="n"/>
      <c r="L77" s="465" t="n"/>
      <c r="M77" s="465" t="n"/>
      <c r="N77" s="465" t="inlineStr">
        <is>
          <t>gain_damage_for_fight</t>
        </is>
      </c>
      <c r="O77" s="465" t="inlineStr">
        <is>
          <t>3</t>
        </is>
      </c>
      <c r="Q77" s="465" t="inlineStr"/>
      <c r="R77" s="465" t="inlineStr"/>
      <c r="S77" s="465" t="inlineStr"/>
      <c r="T77" s="465" t="inlineStr">
        <is>
          <t>formal</t>
        </is>
      </c>
    </row>
    <row r="78">
      <c r="A78" s="465" t="inlineStr">
        <is>
          <t>effect_tidescar_matchlock_gold_ready</t>
        </is>
      </c>
      <c r="B78" s="465" t="inlineStr">
        <is>
          <t>item_tidescar_matchlock</t>
        </is>
      </c>
      <c r="C78" s="465" t="inlineStr">
        <is>
          <t>gold</t>
        </is>
      </c>
      <c r="D78" s="465" t="inlineStr">
        <is>
          <t>skill_tidescar_matchlock</t>
        </is>
      </c>
      <c r="E78" s="465" t="inlineStr">
        <is>
          <t>20</t>
        </is>
      </c>
      <c r="F78" s="465" t="inlineStr">
        <is>
          <t>item_ready</t>
        </is>
      </c>
      <c r="G78" s="465" t="inlineStr">
        <is>
          <t>always</t>
        </is>
      </c>
      <c r="H78" s="465" t="inlineStr"/>
      <c r="I78" s="465" t="inlineStr">
        <is>
          <t>any</t>
        </is>
      </c>
      <c r="J78" s="465" t="inlineStr">
        <is>
          <t>selected_enemy</t>
        </is>
      </c>
      <c r="K78" s="465" t="n"/>
      <c r="L78" s="465" t="n"/>
      <c r="M78" s="465" t="n"/>
      <c r="N78" s="465" t="inlineStr">
        <is>
          <t>deal_damage</t>
        </is>
      </c>
      <c r="O78" s="465" t="inlineStr">
        <is>
          <t>11</t>
        </is>
      </c>
      <c r="Q78" s="465" t="inlineStr">
        <is>
          <t>false</t>
        </is>
      </c>
      <c r="R78" s="465" t="inlineStr"/>
      <c r="S78" s="465" t="inlineStr"/>
      <c r="T78" s="465" t="inlineStr">
        <is>
          <t>formal</t>
        </is>
      </c>
    </row>
    <row r="79">
      <c r="A79" s="465" t="inlineStr">
        <is>
          <t>effect_tidescar_matchlock_gold_growth</t>
        </is>
      </c>
      <c r="B79" s="465" t="inlineStr">
        <is>
          <t>item_tidescar_matchlock</t>
        </is>
      </c>
      <c r="C79" s="465" t="inlineStr">
        <is>
          <t>gold</t>
        </is>
      </c>
      <c r="D79" s="465" t="inlineStr">
        <is>
          <t>skill_tidescar_matchlock</t>
        </is>
      </c>
      <c r="E79" s="465" t="inlineStr">
        <is>
          <t>30</t>
        </is>
      </c>
      <c r="F79" s="465" t="inlineStr">
        <is>
          <t>another_friendly_item_used</t>
        </is>
      </c>
      <c r="G79" s="465" t="inlineStr">
        <is>
          <t>source_item_has_any_tag</t>
        </is>
      </c>
      <c r="H79" s="465" t="inlineStr">
        <is>
          <t>ammo</t>
        </is>
      </c>
      <c r="I79" s="465" t="inlineStr">
        <is>
          <t>any</t>
        </is>
      </c>
      <c r="J79" s="465" t="inlineStr">
        <is>
          <t>self_item</t>
        </is>
      </c>
      <c r="K79" s="465" t="n"/>
      <c r="L79" s="465" t="n"/>
      <c r="M79" s="465" t="n"/>
      <c r="N79" s="465" t="inlineStr">
        <is>
          <t>gain_damage_for_fight</t>
        </is>
      </c>
      <c r="O79" s="465" t="inlineStr">
        <is>
          <t>4</t>
        </is>
      </c>
      <c r="Q79" s="465" t="inlineStr"/>
      <c r="R79" s="465" t="inlineStr"/>
      <c r="S79" s="465" t="inlineStr"/>
      <c r="T79" s="465" t="inlineStr">
        <is>
          <t>formal</t>
        </is>
      </c>
    </row>
    <row r="80">
      <c r="A80" s="465" t="inlineStr">
        <is>
          <t>effect_tidescar_matchlock_diamond_ready</t>
        </is>
      </c>
      <c r="B80" s="465" t="inlineStr">
        <is>
          <t>item_tidescar_matchlock</t>
        </is>
      </c>
      <c r="C80" s="465" t="inlineStr">
        <is>
          <t>diamond</t>
        </is>
      </c>
      <c r="D80" s="465" t="inlineStr">
        <is>
          <t>skill_tidescar_matchlock</t>
        </is>
      </c>
      <c r="E80" s="465" t="inlineStr">
        <is>
          <t>20</t>
        </is>
      </c>
      <c r="F80" s="465" t="inlineStr">
        <is>
          <t>item_ready</t>
        </is>
      </c>
      <c r="G80" s="465" t="inlineStr">
        <is>
          <t>always</t>
        </is>
      </c>
      <c r="H80" s="465" t="inlineStr"/>
      <c r="I80" s="465" t="inlineStr">
        <is>
          <t>any</t>
        </is>
      </c>
      <c r="J80" s="465" t="inlineStr">
        <is>
          <t>selected_enemy</t>
        </is>
      </c>
      <c r="K80" s="465" t="n"/>
      <c r="L80" s="465" t="n"/>
      <c r="M80" s="465" t="n"/>
      <c r="N80" s="465" t="inlineStr">
        <is>
          <t>deal_damage</t>
        </is>
      </c>
      <c r="O80" s="465" t="inlineStr">
        <is>
          <t>16</t>
        </is>
      </c>
      <c r="Q80" s="465" t="inlineStr">
        <is>
          <t>false</t>
        </is>
      </c>
      <c r="R80" s="465" t="inlineStr"/>
      <c r="S80" s="465" t="inlineStr"/>
      <c r="T80" s="465" t="inlineStr">
        <is>
          <t>formal</t>
        </is>
      </c>
    </row>
    <row r="81">
      <c r="A81" s="465" t="inlineStr">
        <is>
          <t>effect_tidescar_matchlock_diamond_growth</t>
        </is>
      </c>
      <c r="B81" s="465" t="inlineStr">
        <is>
          <t>item_tidescar_matchlock</t>
        </is>
      </c>
      <c r="C81" s="465" t="inlineStr">
        <is>
          <t>diamond</t>
        </is>
      </c>
      <c r="D81" s="465" t="inlineStr">
        <is>
          <t>skill_tidescar_matchlock</t>
        </is>
      </c>
      <c r="E81" s="465" t="inlineStr">
        <is>
          <t>30</t>
        </is>
      </c>
      <c r="F81" s="465" t="inlineStr">
        <is>
          <t>another_friendly_item_used</t>
        </is>
      </c>
      <c r="G81" s="465" t="inlineStr">
        <is>
          <t>source_item_has_any_tag</t>
        </is>
      </c>
      <c r="H81" s="465" t="inlineStr">
        <is>
          <t>ammo</t>
        </is>
      </c>
      <c r="I81" s="465" t="inlineStr">
        <is>
          <t>any</t>
        </is>
      </c>
      <c r="J81" s="465" t="inlineStr">
        <is>
          <t>self_item</t>
        </is>
      </c>
      <c r="K81" s="465" t="n"/>
      <c r="L81" s="465" t="n"/>
      <c r="M81" s="465" t="n"/>
      <c r="N81" s="465" t="inlineStr">
        <is>
          <t>gain_damage_for_fight</t>
        </is>
      </c>
      <c r="O81" s="465" t="inlineStr">
        <is>
          <t>6</t>
        </is>
      </c>
      <c r="Q81" s="465" t="inlineStr"/>
      <c r="R81" s="465" t="inlineStr"/>
      <c r="S81" s="465" t="inlineStr"/>
      <c r="T81" s="465" t="inlineStr">
        <is>
          <t>formal</t>
        </is>
      </c>
    </row>
    <row r="82">
      <c r="A82" s="465" t="inlineStr">
        <is>
          <t>effect_mistline_ratchet_bronze_ready</t>
        </is>
      </c>
      <c r="B82" s="465" t="inlineStr">
        <is>
          <t>item_mistline_ratchet</t>
        </is>
      </c>
      <c r="C82" s="465" t="inlineStr">
        <is>
          <t>bronze</t>
        </is>
      </c>
      <c r="D82" s="465" t="inlineStr">
        <is>
          <t>skill_mistline_ratchet</t>
        </is>
      </c>
      <c r="E82" s="465" t="inlineStr">
        <is>
          <t>20</t>
        </is>
      </c>
      <c r="F82" s="465" t="inlineStr">
        <is>
          <t>item_ready</t>
        </is>
      </c>
      <c r="G82" s="465" t="inlineStr">
        <is>
          <t>always</t>
        </is>
      </c>
      <c r="H82" s="465" t="inlineStr"/>
      <c r="I82" s="465" t="inlineStr">
        <is>
          <t>any</t>
        </is>
      </c>
      <c r="J82" s="465" t="inlineStr">
        <is>
          <t>selected_enemy</t>
        </is>
      </c>
      <c r="K82" s="465" t="n"/>
      <c r="L82" s="465" t="n"/>
      <c r="M82" s="465" t="n"/>
      <c r="N82" s="465" t="inlineStr">
        <is>
          <t>deal_damage</t>
        </is>
      </c>
      <c r="O82" s="465" t="inlineStr">
        <is>
          <t>3</t>
        </is>
      </c>
      <c r="Q82" s="465" t="inlineStr">
        <is>
          <t>false</t>
        </is>
      </c>
      <c r="R82" s="465" t="inlineStr"/>
      <c r="S82" s="465" t="inlineStr"/>
      <c r="T82" s="465" t="inlineStr">
        <is>
          <t>formal</t>
        </is>
      </c>
    </row>
    <row r="83">
      <c r="A83" s="465" t="inlineStr">
        <is>
          <t>effect_mistline_ratchet_bronze_response</t>
        </is>
      </c>
      <c r="B83" s="465" t="inlineStr">
        <is>
          <t>item_mistline_ratchet</t>
        </is>
      </c>
      <c r="C83" s="465" t="inlineStr">
        <is>
          <t>bronze</t>
        </is>
      </c>
      <c r="D83" s="465" t="inlineStr">
        <is>
          <t>skill_mistline_ratchet</t>
        </is>
      </c>
      <c r="E83" s="465" t="inlineStr">
        <is>
          <t>30</t>
        </is>
      </c>
      <c r="F83" s="465" t="inlineStr">
        <is>
          <t>another_friendly_item_used</t>
        </is>
      </c>
      <c r="G83" s="465" t="inlineStr">
        <is>
          <t>source_item_has_any_tag</t>
        </is>
      </c>
      <c r="H83" s="465" t="inlineStr">
        <is>
          <t>ammo</t>
        </is>
      </c>
      <c r="I83" s="465" t="inlineStr">
        <is>
          <t>adjacent</t>
        </is>
      </c>
      <c r="J83" s="465" t="inlineStr">
        <is>
          <t>self_item</t>
        </is>
      </c>
      <c r="K83" s="465" t="n"/>
      <c r="L83" s="465" t="n"/>
      <c r="M83" s="465" t="n"/>
      <c r="N83" s="465" t="inlineStr">
        <is>
          <t>charge</t>
        </is>
      </c>
      <c r="O83" s="465" t="inlineStr"/>
      <c r="Q83" s="465" t="inlineStr"/>
      <c r="R83" s="465" t="inlineStr"/>
      <c r="S83" s="465" t="inlineStr">
        <is>
          <t>1</t>
        </is>
      </c>
      <c r="T83" s="465" t="inlineStr">
        <is>
          <t>formal</t>
        </is>
      </c>
    </row>
    <row r="84">
      <c r="A84" s="465" t="inlineStr">
        <is>
          <t>effect_mistline_ratchet_silver_ready</t>
        </is>
      </c>
      <c r="B84" s="465" t="inlineStr">
        <is>
          <t>item_mistline_ratchet</t>
        </is>
      </c>
      <c r="C84" s="465" t="inlineStr">
        <is>
          <t>silver</t>
        </is>
      </c>
      <c r="D84" s="465" t="inlineStr">
        <is>
          <t>skill_mistline_ratchet</t>
        </is>
      </c>
      <c r="E84" s="465" t="inlineStr">
        <is>
          <t>20</t>
        </is>
      </c>
      <c r="F84" s="465" t="inlineStr">
        <is>
          <t>item_ready</t>
        </is>
      </c>
      <c r="G84" s="465" t="inlineStr">
        <is>
          <t>always</t>
        </is>
      </c>
      <c r="H84" s="465" t="inlineStr"/>
      <c r="I84" s="465" t="inlineStr">
        <is>
          <t>any</t>
        </is>
      </c>
      <c r="J84" s="465" t="inlineStr">
        <is>
          <t>selected_enemy</t>
        </is>
      </c>
      <c r="K84" s="465" t="n"/>
      <c r="L84" s="465" t="n"/>
      <c r="M84" s="465" t="n"/>
      <c r="N84" s="465" t="inlineStr">
        <is>
          <t>deal_damage</t>
        </is>
      </c>
      <c r="O84" s="465" t="inlineStr">
        <is>
          <t>5</t>
        </is>
      </c>
      <c r="Q84" s="465" t="inlineStr">
        <is>
          <t>false</t>
        </is>
      </c>
      <c r="R84" s="465" t="inlineStr"/>
      <c r="S84" s="465" t="inlineStr"/>
      <c r="T84" s="465" t="inlineStr">
        <is>
          <t>formal</t>
        </is>
      </c>
    </row>
    <row r="85">
      <c r="A85" s="465" t="inlineStr">
        <is>
          <t>effect_mistline_ratchet_silver_response</t>
        </is>
      </c>
      <c r="B85" s="465" t="inlineStr">
        <is>
          <t>item_mistline_ratchet</t>
        </is>
      </c>
      <c r="C85" s="465" t="inlineStr">
        <is>
          <t>silver</t>
        </is>
      </c>
      <c r="D85" s="465" t="inlineStr">
        <is>
          <t>skill_mistline_ratchet</t>
        </is>
      </c>
      <c r="E85" s="465" t="inlineStr">
        <is>
          <t>30</t>
        </is>
      </c>
      <c r="F85" s="465" t="inlineStr">
        <is>
          <t>another_friendly_item_used</t>
        </is>
      </c>
      <c r="G85" s="465" t="inlineStr">
        <is>
          <t>source_item_has_any_tag</t>
        </is>
      </c>
      <c r="H85" s="465" t="inlineStr">
        <is>
          <t>ammo</t>
        </is>
      </c>
      <c r="I85" s="465" t="inlineStr">
        <is>
          <t>adjacent</t>
        </is>
      </c>
      <c r="J85" s="465" t="inlineStr">
        <is>
          <t>self_item</t>
        </is>
      </c>
      <c r="K85" s="465" t="n"/>
      <c r="L85" s="465" t="n"/>
      <c r="M85" s="465" t="n"/>
      <c r="N85" s="465" t="inlineStr">
        <is>
          <t>charge</t>
        </is>
      </c>
      <c r="O85" s="465" t="inlineStr"/>
      <c r="Q85" s="465" t="inlineStr"/>
      <c r="R85" s="465" t="inlineStr"/>
      <c r="S85" s="465" t="inlineStr">
        <is>
          <t>1</t>
        </is>
      </c>
      <c r="T85" s="465" t="inlineStr">
        <is>
          <t>formal</t>
        </is>
      </c>
    </row>
    <row r="86">
      <c r="A86" s="465" t="inlineStr">
        <is>
          <t>effect_mistline_ratchet_gold_ready</t>
        </is>
      </c>
      <c r="B86" s="465" t="inlineStr">
        <is>
          <t>item_mistline_ratchet</t>
        </is>
      </c>
      <c r="C86" s="465" t="inlineStr">
        <is>
          <t>gold</t>
        </is>
      </c>
      <c r="D86" s="465" t="inlineStr">
        <is>
          <t>skill_mistline_ratchet</t>
        </is>
      </c>
      <c r="E86" s="465" t="inlineStr">
        <is>
          <t>20</t>
        </is>
      </c>
      <c r="F86" s="465" t="inlineStr">
        <is>
          <t>item_ready</t>
        </is>
      </c>
      <c r="G86" s="465" t="inlineStr">
        <is>
          <t>always</t>
        </is>
      </c>
      <c r="H86" s="465" t="inlineStr"/>
      <c r="I86" s="465" t="inlineStr">
        <is>
          <t>any</t>
        </is>
      </c>
      <c r="J86" s="465" t="inlineStr">
        <is>
          <t>selected_enemy</t>
        </is>
      </c>
      <c r="K86" s="465" t="n"/>
      <c r="L86" s="465" t="n"/>
      <c r="M86" s="465" t="n"/>
      <c r="N86" s="465" t="inlineStr">
        <is>
          <t>deal_damage</t>
        </is>
      </c>
      <c r="O86" s="465" t="inlineStr">
        <is>
          <t>8</t>
        </is>
      </c>
      <c r="Q86" s="465" t="inlineStr">
        <is>
          <t>false</t>
        </is>
      </c>
      <c r="R86" s="465" t="inlineStr"/>
      <c r="S86" s="465" t="inlineStr"/>
      <c r="T86" s="465" t="inlineStr">
        <is>
          <t>formal</t>
        </is>
      </c>
    </row>
    <row r="87">
      <c r="A87" s="465" t="inlineStr">
        <is>
          <t>effect_mistline_ratchet_gold_response</t>
        </is>
      </c>
      <c r="B87" s="465" t="inlineStr">
        <is>
          <t>item_mistline_ratchet</t>
        </is>
      </c>
      <c r="C87" s="465" t="inlineStr">
        <is>
          <t>gold</t>
        </is>
      </c>
      <c r="D87" s="465" t="inlineStr">
        <is>
          <t>skill_mistline_ratchet</t>
        </is>
      </c>
      <c r="E87" s="465" t="inlineStr">
        <is>
          <t>30</t>
        </is>
      </c>
      <c r="F87" s="465" t="inlineStr">
        <is>
          <t>another_friendly_item_used</t>
        </is>
      </c>
      <c r="G87" s="465" t="inlineStr">
        <is>
          <t>source_item_has_any_tag</t>
        </is>
      </c>
      <c r="H87" s="465" t="inlineStr">
        <is>
          <t>ammo</t>
        </is>
      </c>
      <c r="I87" s="465" t="inlineStr">
        <is>
          <t>adjacent</t>
        </is>
      </c>
      <c r="J87" s="465" t="inlineStr">
        <is>
          <t>self_item</t>
        </is>
      </c>
      <c r="K87" s="465" t="n"/>
      <c r="L87" s="465" t="n"/>
      <c r="M87" s="465" t="n"/>
      <c r="N87" s="465" t="inlineStr">
        <is>
          <t>charge</t>
        </is>
      </c>
      <c r="O87" s="465" t="inlineStr"/>
      <c r="Q87" s="465" t="inlineStr"/>
      <c r="R87" s="465" t="inlineStr"/>
      <c r="S87" s="465" t="inlineStr">
        <is>
          <t>2</t>
        </is>
      </c>
      <c r="T87" s="465" t="inlineStr">
        <is>
          <t>formal</t>
        </is>
      </c>
    </row>
    <row r="88">
      <c r="A88" s="465" t="inlineStr">
        <is>
          <t>effect_mistline_ratchet_diamond_ready</t>
        </is>
      </c>
      <c r="B88" s="465" t="inlineStr">
        <is>
          <t>item_mistline_ratchet</t>
        </is>
      </c>
      <c r="C88" s="465" t="inlineStr">
        <is>
          <t>diamond</t>
        </is>
      </c>
      <c r="D88" s="465" t="inlineStr">
        <is>
          <t>skill_mistline_ratchet</t>
        </is>
      </c>
      <c r="E88" s="465" t="inlineStr">
        <is>
          <t>20</t>
        </is>
      </c>
      <c r="F88" s="465" t="inlineStr">
        <is>
          <t>item_ready</t>
        </is>
      </c>
      <c r="G88" s="465" t="inlineStr">
        <is>
          <t>always</t>
        </is>
      </c>
      <c r="H88" s="465" t="inlineStr"/>
      <c r="I88" s="465" t="inlineStr">
        <is>
          <t>any</t>
        </is>
      </c>
      <c r="J88" s="465" t="inlineStr">
        <is>
          <t>selected_enemy</t>
        </is>
      </c>
      <c r="K88" s="465" t="n"/>
      <c r="L88" s="465" t="n"/>
      <c r="M88" s="465" t="n"/>
      <c r="N88" s="465" t="inlineStr">
        <is>
          <t>deal_damage</t>
        </is>
      </c>
      <c r="O88" s="465" t="inlineStr">
        <is>
          <t>12</t>
        </is>
      </c>
      <c r="Q88" s="465" t="inlineStr">
        <is>
          <t>false</t>
        </is>
      </c>
      <c r="R88" s="465" t="inlineStr"/>
      <c r="S88" s="465" t="inlineStr"/>
      <c r="T88" s="465" t="inlineStr">
        <is>
          <t>formal</t>
        </is>
      </c>
    </row>
    <row r="89" s="439">
      <c r="A89" s="465" t="inlineStr">
        <is>
          <t>effect_mistline_ratchet_diamond_response</t>
        </is>
      </c>
      <c r="B89" s="465" t="inlineStr">
        <is>
          <t>item_mistline_ratchet</t>
        </is>
      </c>
      <c r="C89" s="465" t="inlineStr">
        <is>
          <t>diamond</t>
        </is>
      </c>
      <c r="D89" s="465" t="inlineStr">
        <is>
          <t>skill_mistline_ratchet</t>
        </is>
      </c>
      <c r="E89" s="465" t="inlineStr">
        <is>
          <t>30</t>
        </is>
      </c>
      <c r="F89" s="465" t="inlineStr">
        <is>
          <t>another_friendly_item_used</t>
        </is>
      </c>
      <c r="G89" s="465" t="inlineStr">
        <is>
          <t>source_item_has_any_tag</t>
        </is>
      </c>
      <c r="H89" s="465" t="inlineStr">
        <is>
          <t>ammo</t>
        </is>
      </c>
      <c r="I89" s="465" t="inlineStr">
        <is>
          <t>adjacent</t>
        </is>
      </c>
      <c r="J89" s="465" t="inlineStr">
        <is>
          <t>self_item</t>
        </is>
      </c>
      <c r="K89" s="465" t="n"/>
      <c r="L89" s="465" t="n"/>
      <c r="M89" s="465" t="n"/>
      <c r="N89" s="465" t="inlineStr">
        <is>
          <t>charge</t>
        </is>
      </c>
      <c r="O89" s="465" t="inlineStr"/>
      <c r="Q89" s="465" t="inlineStr"/>
      <c r="R89" s="465" t="inlineStr"/>
      <c r="S89" s="465" t="inlineStr">
        <is>
          <t>2</t>
        </is>
      </c>
      <c r="T89" s="465" t="inlineStr">
        <is>
          <t>formal</t>
        </is>
      </c>
    </row>
    <row r="90" s="439">
      <c r="A90" s="465" t="inlineStr">
        <is>
          <t>effect_quadrant_linkage_bronze_ready</t>
        </is>
      </c>
      <c r="B90" s="465" t="inlineStr">
        <is>
          <t>item_quadrant_linkage</t>
        </is>
      </c>
      <c r="C90" s="465" t="inlineStr">
        <is>
          <t>bronze</t>
        </is>
      </c>
      <c r="D90" s="465" t="inlineStr">
        <is>
          <t>skill_quadrant_linkage</t>
        </is>
      </c>
      <c r="E90" s="465" t="inlineStr">
        <is>
          <t>20</t>
        </is>
      </c>
      <c r="F90" s="465" t="inlineStr">
        <is>
          <t>item_ready</t>
        </is>
      </c>
      <c r="G90" s="465" t="inlineStr">
        <is>
          <t>always</t>
        </is>
      </c>
      <c r="H90" s="465" t="inlineStr"/>
      <c r="I90" s="465" t="inlineStr">
        <is>
          <t>any</t>
        </is>
      </c>
      <c r="J90" s="465" t="inlineStr">
        <is>
          <t>selected_enemy</t>
        </is>
      </c>
      <c r="K90" s="465" t="n"/>
      <c r="L90" s="465" t="n"/>
      <c r="M90" s="465" t="n"/>
      <c r="N90" s="465" t="inlineStr">
        <is>
          <t>deal_damage</t>
        </is>
      </c>
      <c r="O90" s="465" t="inlineStr">
        <is>
          <t>2</t>
        </is>
      </c>
      <c r="Q90" s="465" t="inlineStr">
        <is>
          <t>false</t>
        </is>
      </c>
      <c r="R90" s="465" t="inlineStr"/>
      <c r="S90" s="465" t="inlineStr"/>
      <c r="T90" s="465" t="inlineStr">
        <is>
          <t>formal</t>
        </is>
      </c>
    </row>
    <row r="91" s="439">
      <c r="A91" s="465" t="inlineStr">
        <is>
          <t>effect_quadrant_linkage_bronze_left_adjacent</t>
        </is>
      </c>
      <c r="B91" s="465" t="inlineStr">
        <is>
          <t>item_quadrant_linkage</t>
        </is>
      </c>
      <c r="C91" s="465" t="inlineStr">
        <is>
          <t>bronze</t>
        </is>
      </c>
      <c r="D91" s="465" t="inlineStr">
        <is>
          <t>skill_quadrant_linkage</t>
        </is>
      </c>
      <c r="E91" s="465" t="inlineStr">
        <is>
          <t>30</t>
        </is>
      </c>
      <c r="F91" s="465" t="inlineStr">
        <is>
          <t>item_ready</t>
        </is>
      </c>
      <c r="G91" s="465" t="inlineStr">
        <is>
          <t>always</t>
        </is>
      </c>
      <c r="H91" s="465" t="inlineStr"/>
      <c r="I91" s="465" t="inlineStr">
        <is>
          <t>any</t>
        </is>
      </c>
      <c r="J91" s="465" t="inlineStr">
        <is>
          <t>left_adjacent_item</t>
        </is>
      </c>
      <c r="K91" s="465" t="n"/>
      <c r="L91" s="465" t="n"/>
      <c r="M91" s="465" t="n"/>
      <c r="N91" s="465" t="inlineStr">
        <is>
          <t>charge</t>
        </is>
      </c>
      <c r="O91" s="465" t="inlineStr"/>
      <c r="Q91" s="465" t="inlineStr"/>
      <c r="R91" s="465" t="inlineStr"/>
      <c r="S91" s="465" t="inlineStr">
        <is>
          <t>1</t>
        </is>
      </c>
      <c r="T91" s="465" t="inlineStr">
        <is>
          <t>formal</t>
        </is>
      </c>
    </row>
    <row r="92" s="439">
      <c r="A92" s="465" t="inlineStr">
        <is>
          <t>effect_quadrant_linkage_bronze_right_adjacent</t>
        </is>
      </c>
      <c r="B92" s="465" t="inlineStr">
        <is>
          <t>item_quadrant_linkage</t>
        </is>
      </c>
      <c r="C92" s="465" t="inlineStr">
        <is>
          <t>bronze</t>
        </is>
      </c>
      <c r="D92" s="465" t="inlineStr">
        <is>
          <t>skill_quadrant_linkage</t>
        </is>
      </c>
      <c r="E92" s="465" t="inlineStr">
        <is>
          <t>31</t>
        </is>
      </c>
      <c r="F92" s="465" t="inlineStr">
        <is>
          <t>item_ready</t>
        </is>
      </c>
      <c r="G92" s="465" t="inlineStr">
        <is>
          <t>always</t>
        </is>
      </c>
      <c r="H92" s="465" t="inlineStr"/>
      <c r="I92" s="465" t="inlineStr">
        <is>
          <t>any</t>
        </is>
      </c>
      <c r="J92" s="465" t="inlineStr">
        <is>
          <t>right_adjacent_item</t>
        </is>
      </c>
      <c r="K92" s="465" t="n"/>
      <c r="L92" s="465" t="n"/>
      <c r="M92" s="465" t="n"/>
      <c r="N92" s="465" t="inlineStr">
        <is>
          <t>charge</t>
        </is>
      </c>
      <c r="O92" s="465" t="inlineStr"/>
      <c r="Q92" s="465" t="inlineStr"/>
      <c r="R92" s="465" t="inlineStr"/>
      <c r="S92" s="465" t="inlineStr">
        <is>
          <t>1</t>
        </is>
      </c>
      <c r="T92" s="465" t="inlineStr">
        <is>
          <t>formal</t>
        </is>
      </c>
    </row>
    <row r="93" s="439">
      <c r="A93" s="465" t="inlineStr">
        <is>
          <t>effect_quadrant_linkage_bronze_leftmost</t>
        </is>
      </c>
      <c r="B93" s="465" t="inlineStr">
        <is>
          <t>item_quadrant_linkage</t>
        </is>
      </c>
      <c r="C93" s="465" t="inlineStr">
        <is>
          <t>bronze</t>
        </is>
      </c>
      <c r="D93" s="465" t="inlineStr">
        <is>
          <t>skill_quadrant_linkage</t>
        </is>
      </c>
      <c r="E93" s="465" t="inlineStr">
        <is>
          <t>32</t>
        </is>
      </c>
      <c r="F93" s="465" t="inlineStr">
        <is>
          <t>item_ready</t>
        </is>
      </c>
      <c r="G93" s="465" t="inlineStr">
        <is>
          <t>always</t>
        </is>
      </c>
      <c r="H93" s="465" t="inlineStr"/>
      <c r="I93" s="465" t="inlineStr">
        <is>
          <t>any</t>
        </is>
      </c>
      <c r="J93" s="465" t="inlineStr">
        <is>
          <t>leftmost_friendly_item</t>
        </is>
      </c>
      <c r="K93" s="465" t="n"/>
      <c r="L93" s="465" t="n"/>
      <c r="M93" s="465" t="n"/>
      <c r="N93" s="465" t="inlineStr">
        <is>
          <t>charge</t>
        </is>
      </c>
      <c r="O93" s="465" t="inlineStr"/>
      <c r="Q93" s="465" t="inlineStr"/>
      <c r="R93" s="465" t="inlineStr"/>
      <c r="S93" s="465" t="inlineStr">
        <is>
          <t>1</t>
        </is>
      </c>
      <c r="T93" s="465" t="inlineStr">
        <is>
          <t>formal</t>
        </is>
      </c>
    </row>
    <row r="94" s="439">
      <c r="A94" s="465" t="inlineStr">
        <is>
          <t>effect_quadrant_linkage_bronze_rightmost</t>
        </is>
      </c>
      <c r="B94" s="465" t="inlineStr">
        <is>
          <t>item_quadrant_linkage</t>
        </is>
      </c>
      <c r="C94" s="465" t="inlineStr">
        <is>
          <t>bronze</t>
        </is>
      </c>
      <c r="D94" s="465" t="inlineStr">
        <is>
          <t>skill_quadrant_linkage</t>
        </is>
      </c>
      <c r="E94" s="465" t="inlineStr">
        <is>
          <t>33</t>
        </is>
      </c>
      <c r="F94" s="465" t="inlineStr">
        <is>
          <t>item_ready</t>
        </is>
      </c>
      <c r="G94" s="465" t="inlineStr">
        <is>
          <t>always</t>
        </is>
      </c>
      <c r="H94" s="465" t="inlineStr"/>
      <c r="I94" s="465" t="inlineStr">
        <is>
          <t>any</t>
        </is>
      </c>
      <c r="J94" s="465" t="inlineStr">
        <is>
          <t>rightmost_friendly_item</t>
        </is>
      </c>
      <c r="K94" s="465" t="n"/>
      <c r="L94" s="465" t="n"/>
      <c r="M94" s="465" t="n"/>
      <c r="N94" s="465" t="inlineStr">
        <is>
          <t>charge</t>
        </is>
      </c>
      <c r="O94" s="465" t="inlineStr"/>
      <c r="Q94" s="465" t="inlineStr"/>
      <c r="R94" s="465" t="inlineStr"/>
      <c r="S94" s="465" t="inlineStr">
        <is>
          <t>1</t>
        </is>
      </c>
      <c r="T94" s="465" t="inlineStr">
        <is>
          <t>formal</t>
        </is>
      </c>
    </row>
    <row r="95" s="439">
      <c r="A95" s="465" t="inlineStr">
        <is>
          <t>effect_quadrant_linkage_silver_ready</t>
        </is>
      </c>
      <c r="B95" s="465" t="inlineStr">
        <is>
          <t>item_quadrant_linkage</t>
        </is>
      </c>
      <c r="C95" s="465" t="inlineStr">
        <is>
          <t>silver</t>
        </is>
      </c>
      <c r="D95" s="465" t="inlineStr">
        <is>
          <t>skill_quadrant_linkage</t>
        </is>
      </c>
      <c r="E95" s="465" t="inlineStr">
        <is>
          <t>20</t>
        </is>
      </c>
      <c r="F95" s="465" t="inlineStr">
        <is>
          <t>item_ready</t>
        </is>
      </c>
      <c r="G95" s="465" t="inlineStr">
        <is>
          <t>always</t>
        </is>
      </c>
      <c r="H95" s="465" t="inlineStr"/>
      <c r="I95" s="465" t="inlineStr">
        <is>
          <t>any</t>
        </is>
      </c>
      <c r="J95" s="465" t="inlineStr">
        <is>
          <t>selected_enemy</t>
        </is>
      </c>
      <c r="K95" s="465" t="n"/>
      <c r="L95" s="465" t="n"/>
      <c r="M95" s="465" t="n"/>
      <c r="N95" s="465" t="inlineStr">
        <is>
          <t>deal_damage</t>
        </is>
      </c>
      <c r="O95" s="465" t="inlineStr">
        <is>
          <t>3</t>
        </is>
      </c>
      <c r="Q95" s="465" t="inlineStr">
        <is>
          <t>false</t>
        </is>
      </c>
      <c r="R95" s="465" t="inlineStr"/>
      <c r="S95" s="465" t="inlineStr"/>
      <c r="T95" s="465" t="inlineStr">
        <is>
          <t>formal</t>
        </is>
      </c>
    </row>
    <row r="96" s="439">
      <c r="A96" s="465" t="inlineStr">
        <is>
          <t>effect_quadrant_linkage_silver_left_adjacent</t>
        </is>
      </c>
      <c r="B96" s="465" t="inlineStr">
        <is>
          <t>item_quadrant_linkage</t>
        </is>
      </c>
      <c r="C96" s="465" t="inlineStr">
        <is>
          <t>silver</t>
        </is>
      </c>
      <c r="D96" s="465" t="inlineStr">
        <is>
          <t>skill_quadrant_linkage</t>
        </is>
      </c>
      <c r="E96" s="465" t="inlineStr">
        <is>
          <t>30</t>
        </is>
      </c>
      <c r="F96" s="465" t="inlineStr">
        <is>
          <t>item_ready</t>
        </is>
      </c>
      <c r="G96" s="465" t="inlineStr">
        <is>
          <t>always</t>
        </is>
      </c>
      <c r="H96" s="465" t="inlineStr"/>
      <c r="I96" s="465" t="inlineStr">
        <is>
          <t>any</t>
        </is>
      </c>
      <c r="J96" s="465" t="inlineStr">
        <is>
          <t>left_adjacent_item</t>
        </is>
      </c>
      <c r="K96" s="465" t="n"/>
      <c r="L96" s="465" t="n"/>
      <c r="M96" s="465" t="n"/>
      <c r="N96" s="465" t="inlineStr">
        <is>
          <t>charge</t>
        </is>
      </c>
      <c r="O96" s="465" t="inlineStr"/>
      <c r="Q96" s="465" t="inlineStr"/>
      <c r="R96" s="465" t="inlineStr"/>
      <c r="S96" s="465" t="inlineStr">
        <is>
          <t>1</t>
        </is>
      </c>
      <c r="T96" s="465" t="inlineStr">
        <is>
          <t>formal</t>
        </is>
      </c>
    </row>
    <row r="97" s="439">
      <c r="A97" s="465" t="inlineStr">
        <is>
          <t>effect_quadrant_linkage_silver_right_adjacent</t>
        </is>
      </c>
      <c r="B97" s="465" t="inlineStr">
        <is>
          <t>item_quadrant_linkage</t>
        </is>
      </c>
      <c r="C97" s="465" t="inlineStr">
        <is>
          <t>silver</t>
        </is>
      </c>
      <c r="D97" s="465" t="inlineStr">
        <is>
          <t>skill_quadrant_linkage</t>
        </is>
      </c>
      <c r="E97" s="465" t="inlineStr">
        <is>
          <t>31</t>
        </is>
      </c>
      <c r="F97" s="465" t="inlineStr">
        <is>
          <t>item_ready</t>
        </is>
      </c>
      <c r="G97" s="465" t="inlineStr">
        <is>
          <t>always</t>
        </is>
      </c>
      <c r="H97" s="465" t="inlineStr"/>
      <c r="I97" s="465" t="inlineStr">
        <is>
          <t>any</t>
        </is>
      </c>
      <c r="J97" s="465" t="inlineStr">
        <is>
          <t>right_adjacent_item</t>
        </is>
      </c>
      <c r="K97" s="465" t="n"/>
      <c r="L97" s="465" t="n"/>
      <c r="M97" s="465" t="n"/>
      <c r="N97" s="465" t="inlineStr">
        <is>
          <t>charge</t>
        </is>
      </c>
      <c r="O97" s="465" t="inlineStr"/>
      <c r="Q97" s="465" t="inlineStr"/>
      <c r="R97" s="465" t="inlineStr"/>
      <c r="S97" s="465" t="inlineStr">
        <is>
          <t>1</t>
        </is>
      </c>
      <c r="T97" s="465" t="inlineStr">
        <is>
          <t>formal</t>
        </is>
      </c>
    </row>
    <row r="98" s="439">
      <c r="A98" s="465" t="inlineStr">
        <is>
          <t>effect_quadrant_linkage_silver_leftmost</t>
        </is>
      </c>
      <c r="B98" s="465" t="inlineStr">
        <is>
          <t>item_quadrant_linkage</t>
        </is>
      </c>
      <c r="C98" s="465" t="inlineStr">
        <is>
          <t>silver</t>
        </is>
      </c>
      <c r="D98" s="465" t="inlineStr">
        <is>
          <t>skill_quadrant_linkage</t>
        </is>
      </c>
      <c r="E98" s="465" t="inlineStr">
        <is>
          <t>32</t>
        </is>
      </c>
      <c r="F98" s="465" t="inlineStr">
        <is>
          <t>item_ready</t>
        </is>
      </c>
      <c r="G98" s="465" t="inlineStr">
        <is>
          <t>always</t>
        </is>
      </c>
      <c r="H98" s="465" t="inlineStr"/>
      <c r="I98" s="465" t="inlineStr">
        <is>
          <t>any</t>
        </is>
      </c>
      <c r="J98" s="465" t="inlineStr">
        <is>
          <t>leftmost_friendly_item</t>
        </is>
      </c>
      <c r="K98" s="465" t="n"/>
      <c r="L98" s="465" t="n"/>
      <c r="M98" s="465" t="n"/>
      <c r="N98" s="465" t="inlineStr">
        <is>
          <t>charge</t>
        </is>
      </c>
      <c r="O98" s="465" t="inlineStr"/>
      <c r="Q98" s="465" t="inlineStr"/>
      <c r="R98" s="465" t="inlineStr"/>
      <c r="S98" s="465" t="inlineStr">
        <is>
          <t>2</t>
        </is>
      </c>
      <c r="T98" s="465" t="inlineStr">
        <is>
          <t>formal</t>
        </is>
      </c>
    </row>
    <row r="99" s="439">
      <c r="A99" s="465" t="inlineStr">
        <is>
          <t>effect_quadrant_linkage_silver_rightmost</t>
        </is>
      </c>
      <c r="B99" s="465" t="inlineStr">
        <is>
          <t>item_quadrant_linkage</t>
        </is>
      </c>
      <c r="C99" s="465" t="inlineStr">
        <is>
          <t>silver</t>
        </is>
      </c>
      <c r="D99" s="465" t="inlineStr">
        <is>
          <t>skill_quadrant_linkage</t>
        </is>
      </c>
      <c r="E99" s="465" t="inlineStr">
        <is>
          <t>33</t>
        </is>
      </c>
      <c r="F99" s="465" t="inlineStr">
        <is>
          <t>item_ready</t>
        </is>
      </c>
      <c r="G99" s="465" t="inlineStr">
        <is>
          <t>always</t>
        </is>
      </c>
      <c r="H99" s="465" t="inlineStr"/>
      <c r="I99" s="465" t="inlineStr">
        <is>
          <t>any</t>
        </is>
      </c>
      <c r="J99" s="465" t="inlineStr">
        <is>
          <t>rightmost_friendly_item</t>
        </is>
      </c>
      <c r="K99" s="465" t="n"/>
      <c r="L99" s="465" t="n"/>
      <c r="M99" s="465" t="n"/>
      <c r="N99" s="465" t="inlineStr">
        <is>
          <t>charge</t>
        </is>
      </c>
      <c r="O99" s="465" t="inlineStr"/>
      <c r="Q99" s="465" t="inlineStr"/>
      <c r="R99" s="465" t="inlineStr"/>
      <c r="S99" s="465" t="inlineStr">
        <is>
          <t>2</t>
        </is>
      </c>
      <c r="T99" s="465" t="inlineStr">
        <is>
          <t>formal</t>
        </is>
      </c>
    </row>
    <row r="100" s="439">
      <c r="A100" s="465" t="inlineStr">
        <is>
          <t>effect_quadrant_linkage_gold_ready</t>
        </is>
      </c>
      <c r="B100" s="465" t="inlineStr">
        <is>
          <t>item_quadrant_linkage</t>
        </is>
      </c>
      <c r="C100" s="465" t="inlineStr">
        <is>
          <t>gold</t>
        </is>
      </c>
      <c r="D100" s="465" t="inlineStr">
        <is>
          <t>skill_quadrant_linkage</t>
        </is>
      </c>
      <c r="E100" s="465" t="inlineStr">
        <is>
          <t>20</t>
        </is>
      </c>
      <c r="F100" s="465" t="inlineStr">
        <is>
          <t>item_ready</t>
        </is>
      </c>
      <c r="G100" s="465" t="inlineStr">
        <is>
          <t>always</t>
        </is>
      </c>
      <c r="H100" s="465" t="inlineStr"/>
      <c r="I100" s="465" t="inlineStr">
        <is>
          <t>any</t>
        </is>
      </c>
      <c r="J100" s="465" t="inlineStr">
        <is>
          <t>selected_enemy</t>
        </is>
      </c>
      <c r="K100" s="465" t="n"/>
      <c r="L100" s="465" t="n"/>
      <c r="M100" s="465" t="n"/>
      <c r="N100" s="465" t="inlineStr">
        <is>
          <t>deal_damage</t>
        </is>
      </c>
      <c r="O100" s="465" t="inlineStr">
        <is>
          <t>5</t>
        </is>
      </c>
      <c r="Q100" s="465" t="inlineStr">
        <is>
          <t>false</t>
        </is>
      </c>
      <c r="R100" s="465" t="inlineStr"/>
      <c r="S100" s="465" t="inlineStr"/>
      <c r="T100" s="465" t="inlineStr">
        <is>
          <t>formal</t>
        </is>
      </c>
    </row>
    <row r="101" s="439">
      <c r="A101" s="465" t="inlineStr">
        <is>
          <t>effect_quadrant_linkage_gold_left_adjacent</t>
        </is>
      </c>
      <c r="B101" s="465" t="inlineStr">
        <is>
          <t>item_quadrant_linkage</t>
        </is>
      </c>
      <c r="C101" s="465" t="inlineStr">
        <is>
          <t>gold</t>
        </is>
      </c>
      <c r="D101" s="465" t="inlineStr">
        <is>
          <t>skill_quadrant_linkage</t>
        </is>
      </c>
      <c r="E101" s="465" t="inlineStr">
        <is>
          <t>30</t>
        </is>
      </c>
      <c r="F101" s="465" t="inlineStr">
        <is>
          <t>item_ready</t>
        </is>
      </c>
      <c r="G101" s="465" t="inlineStr">
        <is>
          <t>always</t>
        </is>
      </c>
      <c r="H101" s="465" t="inlineStr"/>
      <c r="I101" s="465" t="inlineStr">
        <is>
          <t>any</t>
        </is>
      </c>
      <c r="J101" s="465" t="inlineStr">
        <is>
          <t>left_adjacent_item</t>
        </is>
      </c>
      <c r="K101" s="465" t="n"/>
      <c r="L101" s="465" t="n"/>
      <c r="M101" s="465" t="n"/>
      <c r="N101" s="465" t="inlineStr">
        <is>
          <t>charge</t>
        </is>
      </c>
      <c r="O101" s="465" t="inlineStr"/>
      <c r="Q101" s="465" t="inlineStr"/>
      <c r="R101" s="465" t="inlineStr"/>
      <c r="S101" s="465" t="inlineStr">
        <is>
          <t>2</t>
        </is>
      </c>
      <c r="T101" s="465" t="inlineStr">
        <is>
          <t>formal</t>
        </is>
      </c>
    </row>
    <row r="102" s="439">
      <c r="A102" s="465" t="inlineStr">
        <is>
          <t>effect_quadrant_linkage_gold_right_adjacent</t>
        </is>
      </c>
      <c r="B102" s="465" t="inlineStr">
        <is>
          <t>item_quadrant_linkage</t>
        </is>
      </c>
      <c r="C102" s="465" t="inlineStr">
        <is>
          <t>gold</t>
        </is>
      </c>
      <c r="D102" s="465" t="inlineStr">
        <is>
          <t>skill_quadrant_linkage</t>
        </is>
      </c>
      <c r="E102" s="465" t="inlineStr">
        <is>
          <t>31</t>
        </is>
      </c>
      <c r="F102" s="465" t="inlineStr">
        <is>
          <t>item_ready</t>
        </is>
      </c>
      <c r="G102" s="465" t="inlineStr">
        <is>
          <t>always</t>
        </is>
      </c>
      <c r="H102" s="465" t="inlineStr"/>
      <c r="I102" s="465" t="inlineStr">
        <is>
          <t>any</t>
        </is>
      </c>
      <c r="J102" s="465" t="inlineStr">
        <is>
          <t>right_adjacent_item</t>
        </is>
      </c>
      <c r="K102" s="465" t="n"/>
      <c r="L102" s="465" t="n"/>
      <c r="M102" s="465" t="n"/>
      <c r="N102" s="465" t="inlineStr">
        <is>
          <t>charge</t>
        </is>
      </c>
      <c r="O102" s="465" t="inlineStr"/>
      <c r="Q102" s="465" t="inlineStr"/>
      <c r="R102" s="465" t="inlineStr"/>
      <c r="S102" s="465" t="inlineStr">
        <is>
          <t>2</t>
        </is>
      </c>
      <c r="T102" s="465" t="inlineStr">
        <is>
          <t>formal</t>
        </is>
      </c>
    </row>
    <row r="103" s="439">
      <c r="A103" s="465" t="inlineStr">
        <is>
          <t>effect_quadrant_linkage_gold_leftmost</t>
        </is>
      </c>
      <c r="B103" s="465" t="inlineStr">
        <is>
          <t>item_quadrant_linkage</t>
        </is>
      </c>
      <c r="C103" s="465" t="inlineStr">
        <is>
          <t>gold</t>
        </is>
      </c>
      <c r="D103" s="465" t="inlineStr">
        <is>
          <t>skill_quadrant_linkage</t>
        </is>
      </c>
      <c r="E103" s="465" t="inlineStr">
        <is>
          <t>32</t>
        </is>
      </c>
      <c r="F103" s="465" t="inlineStr">
        <is>
          <t>item_ready</t>
        </is>
      </c>
      <c r="G103" s="465" t="inlineStr">
        <is>
          <t>always</t>
        </is>
      </c>
      <c r="H103" s="465" t="inlineStr"/>
      <c r="I103" s="465" t="inlineStr">
        <is>
          <t>any</t>
        </is>
      </c>
      <c r="J103" s="465" t="inlineStr">
        <is>
          <t>leftmost_friendly_item</t>
        </is>
      </c>
      <c r="K103" s="465" t="n"/>
      <c r="L103" s="465" t="n"/>
      <c r="M103" s="465" t="n"/>
      <c r="N103" s="465" t="inlineStr">
        <is>
          <t>charge</t>
        </is>
      </c>
      <c r="O103" s="465" t="inlineStr"/>
      <c r="Q103" s="465" t="inlineStr"/>
      <c r="R103" s="465" t="inlineStr"/>
      <c r="S103" s="465" t="inlineStr">
        <is>
          <t>2</t>
        </is>
      </c>
      <c r="T103" s="465" t="inlineStr">
        <is>
          <t>formal</t>
        </is>
      </c>
    </row>
    <row r="104" s="439">
      <c r="A104" s="465" t="inlineStr">
        <is>
          <t>effect_quadrant_linkage_gold_rightmost</t>
        </is>
      </c>
      <c r="B104" s="465" t="inlineStr">
        <is>
          <t>item_quadrant_linkage</t>
        </is>
      </c>
      <c r="C104" s="465" t="inlineStr">
        <is>
          <t>gold</t>
        </is>
      </c>
      <c r="D104" s="465" t="inlineStr">
        <is>
          <t>skill_quadrant_linkage</t>
        </is>
      </c>
      <c r="E104" s="465" t="inlineStr">
        <is>
          <t>33</t>
        </is>
      </c>
      <c r="F104" s="465" t="inlineStr">
        <is>
          <t>item_ready</t>
        </is>
      </c>
      <c r="G104" s="465" t="inlineStr">
        <is>
          <t>always</t>
        </is>
      </c>
      <c r="H104" s="465" t="inlineStr"/>
      <c r="I104" s="465" t="inlineStr">
        <is>
          <t>any</t>
        </is>
      </c>
      <c r="J104" s="465" t="inlineStr">
        <is>
          <t>rightmost_friendly_item</t>
        </is>
      </c>
      <c r="K104" s="465" t="n"/>
      <c r="L104" s="465" t="n"/>
      <c r="M104" s="465" t="n"/>
      <c r="N104" s="465" t="inlineStr">
        <is>
          <t>charge</t>
        </is>
      </c>
      <c r="O104" s="465" t="inlineStr"/>
      <c r="Q104" s="465" t="inlineStr"/>
      <c r="R104" s="465" t="inlineStr"/>
      <c r="S104" s="465" t="inlineStr">
        <is>
          <t>2</t>
        </is>
      </c>
      <c r="T104" s="465" t="inlineStr">
        <is>
          <t>formal</t>
        </is>
      </c>
    </row>
    <row r="105" s="439">
      <c r="A105" s="465" t="inlineStr">
        <is>
          <t>effect_quadrant_linkage_diamond_ready</t>
        </is>
      </c>
      <c r="B105" s="465" t="inlineStr">
        <is>
          <t>item_quadrant_linkage</t>
        </is>
      </c>
      <c r="C105" s="465" t="inlineStr">
        <is>
          <t>diamond</t>
        </is>
      </c>
      <c r="D105" s="465" t="inlineStr">
        <is>
          <t>skill_quadrant_linkage</t>
        </is>
      </c>
      <c r="E105" s="465" t="inlineStr">
        <is>
          <t>20</t>
        </is>
      </c>
      <c r="F105" s="465" t="inlineStr">
        <is>
          <t>item_ready</t>
        </is>
      </c>
      <c r="G105" s="465" t="inlineStr">
        <is>
          <t>always</t>
        </is>
      </c>
      <c r="H105" s="465" t="inlineStr"/>
      <c r="I105" s="465" t="inlineStr">
        <is>
          <t>any</t>
        </is>
      </c>
      <c r="J105" s="465" t="inlineStr">
        <is>
          <t>selected_enemy</t>
        </is>
      </c>
      <c r="K105" s="465" t="n"/>
      <c r="L105" s="465" t="n"/>
      <c r="M105" s="465" t="n"/>
      <c r="N105" s="465" t="inlineStr">
        <is>
          <t>deal_damage</t>
        </is>
      </c>
      <c r="O105" s="465" t="inlineStr">
        <is>
          <t>7</t>
        </is>
      </c>
      <c r="Q105" s="465" t="inlineStr">
        <is>
          <t>false</t>
        </is>
      </c>
      <c r="R105" s="465" t="inlineStr"/>
      <c r="S105" s="465" t="inlineStr"/>
      <c r="T105" s="465" t="inlineStr">
        <is>
          <t>formal</t>
        </is>
      </c>
    </row>
    <row r="106" s="439">
      <c r="A106" s="465" t="inlineStr">
        <is>
          <t>effect_quadrant_linkage_diamond_left_adjacent</t>
        </is>
      </c>
      <c r="B106" s="465" t="inlineStr">
        <is>
          <t>item_quadrant_linkage</t>
        </is>
      </c>
      <c r="C106" s="465" t="inlineStr">
        <is>
          <t>diamond</t>
        </is>
      </c>
      <c r="D106" s="465" t="inlineStr">
        <is>
          <t>skill_quadrant_linkage</t>
        </is>
      </c>
      <c r="E106" s="465" t="inlineStr">
        <is>
          <t>30</t>
        </is>
      </c>
      <c r="F106" s="465" t="inlineStr">
        <is>
          <t>item_ready</t>
        </is>
      </c>
      <c r="G106" s="465" t="inlineStr">
        <is>
          <t>always</t>
        </is>
      </c>
      <c r="H106" s="465" t="inlineStr"/>
      <c r="I106" s="465" t="inlineStr">
        <is>
          <t>any</t>
        </is>
      </c>
      <c r="J106" s="465" t="inlineStr">
        <is>
          <t>left_adjacent_item</t>
        </is>
      </c>
      <c r="K106" s="465" t="n"/>
      <c r="L106" s="465" t="n"/>
      <c r="M106" s="465" t="n"/>
      <c r="N106" s="465" t="inlineStr">
        <is>
          <t>charge</t>
        </is>
      </c>
      <c r="O106" s="465" t="inlineStr"/>
      <c r="Q106" s="465" t="inlineStr"/>
      <c r="R106" s="465" t="inlineStr"/>
      <c r="S106" s="465" t="inlineStr">
        <is>
          <t>2</t>
        </is>
      </c>
      <c r="T106" s="465" t="inlineStr">
        <is>
          <t>formal</t>
        </is>
      </c>
    </row>
    <row r="107" s="439">
      <c r="A107" s="465" t="inlineStr">
        <is>
          <t>effect_quadrant_linkage_diamond_right_adjacent</t>
        </is>
      </c>
      <c r="B107" s="465" t="inlineStr">
        <is>
          <t>item_quadrant_linkage</t>
        </is>
      </c>
      <c r="C107" s="465" t="inlineStr">
        <is>
          <t>diamond</t>
        </is>
      </c>
      <c r="D107" s="465" t="inlineStr">
        <is>
          <t>skill_quadrant_linkage</t>
        </is>
      </c>
      <c r="E107" s="465" t="inlineStr">
        <is>
          <t>31</t>
        </is>
      </c>
      <c r="F107" s="465" t="inlineStr">
        <is>
          <t>item_ready</t>
        </is>
      </c>
      <c r="G107" s="465" t="inlineStr">
        <is>
          <t>always</t>
        </is>
      </c>
      <c r="H107" s="465" t="inlineStr"/>
      <c r="I107" s="465" t="inlineStr">
        <is>
          <t>any</t>
        </is>
      </c>
      <c r="J107" s="465" t="inlineStr">
        <is>
          <t>right_adjacent_item</t>
        </is>
      </c>
      <c r="K107" s="465" t="n"/>
      <c r="L107" s="465" t="n"/>
      <c r="M107" s="465" t="n"/>
      <c r="N107" s="465" t="inlineStr">
        <is>
          <t>charge</t>
        </is>
      </c>
      <c r="O107" s="465" t="inlineStr"/>
      <c r="Q107" s="465" t="inlineStr"/>
      <c r="R107" s="465" t="inlineStr"/>
      <c r="S107" s="465" t="inlineStr">
        <is>
          <t>2</t>
        </is>
      </c>
      <c r="T107" s="465" t="inlineStr">
        <is>
          <t>formal</t>
        </is>
      </c>
    </row>
    <row r="108" s="439">
      <c r="A108" s="465" t="inlineStr">
        <is>
          <t>effect_quadrant_linkage_diamond_leftmost</t>
        </is>
      </c>
      <c r="B108" s="465" t="inlineStr">
        <is>
          <t>item_quadrant_linkage</t>
        </is>
      </c>
      <c r="C108" s="465" t="inlineStr">
        <is>
          <t>diamond</t>
        </is>
      </c>
      <c r="D108" s="465" t="inlineStr">
        <is>
          <t>skill_quadrant_linkage</t>
        </is>
      </c>
      <c r="E108" s="465" t="inlineStr">
        <is>
          <t>32</t>
        </is>
      </c>
      <c r="F108" s="465" t="inlineStr">
        <is>
          <t>item_ready</t>
        </is>
      </c>
      <c r="G108" s="465" t="inlineStr">
        <is>
          <t>always</t>
        </is>
      </c>
      <c r="H108" s="465" t="inlineStr"/>
      <c r="I108" s="465" t="inlineStr">
        <is>
          <t>any</t>
        </is>
      </c>
      <c r="J108" s="465" t="inlineStr">
        <is>
          <t>leftmost_friendly_item</t>
        </is>
      </c>
      <c r="K108" s="465" t="n"/>
      <c r="L108" s="465" t="n"/>
      <c r="M108" s="465" t="n"/>
      <c r="N108" s="465" t="inlineStr">
        <is>
          <t>charge</t>
        </is>
      </c>
      <c r="O108" s="465" t="inlineStr"/>
      <c r="Q108" s="465" t="inlineStr"/>
      <c r="R108" s="465" t="inlineStr"/>
      <c r="S108" s="465" t="inlineStr">
        <is>
          <t>3</t>
        </is>
      </c>
      <c r="T108" s="465" t="inlineStr">
        <is>
          <t>formal</t>
        </is>
      </c>
    </row>
    <row r="109" s="439">
      <c r="A109" s="465" t="inlineStr">
        <is>
          <t>effect_quadrant_linkage_diamond_rightmost</t>
        </is>
      </c>
      <c r="B109" s="465" t="inlineStr">
        <is>
          <t>item_quadrant_linkage</t>
        </is>
      </c>
      <c r="C109" s="465" t="inlineStr">
        <is>
          <t>diamond</t>
        </is>
      </c>
      <c r="D109" s="465" t="inlineStr">
        <is>
          <t>skill_quadrant_linkage</t>
        </is>
      </c>
      <c r="E109" s="465" t="inlineStr">
        <is>
          <t>33</t>
        </is>
      </c>
      <c r="F109" s="465" t="inlineStr">
        <is>
          <t>item_ready</t>
        </is>
      </c>
      <c r="G109" s="465" t="inlineStr">
        <is>
          <t>always</t>
        </is>
      </c>
      <c r="H109" s="465" t="inlineStr"/>
      <c r="I109" s="465" t="inlineStr">
        <is>
          <t>any</t>
        </is>
      </c>
      <c r="J109" s="465" t="inlineStr">
        <is>
          <t>rightmost_friendly_item</t>
        </is>
      </c>
      <c r="K109" s="465" t="n"/>
      <c r="L109" s="465" t="n"/>
      <c r="M109" s="465" t="n"/>
      <c r="N109" s="465" t="inlineStr">
        <is>
          <t>charge</t>
        </is>
      </c>
      <c r="O109" s="465" t="inlineStr"/>
      <c r="Q109" s="465" t="inlineStr"/>
      <c r="R109" s="465" t="inlineStr"/>
      <c r="S109" s="465" t="inlineStr">
        <is>
          <t>3</t>
        </is>
      </c>
      <c r="T109" s="465" t="inlineStr">
        <is>
          <t>formal</t>
        </is>
      </c>
    </row>
    <row r="110" s="439">
      <c r="A110" s="465" t="inlineStr">
        <is>
          <t>effect_followwake_calibrator_bronze_ready</t>
        </is>
      </c>
      <c r="B110" s="465" t="inlineStr">
        <is>
          <t>item_followwake_calibrator</t>
        </is>
      </c>
      <c r="C110" s="465" t="inlineStr">
        <is>
          <t>bronze</t>
        </is>
      </c>
      <c r="D110" s="465" t="inlineStr">
        <is>
          <t>skill_followwake_calibrator</t>
        </is>
      </c>
      <c r="E110" s="465" t="inlineStr">
        <is>
          <t>20</t>
        </is>
      </c>
      <c r="F110" s="465" t="inlineStr">
        <is>
          <t>item_ready</t>
        </is>
      </c>
      <c r="G110" s="465" t="inlineStr">
        <is>
          <t>always</t>
        </is>
      </c>
      <c r="H110" s="465" t="inlineStr"/>
      <c r="I110" s="465" t="inlineStr">
        <is>
          <t>any</t>
        </is>
      </c>
      <c r="J110" s="465" t="inlineStr">
        <is>
          <t>selected_enemy</t>
        </is>
      </c>
      <c r="K110" s="465" t="n"/>
      <c r="L110" s="465" t="n"/>
      <c r="M110" s="465" t="n"/>
      <c r="N110" s="465" t="inlineStr">
        <is>
          <t>deal_damage</t>
        </is>
      </c>
      <c r="O110" s="465" t="inlineStr">
        <is>
          <t>1</t>
        </is>
      </c>
      <c r="Q110" s="465" t="inlineStr">
        <is>
          <t>false</t>
        </is>
      </c>
      <c r="R110" s="465" t="inlineStr"/>
      <c r="S110" s="465" t="inlineStr"/>
      <c r="T110" s="465" t="inlineStr">
        <is>
          <t>formal</t>
        </is>
      </c>
    </row>
    <row r="111" s="439">
      <c r="A111" s="465" t="inlineStr">
        <is>
          <t>effect_followwake_calibrator_bronze_response</t>
        </is>
      </c>
      <c r="B111" s="465" t="inlineStr">
        <is>
          <t>item_followwake_calibrator</t>
        </is>
      </c>
      <c r="C111" s="465" t="inlineStr">
        <is>
          <t>bronze</t>
        </is>
      </c>
      <c r="D111" s="465" t="inlineStr">
        <is>
          <t>skill_followwake_calibrator</t>
        </is>
      </c>
      <c r="E111" s="465" t="inlineStr">
        <is>
          <t>30</t>
        </is>
      </c>
      <c r="F111" s="465" t="inlineStr">
        <is>
          <t>another_friendly_item_used</t>
        </is>
      </c>
      <c r="G111" s="465" t="inlineStr">
        <is>
          <t>source_item_has_any_tag</t>
        </is>
      </c>
      <c r="H111" s="465" t="inlineStr">
        <is>
          <t>weapon</t>
        </is>
      </c>
      <c r="I111" s="465" t="inlineStr">
        <is>
          <t>any</t>
        </is>
      </c>
      <c r="J111" s="465" t="inlineStr">
        <is>
          <t>trigger_source_item</t>
        </is>
      </c>
      <c r="K111" s="465" t="n"/>
      <c r="L111" s="465" t="n"/>
      <c r="M111" s="465" t="n"/>
      <c r="N111" s="465" t="inlineStr">
        <is>
          <t>gain_damage_for_fight</t>
        </is>
      </c>
      <c r="O111" s="465" t="inlineStr">
        <is>
          <t>1</t>
        </is>
      </c>
      <c r="Q111" s="465" t="inlineStr"/>
      <c r="R111" s="465" t="inlineStr"/>
      <c r="S111" s="465" t="inlineStr"/>
      <c r="T111" s="465" t="inlineStr">
        <is>
          <t>formal</t>
        </is>
      </c>
    </row>
    <row r="112" s="439">
      <c r="A112" s="465" t="inlineStr">
        <is>
          <t>effect_followwake_calibrator_silver_ready</t>
        </is>
      </c>
      <c r="B112" s="465" t="inlineStr">
        <is>
          <t>item_followwake_calibrator</t>
        </is>
      </c>
      <c r="C112" s="465" t="inlineStr">
        <is>
          <t>silver</t>
        </is>
      </c>
      <c r="D112" s="465" t="inlineStr">
        <is>
          <t>skill_followwake_calibrator</t>
        </is>
      </c>
      <c r="E112" s="465" t="inlineStr">
        <is>
          <t>20</t>
        </is>
      </c>
      <c r="F112" s="465" t="inlineStr">
        <is>
          <t>item_ready</t>
        </is>
      </c>
      <c r="G112" s="465" t="inlineStr">
        <is>
          <t>always</t>
        </is>
      </c>
      <c r="H112" s="465" t="inlineStr"/>
      <c r="I112" s="465" t="inlineStr">
        <is>
          <t>any</t>
        </is>
      </c>
      <c r="J112" s="465" t="inlineStr">
        <is>
          <t>selected_enemy</t>
        </is>
      </c>
      <c r="K112" s="465" t="n"/>
      <c r="L112" s="465" t="n"/>
      <c r="M112" s="465" t="n"/>
      <c r="N112" s="465" t="inlineStr">
        <is>
          <t>deal_damage</t>
        </is>
      </c>
      <c r="O112" s="465" t="inlineStr">
        <is>
          <t>2</t>
        </is>
      </c>
      <c r="Q112" s="465" t="inlineStr">
        <is>
          <t>false</t>
        </is>
      </c>
      <c r="R112" s="465" t="inlineStr"/>
      <c r="S112" s="465" t="inlineStr"/>
      <c r="T112" s="465" t="inlineStr">
        <is>
          <t>formal</t>
        </is>
      </c>
    </row>
    <row r="113" s="439">
      <c r="A113" s="465" t="inlineStr">
        <is>
          <t>effect_followwake_calibrator_silver_response</t>
        </is>
      </c>
      <c r="B113" s="465" t="inlineStr">
        <is>
          <t>item_followwake_calibrator</t>
        </is>
      </c>
      <c r="C113" s="465" t="inlineStr">
        <is>
          <t>silver</t>
        </is>
      </c>
      <c r="D113" s="465" t="inlineStr">
        <is>
          <t>skill_followwake_calibrator</t>
        </is>
      </c>
      <c r="E113" s="465" t="inlineStr">
        <is>
          <t>30</t>
        </is>
      </c>
      <c r="F113" s="465" t="inlineStr">
        <is>
          <t>another_friendly_item_used</t>
        </is>
      </c>
      <c r="G113" s="465" t="inlineStr">
        <is>
          <t>source_item_has_any_tag</t>
        </is>
      </c>
      <c r="H113" s="465" t="inlineStr">
        <is>
          <t>weapon</t>
        </is>
      </c>
      <c r="I113" s="465" t="inlineStr">
        <is>
          <t>any</t>
        </is>
      </c>
      <c r="J113" s="465" t="inlineStr">
        <is>
          <t>trigger_source_item</t>
        </is>
      </c>
      <c r="K113" s="465" t="n"/>
      <c r="L113" s="465" t="n"/>
      <c r="M113" s="465" t="n"/>
      <c r="N113" s="465" t="inlineStr">
        <is>
          <t>gain_damage_for_fight</t>
        </is>
      </c>
      <c r="O113" s="465" t="inlineStr">
        <is>
          <t>2</t>
        </is>
      </c>
      <c r="Q113" s="465" t="inlineStr"/>
      <c r="R113" s="465" t="inlineStr"/>
      <c r="S113" s="465" t="inlineStr"/>
      <c r="T113" s="465" t="inlineStr">
        <is>
          <t>formal</t>
        </is>
      </c>
    </row>
    <row r="114" s="439">
      <c r="A114" s="465" t="inlineStr">
        <is>
          <t>effect_followwake_calibrator_gold_ready</t>
        </is>
      </c>
      <c r="B114" s="465" t="inlineStr">
        <is>
          <t>item_followwake_calibrator</t>
        </is>
      </c>
      <c r="C114" s="465" t="inlineStr">
        <is>
          <t>gold</t>
        </is>
      </c>
      <c r="D114" s="465" t="inlineStr">
        <is>
          <t>skill_followwake_calibrator</t>
        </is>
      </c>
      <c r="E114" s="465" t="inlineStr">
        <is>
          <t>20</t>
        </is>
      </c>
      <c r="F114" s="465" t="inlineStr">
        <is>
          <t>item_ready</t>
        </is>
      </c>
      <c r="G114" s="465" t="inlineStr">
        <is>
          <t>always</t>
        </is>
      </c>
      <c r="H114" s="465" t="inlineStr"/>
      <c r="I114" s="465" t="inlineStr">
        <is>
          <t>any</t>
        </is>
      </c>
      <c r="J114" s="465" t="inlineStr">
        <is>
          <t>selected_enemy</t>
        </is>
      </c>
      <c r="K114" s="465" t="n"/>
      <c r="L114" s="465" t="n"/>
      <c r="M114" s="465" t="n"/>
      <c r="N114" s="465" t="inlineStr">
        <is>
          <t>deal_damage</t>
        </is>
      </c>
      <c r="O114" s="465" t="inlineStr">
        <is>
          <t>3</t>
        </is>
      </c>
      <c r="Q114" s="465" t="inlineStr">
        <is>
          <t>false</t>
        </is>
      </c>
      <c r="R114" s="465" t="inlineStr"/>
      <c r="S114" s="465" t="inlineStr"/>
      <c r="T114" s="465" t="inlineStr">
        <is>
          <t>formal</t>
        </is>
      </c>
    </row>
    <row r="115" s="439">
      <c r="A115" s="465" t="inlineStr">
        <is>
          <t>effect_followwake_calibrator_gold_response</t>
        </is>
      </c>
      <c r="B115" s="465" t="inlineStr">
        <is>
          <t>item_followwake_calibrator</t>
        </is>
      </c>
      <c r="C115" s="465" t="inlineStr">
        <is>
          <t>gold</t>
        </is>
      </c>
      <c r="D115" s="465" t="inlineStr">
        <is>
          <t>skill_followwake_calibrator</t>
        </is>
      </c>
      <c r="E115" s="465" t="inlineStr">
        <is>
          <t>30</t>
        </is>
      </c>
      <c r="F115" s="465" t="inlineStr">
        <is>
          <t>another_friendly_item_used</t>
        </is>
      </c>
      <c r="G115" s="465" t="inlineStr">
        <is>
          <t>source_item_has_any_tag</t>
        </is>
      </c>
      <c r="H115" s="465" t="inlineStr">
        <is>
          <t>weapon</t>
        </is>
      </c>
      <c r="I115" s="465" t="inlineStr">
        <is>
          <t>any</t>
        </is>
      </c>
      <c r="J115" s="465" t="inlineStr">
        <is>
          <t>trigger_source_item</t>
        </is>
      </c>
      <c r="K115" s="465" t="n"/>
      <c r="L115" s="465" t="n"/>
      <c r="M115" s="465" t="n"/>
      <c r="N115" s="465" t="inlineStr">
        <is>
          <t>gain_damage_for_fight</t>
        </is>
      </c>
      <c r="O115" s="465" t="inlineStr">
        <is>
          <t>3</t>
        </is>
      </c>
      <c r="Q115" s="465" t="inlineStr"/>
      <c r="R115" s="465" t="inlineStr"/>
      <c r="S115" s="465" t="inlineStr"/>
      <c r="T115" s="465" t="inlineStr">
        <is>
          <t>formal</t>
        </is>
      </c>
    </row>
    <row r="116" s="439">
      <c r="A116" s="465" t="inlineStr">
        <is>
          <t>effect_followwake_calibrator_diamond_ready</t>
        </is>
      </c>
      <c r="B116" s="465" t="inlineStr">
        <is>
          <t>item_followwake_calibrator</t>
        </is>
      </c>
      <c r="C116" s="465" t="inlineStr">
        <is>
          <t>diamond</t>
        </is>
      </c>
      <c r="D116" s="465" t="inlineStr">
        <is>
          <t>skill_followwake_calibrator</t>
        </is>
      </c>
      <c r="E116" s="465" t="inlineStr">
        <is>
          <t>20</t>
        </is>
      </c>
      <c r="F116" s="465" t="inlineStr">
        <is>
          <t>item_ready</t>
        </is>
      </c>
      <c r="G116" s="465" t="inlineStr">
        <is>
          <t>always</t>
        </is>
      </c>
      <c r="H116" s="465" t="inlineStr"/>
      <c r="I116" s="465" t="inlineStr">
        <is>
          <t>any</t>
        </is>
      </c>
      <c r="J116" s="465" t="inlineStr">
        <is>
          <t>selected_enemy</t>
        </is>
      </c>
      <c r="K116" s="465" t="n"/>
      <c r="L116" s="465" t="n"/>
      <c r="M116" s="465" t="n"/>
      <c r="N116" s="465" t="inlineStr">
        <is>
          <t>deal_damage</t>
        </is>
      </c>
      <c r="O116" s="465" t="inlineStr">
        <is>
          <t>5</t>
        </is>
      </c>
      <c r="Q116" s="465" t="inlineStr">
        <is>
          <t>false</t>
        </is>
      </c>
      <c r="R116" s="465" t="inlineStr"/>
      <c r="S116" s="465" t="inlineStr"/>
      <c r="T116" s="465" t="inlineStr">
        <is>
          <t>formal</t>
        </is>
      </c>
    </row>
    <row r="117" s="439">
      <c r="A117" s="465" t="inlineStr">
        <is>
          <t>effect_followwake_calibrator_diamond_response</t>
        </is>
      </c>
      <c r="B117" s="465" t="inlineStr">
        <is>
          <t>item_followwake_calibrator</t>
        </is>
      </c>
      <c r="C117" s="465" t="inlineStr">
        <is>
          <t>diamond</t>
        </is>
      </c>
      <c r="D117" s="465" t="inlineStr">
        <is>
          <t>skill_followwake_calibrator</t>
        </is>
      </c>
      <c r="E117" s="465" t="inlineStr">
        <is>
          <t>30</t>
        </is>
      </c>
      <c r="F117" s="465" t="inlineStr">
        <is>
          <t>another_friendly_item_used</t>
        </is>
      </c>
      <c r="G117" s="465" t="inlineStr">
        <is>
          <t>source_item_has_any_tag</t>
        </is>
      </c>
      <c r="H117" s="465" t="inlineStr">
        <is>
          <t>weapon</t>
        </is>
      </c>
      <c r="I117" s="465" t="inlineStr">
        <is>
          <t>any</t>
        </is>
      </c>
      <c r="J117" s="465" t="inlineStr">
        <is>
          <t>trigger_source_item</t>
        </is>
      </c>
      <c r="K117" s="465" t="n"/>
      <c r="L117" s="465" t="n"/>
      <c r="M117" s="465" t="n"/>
      <c r="N117" s="465" t="inlineStr">
        <is>
          <t>gain_damage_for_fight</t>
        </is>
      </c>
      <c r="O117" s="465" t="inlineStr">
        <is>
          <t>4</t>
        </is>
      </c>
      <c r="Q117" s="465" t="inlineStr"/>
      <c r="R117" s="465" t="inlineStr"/>
      <c r="S117" s="465" t="inlineStr"/>
      <c r="T117" s="465" t="inlineStr">
        <is>
          <t>formal</t>
        </is>
      </c>
    </row>
    <row r="118">
      <c r="A118" s="465" t="inlineStr">
        <is>
          <t>effect_dawntide_timer_bronze_opening_shield</t>
        </is>
      </c>
      <c r="B118" s="465" t="inlineStr">
        <is>
          <t>item_dawntide_timer</t>
        </is>
      </c>
      <c r="C118" s="465" t="inlineStr">
        <is>
          <t>bronze</t>
        </is>
      </c>
      <c r="D118" s="465" t="inlineStr">
        <is>
          <t>skill_dawntide_timer</t>
        </is>
      </c>
      <c r="E118" s="465" t="inlineStr">
        <is>
          <t>10</t>
        </is>
      </c>
      <c r="F118" s="465" t="inlineStr">
        <is>
          <t>battle_start</t>
        </is>
      </c>
      <c r="G118" s="465" t="inlineStr">
        <is>
          <t>always</t>
        </is>
      </c>
      <c r="H118" s="465" t="inlineStr"/>
      <c r="I118" s="465" t="inlineStr">
        <is>
          <t>any</t>
        </is>
      </c>
      <c r="J118" s="465" t="inlineStr">
        <is>
          <t>owner_hero</t>
        </is>
      </c>
      <c r="K118" s="465" t="n"/>
      <c r="L118" s="465" t="n"/>
      <c r="M118" s="465" t="n"/>
      <c r="N118" s="465" t="inlineStr">
        <is>
          <t>gain_shield</t>
        </is>
      </c>
      <c r="O118" s="465" t="inlineStr">
        <is>
          <t>3</t>
        </is>
      </c>
      <c r="Q118" s="465" t="inlineStr"/>
      <c r="R118" s="465" t="inlineStr"/>
      <c r="S118" s="465" t="inlineStr"/>
      <c r="T118" s="465" t="inlineStr">
        <is>
          <t>formal</t>
        </is>
      </c>
    </row>
    <row r="119">
      <c r="A119" s="465" t="inlineStr">
        <is>
          <t>effect_dawntide_timer_bronze_ready</t>
        </is>
      </c>
      <c r="B119" s="465" t="inlineStr">
        <is>
          <t>item_dawntide_timer</t>
        </is>
      </c>
      <c r="C119" s="465" t="inlineStr">
        <is>
          <t>bronze</t>
        </is>
      </c>
      <c r="D119" s="465" t="inlineStr">
        <is>
          <t>skill_dawntide_timer</t>
        </is>
      </c>
      <c r="E119" s="465" t="inlineStr">
        <is>
          <t>20</t>
        </is>
      </c>
      <c r="F119" s="465" t="inlineStr">
        <is>
          <t>item_ready</t>
        </is>
      </c>
      <c r="G119" s="465" t="inlineStr">
        <is>
          <t>always</t>
        </is>
      </c>
      <c r="H119" s="465" t="inlineStr"/>
      <c r="I119" s="465" t="inlineStr">
        <is>
          <t>any</t>
        </is>
      </c>
      <c r="J119" s="465" t="inlineStr">
        <is>
          <t>selected_enemy</t>
        </is>
      </c>
      <c r="K119" s="465" t="n"/>
      <c r="L119" s="465" t="n"/>
      <c r="M119" s="465" t="n"/>
      <c r="N119" s="465" t="inlineStr">
        <is>
          <t>deal_damage</t>
        </is>
      </c>
      <c r="O119" s="465" t="inlineStr">
        <is>
          <t>2</t>
        </is>
      </c>
      <c r="Q119" s="465" t="inlineStr">
        <is>
          <t>false</t>
        </is>
      </c>
      <c r="R119" s="465" t="inlineStr"/>
      <c r="S119" s="465" t="inlineStr"/>
      <c r="T119" s="465" t="inlineStr">
        <is>
          <t>formal</t>
        </is>
      </c>
    </row>
    <row r="120">
      <c r="A120" s="465" t="inlineStr">
        <is>
          <t>effect_dawntide_timer_silver_opening_shield</t>
        </is>
      </c>
      <c r="B120" s="465" t="inlineStr">
        <is>
          <t>item_dawntide_timer</t>
        </is>
      </c>
      <c r="C120" s="465" t="inlineStr">
        <is>
          <t>silver</t>
        </is>
      </c>
      <c r="D120" s="465" t="inlineStr">
        <is>
          <t>skill_dawntide_timer</t>
        </is>
      </c>
      <c r="E120" s="465" t="inlineStr">
        <is>
          <t>10</t>
        </is>
      </c>
      <c r="F120" s="465" t="inlineStr">
        <is>
          <t>battle_start</t>
        </is>
      </c>
      <c r="G120" s="465" t="inlineStr">
        <is>
          <t>always</t>
        </is>
      </c>
      <c r="H120" s="465" t="inlineStr"/>
      <c r="I120" s="465" t="inlineStr">
        <is>
          <t>any</t>
        </is>
      </c>
      <c r="J120" s="465" t="inlineStr">
        <is>
          <t>owner_hero</t>
        </is>
      </c>
      <c r="K120" s="465" t="n"/>
      <c r="L120" s="465" t="n"/>
      <c r="M120" s="465" t="n"/>
      <c r="N120" s="465" t="inlineStr">
        <is>
          <t>gain_shield</t>
        </is>
      </c>
      <c r="O120" s="465" t="inlineStr">
        <is>
          <t>5</t>
        </is>
      </c>
      <c r="Q120" s="465" t="inlineStr"/>
      <c r="R120" s="465" t="inlineStr"/>
      <c r="S120" s="465" t="inlineStr"/>
      <c r="T120" s="465" t="inlineStr">
        <is>
          <t>formal</t>
        </is>
      </c>
    </row>
    <row r="121">
      <c r="A121" s="465" t="inlineStr">
        <is>
          <t>effect_dawntide_timer_silver_ready</t>
        </is>
      </c>
      <c r="B121" s="465" t="inlineStr">
        <is>
          <t>item_dawntide_timer</t>
        </is>
      </c>
      <c r="C121" s="465" t="inlineStr">
        <is>
          <t>silver</t>
        </is>
      </c>
      <c r="D121" s="465" t="inlineStr">
        <is>
          <t>skill_dawntide_timer</t>
        </is>
      </c>
      <c r="E121" s="465" t="inlineStr">
        <is>
          <t>20</t>
        </is>
      </c>
      <c r="F121" s="465" t="inlineStr">
        <is>
          <t>item_ready</t>
        </is>
      </c>
      <c r="G121" s="465" t="inlineStr">
        <is>
          <t>always</t>
        </is>
      </c>
      <c r="H121" s="465" t="inlineStr"/>
      <c r="I121" s="465" t="inlineStr">
        <is>
          <t>any</t>
        </is>
      </c>
      <c r="J121" s="465" t="inlineStr">
        <is>
          <t>selected_enemy</t>
        </is>
      </c>
      <c r="K121" s="465" t="n"/>
      <c r="L121" s="465" t="n"/>
      <c r="M121" s="465" t="n"/>
      <c r="N121" s="465" t="inlineStr">
        <is>
          <t>deal_damage</t>
        </is>
      </c>
      <c r="O121" s="465" t="inlineStr">
        <is>
          <t>3</t>
        </is>
      </c>
      <c r="Q121" s="465" t="inlineStr">
        <is>
          <t>false</t>
        </is>
      </c>
      <c r="R121" s="465" t="inlineStr"/>
      <c r="S121" s="465" t="inlineStr"/>
      <c r="T121" s="465" t="inlineStr">
        <is>
          <t>formal</t>
        </is>
      </c>
    </row>
    <row r="122">
      <c r="A122" s="465" t="inlineStr">
        <is>
          <t>effect_dawntide_timer_gold_opening_shield</t>
        </is>
      </c>
      <c r="B122" s="465" t="inlineStr">
        <is>
          <t>item_dawntide_timer</t>
        </is>
      </c>
      <c r="C122" s="465" t="inlineStr">
        <is>
          <t>gold</t>
        </is>
      </c>
      <c r="D122" s="465" t="inlineStr">
        <is>
          <t>skill_dawntide_timer</t>
        </is>
      </c>
      <c r="E122" s="465" t="inlineStr">
        <is>
          <t>10</t>
        </is>
      </c>
      <c r="F122" s="465" t="inlineStr">
        <is>
          <t>battle_start</t>
        </is>
      </c>
      <c r="G122" s="465" t="inlineStr">
        <is>
          <t>always</t>
        </is>
      </c>
      <c r="H122" s="465" t="inlineStr"/>
      <c r="I122" s="465" t="inlineStr">
        <is>
          <t>any</t>
        </is>
      </c>
      <c r="J122" s="465" t="inlineStr">
        <is>
          <t>owner_hero</t>
        </is>
      </c>
      <c r="K122" s="465" t="n"/>
      <c r="L122" s="465" t="n"/>
      <c r="M122" s="465" t="n"/>
      <c r="N122" s="465" t="inlineStr">
        <is>
          <t>gain_shield</t>
        </is>
      </c>
      <c r="O122" s="465" t="inlineStr">
        <is>
          <t>8</t>
        </is>
      </c>
      <c r="Q122" s="465" t="inlineStr"/>
      <c r="R122" s="465" t="inlineStr"/>
      <c r="S122" s="465" t="inlineStr"/>
      <c r="T122" s="465" t="inlineStr">
        <is>
          <t>formal</t>
        </is>
      </c>
    </row>
    <row r="123">
      <c r="A123" s="465" t="inlineStr">
        <is>
          <t>effect_dawntide_timer_gold_ready</t>
        </is>
      </c>
      <c r="B123" s="465" t="inlineStr">
        <is>
          <t>item_dawntide_timer</t>
        </is>
      </c>
      <c r="C123" s="465" t="inlineStr">
        <is>
          <t>gold</t>
        </is>
      </c>
      <c r="D123" s="465" t="inlineStr">
        <is>
          <t>skill_dawntide_timer</t>
        </is>
      </c>
      <c r="E123" s="465" t="inlineStr">
        <is>
          <t>20</t>
        </is>
      </c>
      <c r="F123" s="465" t="inlineStr">
        <is>
          <t>item_ready</t>
        </is>
      </c>
      <c r="G123" s="465" t="inlineStr">
        <is>
          <t>always</t>
        </is>
      </c>
      <c r="H123" s="465" t="inlineStr"/>
      <c r="I123" s="465" t="inlineStr">
        <is>
          <t>any</t>
        </is>
      </c>
      <c r="J123" s="465" t="inlineStr">
        <is>
          <t>selected_enemy</t>
        </is>
      </c>
      <c r="K123" s="465" t="n"/>
      <c r="L123" s="465" t="n"/>
      <c r="M123" s="465" t="n"/>
      <c r="N123" s="465" t="inlineStr">
        <is>
          <t>deal_damage</t>
        </is>
      </c>
      <c r="O123" s="465" t="inlineStr">
        <is>
          <t>5</t>
        </is>
      </c>
      <c r="Q123" s="465" t="inlineStr">
        <is>
          <t>false</t>
        </is>
      </c>
      <c r="R123" s="465" t="inlineStr"/>
      <c r="S123" s="465" t="inlineStr"/>
      <c r="T123" s="465" t="inlineStr">
        <is>
          <t>formal</t>
        </is>
      </c>
    </row>
    <row r="124">
      <c r="A124" s="465" t="inlineStr">
        <is>
          <t>effect_dawntide_timer_diamond_opening_shield</t>
        </is>
      </c>
      <c r="B124" s="465" t="inlineStr">
        <is>
          <t>item_dawntide_timer</t>
        </is>
      </c>
      <c r="C124" s="465" t="inlineStr">
        <is>
          <t>diamond</t>
        </is>
      </c>
      <c r="D124" s="465" t="inlineStr">
        <is>
          <t>skill_dawntide_timer</t>
        </is>
      </c>
      <c r="E124" s="465" t="inlineStr">
        <is>
          <t>10</t>
        </is>
      </c>
      <c r="F124" s="465" t="inlineStr">
        <is>
          <t>battle_start</t>
        </is>
      </c>
      <c r="G124" s="465" t="inlineStr">
        <is>
          <t>always</t>
        </is>
      </c>
      <c r="H124" s="465" t="inlineStr"/>
      <c r="I124" s="465" t="inlineStr">
        <is>
          <t>any</t>
        </is>
      </c>
      <c r="J124" s="465" t="inlineStr">
        <is>
          <t>owner_hero</t>
        </is>
      </c>
      <c r="K124" s="465" t="n"/>
      <c r="L124" s="465" t="n"/>
      <c r="M124" s="465" t="n"/>
      <c r="N124" s="465" t="inlineStr">
        <is>
          <t>gain_shield</t>
        </is>
      </c>
      <c r="O124" s="465" t="inlineStr">
        <is>
          <t>12</t>
        </is>
      </c>
      <c r="Q124" s="465" t="inlineStr"/>
      <c r="R124" s="465" t="inlineStr"/>
      <c r="S124" s="465" t="inlineStr"/>
      <c r="T124" s="465" t="inlineStr">
        <is>
          <t>formal</t>
        </is>
      </c>
    </row>
    <row r="125" s="439">
      <c r="A125" s="465" t="inlineStr">
        <is>
          <t>effect_dawntide_timer_diamond_ready</t>
        </is>
      </c>
      <c r="B125" s="465" t="inlineStr">
        <is>
          <t>item_dawntide_timer</t>
        </is>
      </c>
      <c r="C125" s="465" t="inlineStr">
        <is>
          <t>diamond</t>
        </is>
      </c>
      <c r="D125" s="465" t="inlineStr">
        <is>
          <t>skill_dawntide_timer</t>
        </is>
      </c>
      <c r="E125" s="465" t="inlineStr">
        <is>
          <t>20</t>
        </is>
      </c>
      <c r="F125" s="465" t="inlineStr">
        <is>
          <t>item_ready</t>
        </is>
      </c>
      <c r="G125" s="465" t="inlineStr">
        <is>
          <t>always</t>
        </is>
      </c>
      <c r="H125" s="465" t="inlineStr"/>
      <c r="I125" s="465" t="inlineStr">
        <is>
          <t>any</t>
        </is>
      </c>
      <c r="J125" s="465" t="inlineStr">
        <is>
          <t>selected_enemy</t>
        </is>
      </c>
      <c r="K125" s="465" t="n"/>
      <c r="L125" s="465" t="n"/>
      <c r="M125" s="465" t="n"/>
      <c r="N125" s="465" t="inlineStr">
        <is>
          <t>deal_damage</t>
        </is>
      </c>
      <c r="O125" s="465" t="inlineStr">
        <is>
          <t>7</t>
        </is>
      </c>
      <c r="Q125" s="465" t="inlineStr">
        <is>
          <t>false</t>
        </is>
      </c>
      <c r="R125" s="465" t="inlineStr"/>
      <c r="S125" s="465" t="inlineStr"/>
      <c r="T125" s="465" t="inlineStr">
        <is>
          <t>formal</t>
        </is>
      </c>
    </row>
    <row r="126" s="439">
      <c r="A126" s="465" t="inlineStr">
        <is>
          <t>effect_broadside_signal_relay_bronze_charge_weapons</t>
        </is>
      </c>
      <c r="B126" s="465" t="inlineStr">
        <is>
          <t>item_broadside_signal_relay</t>
        </is>
      </c>
      <c r="C126" s="465" t="inlineStr">
        <is>
          <t>bronze</t>
        </is>
      </c>
      <c r="D126" s="465" t="inlineStr">
        <is>
          <t>skill_broadside_signal_relay</t>
        </is>
      </c>
      <c r="E126" s="465" t="inlineStr">
        <is>
          <t>20</t>
        </is>
      </c>
      <c r="F126" s="465" t="inlineStr">
        <is>
          <t>item_ready</t>
        </is>
      </c>
      <c r="G126" s="465" t="inlineStr">
        <is>
          <t>always</t>
        </is>
      </c>
      <c r="H126" s="465" t="inlineStr"/>
      <c r="I126" s="465" t="inlineStr">
        <is>
          <t>any</t>
        </is>
      </c>
      <c r="J126" s="465" t="inlineStr">
        <is>
          <t>friendly_items_with_any_tag</t>
        </is>
      </c>
      <c r="K126" s="465" t="inlineStr">
        <is>
          <t>weapon</t>
        </is>
      </c>
      <c r="L126" s="465" t="n"/>
      <c r="M126" s="465" t="n"/>
      <c r="N126" s="465" t="inlineStr">
        <is>
          <t>charge</t>
        </is>
      </c>
      <c r="O126" s="465" t="inlineStr"/>
      <c r="Q126" s="465" t="inlineStr"/>
      <c r="R126" s="465" t="inlineStr"/>
      <c r="S126" s="465" t="inlineStr">
        <is>
          <t>1</t>
        </is>
      </c>
      <c r="T126" s="465" t="inlineStr">
        <is>
          <t>formal</t>
        </is>
      </c>
    </row>
    <row r="127" s="439">
      <c r="A127" s="465" t="inlineStr">
        <is>
          <t>effect_broadside_signal_relay_silver_charge_weapons</t>
        </is>
      </c>
      <c r="B127" s="465" t="inlineStr">
        <is>
          <t>item_broadside_signal_relay</t>
        </is>
      </c>
      <c r="C127" s="465" t="inlineStr">
        <is>
          <t>silver</t>
        </is>
      </c>
      <c r="D127" s="465" t="inlineStr">
        <is>
          <t>skill_broadside_signal_relay</t>
        </is>
      </c>
      <c r="E127" s="465" t="inlineStr">
        <is>
          <t>20</t>
        </is>
      </c>
      <c r="F127" s="465" t="inlineStr">
        <is>
          <t>item_ready</t>
        </is>
      </c>
      <c r="G127" s="465" t="inlineStr">
        <is>
          <t>always</t>
        </is>
      </c>
      <c r="H127" s="465" t="inlineStr"/>
      <c r="I127" s="465" t="inlineStr">
        <is>
          <t>any</t>
        </is>
      </c>
      <c r="J127" s="465" t="inlineStr">
        <is>
          <t>friendly_items_with_any_tag</t>
        </is>
      </c>
      <c r="K127" s="465" t="inlineStr">
        <is>
          <t>weapon</t>
        </is>
      </c>
      <c r="L127" s="465" t="n"/>
      <c r="M127" s="465" t="n"/>
      <c r="N127" s="465" t="inlineStr">
        <is>
          <t>charge</t>
        </is>
      </c>
      <c r="O127" s="465" t="inlineStr"/>
      <c r="Q127" s="465" t="inlineStr"/>
      <c r="R127" s="465" t="inlineStr"/>
      <c r="S127" s="465" t="inlineStr">
        <is>
          <t>1</t>
        </is>
      </c>
      <c r="T127" s="465" t="inlineStr">
        <is>
          <t>formal</t>
        </is>
      </c>
    </row>
    <row r="128" s="439">
      <c r="A128" s="465" t="inlineStr">
        <is>
          <t>effect_broadside_signal_relay_gold_charge_weapons</t>
        </is>
      </c>
      <c r="B128" s="465" t="inlineStr">
        <is>
          <t>item_broadside_signal_relay</t>
        </is>
      </c>
      <c r="C128" s="465" t="inlineStr">
        <is>
          <t>gold</t>
        </is>
      </c>
      <c r="D128" s="465" t="inlineStr">
        <is>
          <t>skill_broadside_signal_relay</t>
        </is>
      </c>
      <c r="E128" s="465" t="inlineStr">
        <is>
          <t>20</t>
        </is>
      </c>
      <c r="F128" s="465" t="inlineStr">
        <is>
          <t>item_ready</t>
        </is>
      </c>
      <c r="G128" s="465" t="inlineStr">
        <is>
          <t>always</t>
        </is>
      </c>
      <c r="H128" s="465" t="inlineStr"/>
      <c r="I128" s="465" t="inlineStr">
        <is>
          <t>any</t>
        </is>
      </c>
      <c r="J128" s="465" t="inlineStr">
        <is>
          <t>friendly_items_with_any_tag</t>
        </is>
      </c>
      <c r="K128" s="465" t="inlineStr">
        <is>
          <t>weapon</t>
        </is>
      </c>
      <c r="L128" s="465" t="n"/>
      <c r="M128" s="465" t="n"/>
      <c r="N128" s="465" t="inlineStr">
        <is>
          <t>charge</t>
        </is>
      </c>
      <c r="O128" s="465" t="inlineStr"/>
      <c r="Q128" s="465" t="inlineStr"/>
      <c r="R128" s="465" t="inlineStr"/>
      <c r="S128" s="465" t="inlineStr">
        <is>
          <t>1</t>
        </is>
      </c>
      <c r="T128" s="465" t="inlineStr">
        <is>
          <t>formal</t>
        </is>
      </c>
    </row>
    <row r="129" s="439">
      <c r="A129" s="465" t="inlineStr">
        <is>
          <t>effect_broadside_signal_relay_diamond_charge_weapons</t>
        </is>
      </c>
      <c r="B129" s="465" t="inlineStr">
        <is>
          <t>item_broadside_signal_relay</t>
        </is>
      </c>
      <c r="C129" s="465" t="inlineStr">
        <is>
          <t>diamond</t>
        </is>
      </c>
      <c r="D129" s="465" t="inlineStr">
        <is>
          <t>skill_broadside_signal_relay</t>
        </is>
      </c>
      <c r="E129" s="465" t="inlineStr">
        <is>
          <t>20</t>
        </is>
      </c>
      <c r="F129" s="465" t="inlineStr">
        <is>
          <t>item_ready</t>
        </is>
      </c>
      <c r="G129" s="465" t="inlineStr">
        <is>
          <t>always</t>
        </is>
      </c>
      <c r="H129" s="465" t="inlineStr"/>
      <c r="I129" s="465" t="inlineStr">
        <is>
          <t>any</t>
        </is>
      </c>
      <c r="J129" s="465" t="inlineStr">
        <is>
          <t>friendly_items_with_any_tag</t>
        </is>
      </c>
      <c r="K129" s="465" t="inlineStr">
        <is>
          <t>weapon</t>
        </is>
      </c>
      <c r="L129" s="465" t="n"/>
      <c r="M129" s="465" t="n"/>
      <c r="N129" s="465" t="inlineStr">
        <is>
          <t>charge</t>
        </is>
      </c>
      <c r="O129" s="465" t="inlineStr"/>
      <c r="Q129" s="465" t="inlineStr"/>
      <c r="R129" s="465" t="inlineStr"/>
      <c r="S129" s="465" t="inlineStr">
        <is>
          <t>2</t>
        </is>
      </c>
      <c r="T129" s="465" t="inlineStr">
        <is>
          <t>formal</t>
        </is>
      </c>
    </row>
    <row r="130" s="439">
      <c r="A130" s="465" t="inlineStr">
        <is>
          <t>effect_crosswind_selector_bronze_charge_random_weapon</t>
        </is>
      </c>
      <c r="B130" s="465" t="inlineStr">
        <is>
          <t>item_crosswind_selector</t>
        </is>
      </c>
      <c r="C130" s="465" t="inlineStr">
        <is>
          <t>bronze</t>
        </is>
      </c>
      <c r="D130" s="465" t="inlineStr">
        <is>
          <t>skill_crosswind_selector</t>
        </is>
      </c>
      <c r="E130" s="465" t="inlineStr">
        <is>
          <t>20</t>
        </is>
      </c>
      <c r="F130" s="465" t="inlineStr">
        <is>
          <t>item_ready</t>
        </is>
      </c>
      <c r="G130" s="465" t="inlineStr">
        <is>
          <t>always</t>
        </is>
      </c>
      <c r="H130" s="465" t="n"/>
      <c r="I130" s="465" t="inlineStr">
        <is>
          <t>any</t>
        </is>
      </c>
      <c r="J130" s="465" t="inlineStr">
        <is>
          <t>random_friendly_item_with_any_tag</t>
        </is>
      </c>
      <c r="K130" s="465" t="inlineStr">
        <is>
          <t>weapon</t>
        </is>
      </c>
      <c r="L130" s="465" t="inlineStr">
        <is>
          <t>true</t>
        </is>
      </c>
      <c r="M130" s="465" t="inlineStr">
        <is>
          <t>1</t>
        </is>
      </c>
      <c r="N130" s="465" t="inlineStr">
        <is>
          <t>charge</t>
        </is>
      </c>
      <c r="O130" s="465" t="n"/>
      <c r="Q130" s="465" t="inlineStr"/>
      <c r="R130" s="465" t="n"/>
      <c r="S130" s="465" t="inlineStr">
        <is>
          <t>1</t>
        </is>
      </c>
      <c r="T130" s="465" t="inlineStr">
        <is>
          <t>formal</t>
        </is>
      </c>
    </row>
    <row r="131" s="439">
      <c r="A131" s="465" t="inlineStr">
        <is>
          <t>effect_crosswind_selector_silver_charge_random_weapon</t>
        </is>
      </c>
      <c r="B131" s="465" t="inlineStr">
        <is>
          <t>item_crosswind_selector</t>
        </is>
      </c>
      <c r="C131" s="465" t="inlineStr">
        <is>
          <t>silver</t>
        </is>
      </c>
      <c r="D131" s="465" t="inlineStr">
        <is>
          <t>skill_crosswind_selector</t>
        </is>
      </c>
      <c r="E131" s="465" t="inlineStr">
        <is>
          <t>20</t>
        </is>
      </c>
      <c r="F131" s="465" t="inlineStr">
        <is>
          <t>item_ready</t>
        </is>
      </c>
      <c r="G131" s="465" t="inlineStr">
        <is>
          <t>always</t>
        </is>
      </c>
      <c r="H131" s="465" t="n"/>
      <c r="I131" s="465" t="inlineStr">
        <is>
          <t>any</t>
        </is>
      </c>
      <c r="J131" s="465" t="inlineStr">
        <is>
          <t>random_friendly_item_with_any_tag</t>
        </is>
      </c>
      <c r="K131" s="465" t="inlineStr">
        <is>
          <t>weapon</t>
        </is>
      </c>
      <c r="L131" s="465" t="inlineStr">
        <is>
          <t>true</t>
        </is>
      </c>
      <c r="M131" s="465" t="inlineStr">
        <is>
          <t>1</t>
        </is>
      </c>
      <c r="N131" s="465" t="inlineStr">
        <is>
          <t>charge</t>
        </is>
      </c>
      <c r="O131" s="465" t="n"/>
      <c r="Q131" s="465" t="inlineStr"/>
      <c r="R131" s="465" t="n"/>
      <c r="S131" s="465" t="inlineStr">
        <is>
          <t>1</t>
        </is>
      </c>
      <c r="T131" s="465" t="inlineStr">
        <is>
          <t>formal</t>
        </is>
      </c>
    </row>
    <row r="132" s="439">
      <c r="A132" s="465" t="inlineStr">
        <is>
          <t>effect_crosswind_selector_gold_charge_random_weapon</t>
        </is>
      </c>
      <c r="B132" s="465" t="inlineStr">
        <is>
          <t>item_crosswind_selector</t>
        </is>
      </c>
      <c r="C132" s="465" t="inlineStr">
        <is>
          <t>gold</t>
        </is>
      </c>
      <c r="D132" s="465" t="inlineStr">
        <is>
          <t>skill_crosswind_selector</t>
        </is>
      </c>
      <c r="E132" s="465" t="inlineStr">
        <is>
          <t>20</t>
        </is>
      </c>
      <c r="F132" s="465" t="inlineStr">
        <is>
          <t>item_ready</t>
        </is>
      </c>
      <c r="G132" s="465" t="inlineStr">
        <is>
          <t>always</t>
        </is>
      </c>
      <c r="H132" s="465" t="n"/>
      <c r="I132" s="465" t="inlineStr">
        <is>
          <t>any</t>
        </is>
      </c>
      <c r="J132" s="465" t="inlineStr">
        <is>
          <t>random_friendly_item_with_any_tag</t>
        </is>
      </c>
      <c r="K132" s="465" t="inlineStr">
        <is>
          <t>weapon</t>
        </is>
      </c>
      <c r="L132" s="465" t="inlineStr">
        <is>
          <t>true</t>
        </is>
      </c>
      <c r="M132" s="465" t="inlineStr">
        <is>
          <t>1</t>
        </is>
      </c>
      <c r="N132" s="465" t="inlineStr">
        <is>
          <t>charge</t>
        </is>
      </c>
      <c r="O132" s="465" t="n"/>
      <c r="Q132" s="465" t="inlineStr"/>
      <c r="R132" s="465" t="n"/>
      <c r="S132" s="465" t="inlineStr">
        <is>
          <t>2</t>
        </is>
      </c>
      <c r="T132" s="465" t="inlineStr">
        <is>
          <t>formal</t>
        </is>
      </c>
    </row>
    <row r="133" s="439">
      <c r="A133" s="465" t="inlineStr">
        <is>
          <t>effect_crosswind_selector_diamond_charge_random_weapon</t>
        </is>
      </c>
      <c r="B133" s="465" t="inlineStr">
        <is>
          <t>item_crosswind_selector</t>
        </is>
      </c>
      <c r="C133" s="465" t="inlineStr">
        <is>
          <t>diamond</t>
        </is>
      </c>
      <c r="D133" s="465" t="inlineStr">
        <is>
          <t>skill_crosswind_selector</t>
        </is>
      </c>
      <c r="E133" s="465" t="inlineStr">
        <is>
          <t>20</t>
        </is>
      </c>
      <c r="F133" s="465" t="inlineStr">
        <is>
          <t>item_ready</t>
        </is>
      </c>
      <c r="G133" s="465" t="inlineStr">
        <is>
          <t>always</t>
        </is>
      </c>
      <c r="H133" s="465" t="n"/>
      <c r="I133" s="465" t="inlineStr">
        <is>
          <t>any</t>
        </is>
      </c>
      <c r="J133" s="465" t="inlineStr">
        <is>
          <t>random_friendly_item_with_any_tag</t>
        </is>
      </c>
      <c r="K133" s="465" t="inlineStr">
        <is>
          <t>weapon</t>
        </is>
      </c>
      <c r="L133" s="465" t="inlineStr">
        <is>
          <t>true</t>
        </is>
      </c>
      <c r="M133" s="465" t="inlineStr">
        <is>
          <t>1</t>
        </is>
      </c>
      <c r="N133" s="465" t="inlineStr">
        <is>
          <t>charge</t>
        </is>
      </c>
      <c r="O133" s="465" t="n"/>
      <c r="Q133" s="465" t="inlineStr"/>
      <c r="R133" s="465" t="n"/>
      <c r="S133" s="465" t="inlineStr">
        <is>
          <t>2</t>
        </is>
      </c>
      <c r="T133" s="465" t="inlineStr">
        <is>
          <t>formal</t>
        </is>
      </c>
    </row>
    <row r="134">
      <c r="A134" s="465" t="inlineStr">
        <is>
          <t>effect_tideglass_sidearm_bronze_shot</t>
        </is>
      </c>
      <c r="B134" s="465" t="inlineStr">
        <is>
          <t>item_tideglass_sidearm</t>
        </is>
      </c>
      <c r="C134" s="465" t="inlineStr">
        <is>
          <t>bronze</t>
        </is>
      </c>
      <c r="D134" s="465" t="inlineStr">
        <is>
          <t>skill_tideglass_sidearm</t>
        </is>
      </c>
      <c r="E134" s="465" t="n">
        <v>20</v>
      </c>
      <c r="F134" s="465" t="inlineStr">
        <is>
          <t>item_ready</t>
        </is>
      </c>
      <c r="G134" s="465" t="inlineStr">
        <is>
          <t>always</t>
        </is>
      </c>
      <c r="H134" s="465" t="inlineStr"/>
      <c r="I134" s="465" t="inlineStr">
        <is>
          <t>any</t>
        </is>
      </c>
      <c r="J134" s="465" t="inlineStr">
        <is>
          <t>selected_enemy</t>
        </is>
      </c>
      <c r="K134" s="465" t="inlineStr"/>
      <c r="L134" s="465" t="inlineStr"/>
      <c r="M134" s="465" t="inlineStr"/>
      <c r="N134" s="465" t="inlineStr">
        <is>
          <t>deal_damage</t>
        </is>
      </c>
      <c r="O134" s="465" t="n">
        <v>2</v>
      </c>
      <c r="Q134" s="465" t="inlineStr">
        <is>
          <t>true</t>
        </is>
      </c>
      <c r="R134" s="465" t="inlineStr"/>
      <c r="S134" s="465" t="inlineStr"/>
      <c r="T134" s="465" t="inlineStr">
        <is>
          <t>formal</t>
        </is>
      </c>
    </row>
    <row r="135">
      <c r="A135" s="465" t="inlineStr">
        <is>
          <t>effect_tideglass_sidearm_silver_shot</t>
        </is>
      </c>
      <c r="B135" s="465" t="inlineStr">
        <is>
          <t>item_tideglass_sidearm</t>
        </is>
      </c>
      <c r="C135" s="465" t="inlineStr">
        <is>
          <t>silver</t>
        </is>
      </c>
      <c r="D135" s="465" t="inlineStr">
        <is>
          <t>skill_tideglass_sidearm</t>
        </is>
      </c>
      <c r="E135" s="465" t="n">
        <v>20</v>
      </c>
      <c r="F135" s="465" t="inlineStr">
        <is>
          <t>item_ready</t>
        </is>
      </c>
      <c r="G135" s="465" t="inlineStr">
        <is>
          <t>always</t>
        </is>
      </c>
      <c r="H135" s="465" t="inlineStr"/>
      <c r="I135" s="465" t="inlineStr">
        <is>
          <t>any</t>
        </is>
      </c>
      <c r="J135" s="465" t="inlineStr">
        <is>
          <t>selected_enemy</t>
        </is>
      </c>
      <c r="K135" s="465" t="inlineStr"/>
      <c r="L135" s="465" t="inlineStr"/>
      <c r="M135" s="465" t="inlineStr"/>
      <c r="N135" s="465" t="inlineStr">
        <is>
          <t>deal_damage</t>
        </is>
      </c>
      <c r="O135" s="465" t="n">
        <v>3</v>
      </c>
      <c r="Q135" s="465" t="inlineStr">
        <is>
          <t>true</t>
        </is>
      </c>
      <c r="R135" s="465" t="inlineStr"/>
      <c r="S135" s="465" t="inlineStr"/>
      <c r="T135" s="465" t="inlineStr">
        <is>
          <t>formal</t>
        </is>
      </c>
    </row>
    <row r="136">
      <c r="A136" s="465" t="inlineStr">
        <is>
          <t>effect_tideglass_sidearm_gold_shot</t>
        </is>
      </c>
      <c r="B136" s="465" t="inlineStr">
        <is>
          <t>item_tideglass_sidearm</t>
        </is>
      </c>
      <c r="C136" s="465" t="inlineStr">
        <is>
          <t>gold</t>
        </is>
      </c>
      <c r="D136" s="465" t="inlineStr">
        <is>
          <t>skill_tideglass_sidearm</t>
        </is>
      </c>
      <c r="E136" s="465" t="n">
        <v>20</v>
      </c>
      <c r="F136" s="465" t="inlineStr">
        <is>
          <t>item_ready</t>
        </is>
      </c>
      <c r="G136" s="465" t="inlineStr">
        <is>
          <t>always</t>
        </is>
      </c>
      <c r="H136" s="465" t="inlineStr"/>
      <c r="I136" s="465" t="inlineStr">
        <is>
          <t>any</t>
        </is>
      </c>
      <c r="J136" s="465" t="inlineStr">
        <is>
          <t>selected_enemy</t>
        </is>
      </c>
      <c r="K136" s="465" t="inlineStr"/>
      <c r="L136" s="465" t="inlineStr"/>
      <c r="M136" s="465" t="inlineStr"/>
      <c r="N136" s="465" t="inlineStr">
        <is>
          <t>deal_damage</t>
        </is>
      </c>
      <c r="O136" s="465" t="n">
        <v>5</v>
      </c>
      <c r="Q136" s="465" t="inlineStr">
        <is>
          <t>true</t>
        </is>
      </c>
      <c r="R136" s="465" t="inlineStr"/>
      <c r="S136" s="465" t="inlineStr"/>
      <c r="T136" s="465" t="inlineStr">
        <is>
          <t>formal</t>
        </is>
      </c>
    </row>
    <row r="137">
      <c r="A137" s="465" t="inlineStr">
        <is>
          <t>effect_tideglass_sidearm_diamond_shot</t>
        </is>
      </c>
      <c r="B137" s="465" t="inlineStr">
        <is>
          <t>item_tideglass_sidearm</t>
        </is>
      </c>
      <c r="C137" s="465" t="inlineStr">
        <is>
          <t>diamond</t>
        </is>
      </c>
      <c r="D137" s="465" t="inlineStr">
        <is>
          <t>skill_tideglass_sidearm</t>
        </is>
      </c>
      <c r="E137" s="465" t="n">
        <v>20</v>
      </c>
      <c r="F137" s="465" t="inlineStr">
        <is>
          <t>item_ready</t>
        </is>
      </c>
      <c r="G137" s="465" t="inlineStr">
        <is>
          <t>always</t>
        </is>
      </c>
      <c r="H137" s="465" t="inlineStr"/>
      <c r="I137" s="465" t="inlineStr">
        <is>
          <t>any</t>
        </is>
      </c>
      <c r="J137" s="465" t="inlineStr">
        <is>
          <t>selected_enemy</t>
        </is>
      </c>
      <c r="K137" s="465" t="inlineStr"/>
      <c r="L137" s="465" t="inlineStr"/>
      <c r="M137" s="465" t="inlineStr"/>
      <c r="N137" s="465" t="inlineStr">
        <is>
          <t>deal_damage</t>
        </is>
      </c>
      <c r="O137" s="465" t="n">
        <v>7</v>
      </c>
      <c r="Q137" s="465" t="inlineStr">
        <is>
          <t>true</t>
        </is>
      </c>
      <c r="R137" s="465" t="inlineStr"/>
      <c r="S137" s="465" t="inlineStr"/>
      <c r="T137" s="465" t="inlineStr">
        <is>
          <t>formal</t>
        </is>
      </c>
    </row>
    <row r="138">
      <c r="A138" s="465" t="inlineStr">
        <is>
          <t>effect_emberwake_lantern_bronze_burn</t>
        </is>
      </c>
      <c r="B138" s="465" t="inlineStr">
        <is>
          <t>item_emberwake_lantern</t>
        </is>
      </c>
      <c r="C138" s="465" t="inlineStr">
        <is>
          <t>bronze</t>
        </is>
      </c>
      <c r="D138" s="465" t="inlineStr">
        <is>
          <t>skill_emberwake_lantern</t>
        </is>
      </c>
      <c r="E138" s="465" t="n">
        <v>20</v>
      </c>
      <c r="F138" s="465" t="inlineStr">
        <is>
          <t>item_ready</t>
        </is>
      </c>
      <c r="G138" s="465" t="inlineStr">
        <is>
          <t>always</t>
        </is>
      </c>
      <c r="H138" s="465" t="inlineStr"/>
      <c r="I138" s="465" t="inlineStr">
        <is>
          <t>any</t>
        </is>
      </c>
      <c r="J138" s="465" t="inlineStr">
        <is>
          <t>selected_enemy</t>
        </is>
      </c>
      <c r="K138" s="465" t="inlineStr"/>
      <c r="L138" s="465" t="inlineStr"/>
      <c r="M138" s="465" t="inlineStr"/>
      <c r="N138" s="465" t="inlineStr">
        <is>
          <t>apply_burn</t>
        </is>
      </c>
      <c r="O138" s="465" t="inlineStr"/>
      <c r="P138" t="n">
        <v>3</v>
      </c>
      <c r="Q138" s="465" t="inlineStr"/>
      <c r="R138" s="465" t="inlineStr"/>
      <c r="S138" s="465" t="inlineStr"/>
      <c r="T138" s="465" t="inlineStr">
        <is>
          <t>formal</t>
        </is>
      </c>
    </row>
    <row r="139">
      <c r="A139" s="465" t="inlineStr">
        <is>
          <t>effect_emberwake_lantern_silver_burn</t>
        </is>
      </c>
      <c r="B139" s="465" t="inlineStr">
        <is>
          <t>item_emberwake_lantern</t>
        </is>
      </c>
      <c r="C139" s="465" t="inlineStr">
        <is>
          <t>silver</t>
        </is>
      </c>
      <c r="D139" s="465" t="inlineStr">
        <is>
          <t>skill_emberwake_lantern</t>
        </is>
      </c>
      <c r="E139" s="465" t="n">
        <v>20</v>
      </c>
      <c r="F139" s="465" t="inlineStr">
        <is>
          <t>item_ready</t>
        </is>
      </c>
      <c r="G139" s="465" t="inlineStr">
        <is>
          <t>always</t>
        </is>
      </c>
      <c r="H139" s="465" t="inlineStr"/>
      <c r="I139" s="465" t="inlineStr">
        <is>
          <t>any</t>
        </is>
      </c>
      <c r="J139" s="465" t="inlineStr">
        <is>
          <t>selected_enemy</t>
        </is>
      </c>
      <c r="K139" s="465" t="inlineStr"/>
      <c r="L139" s="465" t="inlineStr"/>
      <c r="M139" s="465" t="inlineStr"/>
      <c r="N139" s="465" t="inlineStr">
        <is>
          <t>apply_burn</t>
        </is>
      </c>
      <c r="O139" s="465" t="inlineStr"/>
      <c r="P139" t="n">
        <v>5</v>
      </c>
      <c r="Q139" s="465" t="inlineStr"/>
      <c r="R139" s="465" t="inlineStr"/>
      <c r="S139" s="465" t="inlineStr"/>
      <c r="T139" s="465" t="inlineStr">
        <is>
          <t>formal</t>
        </is>
      </c>
    </row>
    <row r="140">
      <c r="A140" s="465" t="inlineStr">
        <is>
          <t>effect_emberwake_lantern_gold_burn</t>
        </is>
      </c>
      <c r="B140" s="465" t="inlineStr">
        <is>
          <t>item_emberwake_lantern</t>
        </is>
      </c>
      <c r="C140" s="465" t="inlineStr">
        <is>
          <t>gold</t>
        </is>
      </c>
      <c r="D140" s="465" t="inlineStr">
        <is>
          <t>skill_emberwake_lantern</t>
        </is>
      </c>
      <c r="E140" s="465" t="n">
        <v>20</v>
      </c>
      <c r="F140" s="465" t="inlineStr">
        <is>
          <t>item_ready</t>
        </is>
      </c>
      <c r="G140" s="465" t="inlineStr">
        <is>
          <t>always</t>
        </is>
      </c>
      <c r="H140" s="465" t="inlineStr"/>
      <c r="I140" s="465" t="inlineStr">
        <is>
          <t>any</t>
        </is>
      </c>
      <c r="J140" s="465" t="inlineStr">
        <is>
          <t>selected_enemy</t>
        </is>
      </c>
      <c r="K140" s="465" t="inlineStr"/>
      <c r="L140" s="465" t="inlineStr"/>
      <c r="M140" s="465" t="inlineStr"/>
      <c r="N140" s="465" t="inlineStr">
        <is>
          <t>apply_burn</t>
        </is>
      </c>
      <c r="O140" s="465" t="inlineStr"/>
      <c r="P140" t="n">
        <v>8</v>
      </c>
      <c r="Q140" s="465" t="inlineStr"/>
      <c r="R140" s="465" t="inlineStr"/>
      <c r="S140" s="465" t="inlineStr"/>
      <c r="T140" s="465" t="inlineStr">
        <is>
          <t>formal</t>
        </is>
      </c>
    </row>
    <row r="141">
      <c r="A141" s="465" t="inlineStr">
        <is>
          <t>effect_emberwake_lantern_diamond_burn</t>
        </is>
      </c>
      <c r="B141" s="465" t="inlineStr">
        <is>
          <t>item_emberwake_lantern</t>
        </is>
      </c>
      <c r="C141" s="465" t="inlineStr">
        <is>
          <t>diamond</t>
        </is>
      </c>
      <c r="D141" s="465" t="inlineStr">
        <is>
          <t>skill_emberwake_lantern</t>
        </is>
      </c>
      <c r="E141" s="465" t="n">
        <v>20</v>
      </c>
      <c r="F141" s="465" t="inlineStr">
        <is>
          <t>item_ready</t>
        </is>
      </c>
      <c r="G141" s="465" t="inlineStr">
        <is>
          <t>always</t>
        </is>
      </c>
      <c r="H141" s="465" t="inlineStr"/>
      <c r="I141" s="465" t="inlineStr">
        <is>
          <t>any</t>
        </is>
      </c>
      <c r="J141" s="465" t="inlineStr">
        <is>
          <t>selected_enemy</t>
        </is>
      </c>
      <c r="K141" s="465" t="inlineStr"/>
      <c r="L141" s="465" t="inlineStr"/>
      <c r="M141" s="465" t="inlineStr"/>
      <c r="N141" s="465" t="inlineStr">
        <is>
          <t>apply_burn</t>
        </is>
      </c>
      <c r="O141" s="465" t="inlineStr"/>
      <c r="P141" t="n">
        <v>12</v>
      </c>
      <c r="Q141" s="465" t="inlineStr"/>
      <c r="R141" s="465" t="inlineStr"/>
      <c r="S141" s="465" t="inlineStr"/>
      <c r="T141" s="465" t="inlineStr">
        <is>
          <t>formal</t>
        </is>
      </c>
    </row>
    <row r="142">
      <c r="A142" s="465" t="inlineStr">
        <is>
          <t>effect_inkwake_doser_bronze_poison</t>
        </is>
      </c>
      <c r="B142" s="465" t="inlineStr">
        <is>
          <t>item_inkwake_doser</t>
        </is>
      </c>
      <c r="C142" s="465" t="inlineStr">
        <is>
          <t>bronze</t>
        </is>
      </c>
      <c r="D142" s="465" t="inlineStr">
        <is>
          <t>skill_inkwake_doser</t>
        </is>
      </c>
      <c r="E142" s="465" t="inlineStr">
        <is>
          <t>20</t>
        </is>
      </c>
      <c r="F142" s="465" t="inlineStr">
        <is>
          <t>item_ready</t>
        </is>
      </c>
      <c r="G142" s="465" t="inlineStr">
        <is>
          <t>always</t>
        </is>
      </c>
      <c r="H142" s="465" t="inlineStr"/>
      <c r="I142" s="465" t="inlineStr">
        <is>
          <t>any</t>
        </is>
      </c>
      <c r="J142" s="465" t="inlineStr">
        <is>
          <t>selected_enemy</t>
        </is>
      </c>
      <c r="K142" s="465" t="inlineStr"/>
      <c r="L142" s="465" t="inlineStr"/>
      <c r="M142" s="465" t="inlineStr"/>
      <c r="N142" s="465" t="inlineStr">
        <is>
          <t>apply_poison</t>
        </is>
      </c>
      <c r="O142" s="465" t="inlineStr"/>
      <c r="P142" t="inlineStr">
        <is>
          <t>2</t>
        </is>
      </c>
      <c r="Q142" s="465" t="inlineStr"/>
      <c r="R142" s="465" t="inlineStr"/>
      <c r="S142" s="465" t="inlineStr"/>
      <c r="T142" s="465" t="inlineStr">
        <is>
          <t>formal</t>
        </is>
      </c>
    </row>
    <row r="143">
      <c r="A143" s="465" t="inlineStr">
        <is>
          <t>effect_inkwake_doser_silver_poison</t>
        </is>
      </c>
      <c r="B143" s="465" t="inlineStr">
        <is>
          <t>item_inkwake_doser</t>
        </is>
      </c>
      <c r="C143" s="465" t="inlineStr">
        <is>
          <t>silver</t>
        </is>
      </c>
      <c r="D143" s="465" t="inlineStr">
        <is>
          <t>skill_inkwake_doser</t>
        </is>
      </c>
      <c r="E143" s="465" t="inlineStr">
        <is>
          <t>20</t>
        </is>
      </c>
      <c r="F143" s="465" t="inlineStr">
        <is>
          <t>item_ready</t>
        </is>
      </c>
      <c r="G143" s="465" t="inlineStr">
        <is>
          <t>always</t>
        </is>
      </c>
      <c r="H143" s="465" t="inlineStr"/>
      <c r="I143" s="465" t="inlineStr">
        <is>
          <t>any</t>
        </is>
      </c>
      <c r="J143" s="465" t="inlineStr">
        <is>
          <t>selected_enemy</t>
        </is>
      </c>
      <c r="K143" s="465" t="inlineStr"/>
      <c r="L143" s="465" t="inlineStr"/>
      <c r="M143" s="465" t="inlineStr"/>
      <c r="N143" s="465" t="inlineStr">
        <is>
          <t>apply_poison</t>
        </is>
      </c>
      <c r="O143" s="465" t="inlineStr"/>
      <c r="P143" t="inlineStr">
        <is>
          <t>3</t>
        </is>
      </c>
      <c r="Q143" s="465" t="inlineStr"/>
      <c r="R143" s="465" t="inlineStr"/>
      <c r="S143" s="465" t="inlineStr"/>
      <c r="T143" s="465" t="inlineStr">
        <is>
          <t>formal</t>
        </is>
      </c>
    </row>
    <row r="144">
      <c r="A144" s="465" t="inlineStr">
        <is>
          <t>effect_inkwake_doser_gold_poison</t>
        </is>
      </c>
      <c r="B144" s="465" t="inlineStr">
        <is>
          <t>item_inkwake_doser</t>
        </is>
      </c>
      <c r="C144" s="465" t="inlineStr">
        <is>
          <t>gold</t>
        </is>
      </c>
      <c r="D144" s="465" t="inlineStr">
        <is>
          <t>skill_inkwake_doser</t>
        </is>
      </c>
      <c r="E144" s="465" t="inlineStr">
        <is>
          <t>20</t>
        </is>
      </c>
      <c r="F144" s="465" t="inlineStr">
        <is>
          <t>item_ready</t>
        </is>
      </c>
      <c r="G144" s="465" t="inlineStr">
        <is>
          <t>always</t>
        </is>
      </c>
      <c r="H144" s="465" t="inlineStr"/>
      <c r="I144" s="465" t="inlineStr">
        <is>
          <t>any</t>
        </is>
      </c>
      <c r="J144" s="465" t="inlineStr">
        <is>
          <t>selected_enemy</t>
        </is>
      </c>
      <c r="K144" s="465" t="inlineStr"/>
      <c r="L144" s="465" t="inlineStr"/>
      <c r="M144" s="465" t="inlineStr"/>
      <c r="N144" s="465" t="inlineStr">
        <is>
          <t>apply_poison</t>
        </is>
      </c>
      <c r="O144" s="465" t="inlineStr"/>
      <c r="P144" t="inlineStr">
        <is>
          <t>5</t>
        </is>
      </c>
      <c r="Q144" s="465" t="inlineStr"/>
      <c r="R144" s="465" t="inlineStr"/>
      <c r="S144" s="465" t="inlineStr"/>
      <c r="T144" s="465" t="inlineStr">
        <is>
          <t>formal</t>
        </is>
      </c>
    </row>
    <row r="145">
      <c r="A145" s="465" t="inlineStr">
        <is>
          <t>effect_inkwake_doser_diamond_poison</t>
        </is>
      </c>
      <c r="B145" s="465" t="inlineStr">
        <is>
          <t>item_inkwake_doser</t>
        </is>
      </c>
      <c r="C145" s="465" t="inlineStr">
        <is>
          <t>diamond</t>
        </is>
      </c>
      <c r="D145" s="465" t="inlineStr">
        <is>
          <t>skill_inkwake_doser</t>
        </is>
      </c>
      <c r="E145" s="465" t="inlineStr">
        <is>
          <t>20</t>
        </is>
      </c>
      <c r="F145" s="465" t="inlineStr">
        <is>
          <t>item_ready</t>
        </is>
      </c>
      <c r="G145" s="465" t="inlineStr">
        <is>
          <t>always</t>
        </is>
      </c>
      <c r="H145" s="465" t="inlineStr"/>
      <c r="I145" s="465" t="inlineStr">
        <is>
          <t>any</t>
        </is>
      </c>
      <c r="J145" s="465" t="inlineStr">
        <is>
          <t>selected_enemy</t>
        </is>
      </c>
      <c r="K145" s="465" t="inlineStr"/>
      <c r="L145" s="465" t="inlineStr"/>
      <c r="M145" s="465" t="inlineStr"/>
      <c r="N145" s="465" t="inlineStr">
        <is>
          <t>apply_poison</t>
        </is>
      </c>
      <c r="O145" s="465" t="inlineStr"/>
      <c r="P145" t="inlineStr">
        <is>
          <t>7</t>
        </is>
      </c>
      <c r="Q145" s="465" t="inlineStr"/>
      <c r="R145" s="465" t="inlineStr"/>
      <c r="S145" s="465" t="inlineStr"/>
      <c r="T145" s="465" t="inlineStr">
        <is>
          <t>formal</t>
        </is>
      </c>
    </row>
  </sheetData>
  <autoFilter ref="A1:R133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F4E78"/>
    <outlinePr summaryBelow="1" summaryRight="1"/>
    <pageSetUpPr/>
  </sheetPr>
  <dimension ref="A1:F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439" min="1" max="1"/>
    <col width="9" customWidth="1" style="439" min="2" max="2"/>
    <col width="32" customWidth="1" style="439" min="3" max="3"/>
    <col width="32" customWidth="1" style="439" min="4" max="4"/>
    <col width="32" customWidth="1" style="439" min="5" max="5"/>
    <col width="16" customWidth="1" style="439" min="6" max="6"/>
  </cols>
  <sheetData>
    <row r="1" ht="24" customHeight="1" s="439">
      <c r="A1" s="464" t="inlineStr">
        <is>
          <t>item_skill_id</t>
        </is>
      </c>
      <c r="B1" s="464" t="inlineStr">
        <is>
          <t>name_zh</t>
        </is>
      </c>
      <c r="C1" s="464" t="inlineStr">
        <is>
          <t>description_zh</t>
        </is>
      </c>
      <c r="D1" s="464" t="inlineStr">
        <is>
          <t>trigger_events</t>
        </is>
      </c>
      <c r="E1" s="464" t="inlineStr">
        <is>
          <t>effect_ids</t>
        </is>
      </c>
      <c r="F1" s="464" t="inlineStr">
        <is>
          <t>catalog_status</t>
        </is>
      </c>
    </row>
    <row r="2">
      <c r="A2" s="465" t="inlineStr">
        <is>
          <t>skill_brine_cannon</t>
        </is>
      </c>
      <c r="B2" s="465" t="inlineStr">
        <is>
          <t>盐雾齐射</t>
        </is>
      </c>
      <c r="C2" s="465" t="inlineStr">
        <is>
          <t>装填盐晶弹丸后向敌方船长开火。每个品质档都由独立效果记录决定伤害。</t>
        </is>
      </c>
      <c r="D2" s="465" t="inlineStr">
        <is>
          <t>item_ready</t>
        </is>
      </c>
      <c r="E2" s="465" t="inlineStr">
        <is>
          <t>effect_brine_cannon_bronze_hit,effect_brine_cannon_silver_hit,effect_brine_cannon_gold_hit,effect_brine_cannon_diamond_hit</t>
        </is>
      </c>
      <c r="F2" s="465" t="inlineStr">
        <is>
          <t>formal</t>
        </is>
      </c>
    </row>
    <row r="3">
      <c r="A3" s="465" t="inlineStr">
        <is>
          <t>skill_patchwork_ram</t>
        </is>
      </c>
      <c r="B3" s="465" t="inlineStr">
        <is>
          <t>拼板撞击</t>
        </is>
      </c>
      <c r="C3" s="465" t="inlineStr">
        <is>
          <t>撞击敌方船长后为自身立即推进一格充能；伤害和推进均由正式档案解释。</t>
        </is>
      </c>
      <c r="D3" s="465" t="inlineStr">
        <is>
          <t>item_ready</t>
        </is>
      </c>
      <c r="E3" s="465" t="inlineStr">
        <is>
          <t>effect_patchwork_ram_bronze_hit,effect_patchwork_ram_bronze_charge,effect_patchwork_ram_silver_hit,effect_patchwork_ram_silver_charge,effect_patchwork_ram_gold_hit,effect_patchwork_ram_gold_charge,effect_patchwork_ram_diamond_hit,effect_patchwork_ram_diamond_charge</t>
        </is>
      </c>
      <c r="F3" s="465" t="inlineStr">
        <is>
          <t>formal</t>
        </is>
      </c>
    </row>
    <row r="4">
      <c r="A4" s="465" t="inlineStr">
        <is>
          <t>skill_signal_flare</t>
        </is>
      </c>
      <c r="B4" s="465" t="inlineStr">
        <is>
          <t>星火投射</t>
        </is>
      </c>
      <c r="C4" s="465" t="inlineStr">
        <is>
          <t>点亮信标攻击敌方船长，并短暂加速自身后续充能。</t>
        </is>
      </c>
      <c r="D4" s="465" t="inlineStr">
        <is>
          <t>item_ready</t>
        </is>
      </c>
      <c r="E4" s="465" t="inlineStr">
        <is>
          <t>effect_signal_flare_silver_hit,effect_signal_flare_silver_haste,effect_signal_flare_gold_hit,effect_signal_flare_gold_haste,effect_signal_flare_diamond_hit,effect_signal_flare_diamond_haste</t>
        </is>
      </c>
      <c r="F4" s="465" t="inlineStr">
        <is>
          <t>formal</t>
        </is>
      </c>
    </row>
    <row r="5">
      <c r="A5" s="465" t="inlineStr">
        <is>
          <t>skill_reef_hook</t>
        </is>
      </c>
      <c r="B5" s="465" t="inlineStr">
        <is>
          <t>暗礁牵击</t>
        </is>
      </c>
      <c r="C5" s="465" t="inlineStr">
        <is>
          <t>抛出礁铁钩攻击敌方船长，并拖慢敌方甲板最靠前的物品。</t>
        </is>
      </c>
      <c r="D5" s="465" t="inlineStr">
        <is>
          <t>item_ready</t>
        </is>
      </c>
      <c r="E5" s="465" t="inlineStr">
        <is>
          <t>effect_reef_hook_bronze_hit,effect_reef_hook_bronze_slow,effect_reef_hook_silver_hit,effect_reef_hook_silver_slow,effect_reef_hook_gold_hit,effect_reef_hook_gold_slow,effect_reef_hook_diamond_hit,effect_reef_hook_diamond_slow</t>
        </is>
      </c>
      <c r="F5" s="465" t="inlineStr">
        <is>
          <t>formal</t>
        </is>
      </c>
    </row>
    <row r="6">
      <c r="A6" s="465" t="inlineStr">
        <is>
          <t>skill_storm_compass</t>
        </is>
      </c>
      <c r="B6" s="465" t="inlineStr">
        <is>
          <t>风暴定向</t>
        </is>
      </c>
      <c r="C6" s="465" t="inlineStr">
        <is>
          <t>罗盘释放冲击，并短暂冻结敌方甲板最靠前的物品。</t>
        </is>
      </c>
      <c r="D6" s="465" t="inlineStr">
        <is>
          <t>item_ready</t>
        </is>
      </c>
      <c r="E6" s="465" t="inlineStr">
        <is>
          <t>effect_storm_compass_gold_hit,effect_storm_compass_gold_freeze,effect_storm_compass_diamond_hit,effect_storm_compass_diamond_freeze</t>
        </is>
      </c>
      <c r="F6" s="465" t="inlineStr">
        <is>
          <t>formal</t>
        </is>
      </c>
    </row>
    <row r="7">
      <c r="A7" s="465" t="inlineStr">
        <is>
          <t>skill_abyss_bell</t>
        </is>
      </c>
      <c r="B7" s="465" t="inlineStr">
        <is>
          <t>深潮鸣响</t>
        </is>
      </c>
      <c r="C7" s="465" t="inlineStr">
        <is>
          <t>深潮钟造成沉重震荡，并在鸣响后为自身装填一枚弹药。</t>
        </is>
      </c>
      <c r="D7" s="465" t="inlineStr">
        <is>
          <t>item_ready</t>
        </is>
      </c>
      <c r="E7" s="465" t="inlineStr">
        <is>
          <t>effect_abyss_bell_diamond_hit,effect_abyss_bell_diamond_reload</t>
        </is>
      </c>
      <c r="F7" s="465" t="inlineStr">
        <is>
          <t>formal</t>
        </is>
      </c>
    </row>
    <row r="8">
      <c r="A8" s="465" t="inlineStr">
        <is>
          <t>skill_wake_echo_drum</t>
        </is>
      </c>
      <c r="B8" s="465" t="inlineStr">
        <is>
          <t>回响追拍</t>
        </is>
      </c>
      <c r="C8" s="465" t="inlineStr">
        <is>
          <t>鼓面自行震击敌方船长；另一件带弹药或武器标签的友方物品使用后，鼓声再追击一次。</t>
        </is>
      </c>
      <c r="D8" s="465" t="inlineStr">
        <is>
          <t>another_friendly_item_used, item_ready</t>
        </is>
      </c>
      <c r="E8" s="465" t="inlineStr">
        <is>
          <t>effect_wake_echo_drum_bronze_ready,effect_wake_echo_drum_bronze_response,effect_wake_echo_drum_silver_ready,effect_wake_echo_drum_silver_response,effect_wake_echo_drum_gold_ready,effect_wake_echo_drum_gold_response,effect_wake_echo_drum_diamond_ready,effect_wake_echo_drum_diamond_response</t>
        </is>
      </c>
      <c r="F8" s="465" t="inlineStr">
        <is>
          <t>formal</t>
        </is>
      </c>
    </row>
    <row r="9">
      <c r="A9" s="465" t="inlineStr">
        <is>
          <t>skill_saltwind_capstan</t>
        </is>
      </c>
      <c r="B9" s="465" t="inlineStr">
        <is>
          <t>绞索借力</t>
        </is>
      </c>
      <c r="C9" s="465" t="inlineStr">
        <is>
          <t>绞盘到点时撞击敌方船长；另一件带工具标签的友方物品使用后，为绞盘推进充能。</t>
        </is>
      </c>
      <c r="D9" s="465" t="inlineStr">
        <is>
          <t>another_friendly_item_used, item_ready</t>
        </is>
      </c>
      <c r="E9" s="465" t="inlineStr">
        <is>
          <t>effect_saltwind_capstan_bronze_ready,effect_saltwind_capstan_bronze_response,effect_saltwind_capstan_silver_ready,effect_saltwind_capstan_silver_response,effect_saltwind_capstan_gold_ready,effect_saltwind_capstan_gold_response,effect_saltwind_capstan_diamond_ready,effect_saltwind_capstan_diamond_response</t>
        </is>
      </c>
      <c r="F9" s="465" t="inlineStr">
        <is>
          <t>formal</t>
        </is>
      </c>
    </row>
    <row r="10">
      <c r="A10" s="465" t="inlineStr">
        <is>
          <t>skill_tidefin_launcher</t>
        </is>
      </c>
      <c r="B10" s="465" t="inlineStr">
        <is>
          <t>潮脊补仓</t>
        </is>
      </c>
      <c r="C10" s="465" t="inlineStr">
        <is>
          <t>投筒到点时发射泡沫弹；另一件带水生标签的友方物品使用后，为投筒补充弹药。</t>
        </is>
      </c>
      <c r="D10" s="465" t="inlineStr">
        <is>
          <t>another_friendly_item_used, item_ready</t>
        </is>
      </c>
      <c r="E10" s="465" t="inlineStr">
        <is>
          <t>effect_tidefin_launcher_bronze_ready,effect_tidefin_launcher_bronze_response,effect_tidefin_launcher_silver_ready,effect_tidefin_launcher_silver_response,effect_tidefin_launcher_gold_ready,effect_tidefin_launcher_gold_response,effect_tidefin_launcher_diamond_ready,effect_tidefin_launcher_diamond_response</t>
        </is>
      </c>
      <c r="F10" s="465" t="inlineStr">
        <is>
          <t>formal</t>
        </is>
      </c>
    </row>
    <row r="11">
      <c r="A11" s="465" t="inlineStr">
        <is>
          <t>skill_mistkelp_remedy_kit</t>
        </is>
      </c>
      <c r="B11" s="465" t="inlineStr">
        <is>
          <t>雾藻回补</t>
        </is>
      </c>
      <c r="C11" s="465" t="inlineStr">
        <is>
          <t>物品就绪时，为己方船长恢复生命；恢复后生命不会超过最大生命。</t>
        </is>
      </c>
      <c r="D11" s="465" t="inlineStr">
        <is>
          <t>item_ready</t>
        </is>
      </c>
      <c r="E11" s="465" t="inlineStr">
        <is>
          <t>effect_mistkelp_remedy_kit_bronze_heal,effect_mistkelp_remedy_kit_silver_heal,effect_mistkelp_remedy_kit_gold_heal,effect_mistkelp_remedy_kit_diamond_heal</t>
        </is>
      </c>
      <c r="F11" s="465" t="inlineStr">
        <is>
          <t>formal</t>
        </is>
      </c>
    </row>
    <row r="12">
      <c r="A12" s="465" t="inlineStr">
        <is>
          <t>skill_tidefold_bulwark</t>
        </is>
      </c>
      <c r="B12" s="465" t="inlineStr">
        <is>
          <t>叠潮加固</t>
        </is>
      </c>
      <c r="C12" s="465" t="inlineStr">
        <is>
          <t>物品就绪时，为己方船长获得护盾；护盾以一比一抵挡直接伤害。</t>
        </is>
      </c>
      <c r="D12" s="465" t="inlineStr">
        <is>
          <t>item_ready</t>
        </is>
      </c>
      <c r="E12" s="465" t="inlineStr">
        <is>
          <t>effect_tidefold_bulwark_bronze_shield,effect_tidefold_bulwark_silver_shield,effect_tidefold_bulwark_gold_shield,effect_tidefold_bulwark_diamond_shield</t>
        </is>
      </c>
      <c r="F12" s="465" t="inlineStr">
        <is>
          <t>formal</t>
        </is>
      </c>
    </row>
    <row r="13" s="439">
      <c r="A13" s="465" t="inlineStr">
        <is>
          <t>skill_homeglow_beacon</t>
        </is>
      </c>
      <c r="B13" s="465" t="inlineStr">
        <is>
          <t>归辉双守</t>
        </is>
      </c>
      <c r="C13" s="465" t="inlineStr">
        <is>
          <t>物品就绪时，先为己方船长恢复生命，再获得护盾；执行顺序由正式效果优先级固定。</t>
        </is>
      </c>
      <c r="D13" s="465" t="inlineStr">
        <is>
          <t>item_ready</t>
        </is>
      </c>
      <c r="E13" s="465" t="inlineStr">
        <is>
          <t>effect_homeglow_beacon_bronze_heal,effect_homeglow_beacon_bronze_shield,effect_homeglow_beacon_silver_heal,effect_homeglow_beacon_silver_shield,effect_homeglow_beacon_gold_heal,effect_homeglow_beacon_gold_shield,effect_homeglow_beacon_diamond_heal,effect_homeglow_beacon_diamond_shield</t>
        </is>
      </c>
      <c r="F13" s="465" t="inlineStr">
        <is>
          <t>formal</t>
        </is>
      </c>
    </row>
    <row r="14">
      <c r="A14" s="465" t="inlineStr">
        <is>
          <t>skill_tidescar_matchlock</t>
        </is>
      </c>
      <c r="B14" s="465" t="inlineStr">
        <is>
          <t>潮痕蓄势</t>
        </is>
      </c>
      <c r="C14" s="465" t="inlineStr">
        <is>
          <t>物品就绪时向敌方船长开火；另一件带弹药标签的友方物品使用后，本物品仅在本场战斗增加伤害。</t>
        </is>
      </c>
      <c r="D14" s="465" t="inlineStr">
        <is>
          <t>another_friendly_item_used, item_ready</t>
        </is>
      </c>
      <c r="E14" s="465" t="inlineStr">
        <is>
          <t>effect_tidescar_matchlock_bronze_ready,effect_tidescar_matchlock_bronze_growth,effect_tidescar_matchlock_silver_ready,effect_tidescar_matchlock_silver_growth,effect_tidescar_matchlock_gold_ready,effect_tidescar_matchlock_gold_growth,effect_tidescar_matchlock_diamond_ready,effect_tidescar_matchlock_diamond_growth</t>
        </is>
      </c>
      <c r="F14" s="465" t="inlineStr">
        <is>
          <t>formal</t>
        </is>
      </c>
    </row>
    <row r="15" s="439">
      <c r="A15" s="465" t="inlineStr">
        <is>
          <t>skill_mistline_ratchet</t>
        </is>
      </c>
      <c r="B15" s="465" t="inlineStr">
        <is>
          <t>雾索咬合</t>
        </is>
      </c>
      <c r="C15" s="465" t="inlineStr">
        <is>
          <t>棘轮到点时发射雾索弹；只有相邻且带弹药标签的另一件友方物品使用后，才为自身推进充能。</t>
        </is>
      </c>
      <c r="D15" s="465" t="inlineStr">
        <is>
          <t>another_friendly_item_used, item_ready</t>
        </is>
      </c>
      <c r="E15" s="465" t="inlineStr">
        <is>
          <t>effect_mistline_ratchet_bronze_ready,effect_mistline_ratchet_bronze_response,effect_mistline_ratchet_silver_ready,effect_mistline_ratchet_silver_response,effect_mistline_ratchet_gold_ready,effect_mistline_ratchet_gold_response,effect_mistline_ratchet_diamond_ready,effect_mistline_ratchet_diamond_response</t>
        </is>
      </c>
      <c r="F15" s="465" t="inlineStr">
        <is>
          <t>formal</t>
        </is>
      </c>
    </row>
    <row r="16" s="439">
      <c r="A16" s="465" t="inlineStr">
        <is>
          <t>skill_quadrant_linkage</t>
        </is>
      </c>
      <c r="B16" s="465" t="inlineStr">
        <is>
          <t>四缆传动</t>
        </is>
      </c>
      <c r="C16" s="465" t="inlineStr">
        <is>
          <t>物品就绪时先向敌方船长造成伤害，再依次为左邻、右邻、最左和最右的另一件友方物品推进充能；四种目标都排除自身，没有合法目标时不生效且不回退，同一目标可按效果顺序多次获得充能。</t>
        </is>
      </c>
      <c r="D16" s="465" t="inlineStr">
        <is>
          <t>item_ready</t>
        </is>
      </c>
      <c r="E16" s="465" t="inlineStr">
        <is>
          <t>effect_quadrant_linkage_bronze_ready,effect_quadrant_linkage_bronze_left_adjacent,effect_quadrant_linkage_bronze_right_adjacent,effect_quadrant_linkage_bronze_leftmost,effect_quadrant_linkage_bronze_rightmost,effect_quadrant_linkage_silver_ready,effect_quadrant_linkage_silver_left_adjacent,effect_quadrant_linkage_silver_right_adjacent,effect_quadrant_linkage_silver_leftmost,effect_quadrant_linkage_silver_rightmost,effect_quadrant_linkage_gold_ready,effect_quadrant_linkage_gold_left_adjacent,effect_quadrant_linkage_gold_right_adjacent,effect_quadrant_linkage_gold_leftmost,effect_quadrant_linkage_gold_rightmost,effect_quadrant_linkage_diamond_ready,effect_quadrant_linkage_diamond_left_adjacent,effect_quadrant_linkage_diamond_right_adjacent,effect_quadrant_linkage_diamond_leftmost,effect_quadrant_linkage_diamond_rightmost</t>
        </is>
      </c>
      <c r="F16" s="465" t="inlineStr">
        <is>
          <t>formal</t>
        </is>
      </c>
    </row>
    <row r="17" s="439">
      <c r="A17" s="465" t="inlineStr">
        <is>
          <t>skill_followwake_calibrator</t>
        </is>
      </c>
      <c r="B17" s="465" t="inlineStr">
        <is>
          <t>续响校炮</t>
        </is>
      </c>
      <c r="C17" s="465" t="inlineStr">
        <is>
          <t>物品就绪时向敌方船长发出校准冲击；另一件带武器标签的友方物品本次使用完成后，刚使用的那件物品仅在本场战斗增加伤害，增量从它的后续使用开始生效。</t>
        </is>
      </c>
      <c r="D17" s="465" t="inlineStr">
        <is>
          <t>another_friendly_item_used, item_ready</t>
        </is>
      </c>
      <c r="E17" s="465" t="inlineStr">
        <is>
          <t>effect_followwake_calibrator_bronze_ready,effect_followwake_calibrator_bronze_response,effect_followwake_calibrator_silver_ready,effect_followwake_calibrator_silver_response,effect_followwake_calibrator_gold_ready,effect_followwake_calibrator_gold_response,effect_followwake_calibrator_diamond_ready,effect_followwake_calibrator_diamond_response</t>
        </is>
      </c>
      <c r="F17" s="465" t="inlineStr">
        <is>
          <t>formal</t>
        </is>
      </c>
    </row>
    <row r="18" s="439">
      <c r="A18" s="465" t="inlineStr">
        <is>
          <t>skill_dawntide_timer</t>
        </is>
      </c>
      <c r="B18" s="465" t="inlineStr">
        <is>
          <t>晨潮定刻</t>
        </is>
      </c>
      <c r="C18" s="465" t="inlineStr">
        <is>
          <t>战斗开始时为己方船长架起一层计时护盾；校时器就绪时向敌方船长发射校时脉冲。</t>
        </is>
      </c>
      <c r="D18" s="465" t="inlineStr">
        <is>
          <t>battle_start, item_ready</t>
        </is>
      </c>
      <c r="E18" s="465" t="inlineStr">
        <is>
          <t>effect_dawntide_timer_bronze_opening_shield,effect_dawntide_timer_bronze_ready,effect_dawntide_timer_silver_opening_shield,effect_dawntide_timer_silver_ready,effect_dawntide_timer_gold_opening_shield,effect_dawntide_timer_gold_ready,effect_dawntide_timer_diamond_opening_shield,effect_dawntide_timer_diamond_ready</t>
        </is>
      </c>
      <c r="F18" s="465" t="inlineStr">
        <is>
          <t>formal</t>
        </is>
      </c>
    </row>
    <row r="19" s="439">
      <c r="A19" s="465" t="inlineStr">
        <is>
          <t>skill_broadside_signal_relay</t>
        </is>
      </c>
      <c r="B19" s="465" t="inlineStr">
        <is>
          <t>列舰催发</t>
        </is>
      </c>
      <c r="C19" s="465" t="inlineStr">
        <is>
          <t>物品就绪时，为己方所有带武器标签的物品推进充能；没有符合条件的物品时不生效。</t>
        </is>
      </c>
      <c r="D19" s="465" t="inlineStr">
        <is>
          <t>item_ready</t>
        </is>
      </c>
      <c r="E19" s="465" t="inlineStr">
        <is>
          <t>effect_broadside_signal_relay_bronze_charge_weapons,effect_broadside_signal_relay_silver_charge_weapons,effect_broadside_signal_relay_gold_charge_weapons,effect_broadside_signal_relay_diamond_charge_weapons</t>
        </is>
      </c>
      <c r="F19" s="465" t="inlineStr">
        <is>
          <t>formal</t>
        </is>
      </c>
    </row>
    <row r="20" s="439">
      <c r="A20" s="465" t="inlineStr">
        <is>
          <t>skill_crosswind_selector</t>
        </is>
      </c>
      <c r="B20" s="465" t="inlineStr">
        <is>
          <t>侧风择发</t>
        </is>
      </c>
      <c r="C20" s="465" t="inlineStr">
        <is>
          <t>物品就绪时，随机选择一件除自身外且带武器标签的己方物品推进充能；没有符合条件的物品时不生效。</t>
        </is>
      </c>
      <c r="D20" s="465" t="inlineStr">
        <is>
          <t>item_ready</t>
        </is>
      </c>
      <c r="E20" s="465" t="inlineStr">
        <is>
          <t>effect_crosswind_selector_bronze_charge_random_weapon,effect_crosswind_selector_silver_charge_random_weapon,effect_crosswind_selector_gold_charge_random_weapon,effect_crosswind_selector_diamond_charge_random_weapon</t>
        </is>
      </c>
      <c r="F20" s="465" t="inlineStr">
        <is>
          <t>formal</t>
        </is>
      </c>
    </row>
    <row r="21">
      <c r="A21" s="465" t="inlineStr">
        <is>
          <t>skill_tideglass_sidearm</t>
        </is>
      </c>
      <c r="B21" s="465" t="inlineStr">
        <is>
          <t>镜潮点射</t>
        </is>
      </c>
      <c r="C21" s="465" t="inlineStr">
        <is>
          <t>物品就绪时向敌方船长射击；青铜、白银、黄金、钻石分别有25%、40%、55%、70%几率暴击，暴击使本次伤害变为两倍。</t>
        </is>
      </c>
      <c r="D21" s="465" t="inlineStr">
        <is>
          <t>item_ready</t>
        </is>
      </c>
      <c r="E21" s="465" t="inlineStr">
        <is>
          <t>effect_tideglass_sidearm_bronze_shot,effect_tideglass_sidearm_silver_shot,effect_tideglass_sidearm_gold_shot,effect_tideglass_sidearm_diamond_shot</t>
        </is>
      </c>
      <c r="F21" s="465" t="inlineStr">
        <is>
          <t>formal</t>
        </is>
      </c>
    </row>
    <row r="22">
      <c r="A22" s="465" t="inlineStr">
        <is>
          <t>skill_emberwake_lantern</t>
        </is>
      </c>
      <c r="B22" s="465" t="inlineStr">
        <is>
          <t>余烬追潮</t>
        </is>
      </c>
      <c r="C22" s="465" t="inlineStr">
        <is>
          <t>物品就绪时，向敌方船长施加燃烧；燃烧从下一个时钟刻开始，每刻先造成等同层数的伤害，再减少一层，且燃烧不暴击。</t>
        </is>
      </c>
      <c r="D22" s="465" t="inlineStr">
        <is>
          <t>item_ready</t>
        </is>
      </c>
      <c r="E22" s="465" t="inlineStr">
        <is>
          <t>effect_emberwake_lantern_bronze_burn,effect_emberwake_lantern_silver_burn,effect_emberwake_lantern_gold_burn,effect_emberwake_lantern_diamond_burn</t>
        </is>
      </c>
      <c r="F22" s="465" t="inlineStr">
        <is>
          <t>formal</t>
        </is>
      </c>
    </row>
    <row r="23">
      <c r="A23" s="465" t="inlineStr">
        <is>
          <t>skill_inkwake_doser</t>
        </is>
      </c>
      <c r="B23" s="465" t="inlineStr">
        <is>
          <t>暗潮渗毒</t>
        </is>
      </c>
      <c r="C23" s="465" t="inlineStr">
        <is>
          <t>物品就绪时，向敌方船长施加中毒；中毒在完整间隔后于时钟刻开始阶段造成等同层数的生命伤害，不衰减、不消耗护盾且不暴击。</t>
        </is>
      </c>
      <c r="D23" s="465" t="inlineStr">
        <is>
          <t>item_ready</t>
        </is>
      </c>
      <c r="E23" s="465" t="inlineStr">
        <is>
          <t>effect_inkwake_doser_bronze_poison,effect_inkwake_doser_silver_poison,effect_inkwake_doser_gold_poison,effect_inkwake_doser_diamond_poison</t>
        </is>
      </c>
      <c r="F23" s="465" t="inlineStr">
        <is>
          <t>formal</t>
        </is>
      </c>
    </row>
  </sheetData>
  <autoFilter ref="A1:F20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1F4E78"/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439" min="1" max="1"/>
    <col width="10" customWidth="1" style="439" min="2" max="2"/>
    <col width="14" customWidth="1" style="439" min="3" max="3"/>
    <col width="13" customWidth="1" style="439" min="4" max="4"/>
    <col width="16" customWidth="1" style="439" min="5" max="5"/>
  </cols>
  <sheetData>
    <row r="1" ht="24" customHeight="1" s="439">
      <c r="A1" s="464" t="inlineStr">
        <is>
          <t>stall_id</t>
        </is>
      </c>
      <c r="B1" s="464" t="inlineStr">
        <is>
          <t>name_zh</t>
        </is>
      </c>
      <c r="C1" s="464" t="inlineStr">
        <is>
          <t>refresh_cost</t>
        </is>
      </c>
      <c r="D1" s="464" t="inlineStr">
        <is>
          <t>offer_slots</t>
        </is>
      </c>
      <c r="E1" s="464" t="inlineStr">
        <is>
          <t>catalog_status</t>
        </is>
      </c>
    </row>
    <row r="2">
      <c r="A2" s="465" t="inlineStr">
        <is>
          <t>stall_mistwake</t>
        </is>
      </c>
      <c r="B2" s="465" t="inlineStr">
        <is>
          <t>雾航补给舱</t>
        </is>
      </c>
      <c r="C2" s="465" t="inlineStr">
        <is>
          <t>2</t>
        </is>
      </c>
      <c r="D2" s="465" t="inlineStr">
        <is>
          <t>3</t>
        </is>
      </c>
      <c r="E2" s="465" t="inlineStr">
        <is>
          <t>formal</t>
        </is>
      </c>
    </row>
  </sheetData>
  <autoFilter ref="A1:E2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1F4E78"/>
    <outlinePr summaryBelow="1" summaryRight="1"/>
    <pageSetUpPr/>
  </sheetPr>
  <dimension ref="A1:K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style="439" min="1" max="1"/>
    <col width="16" customWidth="1" style="439" min="2" max="2"/>
    <col width="15" customWidth="1" style="439" min="3" max="3"/>
    <col width="32" customWidth="1" style="439" min="4" max="4"/>
    <col width="23" customWidth="1" style="439" min="5" max="5"/>
    <col width="9" customWidth="1" style="439" min="6" max="6"/>
    <col width="13" customWidth="1" style="439" min="7" max="7"/>
    <col width="7" customWidth="1" style="439" min="8" max="8"/>
    <col width="8" customWidth="1" style="439" min="9" max="9"/>
    <col width="12" customWidth="1" style="439" min="10" max="10"/>
    <col width="16" customWidth="1" style="439" min="11" max="11"/>
  </cols>
  <sheetData>
    <row r="1" ht="24" customHeight="1" s="439">
      <c r="A1" s="464" t="inlineStr">
        <is>
          <t>package_id</t>
        </is>
      </c>
      <c r="B1" s="464" t="inlineStr">
        <is>
          <t>stall_id</t>
        </is>
      </c>
      <c r="C1" s="464" t="inlineStr">
        <is>
          <t>refresh_index</t>
        </is>
      </c>
      <c r="D1" s="464" t="inlineStr">
        <is>
          <t>offer_id</t>
        </is>
      </c>
      <c r="E1" s="464" t="inlineStr">
        <is>
          <t>item_id</t>
        </is>
      </c>
      <c r="F1" s="464" t="inlineStr">
        <is>
          <t>quality</t>
        </is>
      </c>
      <c r="G1" s="464" t="inlineStr">
        <is>
          <t>enchantment</t>
        </is>
      </c>
      <c r="H1" s="464" t="inlineStr">
        <is>
          <t>price</t>
        </is>
      </c>
      <c r="I1" s="464" t="inlineStr">
        <is>
          <t>frozen</t>
        </is>
      </c>
      <c r="J1" s="464" t="inlineStr">
        <is>
          <t>slot_order</t>
        </is>
      </c>
      <c r="K1" s="464" t="inlineStr">
        <is>
          <t>catalog_status</t>
        </is>
      </c>
    </row>
    <row r="2">
      <c r="A2" s="465" t="inlineStr">
        <is>
          <t>package_mistwake_initial</t>
        </is>
      </c>
      <c r="B2" s="465" t="inlineStr">
        <is>
          <t>stall_mistwake</t>
        </is>
      </c>
      <c r="C2" s="465" t="inlineStr">
        <is>
          <t>0</t>
        </is>
      </c>
      <c r="D2" s="465" t="inlineStr">
        <is>
          <t>offer_initial_emberwake_lantern</t>
        </is>
      </c>
      <c r="E2" s="465" t="inlineStr">
        <is>
          <t>item_emberwake_lantern</t>
        </is>
      </c>
      <c r="F2" s="465" t="inlineStr">
        <is>
          <t>bronze</t>
        </is>
      </c>
      <c r="G2" s="465" t="inlineStr"/>
      <c r="H2" s="465" t="n">
        <v>3</v>
      </c>
      <c r="I2" s="465" t="inlineStr">
        <is>
          <t>false</t>
        </is>
      </c>
      <c r="J2" s="465" t="inlineStr">
        <is>
          <t>1</t>
        </is>
      </c>
      <c r="K2" s="465" t="inlineStr">
        <is>
          <t>formal</t>
        </is>
      </c>
    </row>
    <row r="3">
      <c r="A3" s="465" t="inlineStr">
        <is>
          <t>package_mistwake_initial</t>
        </is>
      </c>
      <c r="B3" s="465" t="inlineStr">
        <is>
          <t>stall_mistwake</t>
        </is>
      </c>
      <c r="C3" s="465" t="inlineStr">
        <is>
          <t>0</t>
        </is>
      </c>
      <c r="D3" s="465" t="inlineStr">
        <is>
          <t>offer_initial_tideglass_sidearm</t>
        </is>
      </c>
      <c r="E3" s="465" t="inlineStr">
        <is>
          <t>item_tideglass_sidearm</t>
        </is>
      </c>
      <c r="F3" s="465" t="inlineStr">
        <is>
          <t>bronze</t>
        </is>
      </c>
      <c r="G3" s="465" t="inlineStr"/>
      <c r="H3" s="465" t="n">
        <v>4</v>
      </c>
      <c r="I3" s="465" t="inlineStr">
        <is>
          <t>false</t>
        </is>
      </c>
      <c r="J3" s="465" t="inlineStr">
        <is>
          <t>2</t>
        </is>
      </c>
      <c r="K3" s="465" t="inlineStr">
        <is>
          <t>formal</t>
        </is>
      </c>
    </row>
    <row r="4">
      <c r="A4" s="465" t="inlineStr">
        <is>
          <t>package_mistwake_initial</t>
        </is>
      </c>
      <c r="B4" s="465" t="inlineStr">
        <is>
          <t>stall_mistwake</t>
        </is>
      </c>
      <c r="C4" s="465" t="inlineStr">
        <is>
          <t>0</t>
        </is>
      </c>
      <c r="D4" s="465" t="inlineStr">
        <is>
          <t>offer_initial_reef_hook</t>
        </is>
      </c>
      <c r="E4" s="465" t="inlineStr">
        <is>
          <t>item_reef_hook</t>
        </is>
      </c>
      <c r="F4" s="465" t="inlineStr">
        <is>
          <t>bronze</t>
        </is>
      </c>
      <c r="G4" s="465" t="inlineStr"/>
      <c r="H4" s="465" t="inlineStr">
        <is>
          <t>3</t>
        </is>
      </c>
      <c r="I4" s="465" t="inlineStr">
        <is>
          <t>false</t>
        </is>
      </c>
      <c r="J4" s="465" t="inlineStr">
        <is>
          <t>3</t>
        </is>
      </c>
      <c r="K4" s="465" t="inlineStr">
        <is>
          <t>formal</t>
        </is>
      </c>
    </row>
    <row r="5">
      <c r="A5" s="465" t="inlineStr">
        <is>
          <t>package_mistwake_refresh_1</t>
        </is>
      </c>
      <c r="B5" s="465" t="inlineStr">
        <is>
          <t>stall_mistwake</t>
        </is>
      </c>
      <c r="C5" s="465" t="inlineStr">
        <is>
          <t>1</t>
        </is>
      </c>
      <c r="D5" s="465" t="inlineStr">
        <is>
          <t>offer_refresh_1_wake_echo_drum</t>
        </is>
      </c>
      <c r="E5" s="465" t="inlineStr">
        <is>
          <t>item_wake_echo_drum</t>
        </is>
      </c>
      <c r="F5" s="465" t="inlineStr">
        <is>
          <t>bronze</t>
        </is>
      </c>
      <c r="G5" s="465" t="inlineStr"/>
      <c r="H5" s="465" t="inlineStr">
        <is>
          <t>5</t>
        </is>
      </c>
      <c r="I5" s="465" t="inlineStr">
        <is>
          <t>false</t>
        </is>
      </c>
      <c r="J5" s="465" t="inlineStr">
        <is>
          <t>1</t>
        </is>
      </c>
      <c r="K5" s="465" t="inlineStr">
        <is>
          <t>formal</t>
        </is>
      </c>
    </row>
    <row r="6">
      <c r="A6" s="465" t="inlineStr">
        <is>
          <t>package_mistwake_refresh_1</t>
        </is>
      </c>
      <c r="B6" s="465" t="inlineStr">
        <is>
          <t>stall_mistwake</t>
        </is>
      </c>
      <c r="C6" s="465" t="inlineStr">
        <is>
          <t>1</t>
        </is>
      </c>
      <c r="D6" s="465" t="inlineStr">
        <is>
          <t>offer_refresh_1_quadrant_linkage</t>
        </is>
      </c>
      <c r="E6" s="465" t="inlineStr">
        <is>
          <t>item_quadrant_linkage</t>
        </is>
      </c>
      <c r="F6" s="465" t="inlineStr">
        <is>
          <t>bronze</t>
        </is>
      </c>
      <c r="G6" s="465" t="inlineStr"/>
      <c r="H6" s="465" t="inlineStr">
        <is>
          <t>5</t>
        </is>
      </c>
      <c r="I6" s="465" t="inlineStr">
        <is>
          <t>false</t>
        </is>
      </c>
      <c r="J6" s="465" t="inlineStr">
        <is>
          <t>2</t>
        </is>
      </c>
      <c r="K6" s="465" t="inlineStr">
        <is>
          <t>formal</t>
        </is>
      </c>
    </row>
    <row r="7">
      <c r="A7" s="465" t="inlineStr">
        <is>
          <t>package_mistwake_refresh_1</t>
        </is>
      </c>
      <c r="B7" s="465" t="inlineStr">
        <is>
          <t>stall_mistwake</t>
        </is>
      </c>
      <c r="C7" s="465" t="inlineStr">
        <is>
          <t>1</t>
        </is>
      </c>
      <c r="D7" s="465" t="inlineStr">
        <is>
          <t>offer_refresh_1_mistline_ratchet</t>
        </is>
      </c>
      <c r="E7" s="465" t="inlineStr">
        <is>
          <t>item_mistline_ratchet</t>
        </is>
      </c>
      <c r="F7" s="465" t="inlineStr">
        <is>
          <t>bronze</t>
        </is>
      </c>
      <c r="G7" s="465" t="inlineStr"/>
      <c r="H7" s="465" t="inlineStr">
        <is>
          <t>4</t>
        </is>
      </c>
      <c r="I7" s="465" t="inlineStr">
        <is>
          <t>false</t>
        </is>
      </c>
      <c r="J7" s="465" t="inlineStr">
        <is>
          <t>3</t>
        </is>
      </c>
      <c r="K7" s="465" t="inlineStr">
        <is>
          <t>formal</t>
        </is>
      </c>
    </row>
    <row r="8">
      <c r="A8" s="465" t="inlineStr">
        <is>
          <t>package_mistwake_refresh_2</t>
        </is>
      </c>
      <c r="B8" s="465" t="inlineStr">
        <is>
          <t>stall_mistwake</t>
        </is>
      </c>
      <c r="C8" s="465" t="inlineStr">
        <is>
          <t>2</t>
        </is>
      </c>
      <c r="D8" s="465" t="inlineStr">
        <is>
          <t>offer_refresh_2_saltwind_capstan</t>
        </is>
      </c>
      <c r="E8" s="465" t="inlineStr">
        <is>
          <t>item_saltwind_capstan</t>
        </is>
      </c>
      <c r="F8" s="465" t="inlineStr">
        <is>
          <t>bronze</t>
        </is>
      </c>
      <c r="G8" s="465" t="inlineStr"/>
      <c r="H8" s="465" t="inlineStr">
        <is>
          <t>4</t>
        </is>
      </c>
      <c r="I8" s="465" t="inlineStr">
        <is>
          <t>false</t>
        </is>
      </c>
      <c r="J8" s="465" t="inlineStr">
        <is>
          <t>1</t>
        </is>
      </c>
      <c r="K8" s="465" t="inlineStr">
        <is>
          <t>formal</t>
        </is>
      </c>
    </row>
    <row r="9">
      <c r="A9" s="465" t="inlineStr">
        <is>
          <t>package_mistwake_refresh_2</t>
        </is>
      </c>
      <c r="B9" s="465" t="inlineStr">
        <is>
          <t>stall_mistwake</t>
        </is>
      </c>
      <c r="C9" s="465" t="inlineStr">
        <is>
          <t>2</t>
        </is>
      </c>
      <c r="D9" s="465" t="inlineStr">
        <is>
          <t>offer_refresh_2_followwake_calibrator</t>
        </is>
      </c>
      <c r="E9" s="465" t="inlineStr">
        <is>
          <t>item_followwake_calibrator</t>
        </is>
      </c>
      <c r="F9" s="465" t="inlineStr">
        <is>
          <t>bronze</t>
        </is>
      </c>
      <c r="G9" s="465" t="inlineStr"/>
      <c r="H9" s="465" t="inlineStr">
        <is>
          <t>4</t>
        </is>
      </c>
      <c r="I9" s="465" t="inlineStr">
        <is>
          <t>false</t>
        </is>
      </c>
      <c r="J9" s="465" t="inlineStr">
        <is>
          <t>2</t>
        </is>
      </c>
      <c r="K9" s="465" t="inlineStr">
        <is>
          <t>formal</t>
        </is>
      </c>
    </row>
    <row r="10">
      <c r="A10" s="465" t="inlineStr">
        <is>
          <t>package_mistwake_refresh_2</t>
        </is>
      </c>
      <c r="B10" s="465" t="inlineStr">
        <is>
          <t>stall_mistwake</t>
        </is>
      </c>
      <c r="C10" s="465" t="inlineStr">
        <is>
          <t>2</t>
        </is>
      </c>
      <c r="D10" s="465" t="inlineStr">
        <is>
          <t>offer_refresh_2_reef_hook</t>
        </is>
      </c>
      <c r="E10" s="465" t="inlineStr">
        <is>
          <t>item_reef_hook</t>
        </is>
      </c>
      <c r="F10" s="465" t="inlineStr">
        <is>
          <t>silver</t>
        </is>
      </c>
      <c r="G10" s="465" t="inlineStr"/>
      <c r="H10" s="465" t="inlineStr">
        <is>
          <t>5</t>
        </is>
      </c>
      <c r="I10" s="465" t="inlineStr">
        <is>
          <t>false</t>
        </is>
      </c>
      <c r="J10" s="465" t="inlineStr">
        <is>
          <t>3</t>
        </is>
      </c>
      <c r="K10" s="465" t="inlineStr">
        <is>
          <t>formal</t>
        </is>
      </c>
    </row>
    <row r="11">
      <c r="A11" s="465" t="inlineStr">
        <is>
          <t>package_mistwake_refresh_3</t>
        </is>
      </c>
      <c r="B11" s="465" t="inlineStr">
        <is>
          <t>stall_mistwake</t>
        </is>
      </c>
      <c r="C11" s="465" t="inlineStr">
        <is>
          <t>3</t>
        </is>
      </c>
      <c r="D11" s="465" t="inlineStr">
        <is>
          <t>offer_refresh_3_tidefin_launcher</t>
        </is>
      </c>
      <c r="E11" s="465" t="inlineStr">
        <is>
          <t>item_tidefin_launcher</t>
        </is>
      </c>
      <c r="F11" s="465" t="inlineStr">
        <is>
          <t>bronze</t>
        </is>
      </c>
      <c r="G11" s="465" t="inlineStr"/>
      <c r="H11" s="465" t="inlineStr">
        <is>
          <t>3</t>
        </is>
      </c>
      <c r="I11" s="465" t="inlineStr">
        <is>
          <t>false</t>
        </is>
      </c>
      <c r="J11" s="465" t="inlineStr">
        <is>
          <t>1</t>
        </is>
      </c>
      <c r="K11" s="465" t="inlineStr">
        <is>
          <t>formal</t>
        </is>
      </c>
    </row>
    <row r="12">
      <c r="A12" s="465" t="inlineStr">
        <is>
          <t>package_mistwake_refresh_3</t>
        </is>
      </c>
      <c r="B12" s="465" t="inlineStr">
        <is>
          <t>stall_mistwake</t>
        </is>
      </c>
      <c r="C12" s="465" t="inlineStr">
        <is>
          <t>3</t>
        </is>
      </c>
      <c r="D12" s="465" t="inlineStr">
        <is>
          <t>offer_refresh_3_patchwork_ram</t>
        </is>
      </c>
      <c r="E12" s="465" t="inlineStr">
        <is>
          <t>item_patchwork_ram</t>
        </is>
      </c>
      <c r="F12" s="465" t="inlineStr">
        <is>
          <t>gold</t>
        </is>
      </c>
      <c r="G12" s="465" t="inlineStr"/>
      <c r="H12" s="465" t="inlineStr">
        <is>
          <t>10</t>
        </is>
      </c>
      <c r="I12" s="465" t="inlineStr">
        <is>
          <t>false</t>
        </is>
      </c>
      <c r="J12" s="465" t="inlineStr">
        <is>
          <t>2</t>
        </is>
      </c>
      <c r="K12" s="465" t="inlineStr">
        <is>
          <t>formal</t>
        </is>
      </c>
    </row>
    <row r="13">
      <c r="A13" s="465" t="inlineStr">
        <is>
          <t>package_mistwake_refresh_3</t>
        </is>
      </c>
      <c r="B13" s="465" t="inlineStr">
        <is>
          <t>stall_mistwake</t>
        </is>
      </c>
      <c r="C13" s="465" t="inlineStr">
        <is>
          <t>3</t>
        </is>
      </c>
      <c r="D13" s="465" t="inlineStr">
        <is>
          <t>offer_refresh_3_dawntide_timer</t>
        </is>
      </c>
      <c r="E13" s="465" t="inlineStr">
        <is>
          <t>item_dawntide_timer</t>
        </is>
      </c>
      <c r="F13" s="465" t="inlineStr">
        <is>
          <t>bronze</t>
        </is>
      </c>
      <c r="G13" s="465" t="inlineStr"/>
      <c r="H13" s="465" t="inlineStr">
        <is>
          <t>4</t>
        </is>
      </c>
      <c r="I13" s="465" t="inlineStr">
        <is>
          <t>false</t>
        </is>
      </c>
      <c r="J13" s="465" t="inlineStr">
        <is>
          <t>3</t>
        </is>
      </c>
      <c r="K13" s="465" t="inlineStr">
        <is>
          <t>formal</t>
        </is>
      </c>
    </row>
    <row r="14">
      <c r="A14" s="465" t="inlineStr">
        <is>
          <t>package_mistwake_refresh_4</t>
        </is>
      </c>
      <c r="B14" s="465" t="inlineStr">
        <is>
          <t>stall_mistwake</t>
        </is>
      </c>
      <c r="C14" s="465" t="inlineStr">
        <is>
          <t>4</t>
        </is>
      </c>
      <c r="D14" s="465" t="inlineStr">
        <is>
          <t>offer_refresh_4_wake_echo_drum</t>
        </is>
      </c>
      <c r="E14" s="465" t="inlineStr">
        <is>
          <t>item_wake_echo_drum</t>
        </is>
      </c>
      <c r="F14" s="465" t="inlineStr">
        <is>
          <t>silver</t>
        </is>
      </c>
      <c r="G14" s="465" t="inlineStr"/>
      <c r="H14" s="465" t="inlineStr">
        <is>
          <t>8</t>
        </is>
      </c>
      <c r="I14" s="465" t="inlineStr">
        <is>
          <t>false</t>
        </is>
      </c>
      <c r="J14" s="465" t="inlineStr">
        <is>
          <t>1</t>
        </is>
      </c>
      <c r="K14" s="465" t="inlineStr">
        <is>
          <t>formal</t>
        </is>
      </c>
    </row>
    <row r="15">
      <c r="A15" s="465" t="inlineStr">
        <is>
          <t>package_mistwake_refresh_4</t>
        </is>
      </c>
      <c r="B15" s="465" t="inlineStr">
        <is>
          <t>stall_mistwake</t>
        </is>
      </c>
      <c r="C15" s="465" t="inlineStr">
        <is>
          <t>4</t>
        </is>
      </c>
      <c r="D15" s="465" t="inlineStr">
        <is>
          <t>offer_refresh_4_mistkelp_remedy_kit</t>
        </is>
      </c>
      <c r="E15" s="465" t="inlineStr">
        <is>
          <t>item_mistkelp_remedy_kit</t>
        </is>
      </c>
      <c r="F15" s="465" t="inlineStr">
        <is>
          <t>bronze</t>
        </is>
      </c>
      <c r="G15" s="465" t="inlineStr"/>
      <c r="H15" s="465" t="inlineStr">
        <is>
          <t>4</t>
        </is>
      </c>
      <c r="I15" s="465" t="inlineStr">
        <is>
          <t>false</t>
        </is>
      </c>
      <c r="J15" s="465" t="inlineStr">
        <is>
          <t>2</t>
        </is>
      </c>
      <c r="K15" s="465" t="inlineStr">
        <is>
          <t>formal</t>
        </is>
      </c>
    </row>
    <row r="16">
      <c r="A16" s="465" t="inlineStr">
        <is>
          <t>package_mistwake_refresh_4</t>
        </is>
      </c>
      <c r="B16" s="465" t="inlineStr">
        <is>
          <t>stall_mistwake</t>
        </is>
      </c>
      <c r="C16" s="465" t="inlineStr">
        <is>
          <t>4</t>
        </is>
      </c>
      <c r="D16" s="465" t="inlineStr">
        <is>
          <t>offer_refresh_4_broadside_signal_relay</t>
        </is>
      </c>
      <c r="E16" s="465" t="inlineStr">
        <is>
          <t>item_broadside_signal_relay</t>
        </is>
      </c>
      <c r="F16" s="465" t="inlineStr">
        <is>
          <t>bronze</t>
        </is>
      </c>
      <c r="G16" s="465" t="inlineStr"/>
      <c r="H16" s="465" t="inlineStr">
        <is>
          <t>4</t>
        </is>
      </c>
      <c r="I16" s="465" t="inlineStr">
        <is>
          <t>false</t>
        </is>
      </c>
      <c r="J16" s="465" t="inlineStr">
        <is>
          <t>3</t>
        </is>
      </c>
      <c r="K16" s="465" t="inlineStr">
        <is>
          <t>formal</t>
        </is>
      </c>
    </row>
    <row r="17">
      <c r="A17" s="465" t="inlineStr">
        <is>
          <t>package_mistwake_refresh_5</t>
        </is>
      </c>
      <c r="B17" s="465" t="inlineStr">
        <is>
          <t>stall_mistwake</t>
        </is>
      </c>
      <c r="C17" s="465" t="inlineStr">
        <is>
          <t>5</t>
        </is>
      </c>
      <c r="D17" s="465" t="inlineStr">
        <is>
          <t>offer_refresh_5_inkwake_doser</t>
        </is>
      </c>
      <c r="E17" s="465" t="inlineStr">
        <is>
          <t>item_inkwake_doser</t>
        </is>
      </c>
      <c r="F17" s="465" t="inlineStr">
        <is>
          <t>bronze</t>
        </is>
      </c>
      <c r="G17" s="465" t="inlineStr"/>
      <c r="H17" s="465" t="inlineStr">
        <is>
          <t>2</t>
        </is>
      </c>
      <c r="I17" s="465" t="inlineStr">
        <is>
          <t>false</t>
        </is>
      </c>
      <c r="J17" s="465" t="inlineStr">
        <is>
          <t>1</t>
        </is>
      </c>
      <c r="K17" s="465" t="inlineStr">
        <is>
          <t>formal</t>
        </is>
      </c>
    </row>
    <row r="18">
      <c r="A18" s="465" t="inlineStr">
        <is>
          <t>package_mistwake_refresh_5</t>
        </is>
      </c>
      <c r="B18" s="465" t="inlineStr">
        <is>
          <t>stall_mistwake</t>
        </is>
      </c>
      <c r="C18" s="465" t="inlineStr">
        <is>
          <t>5</t>
        </is>
      </c>
      <c r="D18" s="465" t="inlineStr">
        <is>
          <t>offer_refresh_5_tidefold_bulwark</t>
        </is>
      </c>
      <c r="E18" s="465" t="inlineStr">
        <is>
          <t>item_tidefold_bulwark</t>
        </is>
      </c>
      <c r="F18" s="465" t="inlineStr">
        <is>
          <t>bronze</t>
        </is>
      </c>
      <c r="G18" s="465" t="inlineStr"/>
      <c r="H18" s="465" t="inlineStr">
        <is>
          <t>5</t>
        </is>
      </c>
      <c r="I18" s="465" t="inlineStr">
        <is>
          <t>false</t>
        </is>
      </c>
      <c r="J18" s="465" t="inlineStr">
        <is>
          <t>2</t>
        </is>
      </c>
      <c r="K18" s="465" t="inlineStr">
        <is>
          <t>formal</t>
        </is>
      </c>
    </row>
    <row r="19">
      <c r="A19" s="465" t="inlineStr">
        <is>
          <t>package_mistwake_refresh_5</t>
        </is>
      </c>
      <c r="B19" s="465" t="inlineStr">
        <is>
          <t>stall_mistwake</t>
        </is>
      </c>
      <c r="C19" s="465" t="inlineStr">
        <is>
          <t>5</t>
        </is>
      </c>
      <c r="D19" s="465" t="inlineStr">
        <is>
          <t>offer_refresh_5_crosswind_selector</t>
        </is>
      </c>
      <c r="E19" s="465" t="inlineStr">
        <is>
          <t>item_crosswind_selector</t>
        </is>
      </c>
      <c r="F19" s="465" t="inlineStr">
        <is>
          <t>bronze</t>
        </is>
      </c>
      <c r="G19" s="465" t="n"/>
      <c r="H19" s="465" t="inlineStr">
        <is>
          <t>2</t>
        </is>
      </c>
      <c r="I19" s="465" t="inlineStr">
        <is>
          <t>false</t>
        </is>
      </c>
      <c r="J19" s="465" t="inlineStr">
        <is>
          <t>3</t>
        </is>
      </c>
      <c r="K19" s="465" t="inlineStr">
        <is>
          <t>formal</t>
        </is>
      </c>
    </row>
    <row r="20">
      <c r="A20" s="465" t="inlineStr">
        <is>
          <t>package_mistwake_refresh_6</t>
        </is>
      </c>
      <c r="B20" s="465" t="inlineStr">
        <is>
          <t>stall_mistwake</t>
        </is>
      </c>
      <c r="C20" s="465" t="inlineStr">
        <is>
          <t>6</t>
        </is>
      </c>
      <c r="D20" s="465" t="inlineStr">
        <is>
          <t>offer_refresh_6_tidefin_launcher</t>
        </is>
      </c>
      <c r="E20" s="465" t="inlineStr">
        <is>
          <t>item_tidefin_launcher</t>
        </is>
      </c>
      <c r="F20" s="465" t="inlineStr">
        <is>
          <t>silver</t>
        </is>
      </c>
      <c r="G20" s="465" t="inlineStr"/>
      <c r="H20" s="465" t="inlineStr">
        <is>
          <t>5</t>
        </is>
      </c>
      <c r="I20" s="465" t="inlineStr">
        <is>
          <t>false</t>
        </is>
      </c>
      <c r="J20" s="465" t="inlineStr">
        <is>
          <t>1</t>
        </is>
      </c>
      <c r="K20" s="465" t="inlineStr">
        <is>
          <t>formal</t>
        </is>
      </c>
    </row>
    <row r="21">
      <c r="A21" s="465" t="inlineStr">
        <is>
          <t>package_mistwake_refresh_6</t>
        </is>
      </c>
      <c r="B21" s="465" t="inlineStr">
        <is>
          <t>stall_mistwake</t>
        </is>
      </c>
      <c r="C21" s="465" t="inlineStr">
        <is>
          <t>6</t>
        </is>
      </c>
      <c r="D21" s="465" t="inlineStr">
        <is>
          <t>offer_refresh_6_homeglow_beacon</t>
        </is>
      </c>
      <c r="E21" s="465" t="inlineStr">
        <is>
          <t>item_homeglow_beacon</t>
        </is>
      </c>
      <c r="F21" s="465" t="inlineStr">
        <is>
          <t>bronze</t>
        </is>
      </c>
      <c r="G21" s="465" t="inlineStr"/>
      <c r="H21" s="465" t="inlineStr">
        <is>
          <t>6</t>
        </is>
      </c>
      <c r="I21" s="465" t="inlineStr">
        <is>
          <t>false</t>
        </is>
      </c>
      <c r="J21" s="465" t="inlineStr">
        <is>
          <t>2</t>
        </is>
      </c>
      <c r="K21" s="465" t="inlineStr">
        <is>
          <t>formal</t>
        </is>
      </c>
    </row>
    <row r="22">
      <c r="A22" s="465" t="inlineStr">
        <is>
          <t>package_mistwake_refresh_6</t>
        </is>
      </c>
      <c r="B22" s="465" t="inlineStr">
        <is>
          <t>stall_mistwake</t>
        </is>
      </c>
      <c r="C22" s="465" t="inlineStr">
        <is>
          <t>6</t>
        </is>
      </c>
      <c r="D22" s="465" t="inlineStr">
        <is>
          <t>offer_refresh_6_storm_compass</t>
        </is>
      </c>
      <c r="E22" s="465" t="inlineStr">
        <is>
          <t>item_storm_compass</t>
        </is>
      </c>
      <c r="F22" s="465" t="inlineStr">
        <is>
          <t>diamond</t>
        </is>
      </c>
      <c r="G22" s="465" t="inlineStr"/>
      <c r="H22" s="465" t="inlineStr">
        <is>
          <t>16</t>
        </is>
      </c>
      <c r="I22" s="465" t="inlineStr">
        <is>
          <t>false</t>
        </is>
      </c>
      <c r="J22" s="465" t="inlineStr">
        <is>
          <t>3</t>
        </is>
      </c>
      <c r="K22" s="465" t="inlineStr">
        <is>
          <t>formal</t>
        </is>
      </c>
    </row>
    <row r="23">
      <c r="A23" s="465" t="inlineStr">
        <is>
          <t>package_mistwake_refresh_7</t>
        </is>
      </c>
      <c r="B23" s="465" t="inlineStr">
        <is>
          <t>stall_mistwake</t>
        </is>
      </c>
      <c r="C23" s="465" t="inlineStr">
        <is>
          <t>7</t>
        </is>
      </c>
      <c r="D23" s="465" t="inlineStr">
        <is>
          <t>offer_refresh_7_wake_echo_drum</t>
        </is>
      </c>
      <c r="E23" s="465" t="inlineStr">
        <is>
          <t>item_wake_echo_drum</t>
        </is>
      </c>
      <c r="F23" s="465" t="inlineStr">
        <is>
          <t>gold</t>
        </is>
      </c>
      <c r="G23" s="465" t="inlineStr"/>
      <c r="H23" s="465" t="inlineStr">
        <is>
          <t>12</t>
        </is>
      </c>
      <c r="I23" s="465" t="inlineStr">
        <is>
          <t>false</t>
        </is>
      </c>
      <c r="J23" s="465" t="inlineStr">
        <is>
          <t>1</t>
        </is>
      </c>
      <c r="K23" s="465" t="inlineStr">
        <is>
          <t>formal</t>
        </is>
      </c>
    </row>
    <row r="24">
      <c r="A24" s="465" t="inlineStr">
        <is>
          <t>package_mistwake_refresh_7</t>
        </is>
      </c>
      <c r="B24" s="465" t="inlineStr">
        <is>
          <t>stall_mistwake</t>
        </is>
      </c>
      <c r="C24" s="465" t="inlineStr">
        <is>
          <t>7</t>
        </is>
      </c>
      <c r="D24" s="465" t="inlineStr">
        <is>
          <t>offer_refresh_7_signal_flare</t>
        </is>
      </c>
      <c r="E24" s="465" t="inlineStr">
        <is>
          <t>item_signal_flare</t>
        </is>
      </c>
      <c r="F24" s="465" t="inlineStr">
        <is>
          <t>gold</t>
        </is>
      </c>
      <c r="G24" s="465" t="inlineStr"/>
      <c r="H24" s="465" t="inlineStr">
        <is>
          <t>9</t>
        </is>
      </c>
      <c r="I24" s="465" t="inlineStr">
        <is>
          <t>false</t>
        </is>
      </c>
      <c r="J24" s="465" t="inlineStr">
        <is>
          <t>2</t>
        </is>
      </c>
      <c r="K24" s="465" t="inlineStr">
        <is>
          <t>formal</t>
        </is>
      </c>
    </row>
    <row r="25">
      <c r="A25" s="465" t="inlineStr">
        <is>
          <t>package_mistwake_refresh_7</t>
        </is>
      </c>
      <c r="B25" s="465" t="inlineStr">
        <is>
          <t>stall_mistwake</t>
        </is>
      </c>
      <c r="C25" s="465" t="inlineStr">
        <is>
          <t>7</t>
        </is>
      </c>
      <c r="D25" s="465" t="inlineStr">
        <is>
          <t>offer_refresh_7_reef_hook</t>
        </is>
      </c>
      <c r="E25" s="465" t="inlineStr">
        <is>
          <t>item_reef_hook</t>
        </is>
      </c>
      <c r="F25" s="465" t="inlineStr">
        <is>
          <t>silver</t>
        </is>
      </c>
      <c r="G25" s="465" t="inlineStr"/>
      <c r="H25" s="465" t="inlineStr">
        <is>
          <t>5</t>
        </is>
      </c>
      <c r="I25" s="465" t="inlineStr">
        <is>
          <t>false</t>
        </is>
      </c>
      <c r="J25" s="465" t="inlineStr">
        <is>
          <t>3</t>
        </is>
      </c>
      <c r="K25" s="465" t="inlineStr">
        <is>
          <t>formal</t>
        </is>
      </c>
    </row>
    <row r="26">
      <c r="A26" s="465" t="inlineStr">
        <is>
          <t>package_mistwake_refresh_8</t>
        </is>
      </c>
      <c r="B26" s="465" t="inlineStr">
        <is>
          <t>stall_mistwake</t>
        </is>
      </c>
      <c r="C26" s="465" t="inlineStr">
        <is>
          <t>8</t>
        </is>
      </c>
      <c r="D26" s="465" t="inlineStr">
        <is>
          <t>offer_refresh_8_saltwind_capstan</t>
        </is>
      </c>
      <c r="E26" s="465" t="inlineStr">
        <is>
          <t>item_saltwind_capstan</t>
        </is>
      </c>
      <c r="F26" s="465" t="inlineStr">
        <is>
          <t>gold</t>
        </is>
      </c>
      <c r="G26" s="465" t="inlineStr"/>
      <c r="H26" s="465" t="inlineStr">
        <is>
          <t>10</t>
        </is>
      </c>
      <c r="I26" s="465" t="inlineStr">
        <is>
          <t>false</t>
        </is>
      </c>
      <c r="J26" s="465" t="inlineStr">
        <is>
          <t>1</t>
        </is>
      </c>
      <c r="K26" s="465" t="inlineStr">
        <is>
          <t>formal</t>
        </is>
      </c>
    </row>
    <row r="27">
      <c r="A27" s="465" t="inlineStr">
        <is>
          <t>package_mistwake_refresh_8</t>
        </is>
      </c>
      <c r="B27" s="465" t="inlineStr">
        <is>
          <t>stall_mistwake</t>
        </is>
      </c>
      <c r="C27" s="465" t="inlineStr">
        <is>
          <t>8</t>
        </is>
      </c>
      <c r="D27" s="465" t="inlineStr">
        <is>
          <t>offer_refresh_8_brine_cannon</t>
        </is>
      </c>
      <c r="E27" s="465" t="inlineStr">
        <is>
          <t>item_brine_cannon</t>
        </is>
      </c>
      <c r="F27" s="465" t="inlineStr">
        <is>
          <t>silver</t>
        </is>
      </c>
      <c r="G27" s="465" t="inlineStr"/>
      <c r="H27" s="465" t="inlineStr">
        <is>
          <t>9</t>
        </is>
      </c>
      <c r="I27" s="465" t="inlineStr">
        <is>
          <t>false</t>
        </is>
      </c>
      <c r="J27" s="465" t="inlineStr">
        <is>
          <t>2</t>
        </is>
      </c>
      <c r="K27" s="465" t="inlineStr">
        <is>
          <t>formal</t>
        </is>
      </c>
    </row>
    <row r="28">
      <c r="A28" s="465" t="inlineStr">
        <is>
          <t>package_mistwake_refresh_8</t>
        </is>
      </c>
      <c r="B28" s="465" t="inlineStr">
        <is>
          <t>stall_mistwake</t>
        </is>
      </c>
      <c r="C28" s="465" t="inlineStr">
        <is>
          <t>8</t>
        </is>
      </c>
      <c r="D28" s="465" t="inlineStr">
        <is>
          <t>offer_refresh_8_abyss_bell</t>
        </is>
      </c>
      <c r="E28" s="465" t="inlineStr">
        <is>
          <t>item_abyss_bell</t>
        </is>
      </c>
      <c r="F28" s="465" t="inlineStr">
        <is>
          <t>diamond</t>
        </is>
      </c>
      <c r="G28" s="465" t="inlineStr"/>
      <c r="H28" s="465" t="inlineStr">
        <is>
          <t>20</t>
        </is>
      </c>
      <c r="I28" s="465" t="inlineStr">
        <is>
          <t>false</t>
        </is>
      </c>
      <c r="J28" s="465" t="inlineStr">
        <is>
          <t>3</t>
        </is>
      </c>
      <c r="K28" s="465" t="inlineStr">
        <is>
          <t>formal</t>
        </is>
      </c>
    </row>
    <row r="29">
      <c r="A29" s="465" t="inlineStr">
        <is>
          <t>package_mistwake_refresh_9</t>
        </is>
      </c>
      <c r="B29" s="465" t="inlineStr">
        <is>
          <t>stall_mistwake</t>
        </is>
      </c>
      <c r="C29" s="465" t="inlineStr">
        <is>
          <t>9</t>
        </is>
      </c>
      <c r="D29" s="465" t="inlineStr">
        <is>
          <t>offer_refresh_9_tidefin_launcher</t>
        </is>
      </c>
      <c r="E29" s="465" t="inlineStr">
        <is>
          <t>item_tidefin_launcher</t>
        </is>
      </c>
      <c r="F29" s="465" t="inlineStr">
        <is>
          <t>gold</t>
        </is>
      </c>
      <c r="G29" s="465" t="inlineStr"/>
      <c r="H29" s="465" t="inlineStr">
        <is>
          <t>8</t>
        </is>
      </c>
      <c r="I29" s="465" t="inlineStr">
        <is>
          <t>false</t>
        </is>
      </c>
      <c r="J29" s="465" t="inlineStr">
        <is>
          <t>1</t>
        </is>
      </c>
      <c r="K29" s="465" t="inlineStr">
        <is>
          <t>formal</t>
        </is>
      </c>
    </row>
    <row r="30">
      <c r="A30" s="465" t="inlineStr">
        <is>
          <t>package_mistwake_refresh_9</t>
        </is>
      </c>
      <c r="B30" s="465" t="inlineStr">
        <is>
          <t>stall_mistwake</t>
        </is>
      </c>
      <c r="C30" s="465" t="inlineStr">
        <is>
          <t>9</t>
        </is>
      </c>
      <c r="D30" s="465" t="inlineStr">
        <is>
          <t>offer_refresh_9_signal_flare</t>
        </is>
      </c>
      <c r="E30" s="465" t="inlineStr">
        <is>
          <t>item_signal_flare</t>
        </is>
      </c>
      <c r="F30" s="465" t="inlineStr">
        <is>
          <t>silver</t>
        </is>
      </c>
      <c r="G30" s="465" t="inlineStr"/>
      <c r="H30" s="465" t="inlineStr">
        <is>
          <t>6</t>
        </is>
      </c>
      <c r="I30" s="465" t="inlineStr">
        <is>
          <t>false</t>
        </is>
      </c>
      <c r="J30" s="465" t="inlineStr">
        <is>
          <t>2</t>
        </is>
      </c>
      <c r="K30" s="465" t="inlineStr">
        <is>
          <t>formal</t>
        </is>
      </c>
    </row>
    <row r="31">
      <c r="A31" s="465" t="inlineStr">
        <is>
          <t>package_mistwake_refresh_9</t>
        </is>
      </c>
      <c r="B31" s="465" t="inlineStr">
        <is>
          <t>stall_mistwake</t>
        </is>
      </c>
      <c r="C31" s="465" t="inlineStr">
        <is>
          <t>9</t>
        </is>
      </c>
      <c r="D31" s="465" t="inlineStr">
        <is>
          <t>offer_refresh_9_reef_hook</t>
        </is>
      </c>
      <c r="E31" s="465" t="inlineStr">
        <is>
          <t>item_reef_hook</t>
        </is>
      </c>
      <c r="F31" s="465" t="inlineStr">
        <is>
          <t>gold</t>
        </is>
      </c>
      <c r="G31" s="465" t="inlineStr"/>
      <c r="H31" s="465" t="inlineStr">
        <is>
          <t>8</t>
        </is>
      </c>
      <c r="I31" s="465" t="inlineStr">
        <is>
          <t>false</t>
        </is>
      </c>
      <c r="J31" s="465" t="inlineStr">
        <is>
          <t>3</t>
        </is>
      </c>
      <c r="K31" s="465" t="inlineStr">
        <is>
          <t>formal</t>
        </is>
      </c>
    </row>
    <row r="32">
      <c r="A32" s="465" t="inlineStr">
        <is>
          <t>package_mistwake_refresh_10</t>
        </is>
      </c>
      <c r="B32" s="465" t="inlineStr">
        <is>
          <t>stall_mistwake</t>
        </is>
      </c>
      <c r="C32" s="465" t="inlineStr">
        <is>
          <t>10</t>
        </is>
      </c>
      <c r="D32" s="465" t="inlineStr">
        <is>
          <t>offer_refresh_10_tidescar_matchlock</t>
        </is>
      </c>
      <c r="E32" s="465" t="inlineStr">
        <is>
          <t>item_tidescar_matchlock</t>
        </is>
      </c>
      <c r="F32" s="465" t="inlineStr">
        <is>
          <t>bronze</t>
        </is>
      </c>
      <c r="G32" s="465" t="inlineStr"/>
      <c r="H32" s="465" t="inlineStr">
        <is>
          <t>5</t>
        </is>
      </c>
      <c r="I32" s="465" t="inlineStr">
        <is>
          <t>false</t>
        </is>
      </c>
      <c r="J32" s="465" t="inlineStr">
        <is>
          <t>1</t>
        </is>
      </c>
      <c r="K32" s="465" t="inlineStr">
        <is>
          <t>formal</t>
        </is>
      </c>
    </row>
    <row r="33">
      <c r="A33" s="465" t="inlineStr">
        <is>
          <t>package_mistwake_refresh_10</t>
        </is>
      </c>
      <c r="B33" s="465" t="inlineStr">
        <is>
          <t>stall_mistwake</t>
        </is>
      </c>
      <c r="C33" s="465" t="inlineStr">
        <is>
          <t>10</t>
        </is>
      </c>
      <c r="D33" s="465" t="inlineStr">
        <is>
          <t>offer_refresh_10_patchwork_ram</t>
        </is>
      </c>
      <c r="E33" s="465" t="inlineStr">
        <is>
          <t>item_patchwork_ram</t>
        </is>
      </c>
      <c r="F33" s="465" t="inlineStr">
        <is>
          <t>diamond</t>
        </is>
      </c>
      <c r="G33" s="465" t="inlineStr"/>
      <c r="H33" s="465" t="inlineStr">
        <is>
          <t>14</t>
        </is>
      </c>
      <c r="I33" s="465" t="inlineStr">
        <is>
          <t>false</t>
        </is>
      </c>
      <c r="J33" s="465" t="inlineStr">
        <is>
          <t>2</t>
        </is>
      </c>
      <c r="K33" s="465" t="inlineStr">
        <is>
          <t>formal</t>
        </is>
      </c>
    </row>
    <row r="34">
      <c r="A34" s="465" t="inlineStr">
        <is>
          <t>package_mistwake_refresh_10</t>
        </is>
      </c>
      <c r="B34" s="465" t="inlineStr">
        <is>
          <t>stall_mistwake</t>
        </is>
      </c>
      <c r="C34" s="465" t="inlineStr">
        <is>
          <t>10</t>
        </is>
      </c>
      <c r="D34" s="465" t="inlineStr">
        <is>
          <t>offer_refresh_10_storm_compass</t>
        </is>
      </c>
      <c r="E34" s="465" t="inlineStr">
        <is>
          <t>item_storm_compass</t>
        </is>
      </c>
      <c r="F34" s="465" t="inlineStr">
        <is>
          <t>diamond</t>
        </is>
      </c>
      <c r="G34" s="465" t="inlineStr"/>
      <c r="H34" s="465" t="inlineStr">
        <is>
          <t>16</t>
        </is>
      </c>
      <c r="I34" s="465" t="inlineStr">
        <is>
          <t>false</t>
        </is>
      </c>
      <c r="J34" s="465" t="inlineStr">
        <is>
          <t>3</t>
        </is>
      </c>
      <c r="K34" s="465" t="inlineStr">
        <is>
          <t>formal</t>
        </is>
      </c>
    </row>
  </sheetData>
  <autoFilter ref="A1:K34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1F4E78"/>
    <outlinePr summaryBelow="1" summaryRight="1"/>
    <pageSetUpPr/>
  </sheetPr>
  <dimension ref="A1:E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style="439" min="1" max="1"/>
    <col width="10" customWidth="1" style="439" min="2" max="2"/>
    <col width="37" customWidth="1" style="439" min="3" max="3"/>
    <col width="12" customWidth="1" style="439" min="4" max="4"/>
    <col width="16" customWidth="1" style="439" min="5" max="5"/>
  </cols>
  <sheetData>
    <row r="1" ht="24" customHeight="1" s="439">
      <c r="A1" s="464" t="inlineStr">
        <is>
          <t>event_id</t>
        </is>
      </c>
      <c r="B1" s="464" t="inlineStr">
        <is>
          <t>name_zh</t>
        </is>
      </c>
      <c r="C1" s="464" t="inlineStr">
        <is>
          <t>description_zh</t>
        </is>
      </c>
      <c r="D1" s="464" t="inlineStr">
        <is>
          <t>hour_slots</t>
        </is>
      </c>
      <c r="E1" s="464" t="inlineStr">
        <is>
          <t>catalog_status</t>
        </is>
      </c>
    </row>
    <row r="2">
      <c r="A2" s="465" t="inlineStr">
        <is>
          <t>event_driftwood_cache</t>
        </is>
      </c>
      <c r="B2" s="465" t="inlineStr">
        <is>
          <t>漂木藏箱</t>
        </is>
      </c>
      <c r="C2" s="465" t="inlineStr">
        <is>
          <t>潮线推来一只绑着蓝布的旧木箱。船员可以选择拆取补给或保留完整锁扣换钱。</t>
        </is>
      </c>
      <c r="D2" s="465" t="inlineStr">
        <is>
          <t>1</t>
        </is>
      </c>
      <c r="E2" s="465" t="inlineStr">
        <is>
          <t>formal</t>
        </is>
      </c>
    </row>
    <row r="3">
      <c r="A3" s="451" t="inlineStr">
        <is>
          <t>event_compass_echo</t>
        </is>
      </c>
      <c r="B3" s="451" t="inlineStr">
        <is>
          <t>罗盘回声</t>
        </is>
      </c>
      <c r="C3" s="451" t="inlineStr">
        <is>
          <t>失灵罗盘在无风处轻响。沿着指针寻找可以带回一件航具。</t>
        </is>
      </c>
      <c r="D3" s="451" t="inlineStr">
        <is>
          <t>2</t>
        </is>
      </c>
      <c r="E3" s="451" t="inlineStr">
        <is>
          <t>formal</t>
        </is>
      </c>
    </row>
    <row r="4">
      <c r="A4" s="465" t="inlineStr">
        <is>
          <t>event_quiet_cove</t>
        </is>
      </c>
      <c r="B4" s="465" t="inlineStr">
        <is>
          <t>静湾修整</t>
        </is>
      </c>
      <c r="C4" s="465" t="inlineStr">
        <is>
          <t>背风海湾给船队短暂喘息。可以补足船体物资或整理零钱。</t>
        </is>
      </c>
      <c r="D4" s="465" t="inlineStr">
        <is>
          <t>4</t>
        </is>
      </c>
      <c r="E4" s="465" t="inlineStr">
        <is>
          <t>formal</t>
        </is>
      </c>
    </row>
    <row r="5">
      <c r="A5" s="451" t="inlineStr">
        <is>
          <t>event_starlit_chart</t>
        </is>
      </c>
      <c r="B5" s="451" t="inlineStr">
        <is>
          <t>星痕海图</t>
        </is>
      </c>
      <c r="C5" s="451" t="inlineStr">
        <is>
          <t>星光把旧海图上的隐线照亮。可以追索风暴航具或先补足口粮。</t>
        </is>
      </c>
      <c r="D5" s="451" t="inlineStr">
        <is>
          <t>5</t>
        </is>
      </c>
      <c r="E5" s="451" t="inlineStr">
        <is>
          <t>formal</t>
        </is>
      </c>
    </row>
  </sheetData>
  <autoFilter ref="A1:E5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tabColor rgb="001F4E78"/>
    <outlinePr summaryBelow="1" summaryRight="1"/>
    <pageSetUpPr/>
  </sheetPr>
  <dimension ref="A1:G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style="439" min="1" max="1"/>
    <col width="23" customWidth="1" style="439" min="2" max="2"/>
    <col width="10" customWidth="1" style="439" min="3" max="3"/>
    <col width="21" customWidth="1" style="439" min="4" max="4"/>
    <col width="24" customWidth="1" style="439" min="5" max="5"/>
    <col width="12" customWidth="1" style="439" min="6" max="6"/>
    <col width="16" customWidth="1" style="439" min="7" max="7"/>
  </cols>
  <sheetData>
    <row r="1" ht="24" customHeight="1" s="439">
      <c r="A1" s="464" t="inlineStr">
        <is>
          <t>option_id</t>
        </is>
      </c>
      <c r="B1" s="464" t="inlineStr">
        <is>
          <t>event_id</t>
        </is>
      </c>
      <c r="C1" s="464" t="inlineStr">
        <is>
          <t>name_zh</t>
        </is>
      </c>
      <c r="D1" s="464" t="inlineStr">
        <is>
          <t>description_zh</t>
        </is>
      </c>
      <c r="E1" s="464" t="inlineStr">
        <is>
          <t>reward_id</t>
        </is>
      </c>
      <c r="F1" s="464" t="inlineStr">
        <is>
          <t>gold_delta</t>
        </is>
      </c>
      <c r="G1" s="464" t="inlineStr">
        <is>
          <t>catalog_status</t>
        </is>
      </c>
    </row>
    <row r="2">
      <c r="A2" s="465" t="inlineStr">
        <is>
          <t>option_driftwood_rations</t>
        </is>
      </c>
      <c r="B2" s="465" t="inlineStr">
        <is>
          <t>event_driftwood_cache</t>
        </is>
      </c>
      <c r="C2" s="465" t="inlineStr">
        <is>
          <t>拆取干粮</t>
        </is>
      </c>
      <c r="D2" s="465" t="inlineStr">
        <is>
          <t>拆下防水内衬并收好仍能食用的补给。</t>
        </is>
      </c>
      <c r="E2" s="465" t="inlineStr">
        <is>
          <t>reward_ration_crate</t>
        </is>
      </c>
      <c r="F2" s="465" t="inlineStr">
        <is>
          <t>0</t>
        </is>
      </c>
      <c r="G2" s="465" t="inlineStr">
        <is>
          <t>formal</t>
        </is>
      </c>
    </row>
    <row r="3">
      <c r="A3" s="451" t="inlineStr">
        <is>
          <t>option_driftwood_coins</t>
        </is>
      </c>
      <c r="B3" s="451" t="inlineStr">
        <is>
          <t>event_driftwood_cache</t>
        </is>
      </c>
      <c r="C3" s="451" t="inlineStr">
        <is>
          <t>出售锁扣</t>
        </is>
      </c>
      <c r="D3" s="451" t="inlineStr">
        <is>
          <t>保留完整铜锁并交给港边修匠换取零钱。</t>
        </is>
      </c>
      <c r="E3" s="451" t="inlineStr">
        <is>
          <t>reward_coin_pouch</t>
        </is>
      </c>
      <c r="F3" s="451" t="inlineStr">
        <is>
          <t>1</t>
        </is>
      </c>
      <c r="G3" s="451" t="inlineStr">
        <is>
          <t>formal</t>
        </is>
      </c>
    </row>
    <row r="4">
      <c r="A4" s="465" t="inlineStr">
        <is>
          <t>option_compass_patch</t>
        </is>
      </c>
      <c r="B4" s="465" t="inlineStr">
        <is>
          <t>event_compass_echo</t>
        </is>
      </c>
      <c r="C4" s="465" t="inlineStr">
        <is>
          <t>追踪船板声</t>
        </is>
      </c>
      <c r="D4" s="465" t="inlineStr">
        <is>
          <t>沿指针找到一副能加固冲角的拼接船板。</t>
        </is>
      </c>
      <c r="E4" s="465" t="inlineStr">
        <is>
          <t>reward_sailcloth_patch</t>
        </is>
      </c>
      <c r="F4" s="465" t="inlineStr">
        <is>
          <t>0</t>
        </is>
      </c>
      <c r="G4" s="465" t="inlineStr">
        <is>
          <t>formal</t>
        </is>
      </c>
    </row>
    <row r="5">
      <c r="A5" s="451" t="inlineStr">
        <is>
          <t>option_compass_flare</t>
        </is>
      </c>
      <c r="B5" s="451" t="inlineStr">
        <is>
          <t>event_compass_echo</t>
        </is>
      </c>
      <c r="C5" s="451" t="inlineStr">
        <is>
          <t>追踪微光</t>
        </is>
      </c>
      <c r="D5" s="451" t="inlineStr">
        <is>
          <t>沿指针找到一枚仍可点燃的星火信标。</t>
        </is>
      </c>
      <c r="E5" s="451" t="inlineStr">
        <is>
          <t>reward_signal_flare</t>
        </is>
      </c>
      <c r="F5" s="451" t="inlineStr">
        <is>
          <t>0</t>
        </is>
      </c>
      <c r="G5" s="451" t="inlineStr">
        <is>
          <t>formal</t>
        </is>
      </c>
    </row>
    <row r="6">
      <c r="A6" s="465" t="inlineStr">
        <is>
          <t>option_cove_coins</t>
        </is>
      </c>
      <c r="B6" s="465" t="inlineStr">
        <is>
          <t>event_quiet_cove</t>
        </is>
      </c>
      <c r="C6" s="465" t="inlineStr">
        <is>
          <t>整理零钱</t>
        </is>
      </c>
      <c r="D6" s="465" t="inlineStr">
        <is>
          <t>清点舱底散落的硬币并补入公用钱袋。</t>
        </is>
      </c>
      <c r="E6" s="465" t="inlineStr">
        <is>
          <t>reward_coin_pouch</t>
        </is>
      </c>
      <c r="F6" s="465" t="inlineStr">
        <is>
          <t>0</t>
        </is>
      </c>
      <c r="G6" s="465" t="inlineStr">
        <is>
          <t>formal</t>
        </is>
      </c>
    </row>
    <row r="7">
      <c r="A7" s="451" t="inlineStr">
        <is>
          <t>option_cove_hull</t>
        </is>
      </c>
      <c r="B7" s="451" t="inlineStr">
        <is>
          <t>event_quiet_cove</t>
        </is>
      </c>
      <c r="C7" s="451" t="inlineStr">
        <is>
          <t>补强船壳</t>
        </is>
      </c>
      <c r="D7" s="451" t="inlineStr">
        <is>
          <t>用湾内漂木修补最薄弱的一段船壳。</t>
        </is>
      </c>
      <c r="E7" s="451" t="inlineStr">
        <is>
          <t>reward_hull_plating</t>
        </is>
      </c>
      <c r="F7" s="451" t="inlineStr">
        <is>
          <t>0</t>
        </is>
      </c>
      <c r="G7" s="451" t="inlineStr">
        <is>
          <t>formal</t>
        </is>
      </c>
    </row>
    <row r="8">
      <c r="A8" s="465" t="inlineStr">
        <is>
          <t>option_chart_compass</t>
        </is>
      </c>
      <c r="B8" s="465" t="inlineStr">
        <is>
          <t>event_starlit_chart</t>
        </is>
      </c>
      <c r="C8" s="465" t="inlineStr">
        <is>
          <t>追逐风眼</t>
        </is>
      </c>
      <c r="D8" s="465" t="inlineStr">
        <is>
          <t>按隐线驶向短暂风眼并取回风暴罗盘。</t>
        </is>
      </c>
      <c r="E8" s="465" t="inlineStr">
        <is>
          <t>reward_storm_compass</t>
        </is>
      </c>
      <c r="F8" s="465" t="inlineStr">
        <is>
          <t>0</t>
        </is>
      </c>
      <c r="G8" s="465" t="inlineStr">
        <is>
          <t>formal</t>
        </is>
      </c>
    </row>
    <row r="9">
      <c r="A9" s="451" t="inlineStr">
        <is>
          <t>option_chart_rations</t>
        </is>
      </c>
      <c r="B9" s="451" t="inlineStr">
        <is>
          <t>event_starlit_chart</t>
        </is>
      </c>
      <c r="C9" s="451" t="inlineStr">
        <is>
          <t>标记补给点</t>
        </is>
      </c>
      <c r="D9" s="451" t="inlineStr">
        <is>
          <t>放弃远航并在近岸标出可靠的口粮补给点。</t>
        </is>
      </c>
      <c r="E9" s="451" t="inlineStr">
        <is>
          <t>reward_ration_crate</t>
        </is>
      </c>
      <c r="F9" s="451" t="inlineStr">
        <is>
          <t>0</t>
        </is>
      </c>
      <c r="G9" s="451" t="inlineStr">
        <is>
          <t>formal</t>
        </is>
      </c>
    </row>
  </sheetData>
  <autoFilter ref="A1:G9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1F4E78"/>
    <outlinePr summaryBelow="1" summaryRight="1"/>
    <pageSetUpPr/>
  </sheetPr>
  <dimension ref="A1:I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style="439" min="1" max="1"/>
    <col width="10" customWidth="1" style="439" min="2" max="2"/>
    <col width="10" customWidth="1" style="439" min="3" max="3"/>
    <col width="10" customWidth="1" style="439" min="4" max="4"/>
    <col width="10" customWidth="1" style="439" min="5" max="5"/>
    <col width="25" customWidth="1" style="439" min="6" max="6"/>
    <col width="28" customWidth="1" style="439" min="7" max="7"/>
    <col width="16" customWidth="1" style="439" min="8" max="8"/>
  </cols>
  <sheetData>
    <row r="1" ht="24" customHeight="1" s="439">
      <c r="A1" s="464" t="inlineStr">
        <is>
          <t>encounter_id</t>
        </is>
      </c>
      <c r="B1" s="464" t="inlineStr">
        <is>
          <t>name_zh</t>
        </is>
      </c>
      <c r="C1" s="464" t="inlineStr">
        <is>
          <t>day</t>
        </is>
      </c>
      <c r="D1" s="464" t="inlineStr">
        <is>
          <t>hour</t>
        </is>
      </c>
      <c r="E1" s="464" t="inlineStr">
        <is>
          <t>kind</t>
        </is>
      </c>
      <c r="F1" s="464" t="inlineStr">
        <is>
          <t>enemy_id</t>
        </is>
      </c>
      <c r="G1" s="464" t="inlineStr">
        <is>
          <t>snapshot_id</t>
        </is>
      </c>
      <c r="H1" s="464" t="inlineStr">
        <is>
          <t>reward_id</t>
        </is>
      </c>
      <c r="I1" s="464" t="inlineStr">
        <is>
          <t>catalog_status</t>
        </is>
      </c>
    </row>
    <row r="2">
      <c r="A2" s="465" t="inlineStr">
        <is>
          <t>encounter_day_01_breakwater_patrol</t>
        </is>
      </c>
      <c r="B2" s="465" t="inlineStr">
        <is>
          <t>第一日折浪巡艇</t>
        </is>
      </c>
      <c r="C2" s="465" t="inlineStr">
        <is>
          <t>1</t>
        </is>
      </c>
      <c r="D2" s="465" t="inlineStr">
        <is>
          <t>3</t>
        </is>
      </c>
      <c r="E2" s="465" t="inlineStr">
        <is>
          <t>pve</t>
        </is>
      </c>
      <c r="F2" s="465" t="inlineStr">
        <is>
          <t>enemy_breakwater_raider</t>
        </is>
      </c>
      <c r="G2" s="465" t="inlineStr"/>
      <c r="H2" s="465" t="inlineStr">
        <is>
          <t>reward_pve_patrol</t>
        </is>
      </c>
      <c r="I2" s="465" t="inlineStr">
        <is>
          <t>formal</t>
        </is>
      </c>
    </row>
    <row r="3">
      <c r="A3" s="451" t="inlineStr">
        <is>
          <t>encounter_day_01_mirror_skiff</t>
        </is>
      </c>
      <c r="B3" s="451" t="inlineStr">
        <is>
          <t>第一日镜潮轻舟</t>
        </is>
      </c>
      <c r="C3" s="451" t="inlineStr">
        <is>
          <t>1</t>
        </is>
      </c>
      <c r="D3" s="451" t="inlineStr">
        <is>
          <t>6</t>
        </is>
      </c>
      <c r="E3" s="451" t="inlineStr">
        <is>
          <t>ghost</t>
        </is>
      </c>
      <c r="F3" s="451" t="inlineStr"/>
      <c r="G3" s="451" t="inlineStr">
        <is>
          <t>ghost_snapshot_day_01</t>
        </is>
      </c>
      <c r="H3" s="451" t="inlineStr">
        <is>
          <t>reward_ghost_skirmish</t>
        </is>
      </c>
      <c r="I3" s="451" t="inlineStr">
        <is>
          <t>formal</t>
        </is>
      </c>
    </row>
    <row r="4">
      <c r="A4" s="465" t="inlineStr">
        <is>
          <t>encounter_day_02_breakwater_patrol</t>
        </is>
      </c>
      <c r="B4" s="465" t="inlineStr">
        <is>
          <t>第二日折浪巡艇</t>
        </is>
      </c>
      <c r="C4" s="465" t="inlineStr">
        <is>
          <t>2</t>
        </is>
      </c>
      <c r="D4" s="465" t="inlineStr">
        <is>
          <t>3</t>
        </is>
      </c>
      <c r="E4" s="465" t="inlineStr">
        <is>
          <t>pve</t>
        </is>
      </c>
      <c r="F4" s="465" t="inlineStr">
        <is>
          <t>enemy_breakwater_raider</t>
        </is>
      </c>
      <c r="G4" s="465" t="inlineStr"/>
      <c r="H4" s="465" t="inlineStr">
        <is>
          <t>reward_pve_patrol</t>
        </is>
      </c>
      <c r="I4" s="465" t="inlineStr">
        <is>
          <t>formal</t>
        </is>
      </c>
    </row>
    <row r="5">
      <c r="A5" s="451" t="inlineStr">
        <is>
          <t>encounter_day_02_mirror_skiff</t>
        </is>
      </c>
      <c r="B5" s="451" t="inlineStr">
        <is>
          <t>第二日镜潮轻舟</t>
        </is>
      </c>
      <c r="C5" s="451" t="inlineStr">
        <is>
          <t>2</t>
        </is>
      </c>
      <c r="D5" s="451" t="inlineStr">
        <is>
          <t>6</t>
        </is>
      </c>
      <c r="E5" s="451" t="inlineStr">
        <is>
          <t>ghost</t>
        </is>
      </c>
      <c r="F5" s="451" t="inlineStr"/>
      <c r="G5" s="451" t="inlineStr">
        <is>
          <t>ghost_snapshot_day_02</t>
        </is>
      </c>
      <c r="H5" s="451" t="inlineStr">
        <is>
          <t>reward_ghost_skirmish</t>
        </is>
      </c>
      <c r="I5" s="451" t="inlineStr">
        <is>
          <t>formal</t>
        </is>
      </c>
    </row>
    <row r="6">
      <c r="A6" s="465" t="inlineStr">
        <is>
          <t>encounter_day_03_breakwater_patrol</t>
        </is>
      </c>
      <c r="B6" s="465" t="inlineStr">
        <is>
          <t>第三日折浪巡艇</t>
        </is>
      </c>
      <c r="C6" s="465" t="inlineStr">
        <is>
          <t>3</t>
        </is>
      </c>
      <c r="D6" s="465" t="inlineStr">
        <is>
          <t>3</t>
        </is>
      </c>
      <c r="E6" s="465" t="inlineStr">
        <is>
          <t>pve</t>
        </is>
      </c>
      <c r="F6" s="465" t="inlineStr">
        <is>
          <t>enemy_breakwater_raider</t>
        </is>
      </c>
      <c r="G6" s="465" t="inlineStr"/>
      <c r="H6" s="465" t="inlineStr">
        <is>
          <t>reward_pve_patrol</t>
        </is>
      </c>
      <c r="I6" s="465" t="inlineStr">
        <is>
          <t>formal</t>
        </is>
      </c>
    </row>
    <row r="7">
      <c r="A7" s="451" t="inlineStr">
        <is>
          <t>encounter_day_03_mirror_skiff</t>
        </is>
      </c>
      <c r="B7" s="451" t="inlineStr">
        <is>
          <t>第三日镜潮轻舟</t>
        </is>
      </c>
      <c r="C7" s="451" t="inlineStr">
        <is>
          <t>3</t>
        </is>
      </c>
      <c r="D7" s="451" t="inlineStr">
        <is>
          <t>6</t>
        </is>
      </c>
      <c r="E7" s="451" t="inlineStr">
        <is>
          <t>ghost</t>
        </is>
      </c>
      <c r="F7" s="451" t="inlineStr"/>
      <c r="G7" s="451" t="inlineStr">
        <is>
          <t>ghost_snapshot_day_03</t>
        </is>
      </c>
      <c r="H7" s="451" t="inlineStr">
        <is>
          <t>reward_ghost_skirmish</t>
        </is>
      </c>
      <c r="I7" s="451" t="inlineStr">
        <is>
          <t>formal</t>
        </is>
      </c>
    </row>
    <row r="8">
      <c r="A8" s="465" t="inlineStr">
        <is>
          <t>encounter_day_04_breakwater_patrol</t>
        </is>
      </c>
      <c r="B8" s="465" t="inlineStr">
        <is>
          <t>第四日折浪巡艇</t>
        </is>
      </c>
      <c r="C8" s="465" t="inlineStr">
        <is>
          <t>4</t>
        </is>
      </c>
      <c r="D8" s="465" t="inlineStr">
        <is>
          <t>3</t>
        </is>
      </c>
      <c r="E8" s="465" t="inlineStr">
        <is>
          <t>pve</t>
        </is>
      </c>
      <c r="F8" s="465" t="inlineStr">
        <is>
          <t>enemy_breakwater_raider</t>
        </is>
      </c>
      <c r="G8" s="465" t="inlineStr"/>
      <c r="H8" s="465" t="inlineStr">
        <is>
          <t>reward_pve_patrol</t>
        </is>
      </c>
      <c r="I8" s="465" t="inlineStr">
        <is>
          <t>formal</t>
        </is>
      </c>
    </row>
    <row r="9">
      <c r="A9" s="451" t="inlineStr">
        <is>
          <t>encounter_day_04_mirror_skiff</t>
        </is>
      </c>
      <c r="B9" s="451" t="inlineStr">
        <is>
          <t>第四日镜潮轻舟</t>
        </is>
      </c>
      <c r="C9" s="451" t="inlineStr">
        <is>
          <t>4</t>
        </is>
      </c>
      <c r="D9" s="451" t="inlineStr">
        <is>
          <t>6</t>
        </is>
      </c>
      <c r="E9" s="451" t="inlineStr">
        <is>
          <t>ghost</t>
        </is>
      </c>
      <c r="F9" s="451" t="inlineStr"/>
      <c r="G9" s="451" t="inlineStr">
        <is>
          <t>ghost_snapshot_day_04</t>
        </is>
      </c>
      <c r="H9" s="451" t="inlineStr">
        <is>
          <t>reward_ghost_skirmish</t>
        </is>
      </c>
      <c r="I9" s="451" t="inlineStr">
        <is>
          <t>formal</t>
        </is>
      </c>
    </row>
    <row r="10">
      <c r="A10" s="465" t="inlineStr">
        <is>
          <t>encounter_day_05_breakwater_patrol</t>
        </is>
      </c>
      <c r="B10" s="465" t="inlineStr">
        <is>
          <t>第五日折浪巡艇</t>
        </is>
      </c>
      <c r="C10" s="465" t="inlineStr">
        <is>
          <t>5</t>
        </is>
      </c>
      <c r="D10" s="465" t="inlineStr">
        <is>
          <t>3</t>
        </is>
      </c>
      <c r="E10" s="465" t="inlineStr">
        <is>
          <t>pve</t>
        </is>
      </c>
      <c r="F10" s="465" t="inlineStr">
        <is>
          <t>enemy_breakwater_raider</t>
        </is>
      </c>
      <c r="G10" s="465" t="inlineStr"/>
      <c r="H10" s="465" t="inlineStr">
        <is>
          <t>reward_pve_patrol</t>
        </is>
      </c>
      <c r="I10" s="465" t="inlineStr">
        <is>
          <t>formal</t>
        </is>
      </c>
    </row>
    <row r="11">
      <c r="A11" s="451" t="inlineStr">
        <is>
          <t>encounter_day_05_mirror_skiff</t>
        </is>
      </c>
      <c r="B11" s="451" t="inlineStr">
        <is>
          <t>第五日镜潮轻舟</t>
        </is>
      </c>
      <c r="C11" s="451" t="inlineStr">
        <is>
          <t>5</t>
        </is>
      </c>
      <c r="D11" s="451" t="inlineStr">
        <is>
          <t>6</t>
        </is>
      </c>
      <c r="E11" s="451" t="inlineStr">
        <is>
          <t>ghost</t>
        </is>
      </c>
      <c r="F11" s="451" t="inlineStr"/>
      <c r="G11" s="451" t="inlineStr">
        <is>
          <t>ghost_snapshot_day_05</t>
        </is>
      </c>
      <c r="H11" s="451" t="inlineStr">
        <is>
          <t>reward_ghost_skirmish</t>
        </is>
      </c>
      <c r="I11" s="451" t="inlineStr">
        <is>
          <t>formal</t>
        </is>
      </c>
    </row>
    <row r="12">
      <c r="A12" s="465" t="inlineStr">
        <is>
          <t>encounter_day_06_breakwater_patrol</t>
        </is>
      </c>
      <c r="B12" s="465" t="inlineStr">
        <is>
          <t>第六日折浪巡艇</t>
        </is>
      </c>
      <c r="C12" s="465" t="inlineStr">
        <is>
          <t>6</t>
        </is>
      </c>
      <c r="D12" s="465" t="inlineStr">
        <is>
          <t>3</t>
        </is>
      </c>
      <c r="E12" s="465" t="inlineStr">
        <is>
          <t>pve</t>
        </is>
      </c>
      <c r="F12" s="465" t="inlineStr">
        <is>
          <t>enemy_breakwater_raider</t>
        </is>
      </c>
      <c r="G12" s="465" t="inlineStr"/>
      <c r="H12" s="465" t="inlineStr">
        <is>
          <t>reward_pve_patrol</t>
        </is>
      </c>
      <c r="I12" s="465" t="inlineStr">
        <is>
          <t>formal</t>
        </is>
      </c>
    </row>
    <row r="13">
      <c r="A13" s="451" t="inlineStr">
        <is>
          <t>encounter_day_06_mirror_skiff</t>
        </is>
      </c>
      <c r="B13" s="451" t="inlineStr">
        <is>
          <t>第六日镜潮轻舟</t>
        </is>
      </c>
      <c r="C13" s="451" t="inlineStr">
        <is>
          <t>6</t>
        </is>
      </c>
      <c r="D13" s="451" t="inlineStr">
        <is>
          <t>6</t>
        </is>
      </c>
      <c r="E13" s="451" t="inlineStr">
        <is>
          <t>ghost</t>
        </is>
      </c>
      <c r="F13" s="451" t="inlineStr"/>
      <c r="G13" s="451" t="inlineStr">
        <is>
          <t>ghost_snapshot_day_06</t>
        </is>
      </c>
      <c r="H13" s="451" t="inlineStr">
        <is>
          <t>reward_ghost_skirmish</t>
        </is>
      </c>
      <c r="I13" s="451" t="inlineStr">
        <is>
          <t>formal</t>
        </is>
      </c>
    </row>
    <row r="14">
      <c r="A14" s="465" t="inlineStr">
        <is>
          <t>encounter_day_07_breakwater_patrol</t>
        </is>
      </c>
      <c r="B14" s="465" t="inlineStr">
        <is>
          <t>第七日折浪巡艇</t>
        </is>
      </c>
      <c r="C14" s="465" t="inlineStr">
        <is>
          <t>7</t>
        </is>
      </c>
      <c r="D14" s="465" t="inlineStr">
        <is>
          <t>3</t>
        </is>
      </c>
      <c r="E14" s="465" t="inlineStr">
        <is>
          <t>pve</t>
        </is>
      </c>
      <c r="F14" s="465" t="inlineStr">
        <is>
          <t>enemy_breakwater_raider</t>
        </is>
      </c>
      <c r="G14" s="465" t="inlineStr"/>
      <c r="H14" s="465" t="inlineStr">
        <is>
          <t>reward_pve_patrol</t>
        </is>
      </c>
      <c r="I14" s="465" t="inlineStr">
        <is>
          <t>formal</t>
        </is>
      </c>
    </row>
    <row r="15">
      <c r="A15" s="451" t="inlineStr">
        <is>
          <t>encounter_day_07_mirror_skiff</t>
        </is>
      </c>
      <c r="B15" s="451" t="inlineStr">
        <is>
          <t>第七日镜潮轻舟</t>
        </is>
      </c>
      <c r="C15" s="451" t="inlineStr">
        <is>
          <t>7</t>
        </is>
      </c>
      <c r="D15" s="451" t="inlineStr">
        <is>
          <t>6</t>
        </is>
      </c>
      <c r="E15" s="451" t="inlineStr">
        <is>
          <t>ghost</t>
        </is>
      </c>
      <c r="F15" s="451" t="inlineStr"/>
      <c r="G15" s="451" t="inlineStr">
        <is>
          <t>ghost_snapshot_day_07</t>
        </is>
      </c>
      <c r="H15" s="451" t="inlineStr">
        <is>
          <t>reward_ghost_skirmish</t>
        </is>
      </c>
      <c r="I15" s="451" t="inlineStr">
        <is>
          <t>formal</t>
        </is>
      </c>
    </row>
    <row r="16">
      <c r="A16" s="465" t="inlineStr">
        <is>
          <t>encounter_day_08_breakwater_patrol</t>
        </is>
      </c>
      <c r="B16" s="465" t="inlineStr">
        <is>
          <t>第八日折浪巡艇</t>
        </is>
      </c>
      <c r="C16" s="465" t="inlineStr">
        <is>
          <t>8</t>
        </is>
      </c>
      <c r="D16" s="465" t="inlineStr">
        <is>
          <t>3</t>
        </is>
      </c>
      <c r="E16" s="465" t="inlineStr">
        <is>
          <t>pve</t>
        </is>
      </c>
      <c r="F16" s="465" t="inlineStr">
        <is>
          <t>enemy_breakwater_raider</t>
        </is>
      </c>
      <c r="G16" s="465" t="inlineStr"/>
      <c r="H16" s="465" t="inlineStr">
        <is>
          <t>reward_pve_patrol</t>
        </is>
      </c>
      <c r="I16" s="465" t="inlineStr">
        <is>
          <t>formal</t>
        </is>
      </c>
    </row>
    <row r="17">
      <c r="A17" s="451" t="inlineStr">
        <is>
          <t>encounter_day_08_mirror_skiff</t>
        </is>
      </c>
      <c r="B17" s="451" t="inlineStr">
        <is>
          <t>第八日镜潮轻舟</t>
        </is>
      </c>
      <c r="C17" s="451" t="inlineStr">
        <is>
          <t>8</t>
        </is>
      </c>
      <c r="D17" s="451" t="inlineStr">
        <is>
          <t>6</t>
        </is>
      </c>
      <c r="E17" s="451" t="inlineStr">
        <is>
          <t>ghost</t>
        </is>
      </c>
      <c r="F17" s="451" t="inlineStr"/>
      <c r="G17" s="451" t="inlineStr">
        <is>
          <t>ghost_snapshot_day_08</t>
        </is>
      </c>
      <c r="H17" s="451" t="inlineStr">
        <is>
          <t>reward_ghost_skirmish</t>
        </is>
      </c>
      <c r="I17" s="451" t="inlineStr">
        <is>
          <t>formal</t>
        </is>
      </c>
    </row>
    <row r="18">
      <c r="A18" s="465" t="inlineStr">
        <is>
          <t>encounter_day_09_breakwater_patrol</t>
        </is>
      </c>
      <c r="B18" s="465" t="inlineStr">
        <is>
          <t>第九日折浪巡艇</t>
        </is>
      </c>
      <c r="C18" s="465" t="inlineStr">
        <is>
          <t>9</t>
        </is>
      </c>
      <c r="D18" s="465" t="inlineStr">
        <is>
          <t>3</t>
        </is>
      </c>
      <c r="E18" s="465" t="inlineStr">
        <is>
          <t>pve</t>
        </is>
      </c>
      <c r="F18" s="465" t="inlineStr">
        <is>
          <t>enemy_breakwater_raider</t>
        </is>
      </c>
      <c r="G18" s="465" t="inlineStr"/>
      <c r="H18" s="465" t="inlineStr">
        <is>
          <t>reward_pve_patrol</t>
        </is>
      </c>
      <c r="I18" s="465" t="inlineStr">
        <is>
          <t>formal</t>
        </is>
      </c>
    </row>
    <row r="19">
      <c r="A19" s="451" t="inlineStr">
        <is>
          <t>encounter_day_09_mirror_skiff</t>
        </is>
      </c>
      <c r="B19" s="451" t="inlineStr">
        <is>
          <t>第九日镜潮轻舟</t>
        </is>
      </c>
      <c r="C19" s="451" t="inlineStr">
        <is>
          <t>9</t>
        </is>
      </c>
      <c r="D19" s="451" t="inlineStr">
        <is>
          <t>6</t>
        </is>
      </c>
      <c r="E19" s="451" t="inlineStr">
        <is>
          <t>ghost</t>
        </is>
      </c>
      <c r="F19" s="451" t="inlineStr"/>
      <c r="G19" s="451" t="inlineStr">
        <is>
          <t>ghost_snapshot_day_09</t>
        </is>
      </c>
      <c r="H19" s="451" t="inlineStr">
        <is>
          <t>reward_ghost_skirmish</t>
        </is>
      </c>
      <c r="I19" s="451" t="inlineStr">
        <is>
          <t>formal</t>
        </is>
      </c>
    </row>
    <row r="20">
      <c r="A20" s="465" t="inlineStr">
        <is>
          <t>encounter_day_10_breakwater_patrol</t>
        </is>
      </c>
      <c r="B20" s="465" t="inlineStr">
        <is>
          <t>第十日折浪巡艇</t>
        </is>
      </c>
      <c r="C20" s="465" t="inlineStr">
        <is>
          <t>10</t>
        </is>
      </c>
      <c r="D20" s="465" t="inlineStr">
        <is>
          <t>3</t>
        </is>
      </c>
      <c r="E20" s="465" t="inlineStr">
        <is>
          <t>pve</t>
        </is>
      </c>
      <c r="F20" s="465" t="inlineStr">
        <is>
          <t>enemy_breakwater_raider</t>
        </is>
      </c>
      <c r="G20" s="465" t="inlineStr"/>
      <c r="H20" s="465" t="inlineStr">
        <is>
          <t>reward_pve_patrol</t>
        </is>
      </c>
      <c r="I20" s="465" t="inlineStr">
        <is>
          <t>formal</t>
        </is>
      </c>
    </row>
    <row r="21">
      <c r="A21" s="451" t="inlineStr">
        <is>
          <t>encounter_day_10_mirror_skiff</t>
        </is>
      </c>
      <c r="B21" s="451" t="inlineStr">
        <is>
          <t>第十日镜潮轻舟</t>
        </is>
      </c>
      <c r="C21" s="451" t="inlineStr">
        <is>
          <t>10</t>
        </is>
      </c>
      <c r="D21" s="451" t="inlineStr">
        <is>
          <t>6</t>
        </is>
      </c>
      <c r="E21" s="451" t="inlineStr">
        <is>
          <t>ghost</t>
        </is>
      </c>
      <c r="F21" s="451" t="inlineStr"/>
      <c r="G21" s="451" t="inlineStr">
        <is>
          <t>ghost_snapshot_day_10</t>
        </is>
      </c>
      <c r="H21" s="451" t="inlineStr">
        <is>
          <t>reward_ghost_skirmish</t>
        </is>
      </c>
      <c r="I21" s="451" t="inlineStr">
        <is>
          <t>formal</t>
        </is>
      </c>
    </row>
  </sheetData>
  <autoFilter ref="A1:I21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1F4E78"/>
    <outlinePr summaryBelow="1" summaryRight="1"/>
    <pageSetUpPr/>
  </sheetPr>
  <dimension ref="A1:J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style="439" min="1" max="1"/>
    <col width="10" customWidth="1" style="439" min="2" max="2"/>
    <col width="10" customWidth="1" style="439" min="3" max="3"/>
    <col width="13" customWidth="1" style="439" min="4" max="4"/>
    <col width="25" customWidth="1" style="439" min="5" max="5"/>
    <col width="20" customWidth="1" style="439" min="6" max="6"/>
    <col width="10" customWidth="1" style="439" min="7" max="7"/>
    <col width="13" customWidth="1" style="439" min="8" max="8"/>
    <col width="12" customWidth="1" style="439" min="9" max="9"/>
    <col width="16" customWidth="1" style="439" min="10" max="10"/>
  </cols>
  <sheetData>
    <row r="1" ht="24" customHeight="1" s="439">
      <c r="A1" s="464" t="inlineStr">
        <is>
          <t>enemy_id</t>
        </is>
      </c>
      <c r="B1" s="464" t="inlineStr">
        <is>
          <t>name_zh</t>
        </is>
      </c>
      <c r="C1" s="464" t="inlineStr">
        <is>
          <t>hero_hp</t>
        </is>
      </c>
      <c r="D1" s="464" t="inlineStr">
        <is>
          <t>hero_max_hp</t>
        </is>
      </c>
      <c r="E1" s="464" t="inlineStr">
        <is>
          <t>instance_id</t>
        </is>
      </c>
      <c r="F1" s="464" t="inlineStr">
        <is>
          <t>item_id</t>
        </is>
      </c>
      <c r="G1" s="464" t="inlineStr">
        <is>
          <t>quality</t>
        </is>
      </c>
      <c r="H1" s="464" t="inlineStr">
        <is>
          <t>enchantment</t>
        </is>
      </c>
      <c r="I1" s="464" t="inlineStr">
        <is>
          <t>start_slot</t>
        </is>
      </c>
      <c r="J1" s="464" t="inlineStr">
        <is>
          <t>catalog_status</t>
        </is>
      </c>
    </row>
    <row r="2">
      <c r="A2" s="465" t="inlineStr">
        <is>
          <t>enemy_breakwater_raider</t>
        </is>
      </c>
      <c r="B2" s="465" t="inlineStr">
        <is>
          <t>折浪巡艇</t>
        </is>
      </c>
      <c r="C2" s="465" t="inlineStr">
        <is>
          <t>22</t>
        </is>
      </c>
      <c r="D2" s="465" t="inlineStr">
        <is>
          <t>22</t>
        </is>
      </c>
      <c r="E2" s="465" t="inlineStr">
        <is>
          <t>enemy_breakwater_cannon</t>
        </is>
      </c>
      <c r="F2" s="465" t="inlineStr">
        <is>
          <t>item_brine_cannon</t>
        </is>
      </c>
      <c r="G2" s="465" t="inlineStr">
        <is>
          <t>bronze</t>
        </is>
      </c>
      <c r="H2" s="465" t="inlineStr"/>
      <c r="I2" s="465" t="inlineStr">
        <is>
          <t>0</t>
        </is>
      </c>
      <c r="J2" s="465" t="inlineStr">
        <is>
          <t>formal</t>
        </is>
      </c>
    </row>
    <row r="3">
      <c r="A3" s="451" t="inlineStr">
        <is>
          <t>enemy_breakwater_raider</t>
        </is>
      </c>
      <c r="B3" s="451" t="inlineStr">
        <is>
          <t>折浪巡艇</t>
        </is>
      </c>
      <c r="C3" s="451" t="inlineStr">
        <is>
          <t>22</t>
        </is>
      </c>
      <c r="D3" s="451" t="inlineStr">
        <is>
          <t>22</t>
        </is>
      </c>
      <c r="E3" s="451" t="inlineStr">
        <is>
          <t>enemy_breakwater_hook</t>
        </is>
      </c>
      <c r="F3" s="451" t="inlineStr">
        <is>
          <t>item_reef_hook</t>
        </is>
      </c>
      <c r="G3" s="451" t="inlineStr">
        <is>
          <t>bronze</t>
        </is>
      </c>
      <c r="H3" s="451" t="inlineStr"/>
      <c r="I3" s="451" t="inlineStr">
        <is>
          <t>3</t>
        </is>
      </c>
      <c r="J3" s="451" t="inlineStr">
        <is>
          <t>formal</t>
        </is>
      </c>
    </row>
  </sheetData>
  <autoFilter ref="A1:J3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tabColor rgb="001F4E78"/>
    <outlinePr summaryBelow="1" summaryRight="1"/>
    <pageSetUpPr/>
  </sheetPr>
  <dimension ref="A1:H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style="439" min="1" max="1"/>
    <col width="24" customWidth="1" style="439" min="2" max="2"/>
    <col width="16" customWidth="1" style="439" min="3" max="3"/>
    <col width="12" customWidth="1" style="439" min="4" max="4"/>
    <col width="31" customWidth="1" style="439" min="5" max="5"/>
    <col width="12" customWidth="1" style="439" min="6" max="6"/>
    <col width="58" customWidth="1" style="439" min="7" max="7"/>
    <col width="16" customWidth="1" style="439" min="8" max="8"/>
    <col width="24" customWidth="1" style="439" min="9" max="9"/>
    <col width="16" customWidth="1" style="439" min="10" max="10"/>
  </cols>
  <sheetData>
    <row r="1" ht="24" customHeight="1" s="439">
      <c r="A1" s="464" t="inlineStr">
        <is>
          <t>reward_id</t>
        </is>
      </c>
      <c r="B1" s="464" t="inlineStr">
        <is>
          <t>name_zh</t>
        </is>
      </c>
      <c r="C1" s="464" t="inlineStr">
        <is>
          <t>reward_type</t>
        </is>
      </c>
      <c r="D1" s="464" t="inlineStr">
        <is>
          <t>amount</t>
        </is>
      </c>
      <c r="E1" s="464" t="inlineStr">
        <is>
          <t>item_id</t>
        </is>
      </c>
      <c r="F1" s="464" t="inlineStr">
        <is>
          <t>quality</t>
        </is>
      </c>
      <c r="G1" s="464" t="inlineStr">
        <is>
          <t>description_zh</t>
        </is>
      </c>
      <c r="H1" s="464" t="inlineStr">
        <is>
          <t>catalog_status</t>
        </is>
      </c>
    </row>
    <row r="2">
      <c r="A2" s="465" t="inlineStr">
        <is>
          <t>reward_pve_patrol</t>
        </is>
      </c>
      <c r="B2" s="465" t="inlineStr">
        <is>
          <t>巡艇战利金</t>
        </is>
      </c>
      <c r="C2" s="465" t="inlineStr">
        <is>
          <t>currency</t>
        </is>
      </c>
      <c r="D2" s="465" t="inlineStr">
        <is>
          <t>4</t>
        </is>
      </c>
      <c r="E2" s="465" t="inlineStr"/>
      <c r="F2" s="465" t="inlineStr"/>
      <c r="G2" s="465" t="inlineStr">
        <is>
          <t>击败折浪巡艇后获得的本地原创战利金。</t>
        </is>
      </c>
      <c r="H2" s="465" t="inlineStr">
        <is>
          <t>formal</t>
        </is>
      </c>
    </row>
    <row r="3">
      <c r="A3" s="451" t="inlineStr">
        <is>
          <t>reward_ghost_skirmish</t>
        </is>
      </c>
      <c r="B3" s="451" t="inlineStr">
        <is>
          <t>镜潮战利金</t>
        </is>
      </c>
      <c r="C3" s="451" t="inlineStr">
        <is>
          <t>currency</t>
        </is>
      </c>
      <c r="D3" s="451" t="inlineStr">
        <is>
          <t>6</t>
        </is>
      </c>
      <c r="E3" s="451" t="inlineStr"/>
      <c r="F3" s="451" t="inlineStr"/>
      <c r="G3" s="451" t="inlineStr">
        <is>
          <t>赢下镜潮轻舟战后获得的本地原创战利金。</t>
        </is>
      </c>
      <c r="H3" s="451" t="inlineStr">
        <is>
          <t>formal</t>
        </is>
      </c>
    </row>
    <row r="4">
      <c r="A4" s="465" t="inlineStr">
        <is>
          <t>reward_ration_crate</t>
        </is>
      </c>
      <c r="B4" s="465" t="inlineStr">
        <is>
          <t>防潮口粮箱</t>
        </is>
      </c>
      <c r="C4" s="465" t="inlineStr">
        <is>
          <t>currency</t>
        </is>
      </c>
      <c r="D4" s="465" t="inlineStr">
        <is>
          <t>3</t>
        </is>
      </c>
      <c r="E4" s="465" t="inlineStr"/>
      <c r="F4" s="465" t="inlineStr"/>
      <c r="G4" s="465" t="inlineStr">
        <is>
          <t>整理后可以折算为三枚补给金币。</t>
        </is>
      </c>
      <c r="H4" s="465" t="inlineStr">
        <is>
          <t>formal</t>
        </is>
      </c>
    </row>
    <row r="5">
      <c r="A5" s="451" t="inlineStr">
        <is>
          <t>reward_coin_pouch</t>
        </is>
      </c>
      <c r="B5" s="451" t="inlineStr">
        <is>
          <t>旧帆钱袋</t>
        </is>
      </c>
      <c r="C5" s="451" t="inlineStr">
        <is>
          <t>currency</t>
        </is>
      </c>
      <c r="D5" s="451" t="inlineStr">
        <is>
          <t>2</t>
        </is>
      </c>
      <c r="E5" s="451" t="inlineStr"/>
      <c r="F5" s="451" t="inlineStr"/>
      <c r="G5" s="451" t="inlineStr">
        <is>
          <t>旧帆布缝成的钱袋里装着两枚金币。</t>
        </is>
      </c>
      <c r="H5" s="451" t="inlineStr">
        <is>
          <t>formal</t>
        </is>
      </c>
    </row>
    <row r="6">
      <c r="A6" s="465" t="inlineStr">
        <is>
          <t>reward_hull_plating</t>
        </is>
      </c>
      <c r="B6" s="465" t="inlineStr">
        <is>
          <t>漂木护板</t>
        </is>
      </c>
      <c r="C6" s="465" t="inlineStr">
        <is>
          <t>currency</t>
        </is>
      </c>
      <c r="D6" s="465" t="inlineStr">
        <is>
          <t>4</t>
        </is>
      </c>
      <c r="E6" s="465" t="inlineStr"/>
      <c r="F6" s="465" t="inlineStr"/>
      <c r="G6" s="465" t="inlineStr">
        <is>
          <t>当前执行层先以四枚补给金币表示船壳修整收益。</t>
        </is>
      </c>
      <c r="H6" s="465" t="inlineStr">
        <is>
          <t>formal</t>
        </is>
      </c>
    </row>
    <row r="7">
      <c r="A7" s="451" t="inlineStr">
        <is>
          <t>reward_sailcloth_patch</t>
        </is>
      </c>
      <c r="B7" s="451" t="inlineStr">
        <is>
          <t>加固帆布包</t>
        </is>
      </c>
      <c r="C7" s="451" t="inlineStr">
        <is>
          <t>item</t>
        </is>
      </c>
      <c r="D7" s="451" t="inlineStr">
        <is>
          <t>1</t>
        </is>
      </c>
      <c r="E7" s="451" t="inlineStr">
        <is>
          <t>item_patchwork_ram</t>
        </is>
      </c>
      <c r="F7" s="451" t="inlineStr">
        <is>
          <t>bronze</t>
        </is>
      </c>
      <c r="G7" s="451" t="inlineStr">
        <is>
          <t>获得一件青铜品质的拼板冲角。</t>
        </is>
      </c>
      <c r="H7" s="451" t="inlineStr">
        <is>
          <t>formal</t>
        </is>
      </c>
    </row>
    <row r="8">
      <c r="A8" s="465" t="inlineStr">
        <is>
          <t>reward_signal_flare</t>
        </is>
      </c>
      <c r="B8" s="465" t="inlineStr">
        <is>
          <t>备用星火筒</t>
        </is>
      </c>
      <c r="C8" s="465" t="inlineStr">
        <is>
          <t>item</t>
        </is>
      </c>
      <c r="D8" s="465" t="inlineStr">
        <is>
          <t>1</t>
        </is>
      </c>
      <c r="E8" s="465" t="inlineStr">
        <is>
          <t>item_signal_flare</t>
        </is>
      </c>
      <c r="F8" s="465" t="inlineStr">
        <is>
          <t>silver</t>
        </is>
      </c>
      <c r="G8" s="465" t="inlineStr">
        <is>
          <t>获得一件白银品质的星火信标。</t>
        </is>
      </c>
      <c r="H8" s="465" t="inlineStr">
        <is>
          <t>formal</t>
        </is>
      </c>
    </row>
    <row r="9">
      <c r="A9" s="451" t="inlineStr">
        <is>
          <t>reward_storm_compass</t>
        </is>
      </c>
      <c r="B9" s="451" t="inlineStr">
        <is>
          <t>风眼罗盘匣</t>
        </is>
      </c>
      <c r="C9" s="451" t="inlineStr">
        <is>
          <t>item</t>
        </is>
      </c>
      <c r="D9" s="451" t="inlineStr">
        <is>
          <t>1</t>
        </is>
      </c>
      <c r="E9" s="451" t="inlineStr">
        <is>
          <t>item_storm_compass</t>
        </is>
      </c>
      <c r="F9" s="451" t="inlineStr">
        <is>
          <t>gold</t>
        </is>
      </c>
      <c r="G9" s="451" t="inlineStr">
        <is>
          <t>获得一件黄金品质的风暴罗盘。</t>
        </is>
      </c>
      <c r="H9" s="451" t="inlineStr">
        <is>
          <t>formal</t>
        </is>
      </c>
    </row>
  </sheetData>
  <autoFilter ref="A1:H9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tabColor rgb="001F4E78"/>
    <outlinePr summaryBelow="1" summaryRight="1"/>
    <pageSetUpPr/>
  </sheetPr>
  <dimension ref="A1:H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style="439" min="1" max="1"/>
    <col width="16" customWidth="1" style="439" min="2" max="2"/>
    <col width="32" customWidth="1" style="439" min="3" max="3"/>
    <col width="13" customWidth="1" style="439" min="4" max="4"/>
    <col width="29" customWidth="1" style="439" min="5" max="5"/>
    <col width="32" customWidth="1" style="439" min="6" max="6"/>
    <col width="14" customWidth="1" style="439" min="7" max="7"/>
    <col width="16" customWidth="1" style="439" min="8" max="8"/>
  </cols>
  <sheetData>
    <row r="1" ht="24" customHeight="1" s="439">
      <c r="A1" t="inlineStr">
        <is>
          <t>snapshot_id</t>
        </is>
      </c>
      <c r="B1" t="inlineStr">
        <is>
          <t>source_kind</t>
        </is>
      </c>
      <c r="C1" t="inlineStr">
        <is>
          <t>source_revision</t>
        </is>
      </c>
      <c r="D1" t="inlineStr">
        <is>
          <t>captured_on</t>
        </is>
      </c>
      <c r="E1" t="inlineStr">
        <is>
          <t>license_note</t>
        </is>
      </c>
      <c r="F1" t="inlineStr">
        <is>
          <t>catalog_scope</t>
        </is>
      </c>
      <c r="G1" t="inlineStr">
        <is>
          <t>completeness</t>
        </is>
      </c>
      <c r="H1" t="inlineStr">
        <is>
          <t>catalog_status</t>
        </is>
      </c>
    </row>
    <row r="2">
      <c r="A2" t="inlineStr">
        <is>
          <t>snapshot_original_pirate_bootstrap_v24</t>
        </is>
      </c>
      <c r="B2" t="inlineStr">
        <is>
          <t>local_original</t>
        </is>
      </c>
      <c r="C2" t="inlineStr">
        <is>
          <t>original-pirate-bootstrap-source-2026-09-03-v24</t>
        </is>
      </c>
      <c r="D2" t="inlineStr">
        <is>
          <t>2026-09-03</t>
        </is>
      </c>
      <c r="E2" t="inlineStr">
        <is>
          <t>原创本地内容；不含外部作品专有文本、美术或未冻结数值。</t>
        </is>
      </c>
      <c r="F2" t="inlineStr">
        <is>
          <t>十日胜场终局、正式跨日收入、升级三选一、离线Ghost构筑快照、Ghost专属威望扣除与一次性最后机会三选一、物品升阶附魔、固定时钟状态效果、canonical物品标签、跨物品标签响应、战斗内伤害成长、英雄治疗与护盾资源、物品技能目录、英雄被动技能、起始与Ghost技能实例及正式训练学习升阶目录、相邻物品响应、四向确定性友方物品目标、动态触发源物品目标、战斗开始护盾物品效果、按标签匹配友方物品集合目标、按标签随机选择单个友方物品目标、项目原创暴击伤害、项目原创燃烧、项目原创中毒、项目原创治疗清除状态</t>
        </is>
      </c>
      <c r="G2" t="inlineStr">
        <is>
          <t>bootstrap</t>
        </is>
      </c>
      <c r="H2" t="inlineStr">
        <is>
          <t>formal</t>
        </is>
      </c>
    </row>
  </sheetData>
  <autoFilter ref="A1:H2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style="439" min="1" max="1"/>
    <col width="23" customWidth="1" style="439" min="2" max="2"/>
    <col width="14" customWidth="1" style="439" min="3" max="3"/>
    <col width="12" customWidth="1" style="439" min="4" max="4"/>
    <col width="7" customWidth="1" style="439" min="5" max="5"/>
    <col width="17" customWidth="1" style="439" min="6" max="6"/>
    <col width="16" customWidth="1" style="439" min="7" max="7"/>
  </cols>
  <sheetData>
    <row r="1">
      <c r="A1" t="inlineStr">
        <is>
          <t>upgrade_id</t>
        </is>
      </c>
      <c r="B1" t="inlineStr">
        <is>
          <t>item_id</t>
        </is>
      </c>
      <c r="C1" t="inlineStr">
        <is>
          <t>from_quality</t>
        </is>
      </c>
      <c r="D1" t="inlineStr">
        <is>
          <t>to_quality</t>
        </is>
      </c>
      <c r="E1" t="inlineStr">
        <is>
          <t>price</t>
        </is>
      </c>
      <c r="F1" t="inlineStr">
        <is>
          <t>source_stall_id</t>
        </is>
      </c>
      <c r="G1" t="inlineStr">
        <is>
          <t>catalog_status</t>
        </is>
      </c>
    </row>
    <row r="2">
      <c r="A2" t="inlineStr">
        <is>
          <t>upgrade_brine_cannon_bronze_silver</t>
        </is>
      </c>
      <c r="B2" t="inlineStr">
        <is>
          <t>item_brine_cannon</t>
        </is>
      </c>
      <c r="C2" t="inlineStr">
        <is>
          <t>bronze</t>
        </is>
      </c>
      <c r="D2" t="inlineStr">
        <is>
          <t>silver</t>
        </is>
      </c>
      <c r="E2" t="inlineStr">
        <is>
          <t>5</t>
        </is>
      </c>
      <c r="F2" t="inlineStr">
        <is>
          <t>stall_mistwake</t>
        </is>
      </c>
      <c r="G2" t="inlineStr">
        <is>
          <t>formal</t>
        </is>
      </c>
    </row>
    <row r="3">
      <c r="A3" t="inlineStr">
        <is>
          <t>upgrade_brine_cannon_silver_gold</t>
        </is>
      </c>
      <c r="B3" t="inlineStr">
        <is>
          <t>item_brine_cannon</t>
        </is>
      </c>
      <c r="C3" t="inlineStr">
        <is>
          <t>silver</t>
        </is>
      </c>
      <c r="D3" t="inlineStr">
        <is>
          <t>gold</t>
        </is>
      </c>
      <c r="E3" t="inlineStr">
        <is>
          <t>8</t>
        </is>
      </c>
      <c r="F3" t="inlineStr">
        <is>
          <t>stall_mistwake</t>
        </is>
      </c>
      <c r="G3" t="inlineStr">
        <is>
          <t>formal</t>
        </is>
      </c>
    </row>
    <row r="4">
      <c r="A4" t="inlineStr">
        <is>
          <t>upgrade_brine_cannon_gold_diamond</t>
        </is>
      </c>
      <c r="B4" t="inlineStr">
        <is>
          <t>item_brine_cannon</t>
        </is>
      </c>
      <c r="C4" t="inlineStr">
        <is>
          <t>gold</t>
        </is>
      </c>
      <c r="D4" t="inlineStr">
        <is>
          <t>diamond</t>
        </is>
      </c>
      <c r="E4" t="inlineStr">
        <is>
          <t>12</t>
        </is>
      </c>
      <c r="F4" t="inlineStr">
        <is>
          <t>stall_mistwake</t>
        </is>
      </c>
      <c r="G4" t="inlineStr">
        <is>
          <t>formal</t>
        </is>
      </c>
    </row>
    <row r="5">
      <c r="A5" t="inlineStr">
        <is>
          <t>upgrade_patchwork_ram_bronze_silver</t>
        </is>
      </c>
      <c r="B5" t="inlineStr">
        <is>
          <t>item_patchwork_ram</t>
        </is>
      </c>
      <c r="C5" t="inlineStr">
        <is>
          <t>bronze</t>
        </is>
      </c>
      <c r="D5" t="inlineStr">
        <is>
          <t>silver</t>
        </is>
      </c>
      <c r="E5" t="inlineStr">
        <is>
          <t>4</t>
        </is>
      </c>
      <c r="F5" t="inlineStr">
        <is>
          <t>stall_mistwake</t>
        </is>
      </c>
      <c r="G5" t="inlineStr">
        <is>
          <t>formal</t>
        </is>
      </c>
    </row>
    <row r="6">
      <c r="A6" t="inlineStr">
        <is>
          <t>upgrade_patchwork_ram_silver_gold</t>
        </is>
      </c>
      <c r="B6" t="inlineStr">
        <is>
          <t>item_patchwork_ram</t>
        </is>
      </c>
      <c r="C6" t="inlineStr">
        <is>
          <t>silver</t>
        </is>
      </c>
      <c r="D6" t="inlineStr">
        <is>
          <t>gold</t>
        </is>
      </c>
      <c r="E6" t="inlineStr">
        <is>
          <t>7</t>
        </is>
      </c>
      <c r="F6" t="inlineStr">
        <is>
          <t>stall_mistwake</t>
        </is>
      </c>
      <c r="G6" t="inlineStr">
        <is>
          <t>formal</t>
        </is>
      </c>
    </row>
    <row r="7">
      <c r="A7" t="inlineStr">
        <is>
          <t>upgrade_patchwork_ram_gold_diamond</t>
        </is>
      </c>
      <c r="B7" t="inlineStr">
        <is>
          <t>item_patchwork_ram</t>
        </is>
      </c>
      <c r="C7" t="inlineStr">
        <is>
          <t>gold</t>
        </is>
      </c>
      <c r="D7" t="inlineStr">
        <is>
          <t>diamond</t>
        </is>
      </c>
      <c r="E7" t="inlineStr">
        <is>
          <t>10</t>
        </is>
      </c>
      <c r="F7" t="inlineStr">
        <is>
          <t>stall_mistwake</t>
        </is>
      </c>
      <c r="G7" t="inlineStr">
        <is>
          <t>formal</t>
        </is>
      </c>
    </row>
    <row r="8">
      <c r="A8" t="inlineStr">
        <is>
          <t>upgrade_signal_flare_silver_gold</t>
        </is>
      </c>
      <c r="B8" t="inlineStr">
        <is>
          <t>item_signal_flare</t>
        </is>
      </c>
      <c r="C8" t="inlineStr">
        <is>
          <t>silver</t>
        </is>
      </c>
      <c r="D8" t="inlineStr">
        <is>
          <t>gold</t>
        </is>
      </c>
      <c r="E8" t="inlineStr">
        <is>
          <t>7</t>
        </is>
      </c>
      <c r="F8" t="inlineStr">
        <is>
          <t>stall_mistwake</t>
        </is>
      </c>
      <c r="G8" t="inlineStr">
        <is>
          <t>formal</t>
        </is>
      </c>
    </row>
    <row r="9">
      <c r="A9" t="inlineStr">
        <is>
          <t>upgrade_signal_flare_gold_diamond</t>
        </is>
      </c>
      <c r="B9" t="inlineStr">
        <is>
          <t>item_signal_flare</t>
        </is>
      </c>
      <c r="C9" t="inlineStr">
        <is>
          <t>gold</t>
        </is>
      </c>
      <c r="D9" t="inlineStr">
        <is>
          <t>diamond</t>
        </is>
      </c>
      <c r="E9" t="inlineStr">
        <is>
          <t>10</t>
        </is>
      </c>
      <c r="F9" t="inlineStr">
        <is>
          <t>stall_mistwake</t>
        </is>
      </c>
      <c r="G9" t="inlineStr">
        <is>
          <t>formal</t>
        </is>
      </c>
    </row>
    <row r="10">
      <c r="A10" t="inlineStr">
        <is>
          <t>upgrade_reef_hook_bronze_silver</t>
        </is>
      </c>
      <c r="B10" t="inlineStr">
        <is>
          <t>item_reef_hook</t>
        </is>
      </c>
      <c r="C10" t="inlineStr">
        <is>
          <t>bronze</t>
        </is>
      </c>
      <c r="D10" t="inlineStr">
        <is>
          <t>silver</t>
        </is>
      </c>
      <c r="E10" t="inlineStr">
        <is>
          <t>4</t>
        </is>
      </c>
      <c r="F10" t="inlineStr">
        <is>
          <t>stall_mistwake</t>
        </is>
      </c>
      <c r="G10" t="inlineStr">
        <is>
          <t>formal</t>
        </is>
      </c>
    </row>
    <row r="11">
      <c r="A11" t="inlineStr">
        <is>
          <t>upgrade_reef_hook_silver_gold</t>
        </is>
      </c>
      <c r="B11" t="inlineStr">
        <is>
          <t>item_reef_hook</t>
        </is>
      </c>
      <c r="C11" t="inlineStr">
        <is>
          <t>silver</t>
        </is>
      </c>
      <c r="D11" t="inlineStr">
        <is>
          <t>gold</t>
        </is>
      </c>
      <c r="E11" t="inlineStr">
        <is>
          <t>7</t>
        </is>
      </c>
      <c r="F11" t="inlineStr">
        <is>
          <t>stall_mistwake</t>
        </is>
      </c>
      <c r="G11" t="inlineStr">
        <is>
          <t>formal</t>
        </is>
      </c>
    </row>
    <row r="12">
      <c r="A12" t="inlineStr">
        <is>
          <t>upgrade_reef_hook_gold_diamond</t>
        </is>
      </c>
      <c r="B12" t="inlineStr">
        <is>
          <t>item_reef_hook</t>
        </is>
      </c>
      <c r="C12" t="inlineStr">
        <is>
          <t>gold</t>
        </is>
      </c>
      <c r="D12" t="inlineStr">
        <is>
          <t>diamond</t>
        </is>
      </c>
      <c r="E12" t="inlineStr">
        <is>
          <t>10</t>
        </is>
      </c>
      <c r="F12" t="inlineStr">
        <is>
          <t>stall_mistwake</t>
        </is>
      </c>
      <c r="G12" t="inlineStr">
        <is>
          <t>formal</t>
        </is>
      </c>
    </row>
    <row r="13">
      <c r="A13" t="inlineStr">
        <is>
          <t>upgrade_storm_compass_gold_diamond</t>
        </is>
      </c>
      <c r="B13" t="inlineStr">
        <is>
          <t>item_storm_compass</t>
        </is>
      </c>
      <c r="C13" t="inlineStr">
        <is>
          <t>gold</t>
        </is>
      </c>
      <c r="D13" t="inlineStr">
        <is>
          <t>diamond</t>
        </is>
      </c>
      <c r="E13" t="inlineStr">
        <is>
          <t>11</t>
        </is>
      </c>
      <c r="F13" t="inlineStr">
        <is>
          <t>stall_mistwake</t>
        </is>
      </c>
      <c r="G13" t="inlineStr">
        <is>
          <t>formal</t>
        </is>
      </c>
    </row>
    <row r="14">
      <c r="A14" t="inlineStr">
        <is>
          <t>upgrade_wake_echo_drum_bronze_silver</t>
        </is>
      </c>
      <c r="B14" t="inlineStr">
        <is>
          <t>item_wake_echo_drum</t>
        </is>
      </c>
      <c r="C14" t="inlineStr">
        <is>
          <t>bronze</t>
        </is>
      </c>
      <c r="D14" t="inlineStr">
        <is>
          <t>silver</t>
        </is>
      </c>
      <c r="E14" t="inlineStr">
        <is>
          <t>4</t>
        </is>
      </c>
      <c r="F14" t="inlineStr">
        <is>
          <t>stall_mistwake</t>
        </is>
      </c>
      <c r="G14" t="inlineStr">
        <is>
          <t>formal</t>
        </is>
      </c>
    </row>
    <row r="15">
      <c r="A15" t="inlineStr">
        <is>
          <t>upgrade_wake_echo_drum_silver_gold</t>
        </is>
      </c>
      <c r="B15" t="inlineStr">
        <is>
          <t>item_wake_echo_drum</t>
        </is>
      </c>
      <c r="C15" t="inlineStr">
        <is>
          <t>silver</t>
        </is>
      </c>
      <c r="D15" t="inlineStr">
        <is>
          <t>gold</t>
        </is>
      </c>
      <c r="E15" t="inlineStr">
        <is>
          <t>7</t>
        </is>
      </c>
      <c r="F15" t="inlineStr">
        <is>
          <t>stall_mistwake</t>
        </is>
      </c>
      <c r="G15" t="inlineStr">
        <is>
          <t>formal</t>
        </is>
      </c>
    </row>
    <row r="16">
      <c r="A16" t="inlineStr">
        <is>
          <t>upgrade_wake_echo_drum_gold_diamond</t>
        </is>
      </c>
      <c r="B16" t="inlineStr">
        <is>
          <t>item_wake_echo_drum</t>
        </is>
      </c>
      <c r="C16" t="inlineStr">
        <is>
          <t>gold</t>
        </is>
      </c>
      <c r="D16" t="inlineStr">
        <is>
          <t>diamond</t>
        </is>
      </c>
      <c r="E16" t="inlineStr">
        <is>
          <t>11</t>
        </is>
      </c>
      <c r="F16" t="inlineStr">
        <is>
          <t>stall_mistwake</t>
        </is>
      </c>
      <c r="G16" t="inlineStr">
        <is>
          <t>formal</t>
        </is>
      </c>
    </row>
    <row r="17">
      <c r="A17" t="inlineStr">
        <is>
          <t>upgrade_saltwind_capstan_bronze_silver</t>
        </is>
      </c>
      <c r="B17" t="inlineStr">
        <is>
          <t>item_saltwind_capstan</t>
        </is>
      </c>
      <c r="C17" t="inlineStr">
        <is>
          <t>bronze</t>
        </is>
      </c>
      <c r="D17" t="inlineStr">
        <is>
          <t>silver</t>
        </is>
      </c>
      <c r="E17" t="inlineStr">
        <is>
          <t>4</t>
        </is>
      </c>
      <c r="F17" t="inlineStr">
        <is>
          <t>stall_mistwake</t>
        </is>
      </c>
      <c r="G17" t="inlineStr">
        <is>
          <t>formal</t>
        </is>
      </c>
    </row>
    <row r="18">
      <c r="A18" t="inlineStr">
        <is>
          <t>upgrade_saltwind_capstan_silver_gold</t>
        </is>
      </c>
      <c r="B18" t="inlineStr">
        <is>
          <t>item_saltwind_capstan</t>
        </is>
      </c>
      <c r="C18" t="inlineStr">
        <is>
          <t>silver</t>
        </is>
      </c>
      <c r="D18" t="inlineStr">
        <is>
          <t>gold</t>
        </is>
      </c>
      <c r="E18" t="inlineStr">
        <is>
          <t>6</t>
        </is>
      </c>
      <c r="F18" t="inlineStr">
        <is>
          <t>stall_mistwake</t>
        </is>
      </c>
      <c r="G18" t="inlineStr">
        <is>
          <t>formal</t>
        </is>
      </c>
    </row>
    <row r="19">
      <c r="A19" t="inlineStr">
        <is>
          <t>upgrade_saltwind_capstan_gold_diamond</t>
        </is>
      </c>
      <c r="B19" t="inlineStr">
        <is>
          <t>item_saltwind_capstan</t>
        </is>
      </c>
      <c r="C19" t="inlineStr">
        <is>
          <t>gold</t>
        </is>
      </c>
      <c r="D19" t="inlineStr">
        <is>
          <t>diamond</t>
        </is>
      </c>
      <c r="E19" t="inlineStr">
        <is>
          <t>9</t>
        </is>
      </c>
      <c r="F19" t="inlineStr">
        <is>
          <t>stall_mistwake</t>
        </is>
      </c>
      <c r="G19" t="inlineStr">
        <is>
          <t>formal</t>
        </is>
      </c>
    </row>
    <row r="20">
      <c r="A20" t="inlineStr">
        <is>
          <t>upgrade_tidefin_launcher_bronze_silver</t>
        </is>
      </c>
      <c r="B20" t="inlineStr">
        <is>
          <t>item_tidefin_launcher</t>
        </is>
      </c>
      <c r="C20" t="inlineStr">
        <is>
          <t>bronze</t>
        </is>
      </c>
      <c r="D20" t="inlineStr">
        <is>
          <t>silver</t>
        </is>
      </c>
      <c r="E20" t="inlineStr">
        <is>
          <t>3</t>
        </is>
      </c>
      <c r="F20" t="inlineStr">
        <is>
          <t>stall_mistwake</t>
        </is>
      </c>
      <c r="G20" t="inlineStr">
        <is>
          <t>formal</t>
        </is>
      </c>
    </row>
    <row r="21">
      <c r="A21" t="inlineStr">
        <is>
          <t>upgrade_tidefin_launcher_silver_gold</t>
        </is>
      </c>
      <c r="B21" t="inlineStr">
        <is>
          <t>item_tidefin_launcher</t>
        </is>
      </c>
      <c r="C21" t="inlineStr">
        <is>
          <t>silver</t>
        </is>
      </c>
      <c r="D21" t="inlineStr">
        <is>
          <t>gold</t>
        </is>
      </c>
      <c r="E21" t="inlineStr">
        <is>
          <t>5</t>
        </is>
      </c>
      <c r="F21" t="inlineStr">
        <is>
          <t>stall_mistwake</t>
        </is>
      </c>
      <c r="G21" t="inlineStr">
        <is>
          <t>formal</t>
        </is>
      </c>
    </row>
    <row r="22">
      <c r="A22" t="inlineStr">
        <is>
          <t>upgrade_tidefin_launcher_gold_diamond</t>
        </is>
      </c>
      <c r="B22" t="inlineStr">
        <is>
          <t>item_tidefin_launcher</t>
        </is>
      </c>
      <c r="C22" t="inlineStr">
        <is>
          <t>gold</t>
        </is>
      </c>
      <c r="D22" t="inlineStr">
        <is>
          <t>diamond</t>
        </is>
      </c>
      <c r="E22" t="inlineStr">
        <is>
          <t>8</t>
        </is>
      </c>
      <c r="F22" t="inlineStr">
        <is>
          <t>stall_mistwake</t>
        </is>
      </c>
      <c r="G22" t="inlineStr">
        <is>
          <t>formal</t>
        </is>
      </c>
    </row>
    <row r="23">
      <c r="A23" t="inlineStr">
        <is>
          <t>upgrade_mistkelp_remedy_kit_bronze_silver</t>
        </is>
      </c>
      <c r="B23" t="inlineStr">
        <is>
          <t>item_mistkelp_remedy_kit</t>
        </is>
      </c>
      <c r="C23" t="inlineStr">
        <is>
          <t>bronze</t>
        </is>
      </c>
      <c r="D23" t="inlineStr">
        <is>
          <t>silver</t>
        </is>
      </c>
      <c r="E23" t="inlineStr">
        <is>
          <t>4</t>
        </is>
      </c>
      <c r="F23" t="inlineStr">
        <is>
          <t>stall_mistwake</t>
        </is>
      </c>
      <c r="G23" t="inlineStr">
        <is>
          <t>formal</t>
        </is>
      </c>
    </row>
    <row r="24">
      <c r="A24" t="inlineStr">
        <is>
          <t>upgrade_mistkelp_remedy_kit_silver_gold</t>
        </is>
      </c>
      <c r="B24" t="inlineStr">
        <is>
          <t>item_mistkelp_remedy_kit</t>
        </is>
      </c>
      <c r="C24" t="inlineStr">
        <is>
          <t>silver</t>
        </is>
      </c>
      <c r="D24" t="inlineStr">
        <is>
          <t>gold</t>
        </is>
      </c>
      <c r="E24" t="inlineStr">
        <is>
          <t>6</t>
        </is>
      </c>
      <c r="F24" t="inlineStr">
        <is>
          <t>stall_mistwake</t>
        </is>
      </c>
      <c r="G24" t="inlineStr">
        <is>
          <t>formal</t>
        </is>
      </c>
    </row>
    <row r="25">
      <c r="A25" t="inlineStr">
        <is>
          <t>upgrade_mistkelp_remedy_kit_gold_diamond</t>
        </is>
      </c>
      <c r="B25" t="inlineStr">
        <is>
          <t>item_mistkelp_remedy_kit</t>
        </is>
      </c>
      <c r="C25" t="inlineStr">
        <is>
          <t>gold</t>
        </is>
      </c>
      <c r="D25" t="inlineStr">
        <is>
          <t>diamond</t>
        </is>
      </c>
      <c r="E25" t="inlineStr">
        <is>
          <t>9</t>
        </is>
      </c>
      <c r="F25" t="inlineStr">
        <is>
          <t>stall_mistwake</t>
        </is>
      </c>
      <c r="G25" t="inlineStr">
        <is>
          <t>formal</t>
        </is>
      </c>
    </row>
    <row r="26">
      <c r="A26" t="inlineStr">
        <is>
          <t>upgrade_tidefold_bulwark_bronze_silver</t>
        </is>
      </c>
      <c r="B26" t="inlineStr">
        <is>
          <t>item_tidefold_bulwark</t>
        </is>
      </c>
      <c r="C26" t="inlineStr">
        <is>
          <t>bronze</t>
        </is>
      </c>
      <c r="D26" t="inlineStr">
        <is>
          <t>silver</t>
        </is>
      </c>
      <c r="E26" t="inlineStr">
        <is>
          <t>4</t>
        </is>
      </c>
      <c r="F26" t="inlineStr">
        <is>
          <t>stall_mistwake</t>
        </is>
      </c>
      <c r="G26" t="inlineStr">
        <is>
          <t>formal</t>
        </is>
      </c>
    </row>
    <row r="27">
      <c r="A27" t="inlineStr">
        <is>
          <t>upgrade_tidefold_bulwark_silver_gold</t>
        </is>
      </c>
      <c r="B27" t="inlineStr">
        <is>
          <t>item_tidefold_bulwark</t>
        </is>
      </c>
      <c r="C27" t="inlineStr">
        <is>
          <t>silver</t>
        </is>
      </c>
      <c r="D27" t="inlineStr">
        <is>
          <t>gold</t>
        </is>
      </c>
      <c r="E27" t="inlineStr">
        <is>
          <t>7</t>
        </is>
      </c>
      <c r="F27" t="inlineStr">
        <is>
          <t>stall_mistwake</t>
        </is>
      </c>
      <c r="G27" t="inlineStr">
        <is>
          <t>formal</t>
        </is>
      </c>
    </row>
    <row r="28">
      <c r="A28" t="inlineStr">
        <is>
          <t>upgrade_tidefold_bulwark_gold_diamond</t>
        </is>
      </c>
      <c r="B28" t="inlineStr">
        <is>
          <t>item_tidefold_bulwark</t>
        </is>
      </c>
      <c r="C28" t="inlineStr">
        <is>
          <t>gold</t>
        </is>
      </c>
      <c r="D28" t="inlineStr">
        <is>
          <t>diamond</t>
        </is>
      </c>
      <c r="E28" t="inlineStr">
        <is>
          <t>11</t>
        </is>
      </c>
      <c r="F28" t="inlineStr">
        <is>
          <t>stall_mistwake</t>
        </is>
      </c>
      <c r="G28" t="inlineStr">
        <is>
          <t>formal</t>
        </is>
      </c>
    </row>
    <row r="29">
      <c r="A29" t="inlineStr">
        <is>
          <t>upgrade_homeglow_beacon_bronze_silver</t>
        </is>
      </c>
      <c r="B29" t="inlineStr">
        <is>
          <t>item_homeglow_beacon</t>
        </is>
      </c>
      <c r="C29" t="inlineStr">
        <is>
          <t>bronze</t>
        </is>
      </c>
      <c r="D29" t="inlineStr">
        <is>
          <t>silver</t>
        </is>
      </c>
      <c r="E29" t="inlineStr">
        <is>
          <t>5</t>
        </is>
      </c>
      <c r="F29" t="inlineStr">
        <is>
          <t>stall_mistwake</t>
        </is>
      </c>
      <c r="G29" t="inlineStr">
        <is>
          <t>formal</t>
        </is>
      </c>
    </row>
    <row r="30">
      <c r="A30" t="inlineStr">
        <is>
          <t>upgrade_homeglow_beacon_silver_gold</t>
        </is>
      </c>
      <c r="B30" t="inlineStr">
        <is>
          <t>item_homeglow_beacon</t>
        </is>
      </c>
      <c r="C30" t="inlineStr">
        <is>
          <t>silver</t>
        </is>
      </c>
      <c r="D30" t="inlineStr">
        <is>
          <t>gold</t>
        </is>
      </c>
      <c r="E30" t="inlineStr">
        <is>
          <t>8</t>
        </is>
      </c>
      <c r="F30" t="inlineStr">
        <is>
          <t>stall_mistwake</t>
        </is>
      </c>
      <c r="G30" t="inlineStr">
        <is>
          <t>formal</t>
        </is>
      </c>
    </row>
    <row r="31" s="439">
      <c r="A31" t="inlineStr">
        <is>
          <t>upgrade_homeglow_beacon_gold_diamond</t>
        </is>
      </c>
      <c r="B31" t="inlineStr">
        <is>
          <t>item_homeglow_beacon</t>
        </is>
      </c>
      <c r="C31" t="inlineStr">
        <is>
          <t>gold</t>
        </is>
      </c>
      <c r="D31" t="inlineStr">
        <is>
          <t>diamond</t>
        </is>
      </c>
      <c r="E31" t="inlineStr">
        <is>
          <t>12</t>
        </is>
      </c>
      <c r="F31" t="inlineStr">
        <is>
          <t>stall_mistwake</t>
        </is>
      </c>
      <c r="G31" t="inlineStr">
        <is>
          <t>formal</t>
        </is>
      </c>
    </row>
    <row r="32">
      <c r="A32" t="inlineStr">
        <is>
          <t>upgrade_tidescar_matchlock_bronze_silver</t>
        </is>
      </c>
      <c r="B32" t="inlineStr">
        <is>
          <t>item_tidescar_matchlock</t>
        </is>
      </c>
      <c r="C32" t="inlineStr">
        <is>
          <t>bronze</t>
        </is>
      </c>
      <c r="D32" t="inlineStr">
        <is>
          <t>silver</t>
        </is>
      </c>
      <c r="E32" t="inlineStr">
        <is>
          <t>4</t>
        </is>
      </c>
      <c r="F32" t="inlineStr">
        <is>
          <t>stall_mistwake</t>
        </is>
      </c>
      <c r="G32" t="inlineStr">
        <is>
          <t>formal</t>
        </is>
      </c>
    </row>
    <row r="33">
      <c r="A33" t="inlineStr">
        <is>
          <t>upgrade_tidescar_matchlock_silver_gold</t>
        </is>
      </c>
      <c r="B33" t="inlineStr">
        <is>
          <t>item_tidescar_matchlock</t>
        </is>
      </c>
      <c r="C33" t="inlineStr">
        <is>
          <t>silver</t>
        </is>
      </c>
      <c r="D33" t="inlineStr">
        <is>
          <t>gold</t>
        </is>
      </c>
      <c r="E33" t="inlineStr">
        <is>
          <t>7</t>
        </is>
      </c>
      <c r="F33" t="inlineStr">
        <is>
          <t>stall_mistwake</t>
        </is>
      </c>
      <c r="G33" t="inlineStr">
        <is>
          <t>formal</t>
        </is>
      </c>
    </row>
    <row r="34">
      <c r="A34" t="inlineStr">
        <is>
          <t>upgrade_tidescar_matchlock_gold_diamond</t>
        </is>
      </c>
      <c r="B34" t="inlineStr">
        <is>
          <t>item_tidescar_matchlock</t>
        </is>
      </c>
      <c r="C34" t="inlineStr">
        <is>
          <t>gold</t>
        </is>
      </c>
      <c r="D34" t="inlineStr">
        <is>
          <t>diamond</t>
        </is>
      </c>
      <c r="E34" t="inlineStr">
        <is>
          <t>11</t>
        </is>
      </c>
      <c r="F34" t="inlineStr">
        <is>
          <t>stall_mistwake</t>
        </is>
      </c>
      <c r="G34" t="inlineStr">
        <is>
          <t>formal</t>
        </is>
      </c>
    </row>
    <row r="35">
      <c r="A35" t="inlineStr">
        <is>
          <t>upgrade_mistline_ratchet_bronze_silver</t>
        </is>
      </c>
      <c r="B35" t="inlineStr">
        <is>
          <t>item_mistline_ratchet</t>
        </is>
      </c>
      <c r="C35" t="inlineStr">
        <is>
          <t>bronze</t>
        </is>
      </c>
      <c r="D35" t="inlineStr">
        <is>
          <t>silver</t>
        </is>
      </c>
      <c r="E35" t="inlineStr">
        <is>
          <t>4</t>
        </is>
      </c>
      <c r="F35" t="inlineStr">
        <is>
          <t>stall_mistwake</t>
        </is>
      </c>
      <c r="G35" t="inlineStr">
        <is>
          <t>formal</t>
        </is>
      </c>
    </row>
    <row r="36">
      <c r="A36" t="inlineStr">
        <is>
          <t>upgrade_mistline_ratchet_silver_gold</t>
        </is>
      </c>
      <c r="B36" t="inlineStr">
        <is>
          <t>item_mistline_ratchet</t>
        </is>
      </c>
      <c r="C36" t="inlineStr">
        <is>
          <t>silver</t>
        </is>
      </c>
      <c r="D36" t="inlineStr">
        <is>
          <t>gold</t>
        </is>
      </c>
      <c r="E36" t="inlineStr">
        <is>
          <t>7</t>
        </is>
      </c>
      <c r="F36" t="inlineStr">
        <is>
          <t>stall_mistwake</t>
        </is>
      </c>
      <c r="G36" t="inlineStr">
        <is>
          <t>formal</t>
        </is>
      </c>
    </row>
    <row r="37" s="439">
      <c r="A37" t="inlineStr">
        <is>
          <t>upgrade_mistline_ratchet_gold_diamond</t>
        </is>
      </c>
      <c r="B37" t="inlineStr">
        <is>
          <t>item_mistline_ratchet</t>
        </is>
      </c>
      <c r="C37" t="inlineStr">
        <is>
          <t>gold</t>
        </is>
      </c>
      <c r="D37" t="inlineStr">
        <is>
          <t>diamond</t>
        </is>
      </c>
      <c r="E37" t="inlineStr">
        <is>
          <t>10</t>
        </is>
      </c>
      <c r="F37" t="inlineStr">
        <is>
          <t>stall_mistwake</t>
        </is>
      </c>
      <c r="G37" t="inlineStr">
        <is>
          <t>formal</t>
        </is>
      </c>
    </row>
    <row r="38" s="439">
      <c r="A38" t="inlineStr">
        <is>
          <t>upgrade_quadrant_linkage_bronze_silver</t>
        </is>
      </c>
      <c r="B38" t="inlineStr">
        <is>
          <t>item_quadrant_linkage</t>
        </is>
      </c>
      <c r="C38" t="inlineStr">
        <is>
          <t>bronze</t>
        </is>
      </c>
      <c r="D38" t="inlineStr">
        <is>
          <t>silver</t>
        </is>
      </c>
      <c r="E38" t="inlineStr">
        <is>
          <t>5</t>
        </is>
      </c>
      <c r="F38" t="inlineStr">
        <is>
          <t>stall_mistwake</t>
        </is>
      </c>
      <c r="G38" t="inlineStr">
        <is>
          <t>formal</t>
        </is>
      </c>
    </row>
    <row r="39" s="439">
      <c r="A39" t="inlineStr">
        <is>
          <t>upgrade_quadrant_linkage_silver_gold</t>
        </is>
      </c>
      <c r="B39" t="inlineStr">
        <is>
          <t>item_quadrant_linkage</t>
        </is>
      </c>
      <c r="C39" t="inlineStr">
        <is>
          <t>silver</t>
        </is>
      </c>
      <c r="D39" t="inlineStr">
        <is>
          <t>gold</t>
        </is>
      </c>
      <c r="E39" t="inlineStr">
        <is>
          <t>8</t>
        </is>
      </c>
      <c r="F39" t="inlineStr">
        <is>
          <t>stall_mistwake</t>
        </is>
      </c>
      <c r="G39" t="inlineStr">
        <is>
          <t>formal</t>
        </is>
      </c>
    </row>
    <row r="40" s="439">
      <c r="A40" t="inlineStr">
        <is>
          <t>upgrade_quadrant_linkage_gold_diamond</t>
        </is>
      </c>
      <c r="B40" t="inlineStr">
        <is>
          <t>item_quadrant_linkage</t>
        </is>
      </c>
      <c r="C40" t="inlineStr">
        <is>
          <t>gold</t>
        </is>
      </c>
      <c r="D40" t="inlineStr">
        <is>
          <t>diamond</t>
        </is>
      </c>
      <c r="E40" t="inlineStr">
        <is>
          <t>11</t>
        </is>
      </c>
      <c r="F40" t="inlineStr">
        <is>
          <t>stall_mistwake</t>
        </is>
      </c>
      <c r="G40" t="inlineStr">
        <is>
          <t>formal</t>
        </is>
      </c>
    </row>
    <row r="41" s="439">
      <c r="A41" t="inlineStr">
        <is>
          <t>upgrade_followwake_calibrator_bronze_silver</t>
        </is>
      </c>
      <c r="B41" t="inlineStr">
        <is>
          <t>item_followwake_calibrator</t>
        </is>
      </c>
      <c r="C41" t="inlineStr">
        <is>
          <t>bronze</t>
        </is>
      </c>
      <c r="D41" t="inlineStr">
        <is>
          <t>silver</t>
        </is>
      </c>
      <c r="E41" t="inlineStr">
        <is>
          <t>4</t>
        </is>
      </c>
      <c r="F41" t="inlineStr">
        <is>
          <t>stall_mistwake</t>
        </is>
      </c>
      <c r="G41" t="inlineStr">
        <is>
          <t>formal</t>
        </is>
      </c>
    </row>
    <row r="42" s="439">
      <c r="A42" t="inlineStr">
        <is>
          <t>upgrade_followwake_calibrator_silver_gold</t>
        </is>
      </c>
      <c r="B42" t="inlineStr">
        <is>
          <t>item_followwake_calibrator</t>
        </is>
      </c>
      <c r="C42" t="inlineStr">
        <is>
          <t>silver</t>
        </is>
      </c>
      <c r="D42" t="inlineStr">
        <is>
          <t>gold</t>
        </is>
      </c>
      <c r="E42" t="inlineStr">
        <is>
          <t>7</t>
        </is>
      </c>
      <c r="F42" t="inlineStr">
        <is>
          <t>stall_mistwake</t>
        </is>
      </c>
      <c r="G42" t="inlineStr">
        <is>
          <t>formal</t>
        </is>
      </c>
    </row>
    <row r="43" s="439">
      <c r="A43" t="inlineStr">
        <is>
          <t>upgrade_followwake_calibrator_gold_diamond</t>
        </is>
      </c>
      <c r="B43" t="inlineStr">
        <is>
          <t>item_followwake_calibrator</t>
        </is>
      </c>
      <c r="C43" t="inlineStr">
        <is>
          <t>gold</t>
        </is>
      </c>
      <c r="D43" t="inlineStr">
        <is>
          <t>diamond</t>
        </is>
      </c>
      <c r="E43" t="inlineStr">
        <is>
          <t>10</t>
        </is>
      </c>
      <c r="F43" t="inlineStr">
        <is>
          <t>stall_mistwake</t>
        </is>
      </c>
      <c r="G43" t="inlineStr">
        <is>
          <t>formal</t>
        </is>
      </c>
    </row>
    <row r="44">
      <c r="A44" t="inlineStr">
        <is>
          <t>upgrade_dawntide_timer_bronze_silver</t>
        </is>
      </c>
      <c r="B44" t="inlineStr">
        <is>
          <t>item_dawntide_timer</t>
        </is>
      </c>
      <c r="C44" t="inlineStr">
        <is>
          <t>bronze</t>
        </is>
      </c>
      <c r="D44" t="inlineStr">
        <is>
          <t>silver</t>
        </is>
      </c>
      <c r="E44" t="inlineStr">
        <is>
          <t>4</t>
        </is>
      </c>
      <c r="F44" t="inlineStr">
        <is>
          <t>stall_mistwake</t>
        </is>
      </c>
      <c r="G44" t="inlineStr">
        <is>
          <t>formal</t>
        </is>
      </c>
    </row>
    <row r="45">
      <c r="A45" t="inlineStr">
        <is>
          <t>upgrade_dawntide_timer_silver_gold</t>
        </is>
      </c>
      <c r="B45" t="inlineStr">
        <is>
          <t>item_dawntide_timer</t>
        </is>
      </c>
      <c r="C45" t="inlineStr">
        <is>
          <t>silver</t>
        </is>
      </c>
      <c r="D45" t="inlineStr">
        <is>
          <t>gold</t>
        </is>
      </c>
      <c r="E45" t="inlineStr">
        <is>
          <t>7</t>
        </is>
      </c>
      <c r="F45" t="inlineStr">
        <is>
          <t>stall_mistwake</t>
        </is>
      </c>
      <c r="G45" t="inlineStr">
        <is>
          <t>formal</t>
        </is>
      </c>
    </row>
    <row r="46" s="439">
      <c r="A46" t="inlineStr">
        <is>
          <t>upgrade_dawntide_timer_gold_diamond</t>
        </is>
      </c>
      <c r="B46" t="inlineStr">
        <is>
          <t>item_dawntide_timer</t>
        </is>
      </c>
      <c r="C46" t="inlineStr">
        <is>
          <t>gold</t>
        </is>
      </c>
      <c r="D46" t="inlineStr">
        <is>
          <t>diamond</t>
        </is>
      </c>
      <c r="E46" t="inlineStr">
        <is>
          <t>10</t>
        </is>
      </c>
      <c r="F46" t="inlineStr">
        <is>
          <t>stall_mistwake</t>
        </is>
      </c>
      <c r="G46" t="inlineStr">
        <is>
          <t>formal</t>
        </is>
      </c>
    </row>
    <row r="47" s="439">
      <c r="A47" t="inlineStr">
        <is>
          <t>upgrade_broadside_signal_relay_bronze_silver</t>
        </is>
      </c>
      <c r="B47" t="inlineStr">
        <is>
          <t>item_broadside_signal_relay</t>
        </is>
      </c>
      <c r="C47" t="inlineStr">
        <is>
          <t>bronze</t>
        </is>
      </c>
      <c r="D47" t="inlineStr">
        <is>
          <t>silver</t>
        </is>
      </c>
      <c r="E47" t="inlineStr">
        <is>
          <t>4</t>
        </is>
      </c>
      <c r="F47" t="inlineStr">
        <is>
          <t>stall_mistwake</t>
        </is>
      </c>
      <c r="G47" t="inlineStr">
        <is>
          <t>formal</t>
        </is>
      </c>
    </row>
    <row r="48" s="439">
      <c r="A48" t="inlineStr">
        <is>
          <t>upgrade_broadside_signal_relay_silver_gold</t>
        </is>
      </c>
      <c r="B48" t="inlineStr">
        <is>
          <t>item_broadside_signal_relay</t>
        </is>
      </c>
      <c r="C48" t="inlineStr">
        <is>
          <t>silver</t>
        </is>
      </c>
      <c r="D48" t="inlineStr">
        <is>
          <t>gold</t>
        </is>
      </c>
      <c r="E48" t="inlineStr">
        <is>
          <t>7</t>
        </is>
      </c>
      <c r="F48" t="inlineStr">
        <is>
          <t>stall_mistwake</t>
        </is>
      </c>
      <c r="G48" t="inlineStr">
        <is>
          <t>formal</t>
        </is>
      </c>
    </row>
    <row r="49" s="439">
      <c r="A49" t="inlineStr">
        <is>
          <t>upgrade_broadside_signal_relay_gold_diamond</t>
        </is>
      </c>
      <c r="B49" t="inlineStr">
        <is>
          <t>item_broadside_signal_relay</t>
        </is>
      </c>
      <c r="C49" t="inlineStr">
        <is>
          <t>gold</t>
        </is>
      </c>
      <c r="D49" t="inlineStr">
        <is>
          <t>diamond</t>
        </is>
      </c>
      <c r="E49" t="inlineStr">
        <is>
          <t>10</t>
        </is>
      </c>
      <c r="F49" t="inlineStr">
        <is>
          <t>stall_mistwake</t>
        </is>
      </c>
      <c r="G49" t="inlineStr">
        <is>
          <t>formal</t>
        </is>
      </c>
    </row>
    <row r="50" s="439">
      <c r="A50" t="inlineStr">
        <is>
          <t>upgrade_crosswind_selector_bronze_silver</t>
        </is>
      </c>
      <c r="B50" t="inlineStr">
        <is>
          <t>item_crosswind_selector</t>
        </is>
      </c>
      <c r="C50" t="inlineStr">
        <is>
          <t>bronze</t>
        </is>
      </c>
      <c r="D50" t="inlineStr">
        <is>
          <t>silver</t>
        </is>
      </c>
      <c r="E50" t="inlineStr">
        <is>
          <t>3</t>
        </is>
      </c>
      <c r="F50" t="inlineStr">
        <is>
          <t>stall_mistwake</t>
        </is>
      </c>
      <c r="G50" t="inlineStr">
        <is>
          <t>formal</t>
        </is>
      </c>
    </row>
    <row r="51" s="439">
      <c r="A51" t="inlineStr">
        <is>
          <t>upgrade_crosswind_selector_silver_gold</t>
        </is>
      </c>
      <c r="B51" t="inlineStr">
        <is>
          <t>item_crosswind_selector</t>
        </is>
      </c>
      <c r="C51" t="inlineStr">
        <is>
          <t>silver</t>
        </is>
      </c>
      <c r="D51" t="inlineStr">
        <is>
          <t>gold</t>
        </is>
      </c>
      <c r="E51" t="inlineStr">
        <is>
          <t>6</t>
        </is>
      </c>
      <c r="F51" t="inlineStr">
        <is>
          <t>stall_mistwake</t>
        </is>
      </c>
      <c r="G51" t="inlineStr">
        <is>
          <t>formal</t>
        </is>
      </c>
    </row>
    <row r="52" s="439">
      <c r="A52" t="inlineStr">
        <is>
          <t>upgrade_crosswind_selector_gold_diamond</t>
        </is>
      </c>
      <c r="B52" t="inlineStr">
        <is>
          <t>item_crosswind_selector</t>
        </is>
      </c>
      <c r="C52" t="inlineStr">
        <is>
          <t>gold</t>
        </is>
      </c>
      <c r="D52" t="inlineStr">
        <is>
          <t>diamond</t>
        </is>
      </c>
      <c r="E52" t="inlineStr">
        <is>
          <t>10</t>
        </is>
      </c>
      <c r="F52" t="inlineStr">
        <is>
          <t>stall_mistwake</t>
        </is>
      </c>
      <c r="G52" t="inlineStr">
        <is>
          <t>formal</t>
        </is>
      </c>
    </row>
    <row r="53">
      <c r="A53" t="inlineStr">
        <is>
          <t>upgrade_tideglass_sidearm_bronze_silver</t>
        </is>
      </c>
      <c r="B53" t="inlineStr">
        <is>
          <t>item_tideglass_sidearm</t>
        </is>
      </c>
      <c r="C53" t="inlineStr">
        <is>
          <t>bronze</t>
        </is>
      </c>
      <c r="D53" t="inlineStr">
        <is>
          <t>silver</t>
        </is>
      </c>
      <c r="E53" t="n">
        <v>4</v>
      </c>
      <c r="F53" t="inlineStr">
        <is>
          <t>stall_mistwake</t>
        </is>
      </c>
      <c r="G53" t="inlineStr">
        <is>
          <t>formal</t>
        </is>
      </c>
    </row>
    <row r="54">
      <c r="A54" t="inlineStr">
        <is>
          <t>upgrade_tideglass_sidearm_silver_gold</t>
        </is>
      </c>
      <c r="B54" t="inlineStr">
        <is>
          <t>item_tideglass_sidearm</t>
        </is>
      </c>
      <c r="C54" t="inlineStr">
        <is>
          <t>silver</t>
        </is>
      </c>
      <c r="D54" t="inlineStr">
        <is>
          <t>gold</t>
        </is>
      </c>
      <c r="E54" t="n">
        <v>7</v>
      </c>
      <c r="F54" t="inlineStr">
        <is>
          <t>stall_mistwake</t>
        </is>
      </c>
      <c r="G54" t="inlineStr">
        <is>
          <t>formal</t>
        </is>
      </c>
    </row>
    <row r="55">
      <c r="A55" t="inlineStr">
        <is>
          <t>upgrade_tideglass_sidearm_gold_diamond</t>
        </is>
      </c>
      <c r="B55" t="inlineStr">
        <is>
          <t>item_tideglass_sidearm</t>
        </is>
      </c>
      <c r="C55" t="inlineStr">
        <is>
          <t>gold</t>
        </is>
      </c>
      <c r="D55" t="inlineStr">
        <is>
          <t>diamond</t>
        </is>
      </c>
      <c r="E55" t="n">
        <v>10</v>
      </c>
      <c r="F55" t="inlineStr">
        <is>
          <t>stall_mistwake</t>
        </is>
      </c>
      <c r="G55" t="inlineStr">
        <is>
          <t>formal</t>
        </is>
      </c>
    </row>
    <row r="56">
      <c r="A56" t="inlineStr">
        <is>
          <t>upgrade_emberwake_lantern_bronze_silver</t>
        </is>
      </c>
      <c r="B56" t="inlineStr">
        <is>
          <t>item_emberwake_lantern</t>
        </is>
      </c>
      <c r="C56" t="inlineStr">
        <is>
          <t>bronze</t>
        </is>
      </c>
      <c r="D56" t="inlineStr">
        <is>
          <t>silver</t>
        </is>
      </c>
      <c r="E56" t="n">
        <v>4</v>
      </c>
      <c r="F56" t="inlineStr">
        <is>
          <t>stall_mistwake</t>
        </is>
      </c>
      <c r="G56" t="inlineStr">
        <is>
          <t>formal</t>
        </is>
      </c>
    </row>
    <row r="57">
      <c r="A57" t="inlineStr">
        <is>
          <t>upgrade_emberwake_lantern_silver_gold</t>
        </is>
      </c>
      <c r="B57" t="inlineStr">
        <is>
          <t>item_emberwake_lantern</t>
        </is>
      </c>
      <c r="C57" t="inlineStr">
        <is>
          <t>silver</t>
        </is>
      </c>
      <c r="D57" t="inlineStr">
        <is>
          <t>gold</t>
        </is>
      </c>
      <c r="E57" t="n">
        <v>7</v>
      </c>
      <c r="F57" t="inlineStr">
        <is>
          <t>stall_mistwake</t>
        </is>
      </c>
      <c r="G57" t="inlineStr">
        <is>
          <t>formal</t>
        </is>
      </c>
    </row>
    <row r="58">
      <c r="A58" t="inlineStr">
        <is>
          <t>upgrade_emberwake_lantern_gold_diamond</t>
        </is>
      </c>
      <c r="B58" t="inlineStr">
        <is>
          <t>item_emberwake_lantern</t>
        </is>
      </c>
      <c r="C58" t="inlineStr">
        <is>
          <t>gold</t>
        </is>
      </c>
      <c r="D58" t="inlineStr">
        <is>
          <t>diamond</t>
        </is>
      </c>
      <c r="E58" t="n">
        <v>10</v>
      </c>
      <c r="F58" t="inlineStr">
        <is>
          <t>stall_mistwake</t>
        </is>
      </c>
      <c r="G58" t="inlineStr">
        <is>
          <t>formal</t>
        </is>
      </c>
    </row>
    <row r="59">
      <c r="A59" t="inlineStr">
        <is>
          <t>upgrade_inkwake_doser_bronze_silver</t>
        </is>
      </c>
      <c r="B59" t="inlineStr">
        <is>
          <t>item_inkwake_doser</t>
        </is>
      </c>
      <c r="C59" t="inlineStr">
        <is>
          <t>bronze</t>
        </is>
      </c>
      <c r="D59" t="inlineStr">
        <is>
          <t>silver</t>
        </is>
      </c>
      <c r="E59" t="inlineStr">
        <is>
          <t>3</t>
        </is>
      </c>
      <c r="F59" t="inlineStr">
        <is>
          <t>stall_mistwake</t>
        </is>
      </c>
      <c r="G59" t="inlineStr">
        <is>
          <t>formal</t>
        </is>
      </c>
    </row>
    <row r="60">
      <c r="A60" t="inlineStr">
        <is>
          <t>upgrade_inkwake_doser_silver_gold</t>
        </is>
      </c>
      <c r="B60" t="inlineStr">
        <is>
          <t>item_inkwake_doser</t>
        </is>
      </c>
      <c r="C60" t="inlineStr">
        <is>
          <t>silver</t>
        </is>
      </c>
      <c r="D60" t="inlineStr">
        <is>
          <t>gold</t>
        </is>
      </c>
      <c r="E60" t="inlineStr">
        <is>
          <t>6</t>
        </is>
      </c>
      <c r="F60" t="inlineStr">
        <is>
          <t>stall_mistwake</t>
        </is>
      </c>
      <c r="G60" t="inlineStr">
        <is>
          <t>formal</t>
        </is>
      </c>
    </row>
    <row r="61">
      <c r="A61" t="inlineStr">
        <is>
          <t>upgrade_inkwake_doser_gold_diamond</t>
        </is>
      </c>
      <c r="B61" t="inlineStr">
        <is>
          <t>item_inkwake_doser</t>
        </is>
      </c>
      <c r="C61" t="inlineStr">
        <is>
          <t>gold</t>
        </is>
      </c>
      <c r="D61" t="inlineStr">
        <is>
          <t>diamond</t>
        </is>
      </c>
      <c r="E61" t="inlineStr">
        <is>
          <t>9</t>
        </is>
      </c>
      <c r="F61" t="inlineStr">
        <is>
          <t>stall_mistwake</t>
        </is>
      </c>
      <c r="G61" t="inlineStr">
        <is>
          <t>formal</t>
        </is>
      </c>
    </row>
  </sheetData>
  <autoFilter ref="A1:G52"/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K1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439" min="1" max="1"/>
    <col width="9" customWidth="1" style="439" min="2" max="2"/>
    <col width="22" customWidth="1" style="439" min="3" max="3"/>
    <col width="23" customWidth="1" style="439" min="4" max="4"/>
    <col width="9" customWidth="1" style="439" min="5" max="5"/>
    <col width="7" customWidth="1" style="439" min="6" max="6"/>
    <col width="22" customWidth="1" style="439" min="7" max="7"/>
    <col width="14" customWidth="1" style="439" min="8" max="8"/>
    <col width="12" customWidth="1" style="439" min="9" max="9"/>
    <col width="17" customWidth="1" style="439" min="10" max="10"/>
    <col width="16" customWidth="1" style="439" min="11" max="11"/>
  </cols>
  <sheetData>
    <row r="1">
      <c r="A1" t="inlineStr">
        <is>
          <t>enchantment_id</t>
        </is>
      </c>
      <c r="B1" t="inlineStr">
        <is>
          <t>name_zh</t>
        </is>
      </c>
      <c r="C1" t="inlineStr">
        <is>
          <t>description_zh</t>
        </is>
      </c>
      <c r="D1" t="inlineStr">
        <is>
          <t>item_id</t>
        </is>
      </c>
      <c r="E1" t="inlineStr">
        <is>
          <t>quality</t>
        </is>
      </c>
      <c r="F1" t="inlineStr">
        <is>
          <t>price</t>
        </is>
      </c>
      <c r="G1" t="inlineStr">
        <is>
          <t>cooldown_delta_ticks</t>
        </is>
      </c>
      <c r="H1" t="inlineStr">
        <is>
          <t>damage_delta</t>
        </is>
      </c>
      <c r="I1" t="inlineStr">
        <is>
          <t>ammo_delta</t>
        </is>
      </c>
      <c r="J1" t="inlineStr">
        <is>
          <t>source_stall_id</t>
        </is>
      </c>
      <c r="K1" t="inlineStr">
        <is>
          <t>catalog_status</t>
        </is>
      </c>
    </row>
    <row r="2">
      <c r="A2" t="inlineStr">
        <is>
          <t>enchant_tailwind</t>
        </is>
      </c>
      <c r="B2" t="inlineStr">
        <is>
          <t>顺风铭刻</t>
        </is>
      </c>
      <c r="C2" t="inlineStr">
        <is>
          <t>借顺风缩短物品的基础充能时间。</t>
        </is>
      </c>
      <c r="D2" t="inlineStr">
        <is>
          <t>item_brine_cannon</t>
        </is>
      </c>
      <c r="E2" t="inlineStr">
        <is>
          <t>bronze</t>
        </is>
      </c>
      <c r="F2" t="inlineStr">
        <is>
          <t>4</t>
        </is>
      </c>
      <c r="G2" t="inlineStr">
        <is>
          <t>-1</t>
        </is>
      </c>
      <c r="H2" t="inlineStr">
        <is>
          <t>0</t>
        </is>
      </c>
      <c r="I2" t="inlineStr">
        <is>
          <t>0</t>
        </is>
      </c>
      <c r="J2" t="inlineStr">
        <is>
          <t>stall_mistwake</t>
        </is>
      </c>
      <c r="K2" t="inlineStr">
        <is>
          <t>formal</t>
        </is>
      </c>
    </row>
    <row r="3">
      <c r="A3" t="inlineStr">
        <is>
          <t>enchant_tailwind</t>
        </is>
      </c>
      <c r="B3" t="inlineStr">
        <is>
          <t>顺风铭刻</t>
        </is>
      </c>
      <c r="C3" t="inlineStr">
        <is>
          <t>借顺风缩短物品的基础充能时间。</t>
        </is>
      </c>
      <c r="D3" t="inlineStr">
        <is>
          <t>item_brine_cannon</t>
        </is>
      </c>
      <c r="E3" t="inlineStr">
        <is>
          <t>silver</t>
        </is>
      </c>
      <c r="F3" t="inlineStr">
        <is>
          <t>6</t>
        </is>
      </c>
      <c r="G3" t="inlineStr">
        <is>
          <t>-1</t>
        </is>
      </c>
      <c r="H3" t="inlineStr">
        <is>
          <t>0</t>
        </is>
      </c>
      <c r="I3" t="inlineStr">
        <is>
          <t>0</t>
        </is>
      </c>
      <c r="J3" t="inlineStr">
        <is>
          <t>stall_mistwake</t>
        </is>
      </c>
      <c r="K3" t="inlineStr">
        <is>
          <t>formal</t>
        </is>
      </c>
    </row>
    <row r="4">
      <c r="A4" t="inlineStr">
        <is>
          <t>enchant_tailwind</t>
        </is>
      </c>
      <c r="B4" t="inlineStr">
        <is>
          <t>顺风铭刻</t>
        </is>
      </c>
      <c r="C4" t="inlineStr">
        <is>
          <t>借顺风缩短物品的基础充能时间。</t>
        </is>
      </c>
      <c r="D4" t="inlineStr">
        <is>
          <t>item_brine_cannon</t>
        </is>
      </c>
      <c r="E4" t="inlineStr">
        <is>
          <t>gold</t>
        </is>
      </c>
      <c r="F4" t="inlineStr">
        <is>
          <t>9</t>
        </is>
      </c>
      <c r="G4" t="inlineStr">
        <is>
          <t>-1</t>
        </is>
      </c>
      <c r="H4" t="inlineStr">
        <is>
          <t>0</t>
        </is>
      </c>
      <c r="I4" t="inlineStr">
        <is>
          <t>0</t>
        </is>
      </c>
      <c r="J4" t="inlineStr">
        <is>
          <t>stall_mistwake</t>
        </is>
      </c>
      <c r="K4" t="inlineStr">
        <is>
          <t>formal</t>
        </is>
      </c>
    </row>
    <row r="5">
      <c r="A5" t="inlineStr">
        <is>
          <t>enchant_tailwind</t>
        </is>
      </c>
      <c r="B5" t="inlineStr">
        <is>
          <t>顺风铭刻</t>
        </is>
      </c>
      <c r="C5" t="inlineStr">
        <is>
          <t>借顺风缩短物品的基础充能时间。</t>
        </is>
      </c>
      <c r="D5" t="inlineStr">
        <is>
          <t>item_brine_cannon</t>
        </is>
      </c>
      <c r="E5" t="inlineStr">
        <is>
          <t>diamond</t>
        </is>
      </c>
      <c r="F5" t="inlineStr">
        <is>
          <t>12</t>
        </is>
      </c>
      <c r="G5" t="inlineStr">
        <is>
          <t>-1</t>
        </is>
      </c>
      <c r="H5" t="inlineStr">
        <is>
          <t>0</t>
        </is>
      </c>
      <c r="I5" t="inlineStr">
        <is>
          <t>0</t>
        </is>
      </c>
      <c r="J5" t="inlineStr">
        <is>
          <t>stall_mistwake</t>
        </is>
      </c>
      <c r="K5" t="inlineStr">
        <is>
          <t>formal</t>
        </is>
      </c>
    </row>
    <row r="6">
      <c r="A6" t="inlineStr">
        <is>
          <t>enchant_tailwind</t>
        </is>
      </c>
      <c r="B6" t="inlineStr">
        <is>
          <t>顺风铭刻</t>
        </is>
      </c>
      <c r="C6" t="inlineStr">
        <is>
          <t>借顺风缩短物品的基础充能时间。</t>
        </is>
      </c>
      <c r="D6" t="inlineStr">
        <is>
          <t>item_patchwork_ram</t>
        </is>
      </c>
      <c r="E6" t="inlineStr">
        <is>
          <t>bronze</t>
        </is>
      </c>
      <c r="F6" t="inlineStr">
        <is>
          <t>4</t>
        </is>
      </c>
      <c r="G6" t="inlineStr">
        <is>
          <t>-1</t>
        </is>
      </c>
      <c r="H6" t="inlineStr">
        <is>
          <t>0</t>
        </is>
      </c>
      <c r="I6" t="inlineStr">
        <is>
          <t>0</t>
        </is>
      </c>
      <c r="J6" t="inlineStr">
        <is>
          <t>stall_mistwake</t>
        </is>
      </c>
      <c r="K6" t="inlineStr">
        <is>
          <t>formal</t>
        </is>
      </c>
    </row>
    <row r="7">
      <c r="A7" t="inlineStr">
        <is>
          <t>enchant_tailwind</t>
        </is>
      </c>
      <c r="B7" t="inlineStr">
        <is>
          <t>顺风铭刻</t>
        </is>
      </c>
      <c r="C7" t="inlineStr">
        <is>
          <t>借顺风缩短物品的基础充能时间。</t>
        </is>
      </c>
      <c r="D7" t="inlineStr">
        <is>
          <t>item_patchwork_ram</t>
        </is>
      </c>
      <c r="E7" t="inlineStr">
        <is>
          <t>silver</t>
        </is>
      </c>
      <c r="F7" t="inlineStr">
        <is>
          <t>6</t>
        </is>
      </c>
      <c r="G7" t="inlineStr">
        <is>
          <t>-1</t>
        </is>
      </c>
      <c r="H7" t="inlineStr">
        <is>
          <t>0</t>
        </is>
      </c>
      <c r="I7" t="inlineStr">
        <is>
          <t>0</t>
        </is>
      </c>
      <c r="J7" t="inlineStr">
        <is>
          <t>stall_mistwake</t>
        </is>
      </c>
      <c r="K7" t="inlineStr">
        <is>
          <t>formal</t>
        </is>
      </c>
    </row>
    <row r="8">
      <c r="A8" t="inlineStr">
        <is>
          <t>enchant_tailwind</t>
        </is>
      </c>
      <c r="B8" t="inlineStr">
        <is>
          <t>顺风铭刻</t>
        </is>
      </c>
      <c r="C8" t="inlineStr">
        <is>
          <t>借顺风缩短物品的基础充能时间。</t>
        </is>
      </c>
      <c r="D8" t="inlineStr">
        <is>
          <t>item_patchwork_ram</t>
        </is>
      </c>
      <c r="E8" t="inlineStr">
        <is>
          <t>gold</t>
        </is>
      </c>
      <c r="F8" t="inlineStr">
        <is>
          <t>9</t>
        </is>
      </c>
      <c r="G8" t="inlineStr">
        <is>
          <t>-1</t>
        </is>
      </c>
      <c r="H8" t="inlineStr">
        <is>
          <t>0</t>
        </is>
      </c>
      <c r="I8" t="inlineStr">
        <is>
          <t>0</t>
        </is>
      </c>
      <c r="J8" t="inlineStr">
        <is>
          <t>stall_mistwake</t>
        </is>
      </c>
      <c r="K8" t="inlineStr">
        <is>
          <t>formal</t>
        </is>
      </c>
    </row>
    <row r="9">
      <c r="A9" t="inlineStr">
        <is>
          <t>enchant_tailwind</t>
        </is>
      </c>
      <c r="B9" t="inlineStr">
        <is>
          <t>顺风铭刻</t>
        </is>
      </c>
      <c r="C9" t="inlineStr">
        <is>
          <t>借顺风缩短物品的基础充能时间。</t>
        </is>
      </c>
      <c r="D9" t="inlineStr">
        <is>
          <t>item_patchwork_ram</t>
        </is>
      </c>
      <c r="E9" t="inlineStr">
        <is>
          <t>diamond</t>
        </is>
      </c>
      <c r="F9" t="inlineStr">
        <is>
          <t>12</t>
        </is>
      </c>
      <c r="G9" t="inlineStr">
        <is>
          <t>-1</t>
        </is>
      </c>
      <c r="H9" t="inlineStr">
        <is>
          <t>0</t>
        </is>
      </c>
      <c r="I9" t="inlineStr">
        <is>
          <t>0</t>
        </is>
      </c>
      <c r="J9" t="inlineStr">
        <is>
          <t>stall_mistwake</t>
        </is>
      </c>
      <c r="K9" t="inlineStr">
        <is>
          <t>formal</t>
        </is>
      </c>
    </row>
    <row r="10">
      <c r="A10" t="inlineStr">
        <is>
          <t>enchant_tailwind</t>
        </is>
      </c>
      <c r="B10" t="inlineStr">
        <is>
          <t>顺风铭刻</t>
        </is>
      </c>
      <c r="C10" t="inlineStr">
        <is>
          <t>借顺风缩短物品的基础充能时间。</t>
        </is>
      </c>
      <c r="D10" t="inlineStr">
        <is>
          <t>item_signal_flare</t>
        </is>
      </c>
      <c r="E10" t="inlineStr">
        <is>
          <t>silver</t>
        </is>
      </c>
      <c r="F10" t="inlineStr">
        <is>
          <t>6</t>
        </is>
      </c>
      <c r="G10" t="inlineStr">
        <is>
          <t>-1</t>
        </is>
      </c>
      <c r="H10" t="inlineStr">
        <is>
          <t>0</t>
        </is>
      </c>
      <c r="I10" t="inlineStr">
        <is>
          <t>0</t>
        </is>
      </c>
      <c r="J10" t="inlineStr">
        <is>
          <t>stall_mistwake</t>
        </is>
      </c>
      <c r="K10" t="inlineStr">
        <is>
          <t>formal</t>
        </is>
      </c>
    </row>
    <row r="11">
      <c r="A11" t="inlineStr">
        <is>
          <t>enchant_tailwind</t>
        </is>
      </c>
      <c r="B11" t="inlineStr">
        <is>
          <t>顺风铭刻</t>
        </is>
      </c>
      <c r="C11" t="inlineStr">
        <is>
          <t>借顺风缩短物品的基础充能时间。</t>
        </is>
      </c>
      <c r="D11" t="inlineStr">
        <is>
          <t>item_signal_flare</t>
        </is>
      </c>
      <c r="E11" t="inlineStr">
        <is>
          <t>gold</t>
        </is>
      </c>
      <c r="F11" t="inlineStr">
        <is>
          <t>9</t>
        </is>
      </c>
      <c r="G11" t="inlineStr">
        <is>
          <t>-1</t>
        </is>
      </c>
      <c r="H11" t="inlineStr">
        <is>
          <t>0</t>
        </is>
      </c>
      <c r="I11" t="inlineStr">
        <is>
          <t>0</t>
        </is>
      </c>
      <c r="J11" t="inlineStr">
        <is>
          <t>stall_mistwake</t>
        </is>
      </c>
      <c r="K11" t="inlineStr">
        <is>
          <t>formal</t>
        </is>
      </c>
    </row>
    <row r="12">
      <c r="A12" t="inlineStr">
        <is>
          <t>enchant_tailwind</t>
        </is>
      </c>
      <c r="B12" t="inlineStr">
        <is>
          <t>顺风铭刻</t>
        </is>
      </c>
      <c r="C12" t="inlineStr">
        <is>
          <t>借顺风缩短物品的基础充能时间。</t>
        </is>
      </c>
      <c r="D12" t="inlineStr">
        <is>
          <t>item_signal_flare</t>
        </is>
      </c>
      <c r="E12" t="inlineStr">
        <is>
          <t>diamond</t>
        </is>
      </c>
      <c r="F12" t="inlineStr">
        <is>
          <t>12</t>
        </is>
      </c>
      <c r="G12" t="inlineStr">
        <is>
          <t>-1</t>
        </is>
      </c>
      <c r="H12" t="inlineStr">
        <is>
          <t>0</t>
        </is>
      </c>
      <c r="I12" t="inlineStr">
        <is>
          <t>0</t>
        </is>
      </c>
      <c r="J12" t="inlineStr">
        <is>
          <t>stall_mistwake</t>
        </is>
      </c>
      <c r="K12" t="inlineStr">
        <is>
          <t>formal</t>
        </is>
      </c>
    </row>
    <row r="13">
      <c r="A13" t="inlineStr">
        <is>
          <t>enchant_tailwind</t>
        </is>
      </c>
      <c r="B13" t="inlineStr">
        <is>
          <t>顺风铭刻</t>
        </is>
      </c>
      <c r="C13" t="inlineStr">
        <is>
          <t>借顺风缩短物品的基础充能时间。</t>
        </is>
      </c>
      <c r="D13" t="inlineStr">
        <is>
          <t>item_reef_hook</t>
        </is>
      </c>
      <c r="E13" t="inlineStr">
        <is>
          <t>bronze</t>
        </is>
      </c>
      <c r="F13" t="inlineStr">
        <is>
          <t>4</t>
        </is>
      </c>
      <c r="G13" t="inlineStr">
        <is>
          <t>-1</t>
        </is>
      </c>
      <c r="H13" t="inlineStr">
        <is>
          <t>0</t>
        </is>
      </c>
      <c r="I13" t="inlineStr">
        <is>
          <t>0</t>
        </is>
      </c>
      <c r="J13" t="inlineStr">
        <is>
          <t>stall_mistwake</t>
        </is>
      </c>
      <c r="K13" t="inlineStr">
        <is>
          <t>formal</t>
        </is>
      </c>
    </row>
    <row r="14">
      <c r="A14" t="inlineStr">
        <is>
          <t>enchant_tailwind</t>
        </is>
      </c>
      <c r="B14" t="inlineStr">
        <is>
          <t>顺风铭刻</t>
        </is>
      </c>
      <c r="C14" t="inlineStr">
        <is>
          <t>借顺风缩短物品的基础充能时间。</t>
        </is>
      </c>
      <c r="D14" t="inlineStr">
        <is>
          <t>item_reef_hook</t>
        </is>
      </c>
      <c r="E14" t="inlineStr">
        <is>
          <t>silver</t>
        </is>
      </c>
      <c r="F14" t="inlineStr">
        <is>
          <t>6</t>
        </is>
      </c>
      <c r="G14" t="inlineStr">
        <is>
          <t>-1</t>
        </is>
      </c>
      <c r="H14" t="inlineStr">
        <is>
          <t>0</t>
        </is>
      </c>
      <c r="I14" t="inlineStr">
        <is>
          <t>0</t>
        </is>
      </c>
      <c r="J14" t="inlineStr">
        <is>
          <t>stall_mistwake</t>
        </is>
      </c>
      <c r="K14" t="inlineStr">
        <is>
          <t>formal</t>
        </is>
      </c>
    </row>
    <row r="15">
      <c r="A15" t="inlineStr">
        <is>
          <t>enchant_tailwind</t>
        </is>
      </c>
      <c r="B15" t="inlineStr">
        <is>
          <t>顺风铭刻</t>
        </is>
      </c>
      <c r="C15" t="inlineStr">
        <is>
          <t>借顺风缩短物品的基础充能时间。</t>
        </is>
      </c>
      <c r="D15" t="inlineStr">
        <is>
          <t>item_reef_hook</t>
        </is>
      </c>
      <c r="E15" t="inlineStr">
        <is>
          <t>gold</t>
        </is>
      </c>
      <c r="F15" t="inlineStr">
        <is>
          <t>9</t>
        </is>
      </c>
      <c r="G15" t="inlineStr">
        <is>
          <t>-1</t>
        </is>
      </c>
      <c r="H15" t="inlineStr">
        <is>
          <t>0</t>
        </is>
      </c>
      <c r="I15" t="inlineStr">
        <is>
          <t>0</t>
        </is>
      </c>
      <c r="J15" t="inlineStr">
        <is>
          <t>stall_mistwake</t>
        </is>
      </c>
      <c r="K15" t="inlineStr">
        <is>
          <t>formal</t>
        </is>
      </c>
    </row>
    <row r="16">
      <c r="A16" t="inlineStr">
        <is>
          <t>enchant_tailwind</t>
        </is>
      </c>
      <c r="B16" t="inlineStr">
        <is>
          <t>顺风铭刻</t>
        </is>
      </c>
      <c r="C16" t="inlineStr">
        <is>
          <t>借顺风缩短物品的基础充能时间。</t>
        </is>
      </c>
      <c r="D16" t="inlineStr">
        <is>
          <t>item_reef_hook</t>
        </is>
      </c>
      <c r="E16" t="inlineStr">
        <is>
          <t>diamond</t>
        </is>
      </c>
      <c r="F16" t="inlineStr">
        <is>
          <t>12</t>
        </is>
      </c>
      <c r="G16" t="inlineStr">
        <is>
          <t>-1</t>
        </is>
      </c>
      <c r="H16" t="inlineStr">
        <is>
          <t>0</t>
        </is>
      </c>
      <c r="I16" t="inlineStr">
        <is>
          <t>0</t>
        </is>
      </c>
      <c r="J16" t="inlineStr">
        <is>
          <t>stall_mistwake</t>
        </is>
      </c>
      <c r="K16" t="inlineStr">
        <is>
          <t>formal</t>
        </is>
      </c>
    </row>
    <row r="17">
      <c r="A17" t="inlineStr">
        <is>
          <t>enchant_tailwind</t>
        </is>
      </c>
      <c r="B17" t="inlineStr">
        <is>
          <t>顺风铭刻</t>
        </is>
      </c>
      <c r="C17" t="inlineStr">
        <is>
          <t>借顺风缩短物品的基础充能时间。</t>
        </is>
      </c>
      <c r="D17" t="inlineStr">
        <is>
          <t>item_storm_compass</t>
        </is>
      </c>
      <c r="E17" t="inlineStr">
        <is>
          <t>gold</t>
        </is>
      </c>
      <c r="F17" t="inlineStr">
        <is>
          <t>9</t>
        </is>
      </c>
      <c r="G17" t="inlineStr">
        <is>
          <t>-1</t>
        </is>
      </c>
      <c r="H17" t="inlineStr">
        <is>
          <t>0</t>
        </is>
      </c>
      <c r="I17" t="inlineStr">
        <is>
          <t>0</t>
        </is>
      </c>
      <c r="J17" t="inlineStr">
        <is>
          <t>stall_mistwake</t>
        </is>
      </c>
      <c r="K17" t="inlineStr">
        <is>
          <t>formal</t>
        </is>
      </c>
    </row>
    <row r="18">
      <c r="A18" t="inlineStr">
        <is>
          <t>enchant_tailwind</t>
        </is>
      </c>
      <c r="B18" t="inlineStr">
        <is>
          <t>顺风铭刻</t>
        </is>
      </c>
      <c r="C18" t="inlineStr">
        <is>
          <t>借顺风缩短物品的基础充能时间。</t>
        </is>
      </c>
      <c r="D18" t="inlineStr">
        <is>
          <t>item_storm_compass</t>
        </is>
      </c>
      <c r="E18" t="inlineStr">
        <is>
          <t>diamond</t>
        </is>
      </c>
      <c r="F18" t="inlineStr">
        <is>
          <t>12</t>
        </is>
      </c>
      <c r="G18" t="inlineStr">
        <is>
          <t>-1</t>
        </is>
      </c>
      <c r="H18" t="inlineStr">
        <is>
          <t>0</t>
        </is>
      </c>
      <c r="I18" t="inlineStr">
        <is>
          <t>0</t>
        </is>
      </c>
      <c r="J18" t="inlineStr">
        <is>
          <t>stall_mistwake</t>
        </is>
      </c>
      <c r="K18" t="inlineStr">
        <is>
          <t>formal</t>
        </is>
      </c>
    </row>
    <row r="19">
      <c r="A19" t="inlineStr">
        <is>
          <t>enchant_tailwind</t>
        </is>
      </c>
      <c r="B19" t="inlineStr">
        <is>
          <t>顺风铭刻</t>
        </is>
      </c>
      <c r="C19" t="inlineStr">
        <is>
          <t>借顺风缩短物品的基础充能时间。</t>
        </is>
      </c>
      <c r="D19" t="inlineStr">
        <is>
          <t>item_abyss_bell</t>
        </is>
      </c>
      <c r="E19" t="inlineStr">
        <is>
          <t>diamond</t>
        </is>
      </c>
      <c r="F19" t="inlineStr">
        <is>
          <t>12</t>
        </is>
      </c>
      <c r="G19" t="inlineStr">
        <is>
          <t>-1</t>
        </is>
      </c>
      <c r="H19" t="inlineStr">
        <is>
          <t>0</t>
        </is>
      </c>
      <c r="I19" t="inlineStr">
        <is>
          <t>0</t>
        </is>
      </c>
      <c r="J19" t="inlineStr">
        <is>
          <t>stall_mistwake</t>
        </is>
      </c>
      <c r="K19" t="inlineStr">
        <is>
          <t>formal</t>
        </is>
      </c>
    </row>
    <row r="20">
      <c r="A20" t="inlineStr">
        <is>
          <t>enchant_breaker</t>
        </is>
      </c>
      <c r="B20" t="inlineStr">
        <is>
          <t>破浪铭刻</t>
        </is>
      </c>
      <c r="C20" t="inlineStr">
        <is>
          <t>把破浪冲势转化为明确的伤害增量。</t>
        </is>
      </c>
      <c r="D20" t="inlineStr">
        <is>
          <t>item_brine_cannon</t>
        </is>
      </c>
      <c r="E20" t="inlineStr">
        <is>
          <t>bronze</t>
        </is>
      </c>
      <c r="F20" t="inlineStr">
        <is>
          <t>5</t>
        </is>
      </c>
      <c r="G20" t="inlineStr">
        <is>
          <t>0</t>
        </is>
      </c>
      <c r="H20" t="inlineStr">
        <is>
          <t>2</t>
        </is>
      </c>
      <c r="I20" t="inlineStr">
        <is>
          <t>0</t>
        </is>
      </c>
      <c r="J20" t="inlineStr">
        <is>
          <t>stall_mistwake</t>
        </is>
      </c>
      <c r="K20" t="inlineStr">
        <is>
          <t>formal</t>
        </is>
      </c>
    </row>
    <row r="21">
      <c r="A21" t="inlineStr">
        <is>
          <t>enchant_breaker</t>
        </is>
      </c>
      <c r="B21" t="inlineStr">
        <is>
          <t>破浪铭刻</t>
        </is>
      </c>
      <c r="C21" t="inlineStr">
        <is>
          <t>把破浪冲势转化为明确的伤害增量。</t>
        </is>
      </c>
      <c r="D21" t="inlineStr">
        <is>
          <t>item_brine_cannon</t>
        </is>
      </c>
      <c r="E21" t="inlineStr">
        <is>
          <t>silver</t>
        </is>
      </c>
      <c r="F21" t="inlineStr">
        <is>
          <t>7</t>
        </is>
      </c>
      <c r="G21" t="inlineStr">
        <is>
          <t>0</t>
        </is>
      </c>
      <c r="H21" t="inlineStr">
        <is>
          <t>3</t>
        </is>
      </c>
      <c r="I21" t="inlineStr">
        <is>
          <t>0</t>
        </is>
      </c>
      <c r="J21" t="inlineStr">
        <is>
          <t>stall_mistwake</t>
        </is>
      </c>
      <c r="K21" t="inlineStr">
        <is>
          <t>formal</t>
        </is>
      </c>
    </row>
    <row r="22">
      <c r="A22" t="inlineStr">
        <is>
          <t>enchant_breaker</t>
        </is>
      </c>
      <c r="B22" t="inlineStr">
        <is>
          <t>破浪铭刻</t>
        </is>
      </c>
      <c r="C22" t="inlineStr">
        <is>
          <t>把破浪冲势转化为明确的伤害增量。</t>
        </is>
      </c>
      <c r="D22" t="inlineStr">
        <is>
          <t>item_brine_cannon</t>
        </is>
      </c>
      <c r="E22" t="inlineStr">
        <is>
          <t>gold</t>
        </is>
      </c>
      <c r="F22" t="inlineStr">
        <is>
          <t>10</t>
        </is>
      </c>
      <c r="G22" t="inlineStr">
        <is>
          <t>0</t>
        </is>
      </c>
      <c r="H22" t="inlineStr">
        <is>
          <t>4</t>
        </is>
      </c>
      <c r="I22" t="inlineStr">
        <is>
          <t>0</t>
        </is>
      </c>
      <c r="J22" t="inlineStr">
        <is>
          <t>stall_mistwake</t>
        </is>
      </c>
      <c r="K22" t="inlineStr">
        <is>
          <t>formal</t>
        </is>
      </c>
    </row>
    <row r="23">
      <c r="A23" t="inlineStr">
        <is>
          <t>enchant_breaker</t>
        </is>
      </c>
      <c r="B23" t="inlineStr">
        <is>
          <t>破浪铭刻</t>
        </is>
      </c>
      <c r="C23" t="inlineStr">
        <is>
          <t>把破浪冲势转化为明确的伤害增量。</t>
        </is>
      </c>
      <c r="D23" t="inlineStr">
        <is>
          <t>item_brine_cannon</t>
        </is>
      </c>
      <c r="E23" t="inlineStr">
        <is>
          <t>diamond</t>
        </is>
      </c>
      <c r="F23" t="inlineStr">
        <is>
          <t>13</t>
        </is>
      </c>
      <c r="G23" t="inlineStr">
        <is>
          <t>0</t>
        </is>
      </c>
      <c r="H23" t="inlineStr">
        <is>
          <t>6</t>
        </is>
      </c>
      <c r="I23" t="inlineStr">
        <is>
          <t>0</t>
        </is>
      </c>
      <c r="J23" t="inlineStr">
        <is>
          <t>stall_mistwake</t>
        </is>
      </c>
      <c r="K23" t="inlineStr">
        <is>
          <t>formal</t>
        </is>
      </c>
    </row>
    <row r="24">
      <c r="A24" t="inlineStr">
        <is>
          <t>enchant_breaker</t>
        </is>
      </c>
      <c r="B24" t="inlineStr">
        <is>
          <t>破浪铭刻</t>
        </is>
      </c>
      <c r="C24" t="inlineStr">
        <is>
          <t>把破浪冲势转化为明确的伤害增量。</t>
        </is>
      </c>
      <c r="D24" t="inlineStr">
        <is>
          <t>item_patchwork_ram</t>
        </is>
      </c>
      <c r="E24" t="inlineStr">
        <is>
          <t>bronze</t>
        </is>
      </c>
      <c r="F24" t="inlineStr">
        <is>
          <t>5</t>
        </is>
      </c>
      <c r="G24" t="inlineStr">
        <is>
          <t>0</t>
        </is>
      </c>
      <c r="H24" t="inlineStr">
        <is>
          <t>2</t>
        </is>
      </c>
      <c r="I24" t="inlineStr">
        <is>
          <t>0</t>
        </is>
      </c>
      <c r="J24" t="inlineStr">
        <is>
          <t>stall_mistwake</t>
        </is>
      </c>
      <c r="K24" t="inlineStr">
        <is>
          <t>formal</t>
        </is>
      </c>
    </row>
    <row r="25">
      <c r="A25" t="inlineStr">
        <is>
          <t>enchant_breaker</t>
        </is>
      </c>
      <c r="B25" t="inlineStr">
        <is>
          <t>破浪铭刻</t>
        </is>
      </c>
      <c r="C25" t="inlineStr">
        <is>
          <t>把破浪冲势转化为明确的伤害增量。</t>
        </is>
      </c>
      <c r="D25" t="inlineStr">
        <is>
          <t>item_patchwork_ram</t>
        </is>
      </c>
      <c r="E25" t="inlineStr">
        <is>
          <t>silver</t>
        </is>
      </c>
      <c r="F25" t="inlineStr">
        <is>
          <t>7</t>
        </is>
      </c>
      <c r="G25" t="inlineStr">
        <is>
          <t>0</t>
        </is>
      </c>
      <c r="H25" t="inlineStr">
        <is>
          <t>3</t>
        </is>
      </c>
      <c r="I25" t="inlineStr">
        <is>
          <t>0</t>
        </is>
      </c>
      <c r="J25" t="inlineStr">
        <is>
          <t>stall_mistwake</t>
        </is>
      </c>
      <c r="K25" t="inlineStr">
        <is>
          <t>formal</t>
        </is>
      </c>
    </row>
    <row r="26">
      <c r="A26" t="inlineStr">
        <is>
          <t>enchant_breaker</t>
        </is>
      </c>
      <c r="B26" t="inlineStr">
        <is>
          <t>破浪铭刻</t>
        </is>
      </c>
      <c r="C26" t="inlineStr">
        <is>
          <t>把破浪冲势转化为明确的伤害增量。</t>
        </is>
      </c>
      <c r="D26" t="inlineStr">
        <is>
          <t>item_patchwork_ram</t>
        </is>
      </c>
      <c r="E26" t="inlineStr">
        <is>
          <t>gold</t>
        </is>
      </c>
      <c r="F26" t="inlineStr">
        <is>
          <t>10</t>
        </is>
      </c>
      <c r="G26" t="inlineStr">
        <is>
          <t>0</t>
        </is>
      </c>
      <c r="H26" t="inlineStr">
        <is>
          <t>4</t>
        </is>
      </c>
      <c r="I26" t="inlineStr">
        <is>
          <t>0</t>
        </is>
      </c>
      <c r="J26" t="inlineStr">
        <is>
          <t>stall_mistwake</t>
        </is>
      </c>
      <c r="K26" t="inlineStr">
        <is>
          <t>formal</t>
        </is>
      </c>
    </row>
    <row r="27">
      <c r="A27" t="inlineStr">
        <is>
          <t>enchant_breaker</t>
        </is>
      </c>
      <c r="B27" t="inlineStr">
        <is>
          <t>破浪铭刻</t>
        </is>
      </c>
      <c r="C27" t="inlineStr">
        <is>
          <t>把破浪冲势转化为明确的伤害增量。</t>
        </is>
      </c>
      <c r="D27" t="inlineStr">
        <is>
          <t>item_patchwork_ram</t>
        </is>
      </c>
      <c r="E27" t="inlineStr">
        <is>
          <t>diamond</t>
        </is>
      </c>
      <c r="F27" t="inlineStr">
        <is>
          <t>13</t>
        </is>
      </c>
      <c r="G27" t="inlineStr">
        <is>
          <t>0</t>
        </is>
      </c>
      <c r="H27" t="inlineStr">
        <is>
          <t>6</t>
        </is>
      </c>
      <c r="I27" t="inlineStr">
        <is>
          <t>0</t>
        </is>
      </c>
      <c r="J27" t="inlineStr">
        <is>
          <t>stall_mistwake</t>
        </is>
      </c>
      <c r="K27" t="inlineStr">
        <is>
          <t>formal</t>
        </is>
      </c>
    </row>
    <row r="28">
      <c r="A28" t="inlineStr">
        <is>
          <t>enchant_breaker</t>
        </is>
      </c>
      <c r="B28" t="inlineStr">
        <is>
          <t>破浪铭刻</t>
        </is>
      </c>
      <c r="C28" t="inlineStr">
        <is>
          <t>把破浪冲势转化为明确的伤害增量。</t>
        </is>
      </c>
      <c r="D28" t="inlineStr">
        <is>
          <t>item_signal_flare</t>
        </is>
      </c>
      <c r="E28" t="inlineStr">
        <is>
          <t>silver</t>
        </is>
      </c>
      <c r="F28" t="inlineStr">
        <is>
          <t>7</t>
        </is>
      </c>
      <c r="G28" t="inlineStr">
        <is>
          <t>0</t>
        </is>
      </c>
      <c r="H28" t="inlineStr">
        <is>
          <t>3</t>
        </is>
      </c>
      <c r="I28" t="inlineStr">
        <is>
          <t>0</t>
        </is>
      </c>
      <c r="J28" t="inlineStr">
        <is>
          <t>stall_mistwake</t>
        </is>
      </c>
      <c r="K28" t="inlineStr">
        <is>
          <t>formal</t>
        </is>
      </c>
    </row>
    <row r="29">
      <c r="A29" t="inlineStr">
        <is>
          <t>enchant_breaker</t>
        </is>
      </c>
      <c r="B29" t="inlineStr">
        <is>
          <t>破浪铭刻</t>
        </is>
      </c>
      <c r="C29" t="inlineStr">
        <is>
          <t>把破浪冲势转化为明确的伤害增量。</t>
        </is>
      </c>
      <c r="D29" t="inlineStr">
        <is>
          <t>item_signal_flare</t>
        </is>
      </c>
      <c r="E29" t="inlineStr">
        <is>
          <t>gold</t>
        </is>
      </c>
      <c r="F29" t="inlineStr">
        <is>
          <t>10</t>
        </is>
      </c>
      <c r="G29" t="inlineStr">
        <is>
          <t>0</t>
        </is>
      </c>
      <c r="H29" t="inlineStr">
        <is>
          <t>4</t>
        </is>
      </c>
      <c r="I29" t="inlineStr">
        <is>
          <t>0</t>
        </is>
      </c>
      <c r="J29" t="inlineStr">
        <is>
          <t>stall_mistwake</t>
        </is>
      </c>
      <c r="K29" t="inlineStr">
        <is>
          <t>formal</t>
        </is>
      </c>
    </row>
    <row r="30">
      <c r="A30" t="inlineStr">
        <is>
          <t>enchant_breaker</t>
        </is>
      </c>
      <c r="B30" t="inlineStr">
        <is>
          <t>破浪铭刻</t>
        </is>
      </c>
      <c r="C30" t="inlineStr">
        <is>
          <t>把破浪冲势转化为明确的伤害增量。</t>
        </is>
      </c>
      <c r="D30" t="inlineStr">
        <is>
          <t>item_signal_flare</t>
        </is>
      </c>
      <c r="E30" t="inlineStr">
        <is>
          <t>diamond</t>
        </is>
      </c>
      <c r="F30" t="inlineStr">
        <is>
          <t>13</t>
        </is>
      </c>
      <c r="G30" t="inlineStr">
        <is>
          <t>0</t>
        </is>
      </c>
      <c r="H30" t="inlineStr">
        <is>
          <t>6</t>
        </is>
      </c>
      <c r="I30" t="inlineStr">
        <is>
          <t>0</t>
        </is>
      </c>
      <c r="J30" t="inlineStr">
        <is>
          <t>stall_mistwake</t>
        </is>
      </c>
      <c r="K30" t="inlineStr">
        <is>
          <t>formal</t>
        </is>
      </c>
    </row>
    <row r="31">
      <c r="A31" t="inlineStr">
        <is>
          <t>enchant_breaker</t>
        </is>
      </c>
      <c r="B31" t="inlineStr">
        <is>
          <t>破浪铭刻</t>
        </is>
      </c>
      <c r="C31" t="inlineStr">
        <is>
          <t>把破浪冲势转化为明确的伤害增量。</t>
        </is>
      </c>
      <c r="D31" t="inlineStr">
        <is>
          <t>item_reef_hook</t>
        </is>
      </c>
      <c r="E31" t="inlineStr">
        <is>
          <t>bronze</t>
        </is>
      </c>
      <c r="F31" t="inlineStr">
        <is>
          <t>5</t>
        </is>
      </c>
      <c r="G31" t="inlineStr">
        <is>
          <t>0</t>
        </is>
      </c>
      <c r="H31" t="inlineStr">
        <is>
          <t>2</t>
        </is>
      </c>
      <c r="I31" t="inlineStr">
        <is>
          <t>0</t>
        </is>
      </c>
      <c r="J31" t="inlineStr">
        <is>
          <t>stall_mistwake</t>
        </is>
      </c>
      <c r="K31" t="inlineStr">
        <is>
          <t>formal</t>
        </is>
      </c>
    </row>
    <row r="32">
      <c r="A32" t="inlineStr">
        <is>
          <t>enchant_breaker</t>
        </is>
      </c>
      <c r="B32" t="inlineStr">
        <is>
          <t>破浪铭刻</t>
        </is>
      </c>
      <c r="C32" t="inlineStr">
        <is>
          <t>把破浪冲势转化为明确的伤害增量。</t>
        </is>
      </c>
      <c r="D32" t="inlineStr">
        <is>
          <t>item_reef_hook</t>
        </is>
      </c>
      <c r="E32" t="inlineStr">
        <is>
          <t>silver</t>
        </is>
      </c>
      <c r="F32" t="inlineStr">
        <is>
          <t>7</t>
        </is>
      </c>
      <c r="G32" t="inlineStr">
        <is>
          <t>0</t>
        </is>
      </c>
      <c r="H32" t="inlineStr">
        <is>
          <t>3</t>
        </is>
      </c>
      <c r="I32" t="inlineStr">
        <is>
          <t>0</t>
        </is>
      </c>
      <c r="J32" t="inlineStr">
        <is>
          <t>stall_mistwake</t>
        </is>
      </c>
      <c r="K32" t="inlineStr">
        <is>
          <t>formal</t>
        </is>
      </c>
    </row>
    <row r="33">
      <c r="A33" t="inlineStr">
        <is>
          <t>enchant_breaker</t>
        </is>
      </c>
      <c r="B33" t="inlineStr">
        <is>
          <t>破浪铭刻</t>
        </is>
      </c>
      <c r="C33" t="inlineStr">
        <is>
          <t>把破浪冲势转化为明确的伤害增量。</t>
        </is>
      </c>
      <c r="D33" t="inlineStr">
        <is>
          <t>item_reef_hook</t>
        </is>
      </c>
      <c r="E33" t="inlineStr">
        <is>
          <t>gold</t>
        </is>
      </c>
      <c r="F33" t="inlineStr">
        <is>
          <t>10</t>
        </is>
      </c>
      <c r="G33" t="inlineStr">
        <is>
          <t>0</t>
        </is>
      </c>
      <c r="H33" t="inlineStr">
        <is>
          <t>4</t>
        </is>
      </c>
      <c r="I33" t="inlineStr">
        <is>
          <t>0</t>
        </is>
      </c>
      <c r="J33" t="inlineStr">
        <is>
          <t>stall_mistwake</t>
        </is>
      </c>
      <c r="K33" t="inlineStr">
        <is>
          <t>formal</t>
        </is>
      </c>
    </row>
    <row r="34">
      <c r="A34" t="inlineStr">
        <is>
          <t>enchant_breaker</t>
        </is>
      </c>
      <c r="B34" t="inlineStr">
        <is>
          <t>破浪铭刻</t>
        </is>
      </c>
      <c r="C34" t="inlineStr">
        <is>
          <t>把破浪冲势转化为明确的伤害增量。</t>
        </is>
      </c>
      <c r="D34" t="inlineStr">
        <is>
          <t>item_reef_hook</t>
        </is>
      </c>
      <c r="E34" t="inlineStr">
        <is>
          <t>diamond</t>
        </is>
      </c>
      <c r="F34" t="inlineStr">
        <is>
          <t>13</t>
        </is>
      </c>
      <c r="G34" t="inlineStr">
        <is>
          <t>0</t>
        </is>
      </c>
      <c r="H34" t="inlineStr">
        <is>
          <t>6</t>
        </is>
      </c>
      <c r="I34" t="inlineStr">
        <is>
          <t>0</t>
        </is>
      </c>
      <c r="J34" t="inlineStr">
        <is>
          <t>stall_mistwake</t>
        </is>
      </c>
      <c r="K34" t="inlineStr">
        <is>
          <t>formal</t>
        </is>
      </c>
    </row>
    <row r="35">
      <c r="A35" t="inlineStr">
        <is>
          <t>enchant_breaker</t>
        </is>
      </c>
      <c r="B35" t="inlineStr">
        <is>
          <t>破浪铭刻</t>
        </is>
      </c>
      <c r="C35" t="inlineStr">
        <is>
          <t>把破浪冲势转化为明确的伤害增量。</t>
        </is>
      </c>
      <c r="D35" t="inlineStr">
        <is>
          <t>item_storm_compass</t>
        </is>
      </c>
      <c r="E35" t="inlineStr">
        <is>
          <t>gold</t>
        </is>
      </c>
      <c r="F35" t="inlineStr">
        <is>
          <t>10</t>
        </is>
      </c>
      <c r="G35" t="inlineStr">
        <is>
          <t>0</t>
        </is>
      </c>
      <c r="H35" t="inlineStr">
        <is>
          <t>4</t>
        </is>
      </c>
      <c r="I35" t="inlineStr">
        <is>
          <t>0</t>
        </is>
      </c>
      <c r="J35" t="inlineStr">
        <is>
          <t>stall_mistwake</t>
        </is>
      </c>
      <c r="K35" t="inlineStr">
        <is>
          <t>formal</t>
        </is>
      </c>
    </row>
    <row r="36">
      <c r="A36" t="inlineStr">
        <is>
          <t>enchant_breaker</t>
        </is>
      </c>
      <c r="B36" t="inlineStr">
        <is>
          <t>破浪铭刻</t>
        </is>
      </c>
      <c r="C36" t="inlineStr">
        <is>
          <t>把破浪冲势转化为明确的伤害增量。</t>
        </is>
      </c>
      <c r="D36" t="inlineStr">
        <is>
          <t>item_storm_compass</t>
        </is>
      </c>
      <c r="E36" t="inlineStr">
        <is>
          <t>diamond</t>
        </is>
      </c>
      <c r="F36" t="inlineStr">
        <is>
          <t>13</t>
        </is>
      </c>
      <c r="G36" t="inlineStr">
        <is>
          <t>0</t>
        </is>
      </c>
      <c r="H36" t="inlineStr">
        <is>
          <t>6</t>
        </is>
      </c>
      <c r="I36" t="inlineStr">
        <is>
          <t>0</t>
        </is>
      </c>
      <c r="J36" t="inlineStr">
        <is>
          <t>stall_mistwake</t>
        </is>
      </c>
      <c r="K36" t="inlineStr">
        <is>
          <t>formal</t>
        </is>
      </c>
    </row>
    <row r="37">
      <c r="A37" t="inlineStr">
        <is>
          <t>enchant_breaker</t>
        </is>
      </c>
      <c r="B37" t="inlineStr">
        <is>
          <t>破浪铭刻</t>
        </is>
      </c>
      <c r="C37" t="inlineStr">
        <is>
          <t>把破浪冲势转化为明确的伤害增量。</t>
        </is>
      </c>
      <c r="D37" t="inlineStr">
        <is>
          <t>item_abyss_bell</t>
        </is>
      </c>
      <c r="E37" t="inlineStr">
        <is>
          <t>diamond</t>
        </is>
      </c>
      <c r="F37" t="inlineStr">
        <is>
          <t>13</t>
        </is>
      </c>
      <c r="G37" t="inlineStr">
        <is>
          <t>0</t>
        </is>
      </c>
      <c r="H37" t="inlineStr">
        <is>
          <t>6</t>
        </is>
      </c>
      <c r="I37" t="inlineStr">
        <is>
          <t>0</t>
        </is>
      </c>
      <c r="J37" t="inlineStr">
        <is>
          <t>stall_mistwake</t>
        </is>
      </c>
      <c r="K37" t="inlineStr">
        <is>
          <t>formal</t>
        </is>
      </c>
    </row>
    <row r="38">
      <c r="A38" t="inlineStr">
        <is>
          <t>enchant_reserve</t>
        </is>
      </c>
      <c r="B38" t="inlineStr">
        <is>
          <t>余响弹仓</t>
        </is>
      </c>
      <c r="C38" t="inlineStr">
        <is>
          <t>为使用弹药的物品增加一格初始与最大弹药。</t>
        </is>
      </c>
      <c r="D38" t="inlineStr">
        <is>
          <t>item_brine_cannon</t>
        </is>
      </c>
      <c r="E38" t="inlineStr">
        <is>
          <t>bronze</t>
        </is>
      </c>
      <c r="F38" t="inlineStr">
        <is>
          <t>4</t>
        </is>
      </c>
      <c r="G38" t="inlineStr">
        <is>
          <t>0</t>
        </is>
      </c>
      <c r="H38" t="inlineStr">
        <is>
          <t>0</t>
        </is>
      </c>
      <c r="I38" t="inlineStr">
        <is>
          <t>1</t>
        </is>
      </c>
      <c r="J38" t="inlineStr">
        <is>
          <t>stall_mistwake</t>
        </is>
      </c>
      <c r="K38" t="inlineStr">
        <is>
          <t>formal</t>
        </is>
      </c>
    </row>
    <row r="39">
      <c r="A39" t="inlineStr">
        <is>
          <t>enchant_reserve</t>
        </is>
      </c>
      <c r="B39" t="inlineStr">
        <is>
          <t>余响弹仓</t>
        </is>
      </c>
      <c r="C39" t="inlineStr">
        <is>
          <t>为使用弹药的物品增加一格初始与最大弹药。</t>
        </is>
      </c>
      <c r="D39" t="inlineStr">
        <is>
          <t>item_brine_cannon</t>
        </is>
      </c>
      <c r="E39" t="inlineStr">
        <is>
          <t>silver</t>
        </is>
      </c>
      <c r="F39" t="inlineStr">
        <is>
          <t>6</t>
        </is>
      </c>
      <c r="G39" t="inlineStr">
        <is>
          <t>0</t>
        </is>
      </c>
      <c r="H39" t="inlineStr">
        <is>
          <t>0</t>
        </is>
      </c>
      <c r="I39" t="inlineStr">
        <is>
          <t>1</t>
        </is>
      </c>
      <c r="J39" t="inlineStr">
        <is>
          <t>stall_mistwake</t>
        </is>
      </c>
      <c r="K39" t="inlineStr">
        <is>
          <t>formal</t>
        </is>
      </c>
    </row>
    <row r="40">
      <c r="A40" t="inlineStr">
        <is>
          <t>enchant_reserve</t>
        </is>
      </c>
      <c r="B40" t="inlineStr">
        <is>
          <t>余响弹仓</t>
        </is>
      </c>
      <c r="C40" t="inlineStr">
        <is>
          <t>为使用弹药的物品增加一格初始与最大弹药。</t>
        </is>
      </c>
      <c r="D40" t="inlineStr">
        <is>
          <t>item_brine_cannon</t>
        </is>
      </c>
      <c r="E40" t="inlineStr">
        <is>
          <t>gold</t>
        </is>
      </c>
      <c r="F40" t="inlineStr">
        <is>
          <t>9</t>
        </is>
      </c>
      <c r="G40" t="inlineStr">
        <is>
          <t>0</t>
        </is>
      </c>
      <c r="H40" t="inlineStr">
        <is>
          <t>0</t>
        </is>
      </c>
      <c r="I40" t="inlineStr">
        <is>
          <t>1</t>
        </is>
      </c>
      <c r="J40" t="inlineStr">
        <is>
          <t>stall_mistwake</t>
        </is>
      </c>
      <c r="K40" t="inlineStr">
        <is>
          <t>formal</t>
        </is>
      </c>
    </row>
    <row r="41">
      <c r="A41" t="inlineStr">
        <is>
          <t>enchant_reserve</t>
        </is>
      </c>
      <c r="B41" t="inlineStr">
        <is>
          <t>余响弹仓</t>
        </is>
      </c>
      <c r="C41" t="inlineStr">
        <is>
          <t>为使用弹药的物品增加一格初始与最大弹药。</t>
        </is>
      </c>
      <c r="D41" t="inlineStr">
        <is>
          <t>item_brine_cannon</t>
        </is>
      </c>
      <c r="E41" t="inlineStr">
        <is>
          <t>diamond</t>
        </is>
      </c>
      <c r="F41" t="inlineStr">
        <is>
          <t>12</t>
        </is>
      </c>
      <c r="G41" t="inlineStr">
        <is>
          <t>0</t>
        </is>
      </c>
      <c r="H41" t="inlineStr">
        <is>
          <t>0</t>
        </is>
      </c>
      <c r="I41" t="inlineStr">
        <is>
          <t>1</t>
        </is>
      </c>
      <c r="J41" t="inlineStr">
        <is>
          <t>stall_mistwake</t>
        </is>
      </c>
      <c r="K41" t="inlineStr">
        <is>
          <t>formal</t>
        </is>
      </c>
    </row>
    <row r="42">
      <c r="A42" t="inlineStr">
        <is>
          <t>enchant_reserve</t>
        </is>
      </c>
      <c r="B42" t="inlineStr">
        <is>
          <t>余响弹仓</t>
        </is>
      </c>
      <c r="C42" t="inlineStr">
        <is>
          <t>为使用弹药的物品增加一格初始与最大弹药。</t>
        </is>
      </c>
      <c r="D42" t="inlineStr">
        <is>
          <t>item_signal_flare</t>
        </is>
      </c>
      <c r="E42" t="inlineStr">
        <is>
          <t>silver</t>
        </is>
      </c>
      <c r="F42" t="inlineStr">
        <is>
          <t>6</t>
        </is>
      </c>
      <c r="G42" t="inlineStr">
        <is>
          <t>0</t>
        </is>
      </c>
      <c r="H42" t="inlineStr">
        <is>
          <t>0</t>
        </is>
      </c>
      <c r="I42" t="inlineStr">
        <is>
          <t>1</t>
        </is>
      </c>
      <c r="J42" t="inlineStr">
        <is>
          <t>stall_mistwake</t>
        </is>
      </c>
      <c r="K42" t="inlineStr">
        <is>
          <t>formal</t>
        </is>
      </c>
    </row>
    <row r="43">
      <c r="A43" t="inlineStr">
        <is>
          <t>enchant_reserve</t>
        </is>
      </c>
      <c r="B43" t="inlineStr">
        <is>
          <t>余响弹仓</t>
        </is>
      </c>
      <c r="C43" t="inlineStr">
        <is>
          <t>为使用弹药的物品增加一格初始与最大弹药。</t>
        </is>
      </c>
      <c r="D43" t="inlineStr">
        <is>
          <t>item_signal_flare</t>
        </is>
      </c>
      <c r="E43" t="inlineStr">
        <is>
          <t>gold</t>
        </is>
      </c>
      <c r="F43" t="inlineStr">
        <is>
          <t>9</t>
        </is>
      </c>
      <c r="G43" t="inlineStr">
        <is>
          <t>0</t>
        </is>
      </c>
      <c r="H43" t="inlineStr">
        <is>
          <t>0</t>
        </is>
      </c>
      <c r="I43" t="inlineStr">
        <is>
          <t>1</t>
        </is>
      </c>
      <c r="J43" t="inlineStr">
        <is>
          <t>stall_mistwake</t>
        </is>
      </c>
      <c r="K43" t="inlineStr">
        <is>
          <t>formal</t>
        </is>
      </c>
    </row>
    <row r="44">
      <c r="A44" t="inlineStr">
        <is>
          <t>enchant_reserve</t>
        </is>
      </c>
      <c r="B44" t="inlineStr">
        <is>
          <t>余响弹仓</t>
        </is>
      </c>
      <c r="C44" t="inlineStr">
        <is>
          <t>为使用弹药的物品增加一格初始与最大弹药。</t>
        </is>
      </c>
      <c r="D44" t="inlineStr">
        <is>
          <t>item_signal_flare</t>
        </is>
      </c>
      <c r="E44" t="inlineStr">
        <is>
          <t>diamond</t>
        </is>
      </c>
      <c r="F44" t="inlineStr">
        <is>
          <t>12</t>
        </is>
      </c>
      <c r="G44" t="inlineStr">
        <is>
          <t>0</t>
        </is>
      </c>
      <c r="H44" t="inlineStr">
        <is>
          <t>0</t>
        </is>
      </c>
      <c r="I44" t="inlineStr">
        <is>
          <t>1</t>
        </is>
      </c>
      <c r="J44" t="inlineStr">
        <is>
          <t>stall_mistwake</t>
        </is>
      </c>
      <c r="K44" t="inlineStr">
        <is>
          <t>formal</t>
        </is>
      </c>
    </row>
    <row r="45">
      <c r="A45" t="inlineStr">
        <is>
          <t>enchant_reserve</t>
        </is>
      </c>
      <c r="B45" t="inlineStr">
        <is>
          <t>余响弹仓</t>
        </is>
      </c>
      <c r="C45" t="inlineStr">
        <is>
          <t>为使用弹药的物品增加一格初始与最大弹药。</t>
        </is>
      </c>
      <c r="D45" t="inlineStr">
        <is>
          <t>item_abyss_bell</t>
        </is>
      </c>
      <c r="E45" t="inlineStr">
        <is>
          <t>diamond</t>
        </is>
      </c>
      <c r="F45" t="inlineStr">
        <is>
          <t>12</t>
        </is>
      </c>
      <c r="G45" t="inlineStr">
        <is>
          <t>0</t>
        </is>
      </c>
      <c r="H45" t="inlineStr">
        <is>
          <t>0</t>
        </is>
      </c>
      <c r="I45" t="inlineStr">
        <is>
          <t>1</t>
        </is>
      </c>
      <c r="J45" t="inlineStr">
        <is>
          <t>stall_mistwake</t>
        </is>
      </c>
      <c r="K45" t="inlineStr">
        <is>
          <t>formal</t>
        </is>
      </c>
    </row>
    <row r="46">
      <c r="A46" t="inlineStr">
        <is>
          <t>enchant_tailwind</t>
        </is>
      </c>
      <c r="B46" t="inlineStr">
        <is>
          <t>顺风铭刻</t>
        </is>
      </c>
      <c r="C46" t="inlineStr">
        <is>
          <t>借顺风缩短物品的基础充能时间。</t>
        </is>
      </c>
      <c r="D46" t="inlineStr">
        <is>
          <t>item_wake_echo_drum</t>
        </is>
      </c>
      <c r="E46" t="inlineStr">
        <is>
          <t>bronze</t>
        </is>
      </c>
      <c r="F46" t="inlineStr">
        <is>
          <t>4</t>
        </is>
      </c>
      <c r="G46" t="inlineStr">
        <is>
          <t>-1</t>
        </is>
      </c>
      <c r="H46" t="inlineStr">
        <is>
          <t>0</t>
        </is>
      </c>
      <c r="I46" t="inlineStr">
        <is>
          <t>0</t>
        </is>
      </c>
      <c r="J46" t="inlineStr">
        <is>
          <t>stall_mistwake</t>
        </is>
      </c>
      <c r="K46" t="inlineStr">
        <is>
          <t>formal</t>
        </is>
      </c>
    </row>
    <row r="47">
      <c r="A47" t="inlineStr">
        <is>
          <t>enchant_tailwind</t>
        </is>
      </c>
      <c r="B47" t="inlineStr">
        <is>
          <t>顺风铭刻</t>
        </is>
      </c>
      <c r="C47" t="inlineStr">
        <is>
          <t>借顺风缩短物品的基础充能时间。</t>
        </is>
      </c>
      <c r="D47" t="inlineStr">
        <is>
          <t>item_wake_echo_drum</t>
        </is>
      </c>
      <c r="E47" t="inlineStr">
        <is>
          <t>silver</t>
        </is>
      </c>
      <c r="F47" t="inlineStr">
        <is>
          <t>6</t>
        </is>
      </c>
      <c r="G47" t="inlineStr">
        <is>
          <t>-1</t>
        </is>
      </c>
      <c r="H47" t="inlineStr">
        <is>
          <t>0</t>
        </is>
      </c>
      <c r="I47" t="inlineStr">
        <is>
          <t>0</t>
        </is>
      </c>
      <c r="J47" t="inlineStr">
        <is>
          <t>stall_mistwake</t>
        </is>
      </c>
      <c r="K47" t="inlineStr">
        <is>
          <t>formal</t>
        </is>
      </c>
    </row>
    <row r="48">
      <c r="A48" t="inlineStr">
        <is>
          <t>enchant_tailwind</t>
        </is>
      </c>
      <c r="B48" t="inlineStr">
        <is>
          <t>顺风铭刻</t>
        </is>
      </c>
      <c r="C48" t="inlineStr">
        <is>
          <t>借顺风缩短物品的基础充能时间。</t>
        </is>
      </c>
      <c r="D48" t="inlineStr">
        <is>
          <t>item_wake_echo_drum</t>
        </is>
      </c>
      <c r="E48" t="inlineStr">
        <is>
          <t>gold</t>
        </is>
      </c>
      <c r="F48" t="inlineStr">
        <is>
          <t>9</t>
        </is>
      </c>
      <c r="G48" t="inlineStr">
        <is>
          <t>-1</t>
        </is>
      </c>
      <c r="H48" t="inlineStr">
        <is>
          <t>0</t>
        </is>
      </c>
      <c r="I48" t="inlineStr">
        <is>
          <t>0</t>
        </is>
      </c>
      <c r="J48" t="inlineStr">
        <is>
          <t>stall_mistwake</t>
        </is>
      </c>
      <c r="K48" t="inlineStr">
        <is>
          <t>formal</t>
        </is>
      </c>
    </row>
    <row r="49">
      <c r="A49" t="inlineStr">
        <is>
          <t>enchant_tailwind</t>
        </is>
      </c>
      <c r="B49" t="inlineStr">
        <is>
          <t>顺风铭刻</t>
        </is>
      </c>
      <c r="C49" t="inlineStr">
        <is>
          <t>借顺风缩短物品的基础充能时间。</t>
        </is>
      </c>
      <c r="D49" t="inlineStr">
        <is>
          <t>item_wake_echo_drum</t>
        </is>
      </c>
      <c r="E49" t="inlineStr">
        <is>
          <t>diamond</t>
        </is>
      </c>
      <c r="F49" t="inlineStr">
        <is>
          <t>12</t>
        </is>
      </c>
      <c r="G49" t="inlineStr">
        <is>
          <t>-1</t>
        </is>
      </c>
      <c r="H49" t="inlineStr">
        <is>
          <t>0</t>
        </is>
      </c>
      <c r="I49" t="inlineStr">
        <is>
          <t>0</t>
        </is>
      </c>
      <c r="J49" t="inlineStr">
        <is>
          <t>stall_mistwake</t>
        </is>
      </c>
      <c r="K49" t="inlineStr">
        <is>
          <t>formal</t>
        </is>
      </c>
    </row>
    <row r="50">
      <c r="A50" t="inlineStr">
        <is>
          <t>enchant_tailwind</t>
        </is>
      </c>
      <c r="B50" t="inlineStr">
        <is>
          <t>顺风铭刻</t>
        </is>
      </c>
      <c r="C50" t="inlineStr">
        <is>
          <t>借顺风缩短物品的基础充能时间。</t>
        </is>
      </c>
      <c r="D50" t="inlineStr">
        <is>
          <t>item_saltwind_capstan</t>
        </is>
      </c>
      <c r="E50" t="inlineStr">
        <is>
          <t>bronze</t>
        </is>
      </c>
      <c r="F50" t="inlineStr">
        <is>
          <t>4</t>
        </is>
      </c>
      <c r="G50" t="inlineStr">
        <is>
          <t>-1</t>
        </is>
      </c>
      <c r="H50" t="inlineStr">
        <is>
          <t>0</t>
        </is>
      </c>
      <c r="I50" t="inlineStr">
        <is>
          <t>0</t>
        </is>
      </c>
      <c r="J50" t="inlineStr">
        <is>
          <t>stall_mistwake</t>
        </is>
      </c>
      <c r="K50" t="inlineStr">
        <is>
          <t>formal</t>
        </is>
      </c>
    </row>
    <row r="51">
      <c r="A51" t="inlineStr">
        <is>
          <t>enchant_tailwind</t>
        </is>
      </c>
      <c r="B51" t="inlineStr">
        <is>
          <t>顺风铭刻</t>
        </is>
      </c>
      <c r="C51" t="inlineStr">
        <is>
          <t>借顺风缩短物品的基础充能时间。</t>
        </is>
      </c>
      <c r="D51" t="inlineStr">
        <is>
          <t>item_saltwind_capstan</t>
        </is>
      </c>
      <c r="E51" t="inlineStr">
        <is>
          <t>silver</t>
        </is>
      </c>
      <c r="F51" t="inlineStr">
        <is>
          <t>6</t>
        </is>
      </c>
      <c r="G51" t="inlineStr">
        <is>
          <t>-1</t>
        </is>
      </c>
      <c r="H51" t="inlineStr">
        <is>
          <t>0</t>
        </is>
      </c>
      <c r="I51" t="inlineStr">
        <is>
          <t>0</t>
        </is>
      </c>
      <c r="J51" t="inlineStr">
        <is>
          <t>stall_mistwake</t>
        </is>
      </c>
      <c r="K51" t="inlineStr">
        <is>
          <t>formal</t>
        </is>
      </c>
    </row>
    <row r="52">
      <c r="A52" t="inlineStr">
        <is>
          <t>enchant_tailwind</t>
        </is>
      </c>
      <c r="B52" t="inlineStr">
        <is>
          <t>顺风铭刻</t>
        </is>
      </c>
      <c r="C52" t="inlineStr">
        <is>
          <t>借顺风缩短物品的基础充能时间。</t>
        </is>
      </c>
      <c r="D52" t="inlineStr">
        <is>
          <t>item_saltwind_capstan</t>
        </is>
      </c>
      <c r="E52" t="inlineStr">
        <is>
          <t>gold</t>
        </is>
      </c>
      <c r="F52" t="inlineStr">
        <is>
          <t>9</t>
        </is>
      </c>
      <c r="G52" t="inlineStr">
        <is>
          <t>-1</t>
        </is>
      </c>
      <c r="H52" t="inlineStr">
        <is>
          <t>0</t>
        </is>
      </c>
      <c r="I52" t="inlineStr">
        <is>
          <t>0</t>
        </is>
      </c>
      <c r="J52" t="inlineStr">
        <is>
          <t>stall_mistwake</t>
        </is>
      </c>
      <c r="K52" t="inlineStr">
        <is>
          <t>formal</t>
        </is>
      </c>
    </row>
    <row r="53">
      <c r="A53" t="inlineStr">
        <is>
          <t>enchant_tailwind</t>
        </is>
      </c>
      <c r="B53" t="inlineStr">
        <is>
          <t>顺风铭刻</t>
        </is>
      </c>
      <c r="C53" t="inlineStr">
        <is>
          <t>借顺风缩短物品的基础充能时间。</t>
        </is>
      </c>
      <c r="D53" t="inlineStr">
        <is>
          <t>item_saltwind_capstan</t>
        </is>
      </c>
      <c r="E53" t="inlineStr">
        <is>
          <t>diamond</t>
        </is>
      </c>
      <c r="F53" t="inlineStr">
        <is>
          <t>12</t>
        </is>
      </c>
      <c r="G53" t="inlineStr">
        <is>
          <t>-1</t>
        </is>
      </c>
      <c r="H53" t="inlineStr">
        <is>
          <t>0</t>
        </is>
      </c>
      <c r="I53" t="inlineStr">
        <is>
          <t>0</t>
        </is>
      </c>
      <c r="J53" t="inlineStr">
        <is>
          <t>stall_mistwake</t>
        </is>
      </c>
      <c r="K53" t="inlineStr">
        <is>
          <t>formal</t>
        </is>
      </c>
    </row>
    <row r="54">
      <c r="A54" t="inlineStr">
        <is>
          <t>enchant_tailwind</t>
        </is>
      </c>
      <c r="B54" t="inlineStr">
        <is>
          <t>顺风铭刻</t>
        </is>
      </c>
      <c r="C54" t="inlineStr">
        <is>
          <t>借顺风缩短物品的基础充能时间。</t>
        </is>
      </c>
      <c r="D54" t="inlineStr">
        <is>
          <t>item_tidefin_launcher</t>
        </is>
      </c>
      <c r="E54" t="inlineStr">
        <is>
          <t>bronze</t>
        </is>
      </c>
      <c r="F54" t="inlineStr">
        <is>
          <t>4</t>
        </is>
      </c>
      <c r="G54" t="inlineStr">
        <is>
          <t>-1</t>
        </is>
      </c>
      <c r="H54" t="inlineStr">
        <is>
          <t>0</t>
        </is>
      </c>
      <c r="I54" t="inlineStr">
        <is>
          <t>0</t>
        </is>
      </c>
      <c r="J54" t="inlineStr">
        <is>
          <t>stall_mistwake</t>
        </is>
      </c>
      <c r="K54" t="inlineStr">
        <is>
          <t>formal</t>
        </is>
      </c>
    </row>
    <row r="55">
      <c r="A55" t="inlineStr">
        <is>
          <t>enchant_tailwind</t>
        </is>
      </c>
      <c r="B55" t="inlineStr">
        <is>
          <t>顺风铭刻</t>
        </is>
      </c>
      <c r="C55" t="inlineStr">
        <is>
          <t>借顺风缩短物品的基础充能时间。</t>
        </is>
      </c>
      <c r="D55" t="inlineStr">
        <is>
          <t>item_tidefin_launcher</t>
        </is>
      </c>
      <c r="E55" t="inlineStr">
        <is>
          <t>silver</t>
        </is>
      </c>
      <c r="F55" t="inlineStr">
        <is>
          <t>6</t>
        </is>
      </c>
      <c r="G55" t="inlineStr">
        <is>
          <t>-1</t>
        </is>
      </c>
      <c r="H55" t="inlineStr">
        <is>
          <t>0</t>
        </is>
      </c>
      <c r="I55" t="inlineStr">
        <is>
          <t>0</t>
        </is>
      </c>
      <c r="J55" t="inlineStr">
        <is>
          <t>stall_mistwake</t>
        </is>
      </c>
      <c r="K55" t="inlineStr">
        <is>
          <t>formal</t>
        </is>
      </c>
    </row>
    <row r="56">
      <c r="A56" t="inlineStr">
        <is>
          <t>enchant_tailwind</t>
        </is>
      </c>
      <c r="B56" t="inlineStr">
        <is>
          <t>顺风铭刻</t>
        </is>
      </c>
      <c r="C56" t="inlineStr">
        <is>
          <t>借顺风缩短物品的基础充能时间。</t>
        </is>
      </c>
      <c r="D56" t="inlineStr">
        <is>
          <t>item_tidefin_launcher</t>
        </is>
      </c>
      <c r="E56" t="inlineStr">
        <is>
          <t>gold</t>
        </is>
      </c>
      <c r="F56" t="inlineStr">
        <is>
          <t>9</t>
        </is>
      </c>
      <c r="G56" t="inlineStr">
        <is>
          <t>-1</t>
        </is>
      </c>
      <c r="H56" t="inlineStr">
        <is>
          <t>0</t>
        </is>
      </c>
      <c r="I56" t="inlineStr">
        <is>
          <t>0</t>
        </is>
      </c>
      <c r="J56" t="inlineStr">
        <is>
          <t>stall_mistwake</t>
        </is>
      </c>
      <c r="K56" t="inlineStr">
        <is>
          <t>formal</t>
        </is>
      </c>
    </row>
    <row r="57">
      <c r="A57" t="inlineStr">
        <is>
          <t>enchant_tailwind</t>
        </is>
      </c>
      <c r="B57" t="inlineStr">
        <is>
          <t>顺风铭刻</t>
        </is>
      </c>
      <c r="C57" t="inlineStr">
        <is>
          <t>借顺风缩短物品的基础充能时间。</t>
        </is>
      </c>
      <c r="D57" t="inlineStr">
        <is>
          <t>item_tidefin_launcher</t>
        </is>
      </c>
      <c r="E57" t="inlineStr">
        <is>
          <t>diamond</t>
        </is>
      </c>
      <c r="F57" t="inlineStr">
        <is>
          <t>12</t>
        </is>
      </c>
      <c r="G57" t="inlineStr">
        <is>
          <t>-1</t>
        </is>
      </c>
      <c r="H57" t="inlineStr">
        <is>
          <t>0</t>
        </is>
      </c>
      <c r="I57" t="inlineStr">
        <is>
          <t>0</t>
        </is>
      </c>
      <c r="J57" t="inlineStr">
        <is>
          <t>stall_mistwake</t>
        </is>
      </c>
      <c r="K57" t="inlineStr">
        <is>
          <t>formal</t>
        </is>
      </c>
    </row>
    <row r="58">
      <c r="A58" t="inlineStr">
        <is>
          <t>enchant_breaker</t>
        </is>
      </c>
      <c r="B58" t="inlineStr">
        <is>
          <t>破浪铭刻</t>
        </is>
      </c>
      <c r="C58" t="inlineStr">
        <is>
          <t>把破浪冲势转化为明确的伤害增量。</t>
        </is>
      </c>
      <c r="D58" t="inlineStr">
        <is>
          <t>item_wake_echo_drum</t>
        </is>
      </c>
      <c r="E58" t="inlineStr">
        <is>
          <t>bronze</t>
        </is>
      </c>
      <c r="F58" t="inlineStr">
        <is>
          <t>5</t>
        </is>
      </c>
      <c r="G58" t="inlineStr">
        <is>
          <t>0</t>
        </is>
      </c>
      <c r="H58" t="inlineStr">
        <is>
          <t>2</t>
        </is>
      </c>
      <c r="I58" t="inlineStr">
        <is>
          <t>0</t>
        </is>
      </c>
      <c r="J58" t="inlineStr">
        <is>
          <t>stall_mistwake</t>
        </is>
      </c>
      <c r="K58" t="inlineStr">
        <is>
          <t>formal</t>
        </is>
      </c>
    </row>
    <row r="59">
      <c r="A59" t="inlineStr">
        <is>
          <t>enchant_breaker</t>
        </is>
      </c>
      <c r="B59" t="inlineStr">
        <is>
          <t>破浪铭刻</t>
        </is>
      </c>
      <c r="C59" t="inlineStr">
        <is>
          <t>把破浪冲势转化为明确的伤害增量。</t>
        </is>
      </c>
      <c r="D59" t="inlineStr">
        <is>
          <t>item_wake_echo_drum</t>
        </is>
      </c>
      <c r="E59" t="inlineStr">
        <is>
          <t>silver</t>
        </is>
      </c>
      <c r="F59" t="inlineStr">
        <is>
          <t>7</t>
        </is>
      </c>
      <c r="G59" t="inlineStr">
        <is>
          <t>0</t>
        </is>
      </c>
      <c r="H59" t="inlineStr">
        <is>
          <t>3</t>
        </is>
      </c>
      <c r="I59" t="inlineStr">
        <is>
          <t>0</t>
        </is>
      </c>
      <c r="J59" t="inlineStr">
        <is>
          <t>stall_mistwake</t>
        </is>
      </c>
      <c r="K59" t="inlineStr">
        <is>
          <t>formal</t>
        </is>
      </c>
    </row>
    <row r="60">
      <c r="A60" t="inlineStr">
        <is>
          <t>enchant_breaker</t>
        </is>
      </c>
      <c r="B60" t="inlineStr">
        <is>
          <t>破浪铭刻</t>
        </is>
      </c>
      <c r="C60" t="inlineStr">
        <is>
          <t>把破浪冲势转化为明确的伤害增量。</t>
        </is>
      </c>
      <c r="D60" t="inlineStr">
        <is>
          <t>item_wake_echo_drum</t>
        </is>
      </c>
      <c r="E60" t="inlineStr">
        <is>
          <t>gold</t>
        </is>
      </c>
      <c r="F60" t="inlineStr">
        <is>
          <t>10</t>
        </is>
      </c>
      <c r="G60" t="inlineStr">
        <is>
          <t>0</t>
        </is>
      </c>
      <c r="H60" t="inlineStr">
        <is>
          <t>4</t>
        </is>
      </c>
      <c r="I60" t="inlineStr">
        <is>
          <t>0</t>
        </is>
      </c>
      <c r="J60" t="inlineStr">
        <is>
          <t>stall_mistwake</t>
        </is>
      </c>
      <c r="K60" t="inlineStr">
        <is>
          <t>formal</t>
        </is>
      </c>
    </row>
    <row r="61">
      <c r="A61" t="inlineStr">
        <is>
          <t>enchant_breaker</t>
        </is>
      </c>
      <c r="B61" t="inlineStr">
        <is>
          <t>破浪铭刻</t>
        </is>
      </c>
      <c r="C61" t="inlineStr">
        <is>
          <t>把破浪冲势转化为明确的伤害增量。</t>
        </is>
      </c>
      <c r="D61" t="inlineStr">
        <is>
          <t>item_wake_echo_drum</t>
        </is>
      </c>
      <c r="E61" t="inlineStr">
        <is>
          <t>diamond</t>
        </is>
      </c>
      <c r="F61" t="inlineStr">
        <is>
          <t>13</t>
        </is>
      </c>
      <c r="G61" t="inlineStr">
        <is>
          <t>0</t>
        </is>
      </c>
      <c r="H61" t="inlineStr">
        <is>
          <t>6</t>
        </is>
      </c>
      <c r="I61" t="inlineStr">
        <is>
          <t>0</t>
        </is>
      </c>
      <c r="J61" t="inlineStr">
        <is>
          <t>stall_mistwake</t>
        </is>
      </c>
      <c r="K61" t="inlineStr">
        <is>
          <t>formal</t>
        </is>
      </c>
    </row>
    <row r="62">
      <c r="A62" t="inlineStr">
        <is>
          <t>enchant_breaker</t>
        </is>
      </c>
      <c r="B62" t="inlineStr">
        <is>
          <t>破浪铭刻</t>
        </is>
      </c>
      <c r="C62" t="inlineStr">
        <is>
          <t>把破浪冲势转化为明确的伤害增量。</t>
        </is>
      </c>
      <c r="D62" t="inlineStr">
        <is>
          <t>item_saltwind_capstan</t>
        </is>
      </c>
      <c r="E62" t="inlineStr">
        <is>
          <t>bronze</t>
        </is>
      </c>
      <c r="F62" t="inlineStr">
        <is>
          <t>5</t>
        </is>
      </c>
      <c r="G62" t="inlineStr">
        <is>
          <t>0</t>
        </is>
      </c>
      <c r="H62" t="inlineStr">
        <is>
          <t>2</t>
        </is>
      </c>
      <c r="I62" t="inlineStr">
        <is>
          <t>0</t>
        </is>
      </c>
      <c r="J62" t="inlineStr">
        <is>
          <t>stall_mistwake</t>
        </is>
      </c>
      <c r="K62" t="inlineStr">
        <is>
          <t>formal</t>
        </is>
      </c>
    </row>
    <row r="63">
      <c r="A63" t="inlineStr">
        <is>
          <t>enchant_breaker</t>
        </is>
      </c>
      <c r="B63" t="inlineStr">
        <is>
          <t>破浪铭刻</t>
        </is>
      </c>
      <c r="C63" t="inlineStr">
        <is>
          <t>把破浪冲势转化为明确的伤害增量。</t>
        </is>
      </c>
      <c r="D63" t="inlineStr">
        <is>
          <t>item_saltwind_capstan</t>
        </is>
      </c>
      <c r="E63" t="inlineStr">
        <is>
          <t>silver</t>
        </is>
      </c>
      <c r="F63" t="inlineStr">
        <is>
          <t>7</t>
        </is>
      </c>
      <c r="G63" t="inlineStr">
        <is>
          <t>0</t>
        </is>
      </c>
      <c r="H63" t="inlineStr">
        <is>
          <t>3</t>
        </is>
      </c>
      <c r="I63" t="inlineStr">
        <is>
          <t>0</t>
        </is>
      </c>
      <c r="J63" t="inlineStr">
        <is>
          <t>stall_mistwake</t>
        </is>
      </c>
      <c r="K63" t="inlineStr">
        <is>
          <t>formal</t>
        </is>
      </c>
    </row>
    <row r="64">
      <c r="A64" t="inlineStr">
        <is>
          <t>enchant_breaker</t>
        </is>
      </c>
      <c r="B64" t="inlineStr">
        <is>
          <t>破浪铭刻</t>
        </is>
      </c>
      <c r="C64" t="inlineStr">
        <is>
          <t>把破浪冲势转化为明确的伤害增量。</t>
        </is>
      </c>
      <c r="D64" t="inlineStr">
        <is>
          <t>item_saltwind_capstan</t>
        </is>
      </c>
      <c r="E64" t="inlineStr">
        <is>
          <t>gold</t>
        </is>
      </c>
      <c r="F64" t="inlineStr">
        <is>
          <t>10</t>
        </is>
      </c>
      <c r="G64" t="inlineStr">
        <is>
          <t>0</t>
        </is>
      </c>
      <c r="H64" t="inlineStr">
        <is>
          <t>4</t>
        </is>
      </c>
      <c r="I64" t="inlineStr">
        <is>
          <t>0</t>
        </is>
      </c>
      <c r="J64" t="inlineStr">
        <is>
          <t>stall_mistwake</t>
        </is>
      </c>
      <c r="K64" t="inlineStr">
        <is>
          <t>formal</t>
        </is>
      </c>
    </row>
    <row r="65">
      <c r="A65" t="inlineStr">
        <is>
          <t>enchant_breaker</t>
        </is>
      </c>
      <c r="B65" t="inlineStr">
        <is>
          <t>破浪铭刻</t>
        </is>
      </c>
      <c r="C65" t="inlineStr">
        <is>
          <t>把破浪冲势转化为明确的伤害增量。</t>
        </is>
      </c>
      <c r="D65" t="inlineStr">
        <is>
          <t>item_saltwind_capstan</t>
        </is>
      </c>
      <c r="E65" t="inlineStr">
        <is>
          <t>diamond</t>
        </is>
      </c>
      <c r="F65" t="inlineStr">
        <is>
          <t>13</t>
        </is>
      </c>
      <c r="G65" t="inlineStr">
        <is>
          <t>0</t>
        </is>
      </c>
      <c r="H65" t="inlineStr">
        <is>
          <t>6</t>
        </is>
      </c>
      <c r="I65" t="inlineStr">
        <is>
          <t>0</t>
        </is>
      </c>
      <c r="J65" t="inlineStr">
        <is>
          <t>stall_mistwake</t>
        </is>
      </c>
      <c r="K65" t="inlineStr">
        <is>
          <t>formal</t>
        </is>
      </c>
    </row>
    <row r="66">
      <c r="A66" t="inlineStr">
        <is>
          <t>enchant_breaker</t>
        </is>
      </c>
      <c r="B66" t="inlineStr">
        <is>
          <t>破浪铭刻</t>
        </is>
      </c>
      <c r="C66" t="inlineStr">
        <is>
          <t>把破浪冲势转化为明确的伤害增量。</t>
        </is>
      </c>
      <c r="D66" t="inlineStr">
        <is>
          <t>item_tidefin_launcher</t>
        </is>
      </c>
      <c r="E66" t="inlineStr">
        <is>
          <t>bronze</t>
        </is>
      </c>
      <c r="F66" t="inlineStr">
        <is>
          <t>5</t>
        </is>
      </c>
      <c r="G66" t="inlineStr">
        <is>
          <t>0</t>
        </is>
      </c>
      <c r="H66" t="inlineStr">
        <is>
          <t>2</t>
        </is>
      </c>
      <c r="I66" t="inlineStr">
        <is>
          <t>0</t>
        </is>
      </c>
      <c r="J66" t="inlineStr">
        <is>
          <t>stall_mistwake</t>
        </is>
      </c>
      <c r="K66" t="inlineStr">
        <is>
          <t>formal</t>
        </is>
      </c>
    </row>
    <row r="67">
      <c r="A67" t="inlineStr">
        <is>
          <t>enchant_breaker</t>
        </is>
      </c>
      <c r="B67" t="inlineStr">
        <is>
          <t>破浪铭刻</t>
        </is>
      </c>
      <c r="C67" t="inlineStr">
        <is>
          <t>把破浪冲势转化为明确的伤害增量。</t>
        </is>
      </c>
      <c r="D67" t="inlineStr">
        <is>
          <t>item_tidefin_launcher</t>
        </is>
      </c>
      <c r="E67" t="inlineStr">
        <is>
          <t>silver</t>
        </is>
      </c>
      <c r="F67" t="inlineStr">
        <is>
          <t>7</t>
        </is>
      </c>
      <c r="G67" t="inlineStr">
        <is>
          <t>0</t>
        </is>
      </c>
      <c r="H67" t="inlineStr">
        <is>
          <t>3</t>
        </is>
      </c>
      <c r="I67" t="inlineStr">
        <is>
          <t>0</t>
        </is>
      </c>
      <c r="J67" t="inlineStr">
        <is>
          <t>stall_mistwake</t>
        </is>
      </c>
      <c r="K67" t="inlineStr">
        <is>
          <t>formal</t>
        </is>
      </c>
    </row>
    <row r="68">
      <c r="A68" t="inlineStr">
        <is>
          <t>enchant_breaker</t>
        </is>
      </c>
      <c r="B68" t="inlineStr">
        <is>
          <t>破浪铭刻</t>
        </is>
      </c>
      <c r="C68" t="inlineStr">
        <is>
          <t>把破浪冲势转化为明确的伤害增量。</t>
        </is>
      </c>
      <c r="D68" t="inlineStr">
        <is>
          <t>item_tidefin_launcher</t>
        </is>
      </c>
      <c r="E68" t="inlineStr">
        <is>
          <t>gold</t>
        </is>
      </c>
      <c r="F68" t="inlineStr">
        <is>
          <t>10</t>
        </is>
      </c>
      <c r="G68" t="inlineStr">
        <is>
          <t>0</t>
        </is>
      </c>
      <c r="H68" t="inlineStr">
        <is>
          <t>4</t>
        </is>
      </c>
      <c r="I68" t="inlineStr">
        <is>
          <t>0</t>
        </is>
      </c>
      <c r="J68" t="inlineStr">
        <is>
          <t>stall_mistwake</t>
        </is>
      </c>
      <c r="K68" t="inlineStr">
        <is>
          <t>formal</t>
        </is>
      </c>
    </row>
    <row r="69">
      <c r="A69" t="inlineStr">
        <is>
          <t>enchant_breaker</t>
        </is>
      </c>
      <c r="B69" t="inlineStr">
        <is>
          <t>破浪铭刻</t>
        </is>
      </c>
      <c r="C69" t="inlineStr">
        <is>
          <t>把破浪冲势转化为明确的伤害增量。</t>
        </is>
      </c>
      <c r="D69" t="inlineStr">
        <is>
          <t>item_tidefin_launcher</t>
        </is>
      </c>
      <c r="E69" t="inlineStr">
        <is>
          <t>diamond</t>
        </is>
      </c>
      <c r="F69" t="inlineStr">
        <is>
          <t>13</t>
        </is>
      </c>
      <c r="G69" t="inlineStr">
        <is>
          <t>0</t>
        </is>
      </c>
      <c r="H69" t="inlineStr">
        <is>
          <t>6</t>
        </is>
      </c>
      <c r="I69" t="inlineStr">
        <is>
          <t>0</t>
        </is>
      </c>
      <c r="J69" t="inlineStr">
        <is>
          <t>stall_mistwake</t>
        </is>
      </c>
      <c r="K69" t="inlineStr">
        <is>
          <t>formal</t>
        </is>
      </c>
    </row>
    <row r="70">
      <c r="A70" t="inlineStr">
        <is>
          <t>enchant_reserve</t>
        </is>
      </c>
      <c r="B70" t="inlineStr">
        <is>
          <t>余响弹仓</t>
        </is>
      </c>
      <c r="C70" t="inlineStr">
        <is>
          <t>为使用弹药的物品增加一格初始与最大弹药。</t>
        </is>
      </c>
      <c r="D70" t="inlineStr">
        <is>
          <t>item_tidefin_launcher</t>
        </is>
      </c>
      <c r="E70" t="inlineStr">
        <is>
          <t>bronze</t>
        </is>
      </c>
      <c r="F70" t="inlineStr">
        <is>
          <t>4</t>
        </is>
      </c>
      <c r="G70" t="inlineStr">
        <is>
          <t>0</t>
        </is>
      </c>
      <c r="H70" t="inlineStr">
        <is>
          <t>0</t>
        </is>
      </c>
      <c r="I70" t="inlineStr">
        <is>
          <t>1</t>
        </is>
      </c>
      <c r="J70" t="inlineStr">
        <is>
          <t>stall_mistwake</t>
        </is>
      </c>
      <c r="K70" t="inlineStr">
        <is>
          <t>formal</t>
        </is>
      </c>
    </row>
    <row r="71">
      <c r="A71" t="inlineStr">
        <is>
          <t>enchant_reserve</t>
        </is>
      </c>
      <c r="B71" t="inlineStr">
        <is>
          <t>余响弹仓</t>
        </is>
      </c>
      <c r="C71" t="inlineStr">
        <is>
          <t>为使用弹药的物品增加一格初始与最大弹药。</t>
        </is>
      </c>
      <c r="D71" t="inlineStr">
        <is>
          <t>item_tidefin_launcher</t>
        </is>
      </c>
      <c r="E71" t="inlineStr">
        <is>
          <t>silver</t>
        </is>
      </c>
      <c r="F71" t="inlineStr">
        <is>
          <t>6</t>
        </is>
      </c>
      <c r="G71" t="inlineStr">
        <is>
          <t>0</t>
        </is>
      </c>
      <c r="H71" t="inlineStr">
        <is>
          <t>0</t>
        </is>
      </c>
      <c r="I71" t="inlineStr">
        <is>
          <t>1</t>
        </is>
      </c>
      <c r="J71" t="inlineStr">
        <is>
          <t>stall_mistwake</t>
        </is>
      </c>
      <c r="K71" t="inlineStr">
        <is>
          <t>formal</t>
        </is>
      </c>
    </row>
    <row r="72">
      <c r="A72" t="inlineStr">
        <is>
          <t>enchant_reserve</t>
        </is>
      </c>
      <c r="B72" t="inlineStr">
        <is>
          <t>余响弹仓</t>
        </is>
      </c>
      <c r="C72" t="inlineStr">
        <is>
          <t>为使用弹药的物品增加一格初始与最大弹药。</t>
        </is>
      </c>
      <c r="D72" t="inlineStr">
        <is>
          <t>item_tidefin_launcher</t>
        </is>
      </c>
      <c r="E72" t="inlineStr">
        <is>
          <t>gold</t>
        </is>
      </c>
      <c r="F72" t="inlineStr">
        <is>
          <t>9</t>
        </is>
      </c>
      <c r="G72" t="inlineStr">
        <is>
          <t>0</t>
        </is>
      </c>
      <c r="H72" t="inlineStr">
        <is>
          <t>0</t>
        </is>
      </c>
      <c r="I72" t="inlineStr">
        <is>
          <t>1</t>
        </is>
      </c>
      <c r="J72" t="inlineStr">
        <is>
          <t>stall_mistwake</t>
        </is>
      </c>
      <c r="K72" t="inlineStr">
        <is>
          <t>formal</t>
        </is>
      </c>
    </row>
    <row r="73">
      <c r="A73" t="inlineStr">
        <is>
          <t>enchant_reserve</t>
        </is>
      </c>
      <c r="B73" t="inlineStr">
        <is>
          <t>余响弹仓</t>
        </is>
      </c>
      <c r="C73" t="inlineStr">
        <is>
          <t>为使用弹药的物品增加一格初始与最大弹药。</t>
        </is>
      </c>
      <c r="D73" t="inlineStr">
        <is>
          <t>item_tidefin_launcher</t>
        </is>
      </c>
      <c r="E73" t="inlineStr">
        <is>
          <t>diamond</t>
        </is>
      </c>
      <c r="F73" t="inlineStr">
        <is>
          <t>12</t>
        </is>
      </c>
      <c r="G73" t="inlineStr">
        <is>
          <t>0</t>
        </is>
      </c>
      <c r="H73" t="inlineStr">
        <is>
          <t>0</t>
        </is>
      </c>
      <c r="I73" t="inlineStr">
        <is>
          <t>1</t>
        </is>
      </c>
      <c r="J73" t="inlineStr">
        <is>
          <t>stall_mistwake</t>
        </is>
      </c>
      <c r="K73" t="inlineStr">
        <is>
          <t>formal</t>
        </is>
      </c>
    </row>
    <row r="74">
      <c r="A74" t="inlineStr">
        <is>
          <t>enchant_tailwind</t>
        </is>
      </c>
      <c r="B74" t="inlineStr">
        <is>
          <t>顺风铭刻</t>
        </is>
      </c>
      <c r="C74" t="inlineStr">
        <is>
          <t>借顺风缩短物品的基础充能时间。</t>
        </is>
      </c>
      <c r="D74" t="inlineStr">
        <is>
          <t>item_mistkelp_remedy_kit</t>
        </is>
      </c>
      <c r="E74" t="inlineStr">
        <is>
          <t>bronze</t>
        </is>
      </c>
      <c r="F74" t="inlineStr">
        <is>
          <t>4</t>
        </is>
      </c>
      <c r="G74" t="inlineStr">
        <is>
          <t>-1</t>
        </is>
      </c>
      <c r="H74" t="inlineStr">
        <is>
          <t>0</t>
        </is>
      </c>
      <c r="I74" t="inlineStr">
        <is>
          <t>0</t>
        </is>
      </c>
      <c r="J74" t="inlineStr">
        <is>
          <t>stall_mistwake</t>
        </is>
      </c>
      <c r="K74" t="inlineStr">
        <is>
          <t>formal</t>
        </is>
      </c>
    </row>
    <row r="75">
      <c r="A75" t="inlineStr">
        <is>
          <t>enchant_tailwind</t>
        </is>
      </c>
      <c r="B75" t="inlineStr">
        <is>
          <t>顺风铭刻</t>
        </is>
      </c>
      <c r="C75" t="inlineStr">
        <is>
          <t>借顺风缩短物品的基础充能时间。</t>
        </is>
      </c>
      <c r="D75" t="inlineStr">
        <is>
          <t>item_mistkelp_remedy_kit</t>
        </is>
      </c>
      <c r="E75" t="inlineStr">
        <is>
          <t>silver</t>
        </is>
      </c>
      <c r="F75" t="inlineStr">
        <is>
          <t>6</t>
        </is>
      </c>
      <c r="G75" t="inlineStr">
        <is>
          <t>-1</t>
        </is>
      </c>
      <c r="H75" t="inlineStr">
        <is>
          <t>0</t>
        </is>
      </c>
      <c r="I75" t="inlineStr">
        <is>
          <t>0</t>
        </is>
      </c>
      <c r="J75" t="inlineStr">
        <is>
          <t>stall_mistwake</t>
        </is>
      </c>
      <c r="K75" t="inlineStr">
        <is>
          <t>formal</t>
        </is>
      </c>
    </row>
    <row r="76">
      <c r="A76" t="inlineStr">
        <is>
          <t>enchant_tailwind</t>
        </is>
      </c>
      <c r="B76" t="inlineStr">
        <is>
          <t>顺风铭刻</t>
        </is>
      </c>
      <c r="C76" t="inlineStr">
        <is>
          <t>借顺风缩短物品的基础充能时间。</t>
        </is>
      </c>
      <c r="D76" t="inlineStr">
        <is>
          <t>item_mistkelp_remedy_kit</t>
        </is>
      </c>
      <c r="E76" t="inlineStr">
        <is>
          <t>gold</t>
        </is>
      </c>
      <c r="F76" t="inlineStr">
        <is>
          <t>9</t>
        </is>
      </c>
      <c r="G76" t="inlineStr">
        <is>
          <t>-1</t>
        </is>
      </c>
      <c r="H76" t="inlineStr">
        <is>
          <t>0</t>
        </is>
      </c>
      <c r="I76" t="inlineStr">
        <is>
          <t>0</t>
        </is>
      </c>
      <c r="J76" t="inlineStr">
        <is>
          <t>stall_mistwake</t>
        </is>
      </c>
      <c r="K76" t="inlineStr">
        <is>
          <t>formal</t>
        </is>
      </c>
    </row>
    <row r="77">
      <c r="A77" t="inlineStr">
        <is>
          <t>enchant_tailwind</t>
        </is>
      </c>
      <c r="B77" t="inlineStr">
        <is>
          <t>顺风铭刻</t>
        </is>
      </c>
      <c r="C77" t="inlineStr">
        <is>
          <t>借顺风缩短物品的基础充能时间。</t>
        </is>
      </c>
      <c r="D77" t="inlineStr">
        <is>
          <t>item_mistkelp_remedy_kit</t>
        </is>
      </c>
      <c r="E77" t="inlineStr">
        <is>
          <t>diamond</t>
        </is>
      </c>
      <c r="F77" t="inlineStr">
        <is>
          <t>12</t>
        </is>
      </c>
      <c r="G77" t="inlineStr">
        <is>
          <t>-1</t>
        </is>
      </c>
      <c r="H77" t="inlineStr">
        <is>
          <t>0</t>
        </is>
      </c>
      <c r="I77" t="inlineStr">
        <is>
          <t>0</t>
        </is>
      </c>
      <c r="J77" t="inlineStr">
        <is>
          <t>stall_mistwake</t>
        </is>
      </c>
      <c r="K77" t="inlineStr">
        <is>
          <t>formal</t>
        </is>
      </c>
    </row>
    <row r="78">
      <c r="A78" t="inlineStr">
        <is>
          <t>enchant_tailwind</t>
        </is>
      </c>
      <c r="B78" t="inlineStr">
        <is>
          <t>顺风铭刻</t>
        </is>
      </c>
      <c r="C78" t="inlineStr">
        <is>
          <t>借顺风缩短物品的基础充能时间。</t>
        </is>
      </c>
      <c r="D78" t="inlineStr">
        <is>
          <t>item_tidefold_bulwark</t>
        </is>
      </c>
      <c r="E78" t="inlineStr">
        <is>
          <t>bronze</t>
        </is>
      </c>
      <c r="F78" t="inlineStr">
        <is>
          <t>4</t>
        </is>
      </c>
      <c r="G78" t="inlineStr">
        <is>
          <t>-1</t>
        </is>
      </c>
      <c r="H78" t="inlineStr">
        <is>
          <t>0</t>
        </is>
      </c>
      <c r="I78" t="inlineStr">
        <is>
          <t>0</t>
        </is>
      </c>
      <c r="J78" t="inlineStr">
        <is>
          <t>stall_mistwake</t>
        </is>
      </c>
      <c r="K78" t="inlineStr">
        <is>
          <t>formal</t>
        </is>
      </c>
    </row>
    <row r="79">
      <c r="A79" t="inlineStr">
        <is>
          <t>enchant_tailwind</t>
        </is>
      </c>
      <c r="B79" t="inlineStr">
        <is>
          <t>顺风铭刻</t>
        </is>
      </c>
      <c r="C79" t="inlineStr">
        <is>
          <t>借顺风缩短物品的基础充能时间。</t>
        </is>
      </c>
      <c r="D79" t="inlineStr">
        <is>
          <t>item_tidefold_bulwark</t>
        </is>
      </c>
      <c r="E79" t="inlineStr">
        <is>
          <t>silver</t>
        </is>
      </c>
      <c r="F79" t="inlineStr">
        <is>
          <t>6</t>
        </is>
      </c>
      <c r="G79" t="inlineStr">
        <is>
          <t>-1</t>
        </is>
      </c>
      <c r="H79" t="inlineStr">
        <is>
          <t>0</t>
        </is>
      </c>
      <c r="I79" t="inlineStr">
        <is>
          <t>0</t>
        </is>
      </c>
      <c r="J79" t="inlineStr">
        <is>
          <t>stall_mistwake</t>
        </is>
      </c>
      <c r="K79" t="inlineStr">
        <is>
          <t>formal</t>
        </is>
      </c>
    </row>
    <row r="80">
      <c r="A80" t="inlineStr">
        <is>
          <t>enchant_tailwind</t>
        </is>
      </c>
      <c r="B80" t="inlineStr">
        <is>
          <t>顺风铭刻</t>
        </is>
      </c>
      <c r="C80" t="inlineStr">
        <is>
          <t>借顺风缩短物品的基础充能时间。</t>
        </is>
      </c>
      <c r="D80" t="inlineStr">
        <is>
          <t>item_tidefold_bulwark</t>
        </is>
      </c>
      <c r="E80" t="inlineStr">
        <is>
          <t>gold</t>
        </is>
      </c>
      <c r="F80" t="inlineStr">
        <is>
          <t>9</t>
        </is>
      </c>
      <c r="G80" t="inlineStr">
        <is>
          <t>-1</t>
        </is>
      </c>
      <c r="H80" t="inlineStr">
        <is>
          <t>0</t>
        </is>
      </c>
      <c r="I80" t="inlineStr">
        <is>
          <t>0</t>
        </is>
      </c>
      <c r="J80" t="inlineStr">
        <is>
          <t>stall_mistwake</t>
        </is>
      </c>
      <c r="K80" t="inlineStr">
        <is>
          <t>formal</t>
        </is>
      </c>
    </row>
    <row r="81">
      <c r="A81" t="inlineStr">
        <is>
          <t>enchant_tailwind</t>
        </is>
      </c>
      <c r="B81" t="inlineStr">
        <is>
          <t>顺风铭刻</t>
        </is>
      </c>
      <c r="C81" t="inlineStr">
        <is>
          <t>借顺风缩短物品的基础充能时间。</t>
        </is>
      </c>
      <c r="D81" t="inlineStr">
        <is>
          <t>item_tidefold_bulwark</t>
        </is>
      </c>
      <c r="E81" t="inlineStr">
        <is>
          <t>diamond</t>
        </is>
      </c>
      <c r="F81" t="inlineStr">
        <is>
          <t>12</t>
        </is>
      </c>
      <c r="G81" t="inlineStr">
        <is>
          <t>-1</t>
        </is>
      </c>
      <c r="H81" t="inlineStr">
        <is>
          <t>0</t>
        </is>
      </c>
      <c r="I81" t="inlineStr">
        <is>
          <t>0</t>
        </is>
      </c>
      <c r="J81" t="inlineStr">
        <is>
          <t>stall_mistwake</t>
        </is>
      </c>
      <c r="K81" t="inlineStr">
        <is>
          <t>formal</t>
        </is>
      </c>
    </row>
    <row r="82">
      <c r="A82" t="inlineStr">
        <is>
          <t>enchant_tailwind</t>
        </is>
      </c>
      <c r="B82" t="inlineStr">
        <is>
          <t>顺风铭刻</t>
        </is>
      </c>
      <c r="C82" t="inlineStr">
        <is>
          <t>借顺风缩短物品的基础充能时间。</t>
        </is>
      </c>
      <c r="D82" t="inlineStr">
        <is>
          <t>item_homeglow_beacon</t>
        </is>
      </c>
      <c r="E82" t="inlineStr">
        <is>
          <t>bronze</t>
        </is>
      </c>
      <c r="F82" t="inlineStr">
        <is>
          <t>4</t>
        </is>
      </c>
      <c r="G82" t="inlineStr">
        <is>
          <t>-1</t>
        </is>
      </c>
      <c r="H82" t="inlineStr">
        <is>
          <t>0</t>
        </is>
      </c>
      <c r="I82" t="inlineStr">
        <is>
          <t>0</t>
        </is>
      </c>
      <c r="J82" t="inlineStr">
        <is>
          <t>stall_mistwake</t>
        </is>
      </c>
      <c r="K82" t="inlineStr">
        <is>
          <t>formal</t>
        </is>
      </c>
    </row>
    <row r="83">
      <c r="A83" t="inlineStr">
        <is>
          <t>enchant_tailwind</t>
        </is>
      </c>
      <c r="B83" t="inlineStr">
        <is>
          <t>顺风铭刻</t>
        </is>
      </c>
      <c r="C83" t="inlineStr">
        <is>
          <t>借顺风缩短物品的基础充能时间。</t>
        </is>
      </c>
      <c r="D83" t="inlineStr">
        <is>
          <t>item_homeglow_beacon</t>
        </is>
      </c>
      <c r="E83" t="inlineStr">
        <is>
          <t>silver</t>
        </is>
      </c>
      <c r="F83" t="inlineStr">
        <is>
          <t>6</t>
        </is>
      </c>
      <c r="G83" t="inlineStr">
        <is>
          <t>-1</t>
        </is>
      </c>
      <c r="H83" t="inlineStr">
        <is>
          <t>0</t>
        </is>
      </c>
      <c r="I83" t="inlineStr">
        <is>
          <t>0</t>
        </is>
      </c>
      <c r="J83" t="inlineStr">
        <is>
          <t>stall_mistwake</t>
        </is>
      </c>
      <c r="K83" t="inlineStr">
        <is>
          <t>formal</t>
        </is>
      </c>
    </row>
    <row r="84">
      <c r="A84" t="inlineStr">
        <is>
          <t>enchant_tailwind</t>
        </is>
      </c>
      <c r="B84" t="inlineStr">
        <is>
          <t>顺风铭刻</t>
        </is>
      </c>
      <c r="C84" t="inlineStr">
        <is>
          <t>借顺风缩短物品的基础充能时间。</t>
        </is>
      </c>
      <c r="D84" t="inlineStr">
        <is>
          <t>item_homeglow_beacon</t>
        </is>
      </c>
      <c r="E84" t="inlineStr">
        <is>
          <t>gold</t>
        </is>
      </c>
      <c r="F84" t="inlineStr">
        <is>
          <t>9</t>
        </is>
      </c>
      <c r="G84" t="inlineStr">
        <is>
          <t>-1</t>
        </is>
      </c>
      <c r="H84" t="inlineStr">
        <is>
          <t>0</t>
        </is>
      </c>
      <c r="I84" t="inlineStr">
        <is>
          <t>0</t>
        </is>
      </c>
      <c r="J84" t="inlineStr">
        <is>
          <t>stall_mistwake</t>
        </is>
      </c>
      <c r="K84" t="inlineStr">
        <is>
          <t>formal</t>
        </is>
      </c>
    </row>
    <row r="85" s="439">
      <c r="A85" t="inlineStr">
        <is>
          <t>enchant_tailwind</t>
        </is>
      </c>
      <c r="B85" t="inlineStr">
        <is>
          <t>顺风铭刻</t>
        </is>
      </c>
      <c r="C85" t="inlineStr">
        <is>
          <t>借顺风缩短物品的基础充能时间。</t>
        </is>
      </c>
      <c r="D85" t="inlineStr">
        <is>
          <t>item_homeglow_beacon</t>
        </is>
      </c>
      <c r="E85" t="inlineStr">
        <is>
          <t>diamond</t>
        </is>
      </c>
      <c r="F85" t="inlineStr">
        <is>
          <t>12</t>
        </is>
      </c>
      <c r="G85" t="inlineStr">
        <is>
          <t>-1</t>
        </is>
      </c>
      <c r="H85" t="inlineStr">
        <is>
          <t>0</t>
        </is>
      </c>
      <c r="I85" t="inlineStr">
        <is>
          <t>0</t>
        </is>
      </c>
      <c r="J85" t="inlineStr">
        <is>
          <t>stall_mistwake</t>
        </is>
      </c>
      <c r="K85" t="inlineStr">
        <is>
          <t>formal</t>
        </is>
      </c>
    </row>
    <row r="86">
      <c r="A86" t="inlineStr">
        <is>
          <t>enchant_tailwind</t>
        </is>
      </c>
      <c r="B86" t="inlineStr">
        <is>
          <t>顺风铭刻</t>
        </is>
      </c>
      <c r="C86" t="inlineStr">
        <is>
          <t>借顺风缩短物品的基础充能时间。</t>
        </is>
      </c>
      <c r="D86" t="inlineStr">
        <is>
          <t>item_tidescar_matchlock</t>
        </is>
      </c>
      <c r="E86" t="inlineStr">
        <is>
          <t>bronze</t>
        </is>
      </c>
      <c r="F86" t="inlineStr">
        <is>
          <t>4</t>
        </is>
      </c>
      <c r="G86" t="inlineStr">
        <is>
          <t>-1</t>
        </is>
      </c>
      <c r="H86" t="inlineStr">
        <is>
          <t>0</t>
        </is>
      </c>
      <c r="I86" t="inlineStr">
        <is>
          <t>0</t>
        </is>
      </c>
      <c r="J86" t="inlineStr">
        <is>
          <t>stall_mistwake</t>
        </is>
      </c>
      <c r="K86" t="inlineStr">
        <is>
          <t>formal</t>
        </is>
      </c>
    </row>
    <row r="87">
      <c r="A87" t="inlineStr">
        <is>
          <t>enchant_breaker</t>
        </is>
      </c>
      <c r="B87" t="inlineStr">
        <is>
          <t>破浪铭刻</t>
        </is>
      </c>
      <c r="C87" t="inlineStr">
        <is>
          <t>把破浪冲势转化为明确的伤害增量。</t>
        </is>
      </c>
      <c r="D87" t="inlineStr">
        <is>
          <t>item_tidescar_matchlock</t>
        </is>
      </c>
      <c r="E87" t="inlineStr">
        <is>
          <t>bronze</t>
        </is>
      </c>
      <c r="F87" t="inlineStr">
        <is>
          <t>5</t>
        </is>
      </c>
      <c r="G87" t="inlineStr">
        <is>
          <t>0</t>
        </is>
      </c>
      <c r="H87" t="inlineStr">
        <is>
          <t>2</t>
        </is>
      </c>
      <c r="I87" t="inlineStr">
        <is>
          <t>0</t>
        </is>
      </c>
      <c r="J87" t="inlineStr">
        <is>
          <t>stall_mistwake</t>
        </is>
      </c>
      <c r="K87" t="inlineStr">
        <is>
          <t>formal</t>
        </is>
      </c>
    </row>
    <row r="88">
      <c r="A88" t="inlineStr">
        <is>
          <t>enchant_tailwind</t>
        </is>
      </c>
      <c r="B88" t="inlineStr">
        <is>
          <t>顺风铭刻</t>
        </is>
      </c>
      <c r="C88" t="inlineStr">
        <is>
          <t>借顺风缩短物品的基础充能时间。</t>
        </is>
      </c>
      <c r="D88" t="inlineStr">
        <is>
          <t>item_tidescar_matchlock</t>
        </is>
      </c>
      <c r="E88" t="inlineStr">
        <is>
          <t>silver</t>
        </is>
      </c>
      <c r="F88" t="inlineStr">
        <is>
          <t>6</t>
        </is>
      </c>
      <c r="G88" t="inlineStr">
        <is>
          <t>-1</t>
        </is>
      </c>
      <c r="H88" t="inlineStr">
        <is>
          <t>0</t>
        </is>
      </c>
      <c r="I88" t="inlineStr">
        <is>
          <t>0</t>
        </is>
      </c>
      <c r="J88" t="inlineStr">
        <is>
          <t>stall_mistwake</t>
        </is>
      </c>
      <c r="K88" t="inlineStr">
        <is>
          <t>formal</t>
        </is>
      </c>
    </row>
    <row r="89">
      <c r="A89" t="inlineStr">
        <is>
          <t>enchant_breaker</t>
        </is>
      </c>
      <c r="B89" t="inlineStr">
        <is>
          <t>破浪铭刻</t>
        </is>
      </c>
      <c r="C89" t="inlineStr">
        <is>
          <t>把破浪冲势转化为明确的伤害增量。</t>
        </is>
      </c>
      <c r="D89" t="inlineStr">
        <is>
          <t>item_tidescar_matchlock</t>
        </is>
      </c>
      <c r="E89" t="inlineStr">
        <is>
          <t>silver</t>
        </is>
      </c>
      <c r="F89" t="inlineStr">
        <is>
          <t>7</t>
        </is>
      </c>
      <c r="G89" t="inlineStr">
        <is>
          <t>0</t>
        </is>
      </c>
      <c r="H89" t="inlineStr">
        <is>
          <t>3</t>
        </is>
      </c>
      <c r="I89" t="inlineStr">
        <is>
          <t>0</t>
        </is>
      </c>
      <c r="J89" t="inlineStr">
        <is>
          <t>stall_mistwake</t>
        </is>
      </c>
      <c r="K89" t="inlineStr">
        <is>
          <t>formal</t>
        </is>
      </c>
    </row>
    <row r="90">
      <c r="A90" t="inlineStr">
        <is>
          <t>enchant_tailwind</t>
        </is>
      </c>
      <c r="B90" t="inlineStr">
        <is>
          <t>顺风铭刻</t>
        </is>
      </c>
      <c r="C90" t="inlineStr">
        <is>
          <t>借顺风缩短物品的基础充能时间。</t>
        </is>
      </c>
      <c r="D90" t="inlineStr">
        <is>
          <t>item_tidescar_matchlock</t>
        </is>
      </c>
      <c r="E90" t="inlineStr">
        <is>
          <t>gold</t>
        </is>
      </c>
      <c r="F90" t="inlineStr">
        <is>
          <t>9</t>
        </is>
      </c>
      <c r="G90" t="inlineStr">
        <is>
          <t>-1</t>
        </is>
      </c>
      <c r="H90" t="inlineStr">
        <is>
          <t>0</t>
        </is>
      </c>
      <c r="I90" t="inlineStr">
        <is>
          <t>0</t>
        </is>
      </c>
      <c r="J90" t="inlineStr">
        <is>
          <t>stall_mistwake</t>
        </is>
      </c>
      <c r="K90" t="inlineStr">
        <is>
          <t>formal</t>
        </is>
      </c>
    </row>
    <row r="91">
      <c r="A91" t="inlineStr">
        <is>
          <t>enchant_breaker</t>
        </is>
      </c>
      <c r="B91" t="inlineStr">
        <is>
          <t>破浪铭刻</t>
        </is>
      </c>
      <c r="C91" t="inlineStr">
        <is>
          <t>把破浪冲势转化为明确的伤害增量。</t>
        </is>
      </c>
      <c r="D91" t="inlineStr">
        <is>
          <t>item_tidescar_matchlock</t>
        </is>
      </c>
      <c r="E91" t="inlineStr">
        <is>
          <t>gold</t>
        </is>
      </c>
      <c r="F91" t="inlineStr">
        <is>
          <t>10</t>
        </is>
      </c>
      <c r="G91" t="inlineStr">
        <is>
          <t>0</t>
        </is>
      </c>
      <c r="H91" t="inlineStr">
        <is>
          <t>4</t>
        </is>
      </c>
      <c r="I91" t="inlineStr">
        <is>
          <t>0</t>
        </is>
      </c>
      <c r="J91" t="inlineStr">
        <is>
          <t>stall_mistwake</t>
        </is>
      </c>
      <c r="K91" t="inlineStr">
        <is>
          <t>formal</t>
        </is>
      </c>
    </row>
    <row r="92">
      <c r="A92" t="inlineStr">
        <is>
          <t>enchant_tailwind</t>
        </is>
      </c>
      <c r="B92" t="inlineStr">
        <is>
          <t>顺风铭刻</t>
        </is>
      </c>
      <c r="C92" t="inlineStr">
        <is>
          <t>借顺风缩短物品的基础充能时间。</t>
        </is>
      </c>
      <c r="D92" t="inlineStr">
        <is>
          <t>item_tidescar_matchlock</t>
        </is>
      </c>
      <c r="E92" t="inlineStr">
        <is>
          <t>diamond</t>
        </is>
      </c>
      <c r="F92" t="inlineStr">
        <is>
          <t>12</t>
        </is>
      </c>
      <c r="G92" t="inlineStr">
        <is>
          <t>-1</t>
        </is>
      </c>
      <c r="H92" t="inlineStr">
        <is>
          <t>0</t>
        </is>
      </c>
      <c r="I92" t="inlineStr">
        <is>
          <t>0</t>
        </is>
      </c>
      <c r="J92" t="inlineStr">
        <is>
          <t>stall_mistwake</t>
        </is>
      </c>
      <c r="K92" t="inlineStr">
        <is>
          <t>formal</t>
        </is>
      </c>
    </row>
    <row r="93">
      <c r="A93" t="inlineStr">
        <is>
          <t>enchant_breaker</t>
        </is>
      </c>
      <c r="B93" t="inlineStr">
        <is>
          <t>破浪铭刻</t>
        </is>
      </c>
      <c r="C93" t="inlineStr">
        <is>
          <t>把破浪冲势转化为明确的伤害增量。</t>
        </is>
      </c>
      <c r="D93" t="inlineStr">
        <is>
          <t>item_tidescar_matchlock</t>
        </is>
      </c>
      <c r="E93" t="inlineStr">
        <is>
          <t>diamond</t>
        </is>
      </c>
      <c r="F93" t="inlineStr">
        <is>
          <t>13</t>
        </is>
      </c>
      <c r="G93" t="inlineStr">
        <is>
          <t>0</t>
        </is>
      </c>
      <c r="H93" t="inlineStr">
        <is>
          <t>6</t>
        </is>
      </c>
      <c r="I93" t="inlineStr">
        <is>
          <t>0</t>
        </is>
      </c>
      <c r="J93" t="inlineStr">
        <is>
          <t>stall_mistwake</t>
        </is>
      </c>
      <c r="K93" t="inlineStr">
        <is>
          <t>formal</t>
        </is>
      </c>
    </row>
    <row r="94">
      <c r="A94" t="inlineStr">
        <is>
          <t>enchant_tailwind</t>
        </is>
      </c>
      <c r="B94" t="inlineStr">
        <is>
          <t>顺风铭刻</t>
        </is>
      </c>
      <c r="C94" t="inlineStr">
        <is>
          <t>借顺风缩短物品的基础充能时间。</t>
        </is>
      </c>
      <c r="D94" t="inlineStr">
        <is>
          <t>item_mistline_ratchet</t>
        </is>
      </c>
      <c r="E94" t="inlineStr">
        <is>
          <t>bronze</t>
        </is>
      </c>
      <c r="F94" t="inlineStr">
        <is>
          <t>4</t>
        </is>
      </c>
      <c r="G94" t="inlineStr">
        <is>
          <t>-1</t>
        </is>
      </c>
      <c r="H94" t="inlineStr">
        <is>
          <t>0</t>
        </is>
      </c>
      <c r="I94" t="inlineStr">
        <is>
          <t>0</t>
        </is>
      </c>
      <c r="J94" t="inlineStr">
        <is>
          <t>stall_mistwake</t>
        </is>
      </c>
      <c r="K94" t="inlineStr">
        <is>
          <t>formal</t>
        </is>
      </c>
    </row>
    <row r="95">
      <c r="A95" t="inlineStr">
        <is>
          <t>enchant_breaker</t>
        </is>
      </c>
      <c r="B95" t="inlineStr">
        <is>
          <t>破浪铭刻</t>
        </is>
      </c>
      <c r="C95" t="inlineStr">
        <is>
          <t>把破浪冲势转化为明确的伤害增量。</t>
        </is>
      </c>
      <c r="D95" t="inlineStr">
        <is>
          <t>item_mistline_ratchet</t>
        </is>
      </c>
      <c r="E95" t="inlineStr">
        <is>
          <t>bronze</t>
        </is>
      </c>
      <c r="F95" t="inlineStr">
        <is>
          <t>5</t>
        </is>
      </c>
      <c r="G95" t="inlineStr">
        <is>
          <t>0</t>
        </is>
      </c>
      <c r="H95" t="inlineStr">
        <is>
          <t>2</t>
        </is>
      </c>
      <c r="I95" t="inlineStr">
        <is>
          <t>0</t>
        </is>
      </c>
      <c r="J95" t="inlineStr">
        <is>
          <t>stall_mistwake</t>
        </is>
      </c>
      <c r="K95" t="inlineStr">
        <is>
          <t>formal</t>
        </is>
      </c>
    </row>
    <row r="96">
      <c r="A96" t="inlineStr">
        <is>
          <t>enchant_tailwind</t>
        </is>
      </c>
      <c r="B96" t="inlineStr">
        <is>
          <t>顺风铭刻</t>
        </is>
      </c>
      <c r="C96" t="inlineStr">
        <is>
          <t>借顺风缩短物品的基础充能时间。</t>
        </is>
      </c>
      <c r="D96" t="inlineStr">
        <is>
          <t>item_mistline_ratchet</t>
        </is>
      </c>
      <c r="E96" t="inlineStr">
        <is>
          <t>silver</t>
        </is>
      </c>
      <c r="F96" t="inlineStr">
        <is>
          <t>6</t>
        </is>
      </c>
      <c r="G96" t="inlineStr">
        <is>
          <t>-1</t>
        </is>
      </c>
      <c r="H96" t="inlineStr">
        <is>
          <t>0</t>
        </is>
      </c>
      <c r="I96" t="inlineStr">
        <is>
          <t>0</t>
        </is>
      </c>
      <c r="J96" t="inlineStr">
        <is>
          <t>stall_mistwake</t>
        </is>
      </c>
      <c r="K96" t="inlineStr">
        <is>
          <t>formal</t>
        </is>
      </c>
    </row>
    <row r="97">
      <c r="A97" t="inlineStr">
        <is>
          <t>enchant_breaker</t>
        </is>
      </c>
      <c r="B97" t="inlineStr">
        <is>
          <t>破浪铭刻</t>
        </is>
      </c>
      <c r="C97" t="inlineStr">
        <is>
          <t>把破浪冲势转化为明确的伤害增量。</t>
        </is>
      </c>
      <c r="D97" t="inlineStr">
        <is>
          <t>item_mistline_ratchet</t>
        </is>
      </c>
      <c r="E97" t="inlineStr">
        <is>
          <t>silver</t>
        </is>
      </c>
      <c r="F97" t="inlineStr">
        <is>
          <t>7</t>
        </is>
      </c>
      <c r="G97" t="inlineStr">
        <is>
          <t>0</t>
        </is>
      </c>
      <c r="H97" t="inlineStr">
        <is>
          <t>3</t>
        </is>
      </c>
      <c r="I97" t="inlineStr">
        <is>
          <t>0</t>
        </is>
      </c>
      <c r="J97" t="inlineStr">
        <is>
          <t>stall_mistwake</t>
        </is>
      </c>
      <c r="K97" t="inlineStr">
        <is>
          <t>formal</t>
        </is>
      </c>
    </row>
    <row r="98">
      <c r="A98" t="inlineStr">
        <is>
          <t>enchant_tailwind</t>
        </is>
      </c>
      <c r="B98" t="inlineStr">
        <is>
          <t>顺风铭刻</t>
        </is>
      </c>
      <c r="C98" t="inlineStr">
        <is>
          <t>借顺风缩短物品的基础充能时间。</t>
        </is>
      </c>
      <c r="D98" t="inlineStr">
        <is>
          <t>item_mistline_ratchet</t>
        </is>
      </c>
      <c r="E98" t="inlineStr">
        <is>
          <t>gold</t>
        </is>
      </c>
      <c r="F98" t="inlineStr">
        <is>
          <t>9</t>
        </is>
      </c>
      <c r="G98" t="inlineStr">
        <is>
          <t>-1</t>
        </is>
      </c>
      <c r="H98" t="inlineStr">
        <is>
          <t>0</t>
        </is>
      </c>
      <c r="I98" t="inlineStr">
        <is>
          <t>0</t>
        </is>
      </c>
      <c r="J98" t="inlineStr">
        <is>
          <t>stall_mistwake</t>
        </is>
      </c>
      <c r="K98" t="inlineStr">
        <is>
          <t>formal</t>
        </is>
      </c>
    </row>
    <row r="99">
      <c r="A99" t="inlineStr">
        <is>
          <t>enchant_breaker</t>
        </is>
      </c>
      <c r="B99" t="inlineStr">
        <is>
          <t>破浪铭刻</t>
        </is>
      </c>
      <c r="C99" t="inlineStr">
        <is>
          <t>把破浪冲势转化为明确的伤害增量。</t>
        </is>
      </c>
      <c r="D99" t="inlineStr">
        <is>
          <t>item_mistline_ratchet</t>
        </is>
      </c>
      <c r="E99" t="inlineStr">
        <is>
          <t>gold</t>
        </is>
      </c>
      <c r="F99" t="inlineStr">
        <is>
          <t>10</t>
        </is>
      </c>
      <c r="G99" t="inlineStr">
        <is>
          <t>0</t>
        </is>
      </c>
      <c r="H99" t="inlineStr">
        <is>
          <t>4</t>
        </is>
      </c>
      <c r="I99" t="inlineStr">
        <is>
          <t>0</t>
        </is>
      </c>
      <c r="J99" t="inlineStr">
        <is>
          <t>stall_mistwake</t>
        </is>
      </c>
      <c r="K99" t="inlineStr">
        <is>
          <t>formal</t>
        </is>
      </c>
    </row>
    <row r="100">
      <c r="A100" t="inlineStr">
        <is>
          <t>enchant_tailwind</t>
        </is>
      </c>
      <c r="B100" t="inlineStr">
        <is>
          <t>顺风铭刻</t>
        </is>
      </c>
      <c r="C100" t="inlineStr">
        <is>
          <t>借顺风缩短物品的基础充能时间。</t>
        </is>
      </c>
      <c r="D100" t="inlineStr">
        <is>
          <t>item_mistline_ratchet</t>
        </is>
      </c>
      <c r="E100" t="inlineStr">
        <is>
          <t>diamond</t>
        </is>
      </c>
      <c r="F100" t="inlineStr">
        <is>
          <t>12</t>
        </is>
      </c>
      <c r="G100" t="inlineStr">
        <is>
          <t>-1</t>
        </is>
      </c>
      <c r="H100" t="inlineStr">
        <is>
          <t>0</t>
        </is>
      </c>
      <c r="I100" t="inlineStr">
        <is>
          <t>0</t>
        </is>
      </c>
      <c r="J100" t="inlineStr">
        <is>
          <t>stall_mistwake</t>
        </is>
      </c>
      <c r="K100" t="inlineStr">
        <is>
          <t>formal</t>
        </is>
      </c>
    </row>
    <row r="101" s="439">
      <c r="A101" t="inlineStr">
        <is>
          <t>enchant_breaker</t>
        </is>
      </c>
      <c r="B101" t="inlineStr">
        <is>
          <t>破浪铭刻</t>
        </is>
      </c>
      <c r="C101" t="inlineStr">
        <is>
          <t>把破浪冲势转化为明确的伤害增量。</t>
        </is>
      </c>
      <c r="D101" t="inlineStr">
        <is>
          <t>item_mistline_ratchet</t>
        </is>
      </c>
      <c r="E101" t="inlineStr">
        <is>
          <t>diamond</t>
        </is>
      </c>
      <c r="F101" t="inlineStr">
        <is>
          <t>13</t>
        </is>
      </c>
      <c r="G101" t="inlineStr">
        <is>
          <t>0</t>
        </is>
      </c>
      <c r="H101" t="inlineStr">
        <is>
          <t>6</t>
        </is>
      </c>
      <c r="I101" t="inlineStr">
        <is>
          <t>0</t>
        </is>
      </c>
      <c r="J101" t="inlineStr">
        <is>
          <t>stall_mistwake</t>
        </is>
      </c>
      <c r="K101" t="inlineStr">
        <is>
          <t>formal</t>
        </is>
      </c>
    </row>
    <row r="102" s="439">
      <c r="A102" t="inlineStr">
        <is>
          <t>enchant_tailwind</t>
        </is>
      </c>
      <c r="B102" t="inlineStr">
        <is>
          <t>顺风铭刻</t>
        </is>
      </c>
      <c r="C102" t="inlineStr">
        <is>
          <t>借顺风缩短物品的基础充能时间。</t>
        </is>
      </c>
      <c r="D102" t="inlineStr">
        <is>
          <t>item_quadrant_linkage</t>
        </is>
      </c>
      <c r="E102" t="inlineStr">
        <is>
          <t>bronze</t>
        </is>
      </c>
      <c r="F102" t="inlineStr">
        <is>
          <t>4</t>
        </is>
      </c>
      <c r="G102" t="inlineStr">
        <is>
          <t>-1</t>
        </is>
      </c>
      <c r="H102" t="inlineStr">
        <is>
          <t>0</t>
        </is>
      </c>
      <c r="I102" t="inlineStr">
        <is>
          <t>0</t>
        </is>
      </c>
      <c r="J102" t="inlineStr">
        <is>
          <t>stall_mistwake</t>
        </is>
      </c>
      <c r="K102" t="inlineStr">
        <is>
          <t>formal</t>
        </is>
      </c>
    </row>
    <row r="103" s="439">
      <c r="A103" t="inlineStr">
        <is>
          <t>enchant_breaker</t>
        </is>
      </c>
      <c r="B103" t="inlineStr">
        <is>
          <t>破浪铭刻</t>
        </is>
      </c>
      <c r="C103" t="inlineStr">
        <is>
          <t>把破浪冲势转化为明确的伤害增量。</t>
        </is>
      </c>
      <c r="D103" t="inlineStr">
        <is>
          <t>item_quadrant_linkage</t>
        </is>
      </c>
      <c r="E103" t="inlineStr">
        <is>
          <t>bronze</t>
        </is>
      </c>
      <c r="F103" t="inlineStr">
        <is>
          <t>5</t>
        </is>
      </c>
      <c r="G103" t="inlineStr">
        <is>
          <t>0</t>
        </is>
      </c>
      <c r="H103" t="inlineStr">
        <is>
          <t>2</t>
        </is>
      </c>
      <c r="I103" t="inlineStr">
        <is>
          <t>0</t>
        </is>
      </c>
      <c r="J103" t="inlineStr">
        <is>
          <t>stall_mistwake</t>
        </is>
      </c>
      <c r="K103" t="inlineStr">
        <is>
          <t>formal</t>
        </is>
      </c>
    </row>
    <row r="104" s="439">
      <c r="A104" t="inlineStr">
        <is>
          <t>enchant_tailwind</t>
        </is>
      </c>
      <c r="B104" t="inlineStr">
        <is>
          <t>顺风铭刻</t>
        </is>
      </c>
      <c r="C104" t="inlineStr">
        <is>
          <t>借顺风缩短物品的基础充能时间。</t>
        </is>
      </c>
      <c r="D104" t="inlineStr">
        <is>
          <t>item_quadrant_linkage</t>
        </is>
      </c>
      <c r="E104" t="inlineStr">
        <is>
          <t>silver</t>
        </is>
      </c>
      <c r="F104" t="inlineStr">
        <is>
          <t>6</t>
        </is>
      </c>
      <c r="G104" t="inlineStr">
        <is>
          <t>-1</t>
        </is>
      </c>
      <c r="H104" t="inlineStr">
        <is>
          <t>0</t>
        </is>
      </c>
      <c r="I104" t="inlineStr">
        <is>
          <t>0</t>
        </is>
      </c>
      <c r="J104" t="inlineStr">
        <is>
          <t>stall_mistwake</t>
        </is>
      </c>
      <c r="K104" t="inlineStr">
        <is>
          <t>formal</t>
        </is>
      </c>
    </row>
    <row r="105" s="439">
      <c r="A105" t="inlineStr">
        <is>
          <t>enchant_breaker</t>
        </is>
      </c>
      <c r="B105" t="inlineStr">
        <is>
          <t>破浪铭刻</t>
        </is>
      </c>
      <c r="C105" t="inlineStr">
        <is>
          <t>把破浪冲势转化为明确的伤害增量。</t>
        </is>
      </c>
      <c r="D105" t="inlineStr">
        <is>
          <t>item_quadrant_linkage</t>
        </is>
      </c>
      <c r="E105" t="inlineStr">
        <is>
          <t>silver</t>
        </is>
      </c>
      <c r="F105" t="inlineStr">
        <is>
          <t>7</t>
        </is>
      </c>
      <c r="G105" t="inlineStr">
        <is>
          <t>0</t>
        </is>
      </c>
      <c r="H105" t="inlineStr">
        <is>
          <t>3</t>
        </is>
      </c>
      <c r="I105" t="inlineStr">
        <is>
          <t>0</t>
        </is>
      </c>
      <c r="J105" t="inlineStr">
        <is>
          <t>stall_mistwake</t>
        </is>
      </c>
      <c r="K105" t="inlineStr">
        <is>
          <t>formal</t>
        </is>
      </c>
    </row>
    <row r="106" s="439">
      <c r="A106" t="inlineStr">
        <is>
          <t>enchant_tailwind</t>
        </is>
      </c>
      <c r="B106" t="inlineStr">
        <is>
          <t>顺风铭刻</t>
        </is>
      </c>
      <c r="C106" t="inlineStr">
        <is>
          <t>借顺风缩短物品的基础充能时间。</t>
        </is>
      </c>
      <c r="D106" t="inlineStr">
        <is>
          <t>item_quadrant_linkage</t>
        </is>
      </c>
      <c r="E106" t="inlineStr">
        <is>
          <t>gold</t>
        </is>
      </c>
      <c r="F106" t="inlineStr">
        <is>
          <t>9</t>
        </is>
      </c>
      <c r="G106" t="inlineStr">
        <is>
          <t>-1</t>
        </is>
      </c>
      <c r="H106" t="inlineStr">
        <is>
          <t>0</t>
        </is>
      </c>
      <c r="I106" t="inlineStr">
        <is>
          <t>0</t>
        </is>
      </c>
      <c r="J106" t="inlineStr">
        <is>
          <t>stall_mistwake</t>
        </is>
      </c>
      <c r="K106" t="inlineStr">
        <is>
          <t>formal</t>
        </is>
      </c>
    </row>
    <row r="107" s="439">
      <c r="A107" t="inlineStr">
        <is>
          <t>enchant_breaker</t>
        </is>
      </c>
      <c r="B107" t="inlineStr">
        <is>
          <t>破浪铭刻</t>
        </is>
      </c>
      <c r="C107" t="inlineStr">
        <is>
          <t>把破浪冲势转化为明确的伤害增量。</t>
        </is>
      </c>
      <c r="D107" t="inlineStr">
        <is>
          <t>item_quadrant_linkage</t>
        </is>
      </c>
      <c r="E107" t="inlineStr">
        <is>
          <t>gold</t>
        </is>
      </c>
      <c r="F107" t="inlineStr">
        <is>
          <t>10</t>
        </is>
      </c>
      <c r="G107" t="inlineStr">
        <is>
          <t>0</t>
        </is>
      </c>
      <c r="H107" t="inlineStr">
        <is>
          <t>4</t>
        </is>
      </c>
      <c r="I107" t="inlineStr">
        <is>
          <t>0</t>
        </is>
      </c>
      <c r="J107" t="inlineStr">
        <is>
          <t>stall_mistwake</t>
        </is>
      </c>
      <c r="K107" t="inlineStr">
        <is>
          <t>formal</t>
        </is>
      </c>
    </row>
    <row r="108" s="439">
      <c r="A108" t="inlineStr">
        <is>
          <t>enchant_tailwind</t>
        </is>
      </c>
      <c r="B108" t="inlineStr">
        <is>
          <t>顺风铭刻</t>
        </is>
      </c>
      <c r="C108" t="inlineStr">
        <is>
          <t>借顺风缩短物品的基础充能时间。</t>
        </is>
      </c>
      <c r="D108" t="inlineStr">
        <is>
          <t>item_quadrant_linkage</t>
        </is>
      </c>
      <c r="E108" t="inlineStr">
        <is>
          <t>diamond</t>
        </is>
      </c>
      <c r="F108" t="inlineStr">
        <is>
          <t>12</t>
        </is>
      </c>
      <c r="G108" t="inlineStr">
        <is>
          <t>-1</t>
        </is>
      </c>
      <c r="H108" t="inlineStr">
        <is>
          <t>0</t>
        </is>
      </c>
      <c r="I108" t="inlineStr">
        <is>
          <t>0</t>
        </is>
      </c>
      <c r="J108" t="inlineStr">
        <is>
          <t>stall_mistwake</t>
        </is>
      </c>
      <c r="K108" t="inlineStr">
        <is>
          <t>formal</t>
        </is>
      </c>
    </row>
    <row r="109" s="439">
      <c r="A109" t="inlineStr">
        <is>
          <t>enchant_breaker</t>
        </is>
      </c>
      <c r="B109" t="inlineStr">
        <is>
          <t>破浪铭刻</t>
        </is>
      </c>
      <c r="C109" t="inlineStr">
        <is>
          <t>把破浪冲势转化为明确的伤害增量。</t>
        </is>
      </c>
      <c r="D109" t="inlineStr">
        <is>
          <t>item_quadrant_linkage</t>
        </is>
      </c>
      <c r="E109" t="inlineStr">
        <is>
          <t>diamond</t>
        </is>
      </c>
      <c r="F109" t="inlineStr">
        <is>
          <t>13</t>
        </is>
      </c>
      <c r="G109" t="inlineStr">
        <is>
          <t>0</t>
        </is>
      </c>
      <c r="H109" t="inlineStr">
        <is>
          <t>6</t>
        </is>
      </c>
      <c r="I109" t="inlineStr">
        <is>
          <t>0</t>
        </is>
      </c>
      <c r="J109" t="inlineStr">
        <is>
          <t>stall_mistwake</t>
        </is>
      </c>
      <c r="K109" t="inlineStr">
        <is>
          <t>formal</t>
        </is>
      </c>
    </row>
    <row r="110" s="439">
      <c r="A110" t="inlineStr">
        <is>
          <t>enchant_tailwind</t>
        </is>
      </c>
      <c r="B110" t="inlineStr">
        <is>
          <t>顺风铭刻</t>
        </is>
      </c>
      <c r="C110" t="inlineStr">
        <is>
          <t>借顺风缩短物品的基础充能时间。</t>
        </is>
      </c>
      <c r="D110" t="inlineStr">
        <is>
          <t>item_followwake_calibrator</t>
        </is>
      </c>
      <c r="E110" t="inlineStr">
        <is>
          <t>bronze</t>
        </is>
      </c>
      <c r="F110" t="inlineStr">
        <is>
          <t>4</t>
        </is>
      </c>
      <c r="G110" t="inlineStr">
        <is>
          <t>-1</t>
        </is>
      </c>
      <c r="H110" t="inlineStr">
        <is>
          <t>0</t>
        </is>
      </c>
      <c r="I110" t="inlineStr">
        <is>
          <t>0</t>
        </is>
      </c>
      <c r="J110" t="inlineStr">
        <is>
          <t>stall_mistwake</t>
        </is>
      </c>
      <c r="K110" t="inlineStr">
        <is>
          <t>formal</t>
        </is>
      </c>
    </row>
    <row r="111" s="439">
      <c r="A111" t="inlineStr">
        <is>
          <t>enchant_breaker</t>
        </is>
      </c>
      <c r="B111" t="inlineStr">
        <is>
          <t>破浪铭刻</t>
        </is>
      </c>
      <c r="C111" t="inlineStr">
        <is>
          <t>把破浪冲势转化为明确的伤害增量。</t>
        </is>
      </c>
      <c r="D111" t="inlineStr">
        <is>
          <t>item_followwake_calibrator</t>
        </is>
      </c>
      <c r="E111" t="inlineStr">
        <is>
          <t>bronze</t>
        </is>
      </c>
      <c r="F111" t="inlineStr">
        <is>
          <t>5</t>
        </is>
      </c>
      <c r="G111" t="inlineStr">
        <is>
          <t>0</t>
        </is>
      </c>
      <c r="H111" t="inlineStr">
        <is>
          <t>2</t>
        </is>
      </c>
      <c r="I111" t="inlineStr">
        <is>
          <t>0</t>
        </is>
      </c>
      <c r="J111" t="inlineStr">
        <is>
          <t>stall_mistwake</t>
        </is>
      </c>
      <c r="K111" t="inlineStr">
        <is>
          <t>formal</t>
        </is>
      </c>
    </row>
    <row r="112" s="439">
      <c r="A112" t="inlineStr">
        <is>
          <t>enchant_tailwind</t>
        </is>
      </c>
      <c r="B112" t="inlineStr">
        <is>
          <t>顺风铭刻</t>
        </is>
      </c>
      <c r="C112" t="inlineStr">
        <is>
          <t>借顺风缩短物品的基础充能时间。</t>
        </is>
      </c>
      <c r="D112" t="inlineStr">
        <is>
          <t>item_followwake_calibrator</t>
        </is>
      </c>
      <c r="E112" t="inlineStr">
        <is>
          <t>silver</t>
        </is>
      </c>
      <c r="F112" t="inlineStr">
        <is>
          <t>6</t>
        </is>
      </c>
      <c r="G112" t="inlineStr">
        <is>
          <t>-1</t>
        </is>
      </c>
      <c r="H112" t="inlineStr">
        <is>
          <t>0</t>
        </is>
      </c>
      <c r="I112" t="inlineStr">
        <is>
          <t>0</t>
        </is>
      </c>
      <c r="J112" t="inlineStr">
        <is>
          <t>stall_mistwake</t>
        </is>
      </c>
      <c r="K112" t="inlineStr">
        <is>
          <t>formal</t>
        </is>
      </c>
    </row>
    <row r="113" s="439">
      <c r="A113" t="inlineStr">
        <is>
          <t>enchant_breaker</t>
        </is>
      </c>
      <c r="B113" t="inlineStr">
        <is>
          <t>破浪铭刻</t>
        </is>
      </c>
      <c r="C113" t="inlineStr">
        <is>
          <t>把破浪冲势转化为明确的伤害增量。</t>
        </is>
      </c>
      <c r="D113" t="inlineStr">
        <is>
          <t>item_followwake_calibrator</t>
        </is>
      </c>
      <c r="E113" t="inlineStr">
        <is>
          <t>silver</t>
        </is>
      </c>
      <c r="F113" t="inlineStr">
        <is>
          <t>7</t>
        </is>
      </c>
      <c r="G113" t="inlineStr">
        <is>
          <t>0</t>
        </is>
      </c>
      <c r="H113" t="inlineStr">
        <is>
          <t>3</t>
        </is>
      </c>
      <c r="I113" t="inlineStr">
        <is>
          <t>0</t>
        </is>
      </c>
      <c r="J113" t="inlineStr">
        <is>
          <t>stall_mistwake</t>
        </is>
      </c>
      <c r="K113" t="inlineStr">
        <is>
          <t>formal</t>
        </is>
      </c>
    </row>
    <row r="114" s="439">
      <c r="A114" t="inlineStr">
        <is>
          <t>enchant_tailwind</t>
        </is>
      </c>
      <c r="B114" t="inlineStr">
        <is>
          <t>顺风铭刻</t>
        </is>
      </c>
      <c r="C114" t="inlineStr">
        <is>
          <t>借顺风缩短物品的基础充能时间。</t>
        </is>
      </c>
      <c r="D114" t="inlineStr">
        <is>
          <t>item_followwake_calibrator</t>
        </is>
      </c>
      <c r="E114" t="inlineStr">
        <is>
          <t>gold</t>
        </is>
      </c>
      <c r="F114" t="inlineStr">
        <is>
          <t>9</t>
        </is>
      </c>
      <c r="G114" t="inlineStr">
        <is>
          <t>-1</t>
        </is>
      </c>
      <c r="H114" t="inlineStr">
        <is>
          <t>0</t>
        </is>
      </c>
      <c r="I114" t="inlineStr">
        <is>
          <t>0</t>
        </is>
      </c>
      <c r="J114" t="inlineStr">
        <is>
          <t>stall_mistwake</t>
        </is>
      </c>
      <c r="K114" t="inlineStr">
        <is>
          <t>formal</t>
        </is>
      </c>
    </row>
    <row r="115" s="439">
      <c r="A115" t="inlineStr">
        <is>
          <t>enchant_breaker</t>
        </is>
      </c>
      <c r="B115" t="inlineStr">
        <is>
          <t>破浪铭刻</t>
        </is>
      </c>
      <c r="C115" t="inlineStr">
        <is>
          <t>把破浪冲势转化为明确的伤害增量。</t>
        </is>
      </c>
      <c r="D115" t="inlineStr">
        <is>
          <t>item_followwake_calibrator</t>
        </is>
      </c>
      <c r="E115" t="inlineStr">
        <is>
          <t>gold</t>
        </is>
      </c>
      <c r="F115" t="inlineStr">
        <is>
          <t>10</t>
        </is>
      </c>
      <c r="G115" t="inlineStr">
        <is>
          <t>0</t>
        </is>
      </c>
      <c r="H115" t="inlineStr">
        <is>
          <t>4</t>
        </is>
      </c>
      <c r="I115" t="inlineStr">
        <is>
          <t>0</t>
        </is>
      </c>
      <c r="J115" t="inlineStr">
        <is>
          <t>stall_mistwake</t>
        </is>
      </c>
      <c r="K115" t="inlineStr">
        <is>
          <t>formal</t>
        </is>
      </c>
    </row>
    <row r="116" s="439">
      <c r="A116" t="inlineStr">
        <is>
          <t>enchant_tailwind</t>
        </is>
      </c>
      <c r="B116" t="inlineStr">
        <is>
          <t>顺风铭刻</t>
        </is>
      </c>
      <c r="C116" t="inlineStr">
        <is>
          <t>借顺风缩短物品的基础充能时间。</t>
        </is>
      </c>
      <c r="D116" t="inlineStr">
        <is>
          <t>item_followwake_calibrator</t>
        </is>
      </c>
      <c r="E116" t="inlineStr">
        <is>
          <t>diamond</t>
        </is>
      </c>
      <c r="F116" t="inlineStr">
        <is>
          <t>12</t>
        </is>
      </c>
      <c r="G116" t="inlineStr">
        <is>
          <t>-1</t>
        </is>
      </c>
      <c r="H116" t="inlineStr">
        <is>
          <t>0</t>
        </is>
      </c>
      <c r="I116" t="inlineStr">
        <is>
          <t>0</t>
        </is>
      </c>
      <c r="J116" t="inlineStr">
        <is>
          <t>stall_mistwake</t>
        </is>
      </c>
      <c r="K116" t="inlineStr">
        <is>
          <t>formal</t>
        </is>
      </c>
    </row>
    <row r="117" s="439">
      <c r="A117" t="inlineStr">
        <is>
          <t>enchant_breaker</t>
        </is>
      </c>
      <c r="B117" t="inlineStr">
        <is>
          <t>破浪铭刻</t>
        </is>
      </c>
      <c r="C117" t="inlineStr">
        <is>
          <t>把破浪冲势转化为明确的伤害增量。</t>
        </is>
      </c>
      <c r="D117" t="inlineStr">
        <is>
          <t>item_followwake_calibrator</t>
        </is>
      </c>
      <c r="E117" t="inlineStr">
        <is>
          <t>diamond</t>
        </is>
      </c>
      <c r="F117" t="inlineStr">
        <is>
          <t>13</t>
        </is>
      </c>
      <c r="G117" t="inlineStr">
        <is>
          <t>0</t>
        </is>
      </c>
      <c r="H117" t="inlineStr">
        <is>
          <t>6</t>
        </is>
      </c>
      <c r="I117" t="inlineStr">
        <is>
          <t>0</t>
        </is>
      </c>
      <c r="J117" t="inlineStr">
        <is>
          <t>stall_mistwake</t>
        </is>
      </c>
      <c r="K117" t="inlineStr">
        <is>
          <t>formal</t>
        </is>
      </c>
    </row>
    <row r="118">
      <c r="A118" t="inlineStr">
        <is>
          <t>enchant_tailwind</t>
        </is>
      </c>
      <c r="B118" t="inlineStr">
        <is>
          <t>顺风铭刻</t>
        </is>
      </c>
      <c r="C118" t="inlineStr">
        <is>
          <t>借顺风缩短物品的基础充能时间。</t>
        </is>
      </c>
      <c r="D118" t="inlineStr">
        <is>
          <t>item_dawntide_timer</t>
        </is>
      </c>
      <c r="E118" t="inlineStr">
        <is>
          <t>bronze</t>
        </is>
      </c>
      <c r="F118" t="inlineStr">
        <is>
          <t>4</t>
        </is>
      </c>
      <c r="G118" t="inlineStr">
        <is>
          <t>-1</t>
        </is>
      </c>
      <c r="H118" t="inlineStr">
        <is>
          <t>0</t>
        </is>
      </c>
      <c r="I118" t="inlineStr">
        <is>
          <t>0</t>
        </is>
      </c>
      <c r="J118" t="inlineStr">
        <is>
          <t>stall_mistwake</t>
        </is>
      </c>
      <c r="K118" t="inlineStr">
        <is>
          <t>formal</t>
        </is>
      </c>
    </row>
    <row r="119">
      <c r="A119" t="inlineStr">
        <is>
          <t>enchant_breaker</t>
        </is>
      </c>
      <c r="B119" t="inlineStr">
        <is>
          <t>破浪铭刻</t>
        </is>
      </c>
      <c r="C119" t="inlineStr">
        <is>
          <t>把破浪冲势转化为明确的伤害增量。</t>
        </is>
      </c>
      <c r="D119" t="inlineStr">
        <is>
          <t>item_dawntide_timer</t>
        </is>
      </c>
      <c r="E119" t="inlineStr">
        <is>
          <t>bronze</t>
        </is>
      </c>
      <c r="F119" t="inlineStr">
        <is>
          <t>5</t>
        </is>
      </c>
      <c r="G119" t="inlineStr">
        <is>
          <t>0</t>
        </is>
      </c>
      <c r="H119" t="inlineStr">
        <is>
          <t>2</t>
        </is>
      </c>
      <c r="I119" t="inlineStr">
        <is>
          <t>0</t>
        </is>
      </c>
      <c r="J119" t="inlineStr">
        <is>
          <t>stall_mistwake</t>
        </is>
      </c>
      <c r="K119" t="inlineStr">
        <is>
          <t>formal</t>
        </is>
      </c>
    </row>
    <row r="120">
      <c r="A120" t="inlineStr">
        <is>
          <t>enchant_tailwind</t>
        </is>
      </c>
      <c r="B120" t="inlineStr">
        <is>
          <t>顺风铭刻</t>
        </is>
      </c>
      <c r="C120" t="inlineStr">
        <is>
          <t>借顺风缩短物品的基础充能时间。</t>
        </is>
      </c>
      <c r="D120" t="inlineStr">
        <is>
          <t>item_dawntide_timer</t>
        </is>
      </c>
      <c r="E120" t="inlineStr">
        <is>
          <t>silver</t>
        </is>
      </c>
      <c r="F120" t="inlineStr">
        <is>
          <t>6</t>
        </is>
      </c>
      <c r="G120" t="inlineStr">
        <is>
          <t>-1</t>
        </is>
      </c>
      <c r="H120" t="inlineStr">
        <is>
          <t>0</t>
        </is>
      </c>
      <c r="I120" t="inlineStr">
        <is>
          <t>0</t>
        </is>
      </c>
      <c r="J120" t="inlineStr">
        <is>
          <t>stall_mistwake</t>
        </is>
      </c>
      <c r="K120" t="inlineStr">
        <is>
          <t>formal</t>
        </is>
      </c>
    </row>
    <row r="121">
      <c r="A121" t="inlineStr">
        <is>
          <t>enchant_breaker</t>
        </is>
      </c>
      <c r="B121" t="inlineStr">
        <is>
          <t>破浪铭刻</t>
        </is>
      </c>
      <c r="C121" t="inlineStr">
        <is>
          <t>把破浪冲势转化为明确的伤害增量。</t>
        </is>
      </c>
      <c r="D121" t="inlineStr">
        <is>
          <t>item_dawntide_timer</t>
        </is>
      </c>
      <c r="E121" t="inlineStr">
        <is>
          <t>silver</t>
        </is>
      </c>
      <c r="F121" t="inlineStr">
        <is>
          <t>7</t>
        </is>
      </c>
      <c r="G121" t="inlineStr">
        <is>
          <t>0</t>
        </is>
      </c>
      <c r="H121" t="inlineStr">
        <is>
          <t>3</t>
        </is>
      </c>
      <c r="I121" t="inlineStr">
        <is>
          <t>0</t>
        </is>
      </c>
      <c r="J121" t="inlineStr">
        <is>
          <t>stall_mistwake</t>
        </is>
      </c>
      <c r="K121" t="inlineStr">
        <is>
          <t>formal</t>
        </is>
      </c>
    </row>
    <row r="122">
      <c r="A122" t="inlineStr">
        <is>
          <t>enchant_tailwind</t>
        </is>
      </c>
      <c r="B122" t="inlineStr">
        <is>
          <t>顺风铭刻</t>
        </is>
      </c>
      <c r="C122" t="inlineStr">
        <is>
          <t>借顺风缩短物品的基础充能时间。</t>
        </is>
      </c>
      <c r="D122" t="inlineStr">
        <is>
          <t>item_dawntide_timer</t>
        </is>
      </c>
      <c r="E122" t="inlineStr">
        <is>
          <t>gold</t>
        </is>
      </c>
      <c r="F122" t="inlineStr">
        <is>
          <t>9</t>
        </is>
      </c>
      <c r="G122" t="inlineStr">
        <is>
          <t>-1</t>
        </is>
      </c>
      <c r="H122" t="inlineStr">
        <is>
          <t>0</t>
        </is>
      </c>
      <c r="I122" t="inlineStr">
        <is>
          <t>0</t>
        </is>
      </c>
      <c r="J122" t="inlineStr">
        <is>
          <t>stall_mistwake</t>
        </is>
      </c>
      <c r="K122" t="inlineStr">
        <is>
          <t>formal</t>
        </is>
      </c>
    </row>
    <row r="123">
      <c r="A123" t="inlineStr">
        <is>
          <t>enchant_breaker</t>
        </is>
      </c>
      <c r="B123" t="inlineStr">
        <is>
          <t>破浪铭刻</t>
        </is>
      </c>
      <c r="C123" t="inlineStr">
        <is>
          <t>把破浪冲势转化为明确的伤害增量。</t>
        </is>
      </c>
      <c r="D123" t="inlineStr">
        <is>
          <t>item_dawntide_timer</t>
        </is>
      </c>
      <c r="E123" t="inlineStr">
        <is>
          <t>gold</t>
        </is>
      </c>
      <c r="F123" t="inlineStr">
        <is>
          <t>10</t>
        </is>
      </c>
      <c r="G123" t="inlineStr">
        <is>
          <t>0</t>
        </is>
      </c>
      <c r="H123" t="inlineStr">
        <is>
          <t>4</t>
        </is>
      </c>
      <c r="I123" t="inlineStr">
        <is>
          <t>0</t>
        </is>
      </c>
      <c r="J123" t="inlineStr">
        <is>
          <t>stall_mistwake</t>
        </is>
      </c>
      <c r="K123" t="inlineStr">
        <is>
          <t>formal</t>
        </is>
      </c>
    </row>
    <row r="124">
      <c r="A124" t="inlineStr">
        <is>
          <t>enchant_tailwind</t>
        </is>
      </c>
      <c r="B124" t="inlineStr">
        <is>
          <t>顺风铭刻</t>
        </is>
      </c>
      <c r="C124" t="inlineStr">
        <is>
          <t>借顺风缩短物品的基础充能时间。</t>
        </is>
      </c>
      <c r="D124" t="inlineStr">
        <is>
          <t>item_dawntide_timer</t>
        </is>
      </c>
      <c r="E124" t="inlineStr">
        <is>
          <t>diamond</t>
        </is>
      </c>
      <c r="F124" t="inlineStr">
        <is>
          <t>12</t>
        </is>
      </c>
      <c r="G124" t="inlineStr">
        <is>
          <t>-1</t>
        </is>
      </c>
      <c r="H124" t="inlineStr">
        <is>
          <t>0</t>
        </is>
      </c>
      <c r="I124" t="inlineStr">
        <is>
          <t>0</t>
        </is>
      </c>
      <c r="J124" t="inlineStr">
        <is>
          <t>stall_mistwake</t>
        </is>
      </c>
      <c r="K124" t="inlineStr">
        <is>
          <t>formal</t>
        </is>
      </c>
    </row>
    <row r="125" s="439">
      <c r="A125" t="inlineStr">
        <is>
          <t>enchant_breaker</t>
        </is>
      </c>
      <c r="B125" t="inlineStr">
        <is>
          <t>破浪铭刻</t>
        </is>
      </c>
      <c r="C125" t="inlineStr">
        <is>
          <t>把破浪冲势转化为明确的伤害增量。</t>
        </is>
      </c>
      <c r="D125" t="inlineStr">
        <is>
          <t>item_dawntide_timer</t>
        </is>
      </c>
      <c r="E125" t="inlineStr">
        <is>
          <t>diamond</t>
        </is>
      </c>
      <c r="F125" t="inlineStr">
        <is>
          <t>13</t>
        </is>
      </c>
      <c r="G125" t="inlineStr">
        <is>
          <t>0</t>
        </is>
      </c>
      <c r="H125" t="inlineStr">
        <is>
          <t>6</t>
        </is>
      </c>
      <c r="I125" t="inlineStr">
        <is>
          <t>0</t>
        </is>
      </c>
      <c r="J125" t="inlineStr">
        <is>
          <t>stall_mistwake</t>
        </is>
      </c>
      <c r="K125" t="inlineStr">
        <is>
          <t>formal</t>
        </is>
      </c>
    </row>
    <row r="126" s="439">
      <c r="A126" t="inlineStr">
        <is>
          <t>enchant_tailwind</t>
        </is>
      </c>
      <c r="B126" t="inlineStr">
        <is>
          <t>顺风铭刻</t>
        </is>
      </c>
      <c r="C126" t="inlineStr">
        <is>
          <t>借顺风缩短物品的基础充能时间。</t>
        </is>
      </c>
      <c r="D126" t="inlineStr">
        <is>
          <t>item_broadside_signal_relay</t>
        </is>
      </c>
      <c r="E126" t="inlineStr">
        <is>
          <t>bronze</t>
        </is>
      </c>
      <c r="F126" t="inlineStr">
        <is>
          <t>4</t>
        </is>
      </c>
      <c r="G126" t="inlineStr">
        <is>
          <t>-1</t>
        </is>
      </c>
      <c r="H126" t="inlineStr">
        <is>
          <t>0</t>
        </is>
      </c>
      <c r="I126" t="inlineStr">
        <is>
          <t>0</t>
        </is>
      </c>
      <c r="J126" t="inlineStr">
        <is>
          <t>stall_mistwake</t>
        </is>
      </c>
      <c r="K126" t="inlineStr">
        <is>
          <t>formal</t>
        </is>
      </c>
    </row>
    <row r="127" s="439">
      <c r="A127" t="inlineStr">
        <is>
          <t>enchant_tailwind</t>
        </is>
      </c>
      <c r="B127" t="inlineStr">
        <is>
          <t>顺风铭刻</t>
        </is>
      </c>
      <c r="C127" t="inlineStr">
        <is>
          <t>借顺风缩短物品的基础充能时间。</t>
        </is>
      </c>
      <c r="D127" t="inlineStr">
        <is>
          <t>item_broadside_signal_relay</t>
        </is>
      </c>
      <c r="E127" t="inlineStr">
        <is>
          <t>silver</t>
        </is>
      </c>
      <c r="F127" t="inlineStr">
        <is>
          <t>6</t>
        </is>
      </c>
      <c r="G127" t="inlineStr">
        <is>
          <t>-1</t>
        </is>
      </c>
      <c r="H127" t="inlineStr">
        <is>
          <t>0</t>
        </is>
      </c>
      <c r="I127" t="inlineStr">
        <is>
          <t>0</t>
        </is>
      </c>
      <c r="J127" t="inlineStr">
        <is>
          <t>stall_mistwake</t>
        </is>
      </c>
      <c r="K127" t="inlineStr">
        <is>
          <t>formal</t>
        </is>
      </c>
    </row>
    <row r="128" s="439">
      <c r="A128" t="inlineStr">
        <is>
          <t>enchant_tailwind</t>
        </is>
      </c>
      <c r="B128" t="inlineStr">
        <is>
          <t>顺风铭刻</t>
        </is>
      </c>
      <c r="C128" t="inlineStr">
        <is>
          <t>借顺风缩短物品的基础充能时间。</t>
        </is>
      </c>
      <c r="D128" t="inlineStr">
        <is>
          <t>item_broadside_signal_relay</t>
        </is>
      </c>
      <c r="E128" t="inlineStr">
        <is>
          <t>gold</t>
        </is>
      </c>
      <c r="F128" t="inlineStr">
        <is>
          <t>9</t>
        </is>
      </c>
      <c r="G128" t="inlineStr">
        <is>
          <t>-1</t>
        </is>
      </c>
      <c r="H128" t="inlineStr">
        <is>
          <t>0</t>
        </is>
      </c>
      <c r="I128" t="inlineStr">
        <is>
          <t>0</t>
        </is>
      </c>
      <c r="J128" t="inlineStr">
        <is>
          <t>stall_mistwake</t>
        </is>
      </c>
      <c r="K128" t="inlineStr">
        <is>
          <t>formal</t>
        </is>
      </c>
    </row>
    <row r="129" s="439">
      <c r="A129" t="inlineStr">
        <is>
          <t>enchant_tailwind</t>
        </is>
      </c>
      <c r="B129" t="inlineStr">
        <is>
          <t>顺风铭刻</t>
        </is>
      </c>
      <c r="C129" t="inlineStr">
        <is>
          <t>借顺风缩短物品的基础充能时间。</t>
        </is>
      </c>
      <c r="D129" t="inlineStr">
        <is>
          <t>item_broadside_signal_relay</t>
        </is>
      </c>
      <c r="E129" t="inlineStr">
        <is>
          <t>diamond</t>
        </is>
      </c>
      <c r="F129" t="inlineStr">
        <is>
          <t>12</t>
        </is>
      </c>
      <c r="G129" t="inlineStr">
        <is>
          <t>-1</t>
        </is>
      </c>
      <c r="H129" t="inlineStr">
        <is>
          <t>0</t>
        </is>
      </c>
      <c r="I129" t="inlineStr">
        <is>
          <t>0</t>
        </is>
      </c>
      <c r="J129" t="inlineStr">
        <is>
          <t>stall_mistwake</t>
        </is>
      </c>
      <c r="K129" t="inlineStr">
        <is>
          <t>formal</t>
        </is>
      </c>
    </row>
    <row r="130" s="439">
      <c r="A130" t="inlineStr">
        <is>
          <t>enchant_tailwind</t>
        </is>
      </c>
      <c r="B130" t="inlineStr">
        <is>
          <t>顺风铭刻</t>
        </is>
      </c>
      <c r="C130" t="inlineStr">
        <is>
          <t>借顺风缩短物品的基础充能时间。</t>
        </is>
      </c>
      <c r="D130" t="inlineStr">
        <is>
          <t>item_crosswind_selector</t>
        </is>
      </c>
      <c r="E130" t="inlineStr">
        <is>
          <t>bronze</t>
        </is>
      </c>
      <c r="F130" t="inlineStr">
        <is>
          <t>4</t>
        </is>
      </c>
      <c r="G130" t="inlineStr">
        <is>
          <t>-1</t>
        </is>
      </c>
      <c r="H130" t="inlineStr">
        <is>
          <t>0</t>
        </is>
      </c>
      <c r="I130" t="inlineStr">
        <is>
          <t>0</t>
        </is>
      </c>
      <c r="J130" t="inlineStr">
        <is>
          <t>stall_mistwake</t>
        </is>
      </c>
      <c r="K130" t="inlineStr">
        <is>
          <t>formal</t>
        </is>
      </c>
    </row>
    <row r="131" s="439">
      <c r="A131" t="inlineStr">
        <is>
          <t>enchant_tailwind</t>
        </is>
      </c>
      <c r="B131" t="inlineStr">
        <is>
          <t>顺风铭刻</t>
        </is>
      </c>
      <c r="C131" t="inlineStr">
        <is>
          <t>借顺风缩短物品的基础充能时间。</t>
        </is>
      </c>
      <c r="D131" t="inlineStr">
        <is>
          <t>item_crosswind_selector</t>
        </is>
      </c>
      <c r="E131" t="inlineStr">
        <is>
          <t>silver</t>
        </is>
      </c>
      <c r="F131" t="inlineStr">
        <is>
          <t>6</t>
        </is>
      </c>
      <c r="G131" t="inlineStr">
        <is>
          <t>-1</t>
        </is>
      </c>
      <c r="H131" t="inlineStr">
        <is>
          <t>0</t>
        </is>
      </c>
      <c r="I131" t="inlineStr">
        <is>
          <t>0</t>
        </is>
      </c>
      <c r="J131" t="inlineStr">
        <is>
          <t>stall_mistwake</t>
        </is>
      </c>
      <c r="K131" t="inlineStr">
        <is>
          <t>formal</t>
        </is>
      </c>
    </row>
    <row r="132" s="439">
      <c r="A132" t="inlineStr">
        <is>
          <t>enchant_tailwind</t>
        </is>
      </c>
      <c r="B132" t="inlineStr">
        <is>
          <t>顺风铭刻</t>
        </is>
      </c>
      <c r="C132" t="inlineStr">
        <is>
          <t>借顺风缩短物品的基础充能时间。</t>
        </is>
      </c>
      <c r="D132" t="inlineStr">
        <is>
          <t>item_crosswind_selector</t>
        </is>
      </c>
      <c r="E132" t="inlineStr">
        <is>
          <t>gold</t>
        </is>
      </c>
      <c r="F132" t="inlineStr">
        <is>
          <t>9</t>
        </is>
      </c>
      <c r="G132" t="inlineStr">
        <is>
          <t>-1</t>
        </is>
      </c>
      <c r="H132" t="inlineStr">
        <is>
          <t>0</t>
        </is>
      </c>
      <c r="I132" t="inlineStr">
        <is>
          <t>0</t>
        </is>
      </c>
      <c r="J132" t="inlineStr">
        <is>
          <t>stall_mistwake</t>
        </is>
      </c>
      <c r="K132" t="inlineStr">
        <is>
          <t>formal</t>
        </is>
      </c>
    </row>
    <row r="133" s="439">
      <c r="A133" t="inlineStr">
        <is>
          <t>enchant_tailwind</t>
        </is>
      </c>
      <c r="B133" t="inlineStr">
        <is>
          <t>顺风铭刻</t>
        </is>
      </c>
      <c r="C133" t="inlineStr">
        <is>
          <t>借顺风缩短物品的基础充能时间。</t>
        </is>
      </c>
      <c r="D133" t="inlineStr">
        <is>
          <t>item_crosswind_selector</t>
        </is>
      </c>
      <c r="E133" t="inlineStr">
        <is>
          <t>diamond</t>
        </is>
      </c>
      <c r="F133" t="inlineStr">
        <is>
          <t>12</t>
        </is>
      </c>
      <c r="G133" t="inlineStr">
        <is>
          <t>-1</t>
        </is>
      </c>
      <c r="H133" t="inlineStr">
        <is>
          <t>0</t>
        </is>
      </c>
      <c r="I133" t="inlineStr">
        <is>
          <t>0</t>
        </is>
      </c>
      <c r="J133" t="inlineStr">
        <is>
          <t>stall_mistwake</t>
        </is>
      </c>
      <c r="K133" t="inlineStr">
        <is>
          <t>formal</t>
        </is>
      </c>
    </row>
    <row r="134">
      <c r="A134" t="inlineStr">
        <is>
          <t>enchant_tailwind</t>
        </is>
      </c>
      <c r="B134" t="inlineStr">
        <is>
          <t>顺风铭刻</t>
        </is>
      </c>
      <c r="C134" t="inlineStr">
        <is>
          <t>借顺风缩短物品的基础充能时间。</t>
        </is>
      </c>
      <c r="D134" t="inlineStr">
        <is>
          <t>item_tideglass_sidearm</t>
        </is>
      </c>
      <c r="E134" t="inlineStr">
        <is>
          <t>bronze</t>
        </is>
      </c>
      <c r="F134" t="n">
        <v>4</v>
      </c>
      <c r="G134" t="n">
        <v>-1</v>
      </c>
      <c r="H134" t="n">
        <v>0</v>
      </c>
      <c r="I134" t="n">
        <v>0</v>
      </c>
      <c r="J134" t="inlineStr">
        <is>
          <t>stall_mistwake</t>
        </is>
      </c>
      <c r="K134" t="inlineStr">
        <is>
          <t>formal</t>
        </is>
      </c>
    </row>
    <row r="135">
      <c r="A135" t="inlineStr">
        <is>
          <t>enchant_tailwind</t>
        </is>
      </c>
      <c r="B135" t="inlineStr">
        <is>
          <t>顺风铭刻</t>
        </is>
      </c>
      <c r="C135" t="inlineStr">
        <is>
          <t>借顺风缩短物品的基础充能时间。</t>
        </is>
      </c>
      <c r="D135" t="inlineStr">
        <is>
          <t>item_tideglass_sidearm</t>
        </is>
      </c>
      <c r="E135" t="inlineStr">
        <is>
          <t>silver</t>
        </is>
      </c>
      <c r="F135" t="n">
        <v>6</v>
      </c>
      <c r="G135" t="n">
        <v>-1</v>
      </c>
      <c r="H135" t="n">
        <v>0</v>
      </c>
      <c r="I135" t="n">
        <v>0</v>
      </c>
      <c r="J135" t="inlineStr">
        <is>
          <t>stall_mistwake</t>
        </is>
      </c>
      <c r="K135" t="inlineStr">
        <is>
          <t>formal</t>
        </is>
      </c>
    </row>
    <row r="136">
      <c r="A136" t="inlineStr">
        <is>
          <t>enchant_tailwind</t>
        </is>
      </c>
      <c r="B136" t="inlineStr">
        <is>
          <t>顺风铭刻</t>
        </is>
      </c>
      <c r="C136" t="inlineStr">
        <is>
          <t>借顺风缩短物品的基础充能时间。</t>
        </is>
      </c>
      <c r="D136" t="inlineStr">
        <is>
          <t>item_tideglass_sidearm</t>
        </is>
      </c>
      <c r="E136" t="inlineStr">
        <is>
          <t>gold</t>
        </is>
      </c>
      <c r="F136" t="n">
        <v>9</v>
      </c>
      <c r="G136" t="n">
        <v>-1</v>
      </c>
      <c r="H136" t="n">
        <v>0</v>
      </c>
      <c r="I136" t="n">
        <v>0</v>
      </c>
      <c r="J136" t="inlineStr">
        <is>
          <t>stall_mistwake</t>
        </is>
      </c>
      <c r="K136" t="inlineStr">
        <is>
          <t>formal</t>
        </is>
      </c>
    </row>
    <row r="137">
      <c r="A137" t="inlineStr">
        <is>
          <t>enchant_tailwind</t>
        </is>
      </c>
      <c r="B137" t="inlineStr">
        <is>
          <t>顺风铭刻</t>
        </is>
      </c>
      <c r="C137" t="inlineStr">
        <is>
          <t>借顺风缩短物品的基础充能时间。</t>
        </is>
      </c>
      <c r="D137" t="inlineStr">
        <is>
          <t>item_tideglass_sidearm</t>
        </is>
      </c>
      <c r="E137" t="inlineStr">
        <is>
          <t>diamond</t>
        </is>
      </c>
      <c r="F137" t="n">
        <v>12</v>
      </c>
      <c r="G137" t="n">
        <v>-1</v>
      </c>
      <c r="H137" t="n">
        <v>0</v>
      </c>
      <c r="I137" t="n">
        <v>0</v>
      </c>
      <c r="J137" t="inlineStr">
        <is>
          <t>stall_mistwake</t>
        </is>
      </c>
      <c r="K137" t="inlineStr">
        <is>
          <t>formal</t>
        </is>
      </c>
    </row>
    <row r="138">
      <c r="A138" t="inlineStr">
        <is>
          <t>enchant_breaker</t>
        </is>
      </c>
      <c r="B138" t="inlineStr">
        <is>
          <t>破浪铭刻</t>
        </is>
      </c>
      <c r="C138" t="inlineStr">
        <is>
          <t>把破浪冲势转化为明确的伤害增量。</t>
        </is>
      </c>
      <c r="D138" t="inlineStr">
        <is>
          <t>item_tideglass_sidearm</t>
        </is>
      </c>
      <c r="E138" t="inlineStr">
        <is>
          <t>bronze</t>
        </is>
      </c>
      <c r="F138" t="n">
        <v>5</v>
      </c>
      <c r="G138" t="n">
        <v>0</v>
      </c>
      <c r="H138" t="n">
        <v>2</v>
      </c>
      <c r="I138" t="n">
        <v>0</v>
      </c>
      <c r="J138" t="inlineStr">
        <is>
          <t>stall_mistwake</t>
        </is>
      </c>
      <c r="K138" t="inlineStr">
        <is>
          <t>formal</t>
        </is>
      </c>
    </row>
    <row r="139">
      <c r="A139" t="inlineStr">
        <is>
          <t>enchant_breaker</t>
        </is>
      </c>
      <c r="B139" t="inlineStr">
        <is>
          <t>破浪铭刻</t>
        </is>
      </c>
      <c r="C139" t="inlineStr">
        <is>
          <t>把破浪冲势转化为明确的伤害增量。</t>
        </is>
      </c>
      <c r="D139" t="inlineStr">
        <is>
          <t>item_tideglass_sidearm</t>
        </is>
      </c>
      <c r="E139" t="inlineStr">
        <is>
          <t>silver</t>
        </is>
      </c>
      <c r="F139" t="n">
        <v>7</v>
      </c>
      <c r="G139" t="n">
        <v>0</v>
      </c>
      <c r="H139" t="n">
        <v>3</v>
      </c>
      <c r="I139" t="n">
        <v>0</v>
      </c>
      <c r="J139" t="inlineStr">
        <is>
          <t>stall_mistwake</t>
        </is>
      </c>
      <c r="K139" t="inlineStr">
        <is>
          <t>formal</t>
        </is>
      </c>
    </row>
    <row r="140">
      <c r="A140" t="inlineStr">
        <is>
          <t>enchant_breaker</t>
        </is>
      </c>
      <c r="B140" t="inlineStr">
        <is>
          <t>破浪铭刻</t>
        </is>
      </c>
      <c r="C140" t="inlineStr">
        <is>
          <t>把破浪冲势转化为明确的伤害增量。</t>
        </is>
      </c>
      <c r="D140" t="inlineStr">
        <is>
          <t>item_tideglass_sidearm</t>
        </is>
      </c>
      <c r="E140" t="inlineStr">
        <is>
          <t>gold</t>
        </is>
      </c>
      <c r="F140" t="n">
        <v>10</v>
      </c>
      <c r="G140" t="n">
        <v>0</v>
      </c>
      <c r="H140" t="n">
        <v>4</v>
      </c>
      <c r="I140" t="n">
        <v>0</v>
      </c>
      <c r="J140" t="inlineStr">
        <is>
          <t>stall_mistwake</t>
        </is>
      </c>
      <c r="K140" t="inlineStr">
        <is>
          <t>formal</t>
        </is>
      </c>
    </row>
    <row r="141">
      <c r="A141" t="inlineStr">
        <is>
          <t>enchant_breaker</t>
        </is>
      </c>
      <c r="B141" t="inlineStr">
        <is>
          <t>破浪铭刻</t>
        </is>
      </c>
      <c r="C141" t="inlineStr">
        <is>
          <t>把破浪冲势转化为明确的伤害增量。</t>
        </is>
      </c>
      <c r="D141" t="inlineStr">
        <is>
          <t>item_tideglass_sidearm</t>
        </is>
      </c>
      <c r="E141" t="inlineStr">
        <is>
          <t>diamond</t>
        </is>
      </c>
      <c r="F141" t="n">
        <v>13</v>
      </c>
      <c r="G141" t="n">
        <v>0</v>
      </c>
      <c r="H141" t="n">
        <v>6</v>
      </c>
      <c r="I141" t="n">
        <v>0</v>
      </c>
      <c r="J141" t="inlineStr">
        <is>
          <t>stall_mistwake</t>
        </is>
      </c>
      <c r="K141" t="inlineStr">
        <is>
          <t>formal</t>
        </is>
      </c>
    </row>
    <row r="142">
      <c r="A142" t="inlineStr">
        <is>
          <t>enchant_tailwind</t>
        </is>
      </c>
      <c r="B142" t="inlineStr">
        <is>
          <t>顺风铭刻</t>
        </is>
      </c>
      <c r="C142" t="inlineStr">
        <is>
          <t>借顺风缩短物品的基础充能时间。</t>
        </is>
      </c>
      <c r="D142" t="inlineStr">
        <is>
          <t>item_emberwake_lantern</t>
        </is>
      </c>
      <c r="E142" t="inlineStr">
        <is>
          <t>bronze</t>
        </is>
      </c>
      <c r="F142" t="n">
        <v>4</v>
      </c>
      <c r="G142" t="n">
        <v>-1</v>
      </c>
      <c r="H142" t="n">
        <v>0</v>
      </c>
      <c r="I142" t="n">
        <v>0</v>
      </c>
      <c r="J142" t="inlineStr">
        <is>
          <t>stall_mistwake</t>
        </is>
      </c>
      <c r="K142" t="inlineStr">
        <is>
          <t>formal</t>
        </is>
      </c>
    </row>
    <row r="143">
      <c r="A143" t="inlineStr">
        <is>
          <t>enchant_tailwind</t>
        </is>
      </c>
      <c r="B143" t="inlineStr">
        <is>
          <t>顺风铭刻</t>
        </is>
      </c>
      <c r="C143" t="inlineStr">
        <is>
          <t>借顺风缩短物品的基础充能时间。</t>
        </is>
      </c>
      <c r="D143" t="inlineStr">
        <is>
          <t>item_emberwake_lantern</t>
        </is>
      </c>
      <c r="E143" t="inlineStr">
        <is>
          <t>silver</t>
        </is>
      </c>
      <c r="F143" t="n">
        <v>6</v>
      </c>
      <c r="G143" t="n">
        <v>-1</v>
      </c>
      <c r="H143" t="n">
        <v>0</v>
      </c>
      <c r="I143" t="n">
        <v>0</v>
      </c>
      <c r="J143" t="inlineStr">
        <is>
          <t>stall_mistwake</t>
        </is>
      </c>
      <c r="K143" t="inlineStr">
        <is>
          <t>formal</t>
        </is>
      </c>
    </row>
    <row r="144">
      <c r="A144" t="inlineStr">
        <is>
          <t>enchant_tailwind</t>
        </is>
      </c>
      <c r="B144" t="inlineStr">
        <is>
          <t>顺风铭刻</t>
        </is>
      </c>
      <c r="C144" t="inlineStr">
        <is>
          <t>借顺风缩短物品的基础充能时间。</t>
        </is>
      </c>
      <c r="D144" t="inlineStr">
        <is>
          <t>item_emberwake_lantern</t>
        </is>
      </c>
      <c r="E144" t="inlineStr">
        <is>
          <t>gold</t>
        </is>
      </c>
      <c r="F144" t="n">
        <v>9</v>
      </c>
      <c r="G144" t="n">
        <v>-1</v>
      </c>
      <c r="H144" t="n">
        <v>0</v>
      </c>
      <c r="I144" t="n">
        <v>0</v>
      </c>
      <c r="J144" t="inlineStr">
        <is>
          <t>stall_mistwake</t>
        </is>
      </c>
      <c r="K144" t="inlineStr">
        <is>
          <t>formal</t>
        </is>
      </c>
    </row>
    <row r="145">
      <c r="A145" t="inlineStr">
        <is>
          <t>enchant_tailwind</t>
        </is>
      </c>
      <c r="B145" t="inlineStr">
        <is>
          <t>顺风铭刻</t>
        </is>
      </c>
      <c r="C145" t="inlineStr">
        <is>
          <t>借顺风缩短物品的基础充能时间。</t>
        </is>
      </c>
      <c r="D145" t="inlineStr">
        <is>
          <t>item_emberwake_lantern</t>
        </is>
      </c>
      <c r="E145" t="inlineStr">
        <is>
          <t>diamond</t>
        </is>
      </c>
      <c r="F145" t="n">
        <v>12</v>
      </c>
      <c r="G145" t="n">
        <v>-1</v>
      </c>
      <c r="H145" t="n">
        <v>0</v>
      </c>
      <c r="I145" t="n">
        <v>0</v>
      </c>
      <c r="J145" t="inlineStr">
        <is>
          <t>stall_mistwake</t>
        </is>
      </c>
      <c r="K145" t="inlineStr">
        <is>
          <t>formal</t>
        </is>
      </c>
    </row>
    <row r="146">
      <c r="A146" t="inlineStr">
        <is>
          <t>enchant_tailwind</t>
        </is>
      </c>
      <c r="B146" t="inlineStr">
        <is>
          <t>顺风铭刻</t>
        </is>
      </c>
      <c r="C146" t="inlineStr">
        <is>
          <t>借顺风缩短物品的基础充能时间。</t>
        </is>
      </c>
      <c r="D146" t="inlineStr">
        <is>
          <t>item_inkwake_doser</t>
        </is>
      </c>
      <c r="E146" t="inlineStr">
        <is>
          <t>bronze</t>
        </is>
      </c>
      <c r="F146" t="inlineStr">
        <is>
          <t>4</t>
        </is>
      </c>
      <c r="G146" t="inlineStr">
        <is>
          <t>-1</t>
        </is>
      </c>
      <c r="H146" t="inlineStr">
        <is>
          <t>0</t>
        </is>
      </c>
      <c r="I146" t="inlineStr">
        <is>
          <t>0</t>
        </is>
      </c>
      <c r="J146" t="inlineStr">
        <is>
          <t>stall_mistwake</t>
        </is>
      </c>
      <c r="K146" t="inlineStr">
        <is>
          <t>formal</t>
        </is>
      </c>
    </row>
    <row r="147">
      <c r="A147" t="inlineStr">
        <is>
          <t>enchant_tailwind</t>
        </is>
      </c>
      <c r="B147" t="inlineStr">
        <is>
          <t>顺风铭刻</t>
        </is>
      </c>
      <c r="C147" t="inlineStr">
        <is>
          <t>借顺风缩短物品的基础充能时间。</t>
        </is>
      </c>
      <c r="D147" t="inlineStr">
        <is>
          <t>item_inkwake_doser</t>
        </is>
      </c>
      <c r="E147" t="inlineStr">
        <is>
          <t>silver</t>
        </is>
      </c>
      <c r="F147" t="inlineStr">
        <is>
          <t>6</t>
        </is>
      </c>
      <c r="G147" t="inlineStr">
        <is>
          <t>-1</t>
        </is>
      </c>
      <c r="H147" t="inlineStr">
        <is>
          <t>0</t>
        </is>
      </c>
      <c r="I147" t="inlineStr">
        <is>
          <t>0</t>
        </is>
      </c>
      <c r="J147" t="inlineStr">
        <is>
          <t>stall_mistwake</t>
        </is>
      </c>
      <c r="K147" t="inlineStr">
        <is>
          <t>formal</t>
        </is>
      </c>
    </row>
    <row r="148">
      <c r="A148" t="inlineStr">
        <is>
          <t>enchant_tailwind</t>
        </is>
      </c>
      <c r="B148" t="inlineStr">
        <is>
          <t>顺风铭刻</t>
        </is>
      </c>
      <c r="C148" t="inlineStr">
        <is>
          <t>借顺风缩短物品的基础充能时间。</t>
        </is>
      </c>
      <c r="D148" t="inlineStr">
        <is>
          <t>item_inkwake_doser</t>
        </is>
      </c>
      <c r="E148" t="inlineStr">
        <is>
          <t>gold</t>
        </is>
      </c>
      <c r="F148" t="inlineStr">
        <is>
          <t>9</t>
        </is>
      </c>
      <c r="G148" t="inlineStr">
        <is>
          <t>-1</t>
        </is>
      </c>
      <c r="H148" t="inlineStr">
        <is>
          <t>0</t>
        </is>
      </c>
      <c r="I148" t="inlineStr">
        <is>
          <t>0</t>
        </is>
      </c>
      <c r="J148" t="inlineStr">
        <is>
          <t>stall_mistwake</t>
        </is>
      </c>
      <c r="K148" t="inlineStr">
        <is>
          <t>formal</t>
        </is>
      </c>
    </row>
    <row r="149">
      <c r="A149" t="inlineStr">
        <is>
          <t>enchant_tailwind</t>
        </is>
      </c>
      <c r="B149" t="inlineStr">
        <is>
          <t>顺风铭刻</t>
        </is>
      </c>
      <c r="C149" t="inlineStr">
        <is>
          <t>借顺风缩短物品的基础充能时间。</t>
        </is>
      </c>
      <c r="D149" t="inlineStr">
        <is>
          <t>item_inkwake_doser</t>
        </is>
      </c>
      <c r="E149" t="inlineStr">
        <is>
          <t>diamond</t>
        </is>
      </c>
      <c r="F149" t="inlineStr">
        <is>
          <t>12</t>
        </is>
      </c>
      <c r="G149" t="inlineStr">
        <is>
          <t>-1</t>
        </is>
      </c>
      <c r="H149" t="inlineStr">
        <is>
          <t>0</t>
        </is>
      </c>
      <c r="I149" t="inlineStr">
        <is>
          <t>0</t>
        </is>
      </c>
      <c r="J149" t="inlineStr">
        <is>
          <t>stall_mistwake</t>
        </is>
      </c>
      <c r="K149" t="inlineStr">
        <is>
          <t>formal</t>
        </is>
      </c>
    </row>
  </sheetData>
  <autoFilter ref="A1:K133"/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N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style="439" min="1" max="1"/>
    <col width="28" customWidth="1" style="439" min="2" max="2"/>
    <col width="10" customWidth="1" style="439" min="3" max="3"/>
    <col width="15" customWidth="1" style="439" min="4" max="4"/>
    <col width="31" customWidth="1" style="439" min="5" max="5"/>
    <col width="14" customWidth="1" style="439" min="6" max="6"/>
    <col width="22" customWidth="1" style="439" min="7" max="7"/>
    <col width="58" customWidth="1" style="439" min="8" max="8"/>
    <col width="27" customWidth="1" style="439" min="9" max="9"/>
    <col width="11" customWidth="1" style="439" min="10" max="10"/>
    <col width="31" customWidth="1" style="439" min="11" max="11"/>
    <col width="12" customWidth="1" style="439" min="12" max="12"/>
    <col width="39" customWidth="1" style="439" min="13" max="13"/>
    <col width="16" customWidth="1" style="439" min="14" max="14"/>
  </cols>
  <sheetData>
    <row r="1">
      <c r="A1" s="464" t="inlineStr">
        <is>
          <t>enabled</t>
        </is>
      </c>
      <c r="B1" s="464" t="inlineStr">
        <is>
          <t>milestone_id</t>
        </is>
      </c>
      <c r="C1" s="464" t="inlineStr">
        <is>
          <t>level</t>
        </is>
      </c>
      <c r="D1" s="464" t="inlineStr">
        <is>
          <t>required_xp</t>
        </is>
      </c>
      <c r="E1" s="464" t="inlineStr">
        <is>
          <t>option_id</t>
        </is>
      </c>
      <c r="F1" s="464" t="inlineStr">
        <is>
          <t>option_order</t>
        </is>
      </c>
      <c r="G1" s="464" t="inlineStr">
        <is>
          <t>name_zh</t>
        </is>
      </c>
      <c r="H1" s="464" t="inlineStr">
        <is>
          <t>description_zh</t>
        </is>
      </c>
      <c r="I1" s="464" t="inlineStr">
        <is>
          <t>effect_type</t>
        </is>
      </c>
      <c r="J1" s="464" t="inlineStr">
        <is>
          <t>amount</t>
        </is>
      </c>
      <c r="K1" s="464" t="inlineStr">
        <is>
          <t>item_id</t>
        </is>
      </c>
      <c r="L1" s="464" t="inlineStr">
        <is>
          <t>quality</t>
        </is>
      </c>
      <c r="M1" s="464" t="inlineStr">
        <is>
          <t>target_rule</t>
        </is>
      </c>
      <c r="N1" s="464" t="inlineStr">
        <is>
          <t>catalog_status</t>
        </is>
      </c>
    </row>
    <row r="2">
      <c r="A2" s="465" t="inlineStr">
        <is>
          <t>true</t>
        </is>
      </c>
      <c r="B2" s="465" t="inlineStr">
        <is>
          <t>milestone_level_2</t>
        </is>
      </c>
      <c r="C2" s="465" t="inlineStr">
        <is>
          <t>2</t>
        </is>
      </c>
      <c r="D2" s="465" t="inlineStr">
        <is>
          <t>4</t>
        </is>
      </c>
      <c r="E2" s="465" t="inlineStr">
        <is>
          <t>level_option_2_gold</t>
        </is>
      </c>
      <c r="F2" s="465" t="inlineStr">
        <is>
          <t>1</t>
        </is>
      </c>
      <c r="G2" s="465" t="inlineStr">
        <is>
          <t>油布零钱包</t>
        </is>
      </c>
      <c r="H2" s="465" t="inlineStr">
        <is>
          <t>结算后获得五枚补给金币。</t>
        </is>
      </c>
      <c r="I2" s="465" t="inlineStr">
        <is>
          <t>change_gold</t>
        </is>
      </c>
      <c r="J2" s="465" t="inlineStr">
        <is>
          <t>5</t>
        </is>
      </c>
      <c r="K2" s="465" t="inlineStr"/>
      <c r="L2" s="465" t="inlineStr"/>
      <c r="M2" s="465" t="inlineStr"/>
      <c r="N2" s="465" t="inlineStr">
        <is>
          <t>formal</t>
        </is>
      </c>
    </row>
    <row r="3">
      <c r="A3" s="465" t="inlineStr">
        <is>
          <t>true</t>
        </is>
      </c>
      <c r="B3" s="465" t="inlineStr">
        <is>
          <t>milestone_level_2</t>
        </is>
      </c>
      <c r="C3" s="465" t="inlineStr">
        <is>
          <t>2</t>
        </is>
      </c>
      <c r="D3" s="465" t="inlineStr">
        <is>
          <t>4</t>
        </is>
      </c>
      <c r="E3" s="465" t="inlineStr">
        <is>
          <t>level_option_2_item</t>
        </is>
      </c>
      <c r="F3" s="465" t="inlineStr">
        <is>
          <t>2</t>
        </is>
      </c>
      <c r="G3" s="465" t="inlineStr">
        <is>
          <t>星火备件箱</t>
        </is>
      </c>
      <c r="H3" s="465" t="inlineStr">
        <is>
          <t>获得一件白银品质的星火信标并放入储藏。</t>
        </is>
      </c>
      <c r="I3" s="465" t="inlineStr">
        <is>
          <t>grant_item</t>
        </is>
      </c>
      <c r="J3" s="465" t="inlineStr">
        <is>
          <t>1</t>
        </is>
      </c>
      <c r="K3" s="465" t="inlineStr">
        <is>
          <t>item_signal_flare</t>
        </is>
      </c>
      <c r="L3" s="465" t="inlineStr">
        <is>
          <t>silver</t>
        </is>
      </c>
      <c r="M3" s="465" t="inlineStr"/>
      <c r="N3" s="465" t="inlineStr">
        <is>
          <t>formal</t>
        </is>
      </c>
    </row>
    <row r="4">
      <c r="A4" s="465" t="inlineStr">
        <is>
          <t>true</t>
        </is>
      </c>
      <c r="B4" s="465" t="inlineStr">
        <is>
          <t>milestone_level_2</t>
        </is>
      </c>
      <c r="C4" s="465" t="inlineStr">
        <is>
          <t>2</t>
        </is>
      </c>
      <c r="D4" s="465" t="inlineStr">
        <is>
          <t>4</t>
        </is>
      </c>
      <c r="E4" s="465" t="inlineStr">
        <is>
          <t>level_option_2_upgrade</t>
        </is>
      </c>
      <c r="F4" s="465" t="inlineStr">
        <is>
          <t>3</t>
        </is>
      </c>
      <c r="G4" s="465" t="inlineStr">
        <is>
          <t>精调一件装备</t>
        </is>
      </c>
      <c r="H4" s="465" t="inlineStr">
        <is>
          <t>选择一件自有且仍可升阶的物品，提升一个品质阶段。</t>
        </is>
      </c>
      <c r="I4" s="465" t="inlineStr">
        <is>
          <t>upgrade_owned_item</t>
        </is>
      </c>
      <c r="J4" s="465" t="inlineStr">
        <is>
          <t>1</t>
        </is>
      </c>
      <c r="K4" s="465" t="inlineStr"/>
      <c r="L4" s="465" t="inlineStr"/>
      <c r="M4" s="465" t="inlineStr">
        <is>
          <t>player_selected_owned_instance</t>
        </is>
      </c>
      <c r="N4" s="465" t="inlineStr">
        <is>
          <t>formal</t>
        </is>
      </c>
    </row>
    <row r="5">
      <c r="A5" s="465" t="inlineStr">
        <is>
          <t>true</t>
        </is>
      </c>
      <c r="B5" s="465" t="inlineStr">
        <is>
          <t>milestone_level_3</t>
        </is>
      </c>
      <c r="C5" s="465" t="inlineStr">
        <is>
          <t>3</t>
        </is>
      </c>
      <c r="D5" s="465" t="inlineStr">
        <is>
          <t>8</t>
        </is>
      </c>
      <c r="E5" s="465" t="inlineStr">
        <is>
          <t>level_option_3_gold</t>
        </is>
      </c>
      <c r="F5" s="465" t="inlineStr">
        <is>
          <t>1</t>
        </is>
      </c>
      <c r="G5" s="465" t="inlineStr">
        <is>
          <t>暗潮薪饷袋</t>
        </is>
      </c>
      <c r="H5" s="465" t="inlineStr">
        <is>
          <t>结算后获得七枚补给金币。</t>
        </is>
      </c>
      <c r="I5" s="465" t="inlineStr">
        <is>
          <t>change_gold</t>
        </is>
      </c>
      <c r="J5" s="465" t="inlineStr">
        <is>
          <t>7</t>
        </is>
      </c>
      <c r="K5" s="465" t="inlineStr"/>
      <c r="L5" s="465" t="inlineStr"/>
      <c r="M5" s="465" t="inlineStr"/>
      <c r="N5" s="465" t="inlineStr">
        <is>
          <t>formal</t>
        </is>
      </c>
    </row>
    <row r="6">
      <c r="A6" s="465" t="inlineStr">
        <is>
          <t>true</t>
        </is>
      </c>
      <c r="B6" s="465" t="inlineStr">
        <is>
          <t>milestone_level_3</t>
        </is>
      </c>
      <c r="C6" s="465" t="inlineStr">
        <is>
          <t>3</t>
        </is>
      </c>
      <c r="D6" s="465" t="inlineStr">
        <is>
          <t>8</t>
        </is>
      </c>
      <c r="E6" s="465" t="inlineStr">
        <is>
          <t>level_option_3_item</t>
        </is>
      </c>
      <c r="F6" s="465" t="inlineStr">
        <is>
          <t>2</t>
        </is>
      </c>
      <c r="G6" s="465" t="inlineStr">
        <is>
          <t>风眼罗盘匣</t>
        </is>
      </c>
      <c r="H6" s="465" t="inlineStr">
        <is>
          <t>获得一件黄金品质的风暴罗盘并放入储藏。</t>
        </is>
      </c>
      <c r="I6" s="465" t="inlineStr">
        <is>
          <t>grant_item</t>
        </is>
      </c>
      <c r="J6" s="465" t="inlineStr">
        <is>
          <t>1</t>
        </is>
      </c>
      <c r="K6" s="465" t="inlineStr">
        <is>
          <t>item_storm_compass</t>
        </is>
      </c>
      <c r="L6" s="465" t="inlineStr">
        <is>
          <t>gold</t>
        </is>
      </c>
      <c r="M6" s="465" t="inlineStr"/>
      <c r="N6" s="465" t="inlineStr">
        <is>
          <t>formal</t>
        </is>
      </c>
    </row>
    <row r="7">
      <c r="A7" s="465" t="inlineStr">
        <is>
          <t>true</t>
        </is>
      </c>
      <c r="B7" s="465" t="inlineStr">
        <is>
          <t>milestone_level_3</t>
        </is>
      </c>
      <c r="C7" s="465" t="inlineStr">
        <is>
          <t>3</t>
        </is>
      </c>
      <c r="D7" s="465" t="inlineStr">
        <is>
          <t>8</t>
        </is>
      </c>
      <c r="E7" s="465" t="inlineStr">
        <is>
          <t>level_option_3_upgrade</t>
        </is>
      </c>
      <c r="F7" s="465" t="inlineStr">
        <is>
          <t>3</t>
        </is>
      </c>
      <c r="G7" s="465" t="inlineStr">
        <is>
          <t>船坞精调</t>
        </is>
      </c>
      <c r="H7" s="465" t="inlineStr">
        <is>
          <t>选择一件自有且仍可升阶的物品，提升一个品质阶段。</t>
        </is>
      </c>
      <c r="I7" s="465" t="inlineStr">
        <is>
          <t>upgrade_owned_item</t>
        </is>
      </c>
      <c r="J7" s="465" t="inlineStr">
        <is>
          <t>1</t>
        </is>
      </c>
      <c r="K7" s="465" t="inlineStr"/>
      <c r="L7" s="465" t="inlineStr"/>
      <c r="M7" s="465" t="inlineStr">
        <is>
          <t>player_selected_owned_instance</t>
        </is>
      </c>
      <c r="N7" s="465" t="inlineStr">
        <is>
          <t>formal</t>
        </is>
      </c>
    </row>
    <row r="8">
      <c r="A8" s="465" t="inlineStr">
        <is>
          <t>true</t>
        </is>
      </c>
      <c r="B8" s="465" t="inlineStr">
        <is>
          <t>milestone_level_4</t>
        </is>
      </c>
      <c r="C8" s="465" t="inlineStr">
        <is>
          <t>4</t>
        </is>
      </c>
      <c r="D8" s="465" t="inlineStr">
        <is>
          <t>12</t>
        </is>
      </c>
      <c r="E8" s="465" t="inlineStr">
        <is>
          <t>level_option_4_gold</t>
        </is>
      </c>
      <c r="F8" s="465" t="inlineStr">
        <is>
          <t>1</t>
        </is>
      </c>
      <c r="G8" s="465" t="inlineStr">
        <is>
          <t>深航储金筒</t>
        </is>
      </c>
      <c r="H8" s="465" t="inlineStr">
        <is>
          <t>结算后获得九枚补给金币。</t>
        </is>
      </c>
      <c r="I8" s="465" t="inlineStr">
        <is>
          <t>change_gold</t>
        </is>
      </c>
      <c r="J8" s="465" t="inlineStr">
        <is>
          <t>9</t>
        </is>
      </c>
      <c r="K8" s="465" t="inlineStr"/>
      <c r="L8" s="465" t="inlineStr"/>
      <c r="M8" s="465" t="inlineStr"/>
      <c r="N8" s="465" t="inlineStr">
        <is>
          <t>formal</t>
        </is>
      </c>
    </row>
    <row r="9">
      <c r="A9" s="465" t="inlineStr">
        <is>
          <t>true</t>
        </is>
      </c>
      <c r="B9" s="465" t="inlineStr">
        <is>
          <t>milestone_level_4</t>
        </is>
      </c>
      <c r="C9" s="465" t="inlineStr">
        <is>
          <t>4</t>
        </is>
      </c>
      <c r="D9" s="465" t="inlineStr">
        <is>
          <t>12</t>
        </is>
      </c>
      <c r="E9" s="465" t="inlineStr">
        <is>
          <t>level_option_4_item</t>
        </is>
      </c>
      <c r="F9" s="465" t="inlineStr">
        <is>
          <t>2</t>
        </is>
      </c>
      <c r="G9" s="465" t="inlineStr">
        <is>
          <t>深潮钟匣</t>
        </is>
      </c>
      <c r="H9" s="465" t="inlineStr">
        <is>
          <t>获得一件钻石品质的深潮钟并放入储藏。</t>
        </is>
      </c>
      <c r="I9" s="465" t="inlineStr">
        <is>
          <t>grant_item</t>
        </is>
      </c>
      <c r="J9" s="465" t="inlineStr">
        <is>
          <t>1</t>
        </is>
      </c>
      <c r="K9" s="465" t="inlineStr">
        <is>
          <t>item_abyss_bell</t>
        </is>
      </c>
      <c r="L9" s="465" t="inlineStr">
        <is>
          <t>diamond</t>
        </is>
      </c>
      <c r="M9" s="465" t="inlineStr"/>
      <c r="N9" s="465" t="inlineStr">
        <is>
          <t>formal</t>
        </is>
      </c>
    </row>
    <row r="10">
      <c r="A10" s="465" t="inlineStr">
        <is>
          <t>true</t>
        </is>
      </c>
      <c r="B10" s="465" t="inlineStr">
        <is>
          <t>milestone_level_4</t>
        </is>
      </c>
      <c r="C10" s="465" t="inlineStr">
        <is>
          <t>4</t>
        </is>
      </c>
      <c r="D10" s="465" t="inlineStr">
        <is>
          <t>12</t>
        </is>
      </c>
      <c r="E10" s="465" t="inlineStr">
        <is>
          <t>level_option_4_upgrade</t>
        </is>
      </c>
      <c r="F10" s="465" t="inlineStr">
        <is>
          <t>3</t>
        </is>
      </c>
      <c r="G10" s="465" t="inlineStr">
        <is>
          <t>旗舰精调</t>
        </is>
      </c>
      <c r="H10" s="465" t="inlineStr">
        <is>
          <t>选择一件自有且仍可升阶的物品，提升一个品质阶段。</t>
        </is>
      </c>
      <c r="I10" s="465" t="inlineStr">
        <is>
          <t>upgrade_owned_item</t>
        </is>
      </c>
      <c r="J10" s="465" t="inlineStr">
        <is>
          <t>1</t>
        </is>
      </c>
      <c r="K10" s="465" t="inlineStr"/>
      <c r="L10" s="465" t="inlineStr"/>
      <c r="M10" s="465" t="inlineStr">
        <is>
          <t>player_selected_owned_instance</t>
        </is>
      </c>
      <c r="N10" s="465" t="inlineStr">
        <is>
          <t>formal</t>
        </is>
      </c>
    </row>
  </sheetData>
  <autoFilter ref="A1:N10"/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tabColor rgb="001F4E78"/>
    <outlinePr summaryBelow="1" summaryRight="1"/>
    <pageSetUpPr/>
  </sheetPr>
  <dimension ref="A1:O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style="439" min="1" max="1"/>
    <col width="16" customWidth="1" style="439" min="2" max="2"/>
    <col width="23" customWidth="1" style="439" min="3" max="3"/>
    <col width="17" customWidth="1" style="439" min="4" max="4"/>
    <col width="32" customWidth="1" style="439" min="5" max="5"/>
    <col width="23" customWidth="1" style="439" min="6" max="6"/>
    <col width="12" customWidth="1" style="439" min="7" max="7"/>
    <col width="9" customWidth="1" style="439" min="8" max="8"/>
    <col width="13" customWidth="1" style="439" min="9" max="9"/>
    <col width="17" customWidth="1" style="439" min="10" max="10"/>
    <col width="20" customWidth="1" style="439" min="11" max="11"/>
    <col width="9" customWidth="1" style="439" min="12" max="12"/>
    <col width="13" customWidth="1" style="439" min="13" max="13"/>
    <col width="12" customWidth="1" style="439" min="14" max="14"/>
    <col width="16" customWidth="1" style="439" min="15" max="15"/>
  </cols>
  <sheetData>
    <row r="1" ht="24" customHeight="1" s="439">
      <c r="A1" s="464" t="inlineStr">
        <is>
          <t>schema</t>
        </is>
      </c>
      <c r="B1" s="464" t="inlineStr">
        <is>
          <t>schema_version</t>
        </is>
      </c>
      <c r="C1" s="464" t="inlineStr">
        <is>
          <t>snapshot_id</t>
        </is>
      </c>
      <c r="D1" s="464" t="inlineStr">
        <is>
          <t>match_source</t>
        </is>
      </c>
      <c r="E1" s="464" t="inlineStr">
        <is>
          <t>opponent_content_revision</t>
        </is>
      </c>
      <c r="F1" s="464" t="inlineStr">
        <is>
          <t>hero_id</t>
        </is>
      </c>
      <c r="G1" s="464" t="inlineStr">
        <is>
          <t>hero_level</t>
        </is>
      </c>
      <c r="H1" s="464" t="inlineStr">
        <is>
          <t>hero_hp</t>
        </is>
      </c>
      <c r="I1" s="464" t="inlineStr">
        <is>
          <t>hero_max_hp</t>
        </is>
      </c>
      <c r="J1" s="464" t="inlineStr">
        <is>
          <t>instance_id</t>
        </is>
      </c>
      <c r="K1" s="464" t="inlineStr">
        <is>
          <t>item_id</t>
        </is>
      </c>
      <c r="L1" s="464" t="inlineStr">
        <is>
          <t>quality</t>
        </is>
      </c>
      <c r="M1" s="464" t="inlineStr">
        <is>
          <t>enchantment</t>
        </is>
      </c>
      <c r="N1" s="464" t="inlineStr">
        <is>
          <t>start_slot</t>
        </is>
      </c>
      <c r="O1" s="464" t="inlineStr">
        <is>
          <t>catalog_status</t>
        </is>
      </c>
    </row>
    <row r="2">
      <c r="A2" s="465" t="inlineStr">
        <is>
          <t>ysbzs.original-pirate-ghost-snapshot.v1</t>
        </is>
      </c>
      <c r="B2" s="465" t="n">
        <v>2</v>
      </c>
      <c r="C2" s="465" t="inlineStr">
        <is>
          <t>ghost_snapshot_day_01</t>
        </is>
      </c>
      <c r="D2" s="465" t="inlineStr">
        <is>
          <t>offline_content</t>
        </is>
      </c>
      <c r="E2" s="465" t="inlineStr">
        <is>
          <t>original-pirate-bootstrap-content-2026-09-03-v24</t>
        </is>
      </c>
      <c r="F2" s="465" t="inlineStr">
        <is>
          <t>hero_mistwake_captain</t>
        </is>
      </c>
      <c r="G2" s="465" t="n">
        <v>1</v>
      </c>
      <c r="H2" s="465" t="n">
        <v>30</v>
      </c>
      <c r="I2" s="465" t="n">
        <v>30</v>
      </c>
      <c r="J2" s="465" t="inlineStr">
        <is>
          <t>ghost_d01_emberwake</t>
        </is>
      </c>
      <c r="K2" s="465" t="inlineStr">
        <is>
          <t>item_emberwake_lantern</t>
        </is>
      </c>
      <c r="L2" s="465" t="inlineStr">
        <is>
          <t>silver</t>
        </is>
      </c>
      <c r="M2" s="465" t="inlineStr"/>
      <c r="N2" s="465" t="n">
        <v>2</v>
      </c>
      <c r="O2" s="465" t="inlineStr">
        <is>
          <t>formal</t>
        </is>
      </c>
    </row>
    <row r="3">
      <c r="A3" s="465" t="inlineStr">
        <is>
          <t>ysbzs.original-pirate-ghost-snapshot.v1</t>
        </is>
      </c>
      <c r="B3" s="465" t="n">
        <v>2</v>
      </c>
      <c r="C3" s="465" t="inlineStr">
        <is>
          <t>ghost_snapshot_day_01</t>
        </is>
      </c>
      <c r="D3" s="465" t="inlineStr">
        <is>
          <t>offline_content</t>
        </is>
      </c>
      <c r="E3" s="465" t="inlineStr">
        <is>
          <t>original-pirate-bootstrap-content-2026-09-03-v24</t>
        </is>
      </c>
      <c r="F3" s="465" t="inlineStr">
        <is>
          <t>hero_mistwake_captain</t>
        </is>
      </c>
      <c r="G3" s="465" t="n">
        <v>1</v>
      </c>
      <c r="H3" s="465" t="n">
        <v>30</v>
      </c>
      <c r="I3" s="465" t="n">
        <v>30</v>
      </c>
      <c r="J3" s="465" t="inlineStr">
        <is>
          <t>ghost_d01_inkwake</t>
        </is>
      </c>
      <c r="K3" s="465" t="inlineStr">
        <is>
          <t>item_inkwake_doser</t>
        </is>
      </c>
      <c r="L3" s="465" t="inlineStr">
        <is>
          <t>bronze</t>
        </is>
      </c>
      <c r="M3" s="465" t="inlineStr"/>
      <c r="N3" s="465" t="n">
        <v>3</v>
      </c>
      <c r="O3" s="465" t="inlineStr">
        <is>
          <t>formal</t>
        </is>
      </c>
    </row>
    <row r="4">
      <c r="A4" s="465" t="inlineStr">
        <is>
          <t>ysbzs.original-pirate-ghost-snapshot.v1</t>
        </is>
      </c>
      <c r="B4" s="465" t="inlineStr">
        <is>
          <t>2</t>
        </is>
      </c>
      <c r="C4" s="465" t="inlineStr">
        <is>
          <t>ghost_snapshot_day_02</t>
        </is>
      </c>
      <c r="D4" s="465" t="inlineStr">
        <is>
          <t>offline_content</t>
        </is>
      </c>
      <c r="E4" s="465" t="inlineStr">
        <is>
          <t>original-pirate-bootstrap-content-2026-09-03-v24</t>
        </is>
      </c>
      <c r="F4" s="465" t="inlineStr">
        <is>
          <t>hero_mistwake_captain</t>
        </is>
      </c>
      <c r="G4" s="465" t="inlineStr">
        <is>
          <t>1</t>
        </is>
      </c>
      <c r="H4" s="465" t="inlineStr">
        <is>
          <t>32</t>
        </is>
      </c>
      <c r="I4" s="465" t="inlineStr">
        <is>
          <t>32</t>
        </is>
      </c>
      <c r="J4" s="465" t="inlineStr">
        <is>
          <t>ghost_d02_ram</t>
        </is>
      </c>
      <c r="K4" s="465" t="inlineStr">
        <is>
          <t>item_patchwork_ram</t>
        </is>
      </c>
      <c r="L4" s="465" t="inlineStr">
        <is>
          <t>silver</t>
        </is>
      </c>
      <c r="M4" s="465" t="inlineStr"/>
      <c r="N4" s="465" t="inlineStr">
        <is>
          <t>0</t>
        </is>
      </c>
      <c r="O4" s="465" t="inlineStr">
        <is>
          <t>formal</t>
        </is>
      </c>
    </row>
    <row r="5">
      <c r="A5" s="465" t="inlineStr">
        <is>
          <t>ysbzs.original-pirate-ghost-snapshot.v1</t>
        </is>
      </c>
      <c r="B5" s="465" t="inlineStr">
        <is>
          <t>2</t>
        </is>
      </c>
      <c r="C5" s="465" t="inlineStr">
        <is>
          <t>ghost_snapshot_day_02</t>
        </is>
      </c>
      <c r="D5" s="465" t="inlineStr">
        <is>
          <t>offline_content</t>
        </is>
      </c>
      <c r="E5" s="465" t="inlineStr">
        <is>
          <t>original-pirate-bootstrap-content-2026-09-03-v24</t>
        </is>
      </c>
      <c r="F5" s="465" t="inlineStr">
        <is>
          <t>hero_mistwake_captain</t>
        </is>
      </c>
      <c r="G5" s="465" t="inlineStr">
        <is>
          <t>1</t>
        </is>
      </c>
      <c r="H5" s="465" t="inlineStr">
        <is>
          <t>32</t>
        </is>
      </c>
      <c r="I5" s="465" t="inlineStr">
        <is>
          <t>32</t>
        </is>
      </c>
      <c r="J5" s="465" t="inlineStr">
        <is>
          <t>ghost_d02_flare</t>
        </is>
      </c>
      <c r="K5" s="465" t="inlineStr">
        <is>
          <t>item_signal_flare</t>
        </is>
      </c>
      <c r="L5" s="465" t="inlineStr">
        <is>
          <t>silver</t>
        </is>
      </c>
      <c r="M5" s="465" t="inlineStr"/>
      <c r="N5" s="465" t="inlineStr">
        <is>
          <t>2</t>
        </is>
      </c>
      <c r="O5" s="465" t="inlineStr">
        <is>
          <t>formal</t>
        </is>
      </c>
    </row>
    <row r="6">
      <c r="A6" s="465" t="inlineStr">
        <is>
          <t>ysbzs.original-pirate-ghost-snapshot.v1</t>
        </is>
      </c>
      <c r="B6" s="465" t="inlineStr">
        <is>
          <t>2</t>
        </is>
      </c>
      <c r="C6" s="465" t="inlineStr">
        <is>
          <t>ghost_snapshot_day_03</t>
        </is>
      </c>
      <c r="D6" s="465" t="inlineStr">
        <is>
          <t>offline_content</t>
        </is>
      </c>
      <c r="E6" s="465" t="inlineStr">
        <is>
          <t>original-pirate-bootstrap-content-2026-09-03-v24</t>
        </is>
      </c>
      <c r="F6" s="465" t="inlineStr">
        <is>
          <t>hero_mistwake_captain</t>
        </is>
      </c>
      <c r="G6" s="465" t="inlineStr">
        <is>
          <t>1</t>
        </is>
      </c>
      <c r="H6" s="465" t="inlineStr">
        <is>
          <t>34</t>
        </is>
      </c>
      <c r="I6" s="465" t="inlineStr">
        <is>
          <t>34</t>
        </is>
      </c>
      <c r="J6" s="465" t="inlineStr">
        <is>
          <t>ghost_d03_ram</t>
        </is>
      </c>
      <c r="K6" s="465" t="inlineStr">
        <is>
          <t>item_patchwork_ram</t>
        </is>
      </c>
      <c r="L6" s="465" t="inlineStr">
        <is>
          <t>silver</t>
        </is>
      </c>
      <c r="M6" s="465" t="inlineStr"/>
      <c r="N6" s="465" t="inlineStr">
        <is>
          <t>0</t>
        </is>
      </c>
      <c r="O6" s="465" t="inlineStr">
        <is>
          <t>formal</t>
        </is>
      </c>
    </row>
    <row r="7">
      <c r="A7" s="465" t="inlineStr">
        <is>
          <t>ysbzs.original-pirate-ghost-snapshot.v1</t>
        </is>
      </c>
      <c r="B7" s="465" t="inlineStr">
        <is>
          <t>2</t>
        </is>
      </c>
      <c r="C7" s="465" t="inlineStr">
        <is>
          <t>ghost_snapshot_day_03</t>
        </is>
      </c>
      <c r="D7" s="465" t="inlineStr">
        <is>
          <t>offline_content</t>
        </is>
      </c>
      <c r="E7" s="465" t="inlineStr">
        <is>
          <t>original-pirate-bootstrap-content-2026-09-03-v24</t>
        </is>
      </c>
      <c r="F7" s="465" t="inlineStr">
        <is>
          <t>hero_mistwake_captain</t>
        </is>
      </c>
      <c r="G7" s="465" t="inlineStr">
        <is>
          <t>1</t>
        </is>
      </c>
      <c r="H7" s="465" t="inlineStr">
        <is>
          <t>34</t>
        </is>
      </c>
      <c r="I7" s="465" t="inlineStr">
        <is>
          <t>34</t>
        </is>
      </c>
      <c r="J7" s="465" t="inlineStr">
        <is>
          <t>ghost_d03_flare</t>
        </is>
      </c>
      <c r="K7" s="465" t="inlineStr">
        <is>
          <t>item_signal_flare</t>
        </is>
      </c>
      <c r="L7" s="465" t="inlineStr">
        <is>
          <t>silver</t>
        </is>
      </c>
      <c r="M7" s="465" t="inlineStr"/>
      <c r="N7" s="465" t="inlineStr">
        <is>
          <t>2</t>
        </is>
      </c>
      <c r="O7" s="465" t="inlineStr">
        <is>
          <t>formal</t>
        </is>
      </c>
    </row>
    <row r="8">
      <c r="A8" s="465" t="inlineStr">
        <is>
          <t>ysbzs.original-pirate-ghost-snapshot.v1</t>
        </is>
      </c>
      <c r="B8" s="465" t="inlineStr">
        <is>
          <t>2</t>
        </is>
      </c>
      <c r="C8" s="465" t="inlineStr">
        <is>
          <t>ghost_snapshot_day_04</t>
        </is>
      </c>
      <c r="D8" s="465" t="inlineStr">
        <is>
          <t>offline_content</t>
        </is>
      </c>
      <c r="E8" s="465" t="inlineStr">
        <is>
          <t>original-pirate-bootstrap-content-2026-09-03-v24</t>
        </is>
      </c>
      <c r="F8" s="465" t="inlineStr">
        <is>
          <t>hero_mistwake_captain</t>
        </is>
      </c>
      <c r="G8" s="465" t="inlineStr">
        <is>
          <t>2</t>
        </is>
      </c>
      <c r="H8" s="465" t="inlineStr">
        <is>
          <t>36</t>
        </is>
      </c>
      <c r="I8" s="465" t="inlineStr">
        <is>
          <t>36</t>
        </is>
      </c>
      <c r="J8" s="465" t="inlineStr">
        <is>
          <t>ghost_d04_ram</t>
        </is>
      </c>
      <c r="K8" s="465" t="inlineStr">
        <is>
          <t>item_patchwork_ram</t>
        </is>
      </c>
      <c r="L8" s="465" t="inlineStr">
        <is>
          <t>gold</t>
        </is>
      </c>
      <c r="M8" s="465" t="inlineStr"/>
      <c r="N8" s="465" t="inlineStr">
        <is>
          <t>0</t>
        </is>
      </c>
      <c r="O8" s="465" t="inlineStr">
        <is>
          <t>formal</t>
        </is>
      </c>
    </row>
    <row r="9">
      <c r="A9" s="465" t="inlineStr">
        <is>
          <t>ysbzs.original-pirate-ghost-snapshot.v1</t>
        </is>
      </c>
      <c r="B9" s="465" t="inlineStr">
        <is>
          <t>2</t>
        </is>
      </c>
      <c r="C9" s="465" t="inlineStr">
        <is>
          <t>ghost_snapshot_day_04</t>
        </is>
      </c>
      <c r="D9" s="465" t="inlineStr">
        <is>
          <t>offline_content</t>
        </is>
      </c>
      <c r="E9" s="465" t="inlineStr">
        <is>
          <t>original-pirate-bootstrap-content-2026-09-03-v24</t>
        </is>
      </c>
      <c r="F9" s="465" t="inlineStr">
        <is>
          <t>hero_mistwake_captain</t>
        </is>
      </c>
      <c r="G9" s="465" t="inlineStr">
        <is>
          <t>2</t>
        </is>
      </c>
      <c r="H9" s="465" t="inlineStr">
        <is>
          <t>36</t>
        </is>
      </c>
      <c r="I9" s="465" t="inlineStr">
        <is>
          <t>36</t>
        </is>
      </c>
      <c r="J9" s="465" t="inlineStr">
        <is>
          <t>ghost_d04_flare</t>
        </is>
      </c>
      <c r="K9" s="465" t="inlineStr">
        <is>
          <t>item_signal_flare</t>
        </is>
      </c>
      <c r="L9" s="465" t="inlineStr">
        <is>
          <t>gold</t>
        </is>
      </c>
      <c r="M9" s="465" t="inlineStr"/>
      <c r="N9" s="465" t="inlineStr">
        <is>
          <t>2</t>
        </is>
      </c>
      <c r="O9" s="465" t="inlineStr">
        <is>
          <t>formal</t>
        </is>
      </c>
    </row>
    <row r="10">
      <c r="A10" s="465" t="inlineStr">
        <is>
          <t>ysbzs.original-pirate-ghost-snapshot.v1</t>
        </is>
      </c>
      <c r="B10" s="465" t="inlineStr">
        <is>
          <t>2</t>
        </is>
      </c>
      <c r="C10" s="465" t="inlineStr">
        <is>
          <t>ghost_snapshot_day_05</t>
        </is>
      </c>
      <c r="D10" s="465" t="inlineStr">
        <is>
          <t>offline_content</t>
        </is>
      </c>
      <c r="E10" s="465" t="inlineStr">
        <is>
          <t>original-pirate-bootstrap-content-2026-09-03-v24</t>
        </is>
      </c>
      <c r="F10" s="465" t="inlineStr">
        <is>
          <t>hero_mistwake_captain</t>
        </is>
      </c>
      <c r="G10" s="465" t="inlineStr">
        <is>
          <t>2</t>
        </is>
      </c>
      <c r="H10" s="465" t="inlineStr">
        <is>
          <t>38</t>
        </is>
      </c>
      <c r="I10" s="465" t="inlineStr">
        <is>
          <t>38</t>
        </is>
      </c>
      <c r="J10" s="465" t="inlineStr">
        <is>
          <t>ghost_d05_ram</t>
        </is>
      </c>
      <c r="K10" s="465" t="inlineStr">
        <is>
          <t>item_patchwork_ram</t>
        </is>
      </c>
      <c r="L10" s="465" t="inlineStr">
        <is>
          <t>gold</t>
        </is>
      </c>
      <c r="M10" s="465" t="inlineStr"/>
      <c r="N10" s="465" t="inlineStr">
        <is>
          <t>0</t>
        </is>
      </c>
      <c r="O10" s="465" t="inlineStr">
        <is>
          <t>formal</t>
        </is>
      </c>
    </row>
    <row r="11">
      <c r="A11" s="465" t="inlineStr">
        <is>
          <t>ysbzs.original-pirate-ghost-snapshot.v1</t>
        </is>
      </c>
      <c r="B11" s="465" t="inlineStr">
        <is>
          <t>2</t>
        </is>
      </c>
      <c r="C11" s="465" t="inlineStr">
        <is>
          <t>ghost_snapshot_day_05</t>
        </is>
      </c>
      <c r="D11" s="465" t="inlineStr">
        <is>
          <t>offline_content</t>
        </is>
      </c>
      <c r="E11" s="465" t="inlineStr">
        <is>
          <t>original-pirate-bootstrap-content-2026-09-03-v24</t>
        </is>
      </c>
      <c r="F11" s="465" t="inlineStr">
        <is>
          <t>hero_mistwake_captain</t>
        </is>
      </c>
      <c r="G11" s="465" t="inlineStr">
        <is>
          <t>2</t>
        </is>
      </c>
      <c r="H11" s="465" t="inlineStr">
        <is>
          <t>38</t>
        </is>
      </c>
      <c r="I11" s="465" t="inlineStr">
        <is>
          <t>38</t>
        </is>
      </c>
      <c r="J11" s="465" t="inlineStr">
        <is>
          <t>ghost_d05_flare</t>
        </is>
      </c>
      <c r="K11" s="465" t="inlineStr">
        <is>
          <t>item_signal_flare</t>
        </is>
      </c>
      <c r="L11" s="465" t="inlineStr">
        <is>
          <t>gold</t>
        </is>
      </c>
      <c r="M11" s="465" t="inlineStr"/>
      <c r="N11" s="465" t="inlineStr">
        <is>
          <t>2</t>
        </is>
      </c>
      <c r="O11" s="465" t="inlineStr">
        <is>
          <t>formal</t>
        </is>
      </c>
    </row>
    <row r="12">
      <c r="A12" s="465" t="inlineStr">
        <is>
          <t>ysbzs.original-pirate-ghost-snapshot.v1</t>
        </is>
      </c>
      <c r="B12" s="465" t="inlineStr">
        <is>
          <t>2</t>
        </is>
      </c>
      <c r="C12" s="465" t="inlineStr">
        <is>
          <t>ghost_snapshot_day_06</t>
        </is>
      </c>
      <c r="D12" s="465" t="inlineStr">
        <is>
          <t>offline_content</t>
        </is>
      </c>
      <c r="E12" s="465" t="inlineStr">
        <is>
          <t>original-pirate-bootstrap-content-2026-09-03-v24</t>
        </is>
      </c>
      <c r="F12" s="465" t="inlineStr">
        <is>
          <t>hero_mistwake_captain</t>
        </is>
      </c>
      <c r="G12" s="465" t="inlineStr">
        <is>
          <t>2</t>
        </is>
      </c>
      <c r="H12" s="465" t="inlineStr">
        <is>
          <t>40</t>
        </is>
      </c>
      <c r="I12" s="465" t="inlineStr">
        <is>
          <t>40</t>
        </is>
      </c>
      <c r="J12" s="465" t="inlineStr">
        <is>
          <t>ghost_d06_ram</t>
        </is>
      </c>
      <c r="K12" s="465" t="inlineStr">
        <is>
          <t>item_patchwork_ram</t>
        </is>
      </c>
      <c r="L12" s="465" t="inlineStr">
        <is>
          <t>gold</t>
        </is>
      </c>
      <c r="M12" s="465" t="inlineStr"/>
      <c r="N12" s="465" t="inlineStr">
        <is>
          <t>0</t>
        </is>
      </c>
      <c r="O12" s="465" t="inlineStr">
        <is>
          <t>formal</t>
        </is>
      </c>
    </row>
    <row r="13">
      <c r="A13" s="465" t="inlineStr">
        <is>
          <t>ysbzs.original-pirate-ghost-snapshot.v1</t>
        </is>
      </c>
      <c r="B13" s="465" t="inlineStr">
        <is>
          <t>2</t>
        </is>
      </c>
      <c r="C13" s="465" t="inlineStr">
        <is>
          <t>ghost_snapshot_day_06</t>
        </is>
      </c>
      <c r="D13" s="465" t="inlineStr">
        <is>
          <t>offline_content</t>
        </is>
      </c>
      <c r="E13" s="465" t="inlineStr">
        <is>
          <t>original-pirate-bootstrap-content-2026-09-03-v24</t>
        </is>
      </c>
      <c r="F13" s="465" t="inlineStr">
        <is>
          <t>hero_mistwake_captain</t>
        </is>
      </c>
      <c r="G13" s="465" t="inlineStr">
        <is>
          <t>2</t>
        </is>
      </c>
      <c r="H13" s="465" t="inlineStr">
        <is>
          <t>40</t>
        </is>
      </c>
      <c r="I13" s="465" t="inlineStr">
        <is>
          <t>40</t>
        </is>
      </c>
      <c r="J13" s="465" t="inlineStr">
        <is>
          <t>ghost_d06_flare</t>
        </is>
      </c>
      <c r="K13" s="465" t="inlineStr">
        <is>
          <t>item_signal_flare</t>
        </is>
      </c>
      <c r="L13" s="465" t="inlineStr">
        <is>
          <t>gold</t>
        </is>
      </c>
      <c r="M13" s="465" t="inlineStr"/>
      <c r="N13" s="465" t="inlineStr">
        <is>
          <t>2</t>
        </is>
      </c>
      <c r="O13" s="465" t="inlineStr">
        <is>
          <t>formal</t>
        </is>
      </c>
    </row>
    <row r="14">
      <c r="A14" s="465" t="inlineStr">
        <is>
          <t>ysbzs.original-pirate-ghost-snapshot.v1</t>
        </is>
      </c>
      <c r="B14" s="465" t="inlineStr">
        <is>
          <t>2</t>
        </is>
      </c>
      <c r="C14" s="465" t="inlineStr">
        <is>
          <t>ghost_snapshot_day_07</t>
        </is>
      </c>
      <c r="D14" s="465" t="inlineStr">
        <is>
          <t>offline_content</t>
        </is>
      </c>
      <c r="E14" s="465" t="inlineStr">
        <is>
          <t>original-pirate-bootstrap-content-2026-09-03-v24</t>
        </is>
      </c>
      <c r="F14" s="465" t="inlineStr">
        <is>
          <t>hero_mistwake_captain</t>
        </is>
      </c>
      <c r="G14" s="465" t="inlineStr">
        <is>
          <t>3</t>
        </is>
      </c>
      <c r="H14" s="465" t="inlineStr">
        <is>
          <t>42</t>
        </is>
      </c>
      <c r="I14" s="465" t="inlineStr">
        <is>
          <t>42</t>
        </is>
      </c>
      <c r="J14" s="465" t="inlineStr">
        <is>
          <t>ghost_d07_ram</t>
        </is>
      </c>
      <c r="K14" s="465" t="inlineStr">
        <is>
          <t>item_patchwork_ram</t>
        </is>
      </c>
      <c r="L14" s="465" t="inlineStr">
        <is>
          <t>gold</t>
        </is>
      </c>
      <c r="M14" s="465" t="inlineStr"/>
      <c r="N14" s="465" t="inlineStr">
        <is>
          <t>0</t>
        </is>
      </c>
      <c r="O14" s="465" t="inlineStr">
        <is>
          <t>formal</t>
        </is>
      </c>
    </row>
    <row r="15">
      <c r="A15" s="465" t="inlineStr">
        <is>
          <t>ysbzs.original-pirate-ghost-snapshot.v1</t>
        </is>
      </c>
      <c r="B15" s="465" t="inlineStr">
        <is>
          <t>2</t>
        </is>
      </c>
      <c r="C15" s="465" t="inlineStr">
        <is>
          <t>ghost_snapshot_day_07</t>
        </is>
      </c>
      <c r="D15" s="465" t="inlineStr">
        <is>
          <t>offline_content</t>
        </is>
      </c>
      <c r="E15" s="465" t="inlineStr">
        <is>
          <t>original-pirate-bootstrap-content-2026-09-03-v24</t>
        </is>
      </c>
      <c r="F15" s="465" t="inlineStr">
        <is>
          <t>hero_mistwake_captain</t>
        </is>
      </c>
      <c r="G15" s="465" t="inlineStr">
        <is>
          <t>3</t>
        </is>
      </c>
      <c r="H15" s="465" t="inlineStr">
        <is>
          <t>42</t>
        </is>
      </c>
      <c r="I15" s="465" t="inlineStr">
        <is>
          <t>42</t>
        </is>
      </c>
      <c r="J15" s="465" t="inlineStr">
        <is>
          <t>ghost_d07_flare</t>
        </is>
      </c>
      <c r="K15" s="465" t="inlineStr">
        <is>
          <t>item_signal_flare</t>
        </is>
      </c>
      <c r="L15" s="465" t="inlineStr">
        <is>
          <t>gold</t>
        </is>
      </c>
      <c r="M15" s="465" t="inlineStr"/>
      <c r="N15" s="465" t="inlineStr">
        <is>
          <t>2</t>
        </is>
      </c>
      <c r="O15" s="465" t="inlineStr">
        <is>
          <t>formal</t>
        </is>
      </c>
    </row>
    <row r="16">
      <c r="A16" s="465" t="inlineStr">
        <is>
          <t>ysbzs.original-pirate-ghost-snapshot.v1</t>
        </is>
      </c>
      <c r="B16" s="465" t="inlineStr">
        <is>
          <t>2</t>
        </is>
      </c>
      <c r="C16" s="465" t="inlineStr">
        <is>
          <t>ghost_snapshot_day_08</t>
        </is>
      </c>
      <c r="D16" s="465" t="inlineStr">
        <is>
          <t>offline_content</t>
        </is>
      </c>
      <c r="E16" s="465" t="inlineStr">
        <is>
          <t>original-pirate-bootstrap-content-2026-09-03-v24</t>
        </is>
      </c>
      <c r="F16" s="465" t="inlineStr">
        <is>
          <t>hero_mistwake_captain</t>
        </is>
      </c>
      <c r="G16" s="465" t="inlineStr">
        <is>
          <t>3</t>
        </is>
      </c>
      <c r="H16" s="465" t="inlineStr">
        <is>
          <t>44</t>
        </is>
      </c>
      <c r="I16" s="465" t="inlineStr">
        <is>
          <t>44</t>
        </is>
      </c>
      <c r="J16" s="465" t="inlineStr">
        <is>
          <t>ghost_d08_ram</t>
        </is>
      </c>
      <c r="K16" s="465" t="inlineStr">
        <is>
          <t>item_patchwork_ram</t>
        </is>
      </c>
      <c r="L16" s="465" t="inlineStr">
        <is>
          <t>diamond</t>
        </is>
      </c>
      <c r="M16" s="465" t="inlineStr"/>
      <c r="N16" s="465" t="inlineStr">
        <is>
          <t>0</t>
        </is>
      </c>
      <c r="O16" s="465" t="inlineStr">
        <is>
          <t>formal</t>
        </is>
      </c>
    </row>
    <row r="17">
      <c r="A17" s="465" t="inlineStr">
        <is>
          <t>ysbzs.original-pirate-ghost-snapshot.v1</t>
        </is>
      </c>
      <c r="B17" s="465" t="inlineStr">
        <is>
          <t>2</t>
        </is>
      </c>
      <c r="C17" s="465" t="inlineStr">
        <is>
          <t>ghost_snapshot_day_08</t>
        </is>
      </c>
      <c r="D17" s="465" t="inlineStr">
        <is>
          <t>offline_content</t>
        </is>
      </c>
      <c r="E17" s="465" t="inlineStr">
        <is>
          <t>original-pirate-bootstrap-content-2026-09-03-v24</t>
        </is>
      </c>
      <c r="F17" s="465" t="inlineStr">
        <is>
          <t>hero_mistwake_captain</t>
        </is>
      </c>
      <c r="G17" s="465" t="inlineStr">
        <is>
          <t>3</t>
        </is>
      </c>
      <c r="H17" s="465" t="inlineStr">
        <is>
          <t>44</t>
        </is>
      </c>
      <c r="I17" s="465" t="inlineStr">
        <is>
          <t>44</t>
        </is>
      </c>
      <c r="J17" s="465" t="inlineStr">
        <is>
          <t>ghost_d08_flare</t>
        </is>
      </c>
      <c r="K17" s="465" t="inlineStr">
        <is>
          <t>item_signal_flare</t>
        </is>
      </c>
      <c r="L17" s="465" t="inlineStr">
        <is>
          <t>diamond</t>
        </is>
      </c>
      <c r="M17" s="465" t="inlineStr"/>
      <c r="N17" s="465" t="inlineStr">
        <is>
          <t>2</t>
        </is>
      </c>
      <c r="O17" s="465" t="inlineStr">
        <is>
          <t>formal</t>
        </is>
      </c>
    </row>
    <row r="18">
      <c r="A18" s="465" t="inlineStr">
        <is>
          <t>ysbzs.original-pirate-ghost-snapshot.v1</t>
        </is>
      </c>
      <c r="B18" s="465" t="inlineStr">
        <is>
          <t>2</t>
        </is>
      </c>
      <c r="C18" s="465" t="inlineStr">
        <is>
          <t>ghost_snapshot_day_09</t>
        </is>
      </c>
      <c r="D18" s="465" t="inlineStr">
        <is>
          <t>offline_content</t>
        </is>
      </c>
      <c r="E18" s="465" t="inlineStr">
        <is>
          <t>original-pirate-bootstrap-content-2026-09-03-v24</t>
        </is>
      </c>
      <c r="F18" s="465" t="inlineStr">
        <is>
          <t>hero_mistwake_captain</t>
        </is>
      </c>
      <c r="G18" s="465" t="inlineStr">
        <is>
          <t>3</t>
        </is>
      </c>
      <c r="H18" s="465" t="inlineStr">
        <is>
          <t>46</t>
        </is>
      </c>
      <c r="I18" s="465" t="inlineStr">
        <is>
          <t>46</t>
        </is>
      </c>
      <c r="J18" s="465" t="inlineStr">
        <is>
          <t>ghost_d09_ram</t>
        </is>
      </c>
      <c r="K18" s="465" t="inlineStr">
        <is>
          <t>item_patchwork_ram</t>
        </is>
      </c>
      <c r="L18" s="465" t="inlineStr">
        <is>
          <t>diamond</t>
        </is>
      </c>
      <c r="M18" s="465" t="inlineStr"/>
      <c r="N18" s="465" t="inlineStr">
        <is>
          <t>0</t>
        </is>
      </c>
      <c r="O18" s="465" t="inlineStr">
        <is>
          <t>formal</t>
        </is>
      </c>
    </row>
    <row r="19">
      <c r="A19" s="465" t="inlineStr">
        <is>
          <t>ysbzs.original-pirate-ghost-snapshot.v1</t>
        </is>
      </c>
      <c r="B19" s="465" t="inlineStr">
        <is>
          <t>2</t>
        </is>
      </c>
      <c r="C19" s="465" t="inlineStr">
        <is>
          <t>ghost_snapshot_day_09</t>
        </is>
      </c>
      <c r="D19" s="465" t="inlineStr">
        <is>
          <t>offline_content</t>
        </is>
      </c>
      <c r="E19" s="465" t="inlineStr">
        <is>
          <t>original-pirate-bootstrap-content-2026-09-03-v24</t>
        </is>
      </c>
      <c r="F19" s="465" t="inlineStr">
        <is>
          <t>hero_mistwake_captain</t>
        </is>
      </c>
      <c r="G19" s="465" t="inlineStr">
        <is>
          <t>3</t>
        </is>
      </c>
      <c r="H19" s="465" t="inlineStr">
        <is>
          <t>46</t>
        </is>
      </c>
      <c r="I19" s="465" t="inlineStr">
        <is>
          <t>46</t>
        </is>
      </c>
      <c r="J19" s="465" t="inlineStr">
        <is>
          <t>ghost_d09_flare</t>
        </is>
      </c>
      <c r="K19" s="465" t="inlineStr">
        <is>
          <t>item_signal_flare</t>
        </is>
      </c>
      <c r="L19" s="465" t="inlineStr">
        <is>
          <t>diamond</t>
        </is>
      </c>
      <c r="M19" s="465" t="inlineStr"/>
      <c r="N19" s="465" t="inlineStr">
        <is>
          <t>2</t>
        </is>
      </c>
      <c r="O19" s="465" t="inlineStr">
        <is>
          <t>formal</t>
        </is>
      </c>
    </row>
    <row r="20">
      <c r="A20" s="465" t="inlineStr">
        <is>
          <t>ysbzs.original-pirate-ghost-snapshot.v1</t>
        </is>
      </c>
      <c r="B20" s="465" t="inlineStr">
        <is>
          <t>2</t>
        </is>
      </c>
      <c r="C20" s="465" t="inlineStr">
        <is>
          <t>ghost_snapshot_day_10</t>
        </is>
      </c>
      <c r="D20" s="465" t="inlineStr">
        <is>
          <t>offline_content</t>
        </is>
      </c>
      <c r="E20" s="465" t="inlineStr">
        <is>
          <t>original-pirate-bootstrap-content-2026-09-03-v24</t>
        </is>
      </c>
      <c r="F20" s="465" t="inlineStr">
        <is>
          <t>hero_mistwake_captain</t>
        </is>
      </c>
      <c r="G20" s="465" t="inlineStr">
        <is>
          <t>4</t>
        </is>
      </c>
      <c r="H20" s="465" t="inlineStr">
        <is>
          <t>48</t>
        </is>
      </c>
      <c r="I20" s="465" t="inlineStr">
        <is>
          <t>48</t>
        </is>
      </c>
      <c r="J20" s="465" t="inlineStr">
        <is>
          <t>ghost_d10_ram</t>
        </is>
      </c>
      <c r="K20" s="465" t="inlineStr">
        <is>
          <t>item_patchwork_ram</t>
        </is>
      </c>
      <c r="L20" s="465" t="inlineStr">
        <is>
          <t>diamond</t>
        </is>
      </c>
      <c r="M20" s="465" t="inlineStr"/>
      <c r="N20" s="465" t="inlineStr">
        <is>
          <t>0</t>
        </is>
      </c>
      <c r="O20" s="465" t="inlineStr">
        <is>
          <t>formal</t>
        </is>
      </c>
    </row>
    <row r="21">
      <c r="A21" s="465" t="inlineStr">
        <is>
          <t>ysbzs.original-pirate-ghost-snapshot.v1</t>
        </is>
      </c>
      <c r="B21" s="465" t="inlineStr">
        <is>
          <t>2</t>
        </is>
      </c>
      <c r="C21" s="465" t="inlineStr">
        <is>
          <t>ghost_snapshot_day_10</t>
        </is>
      </c>
      <c r="D21" s="465" t="inlineStr">
        <is>
          <t>offline_content</t>
        </is>
      </c>
      <c r="E21" s="465" t="inlineStr">
        <is>
          <t>original-pirate-bootstrap-content-2026-09-03-v24</t>
        </is>
      </c>
      <c r="F21" s="465" t="inlineStr">
        <is>
          <t>hero_mistwake_captain</t>
        </is>
      </c>
      <c r="G21" s="465" t="inlineStr">
        <is>
          <t>4</t>
        </is>
      </c>
      <c r="H21" s="465" t="inlineStr">
        <is>
          <t>48</t>
        </is>
      </c>
      <c r="I21" s="465" t="inlineStr">
        <is>
          <t>48</t>
        </is>
      </c>
      <c r="J21" s="465" t="inlineStr">
        <is>
          <t>ghost_d10_flare</t>
        </is>
      </c>
      <c r="K21" s="465" t="inlineStr">
        <is>
          <t>item_signal_flare</t>
        </is>
      </c>
      <c r="L21" s="465" t="inlineStr">
        <is>
          <t>diamond</t>
        </is>
      </c>
      <c r="M21" s="465" t="inlineStr"/>
      <c r="N21" s="465" t="inlineStr">
        <is>
          <t>2</t>
        </is>
      </c>
      <c r="O21" s="465" t="inlineStr">
        <is>
          <t>formal</t>
        </is>
      </c>
    </row>
  </sheetData>
  <autoFilter ref="A1:O21"/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O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style="439" min="1" max="1"/>
    <col width="28" customWidth="1" style="439" min="2" max="2"/>
    <col width="10" customWidth="1" style="439" min="3" max="3"/>
    <col width="15" customWidth="1" style="439" min="4" max="4"/>
    <col width="31" customWidth="1" style="439" min="5" max="5"/>
    <col width="14" customWidth="1" style="439" min="6" max="6"/>
    <col width="22" customWidth="1" style="439" min="7" max="7"/>
    <col width="58" customWidth="1" style="439" min="8" max="8"/>
    <col width="27" customWidth="1" style="439" min="9" max="9"/>
    <col width="11" customWidth="1" style="439" min="10" max="10"/>
    <col width="31" customWidth="1" style="439" min="11" max="11"/>
    <col width="12" customWidth="1" style="439" min="12" max="12"/>
    <col width="39" customWidth="1" style="439" min="13" max="13"/>
    <col width="16" customWidth="1" style="439" min="14" max="14"/>
  </cols>
  <sheetData>
    <row r="1">
      <c r="A1" s="464" t="inlineStr">
        <is>
          <t>schema</t>
        </is>
      </c>
      <c r="B1" s="464" t="inlineStr">
        <is>
          <t>schema_version</t>
        </is>
      </c>
      <c r="C1" s="464" t="inlineStr">
        <is>
          <t>policy_id</t>
        </is>
      </c>
      <c r="D1" s="464" t="inlineStr">
        <is>
          <t>max_uses_per_run</t>
        </is>
      </c>
      <c r="E1" s="464" t="inlineStr">
        <is>
          <t>trigger_battle_kind</t>
        </is>
      </c>
      <c r="F1" s="464" t="inlineStr">
        <is>
          <t>trigger_outcomes</t>
        </is>
      </c>
      <c r="G1" s="464" t="inlineStr">
        <is>
          <t>trigger_prestige_at_or_below</t>
        </is>
      </c>
      <c r="H1" s="464" t="inlineStr">
        <is>
          <t>option_id</t>
        </is>
      </c>
      <c r="I1" s="464" t="inlineStr">
        <is>
          <t>option_order</t>
        </is>
      </c>
      <c r="J1" s="464" t="inlineStr">
        <is>
          <t>name_zh</t>
        </is>
      </c>
      <c r="K1" s="464" t="inlineStr">
        <is>
          <t>description_zh</t>
        </is>
      </c>
      <c r="L1" s="464" t="inlineStr">
        <is>
          <t>restore_prestige</t>
        </is>
      </c>
      <c r="M1" s="464" t="inlineStr">
        <is>
          <t>cost_type</t>
        </is>
      </c>
      <c r="N1" s="464" t="inlineStr">
        <is>
          <t>cost_amount</t>
        </is>
      </c>
      <c r="O1" t="inlineStr">
        <is>
          <t>catalog_status</t>
        </is>
      </c>
    </row>
    <row r="2">
      <c r="A2" s="465" t="inlineStr">
        <is>
          <t>ysbzs.original-pirate-last-chance-rules.v1</t>
        </is>
      </c>
      <c r="B2" s="465" t="inlineStr">
        <is>
          <t>1</t>
        </is>
      </c>
      <c r="C2" s="465" t="inlineStr">
        <is>
          <t>last_chance_mistwake_v1</t>
        </is>
      </c>
      <c r="D2" s="465" t="inlineStr">
        <is>
          <t>1</t>
        </is>
      </c>
      <c r="E2" s="465" t="inlineStr">
        <is>
          <t>ghost</t>
        </is>
      </c>
      <c r="F2" s="465" t="inlineStr">
        <is>
          <t>draw,loss</t>
        </is>
      </c>
      <c r="G2" s="465" t="inlineStr">
        <is>
          <t>0</t>
        </is>
      </c>
      <c r="H2" s="465" t="inlineStr">
        <is>
          <t>last_chance_tidehold_ransom</t>
        </is>
      </c>
      <c r="I2" s="465" t="inlineStr">
        <is>
          <t>1</t>
        </is>
      </c>
      <c r="J2" s="465" t="inlineStr">
        <is>
          <t>潮仓赎航</t>
        </is>
      </c>
      <c r="K2" s="465" t="inlineStr">
        <is>
          <t>支付十二枚补给金币并恢复十点威望。</t>
        </is>
      </c>
      <c r="L2" s="465" t="inlineStr">
        <is>
          <t>10</t>
        </is>
      </c>
      <c r="M2" s="465" t="inlineStr">
        <is>
          <t>spend_gold</t>
        </is>
      </c>
      <c r="N2" s="465" t="inlineStr">
        <is>
          <t>12</t>
        </is>
      </c>
      <c r="O2" t="inlineStr">
        <is>
          <t>formal</t>
        </is>
      </c>
    </row>
    <row r="3">
      <c r="A3" s="465" t="inlineStr">
        <is>
          <t>ysbzs.original-pirate-last-chance-rules.v1</t>
        </is>
      </c>
      <c r="B3" s="465" t="inlineStr">
        <is>
          <t>1</t>
        </is>
      </c>
      <c r="C3" s="465" t="inlineStr">
        <is>
          <t>last_chance_mistwake_v1</t>
        </is>
      </c>
      <c r="D3" s="465" t="inlineStr">
        <is>
          <t>1</t>
        </is>
      </c>
      <c r="E3" s="465" t="inlineStr">
        <is>
          <t>ghost</t>
        </is>
      </c>
      <c r="F3" s="465" t="inlineStr">
        <is>
          <t>draw,loss</t>
        </is>
      </c>
      <c r="G3" s="465" t="inlineStr">
        <is>
          <t>0</t>
        </is>
      </c>
      <c r="H3" s="465" t="inlineStr">
        <is>
          <t>last_chance_cut_payroll</t>
        </is>
      </c>
      <c r="I3" s="465" t="inlineStr">
        <is>
          <t>2</t>
        </is>
      </c>
      <c r="J3" s="465" t="inlineStr">
        <is>
          <t>减薪续航</t>
        </is>
      </c>
      <c r="K3" s="465" t="inlineStr">
        <is>
          <t>永久降低两点收入并恢复八点威望。</t>
        </is>
      </c>
      <c r="L3" s="465" t="inlineStr">
        <is>
          <t>8</t>
        </is>
      </c>
      <c r="M3" s="465" t="inlineStr">
        <is>
          <t>reduce_income</t>
        </is>
      </c>
      <c r="N3" s="465" t="inlineStr">
        <is>
          <t>2</t>
        </is>
      </c>
      <c r="O3" t="inlineStr">
        <is>
          <t>formal</t>
        </is>
      </c>
    </row>
    <row r="4">
      <c r="A4" s="465" t="inlineStr">
        <is>
          <t>ysbzs.original-pirate-last-chance-rules.v1</t>
        </is>
      </c>
      <c r="B4" s="465" t="inlineStr">
        <is>
          <t>1</t>
        </is>
      </c>
      <c r="C4" s="465" t="inlineStr">
        <is>
          <t>last_chance_mistwake_v1</t>
        </is>
      </c>
      <c r="D4" s="465" t="inlineStr">
        <is>
          <t>1</t>
        </is>
      </c>
      <c r="E4" s="465" t="inlineStr">
        <is>
          <t>ghost</t>
        </is>
      </c>
      <c r="F4" s="465" t="inlineStr">
        <is>
          <t>draw,loss</t>
        </is>
      </c>
      <c r="G4" s="465" t="inlineStr">
        <is>
          <t>0</t>
        </is>
      </c>
      <c r="H4" s="465" t="inlineStr">
        <is>
          <t>last_chance_raise_torn_flag</t>
        </is>
      </c>
      <c r="I4" s="465" t="inlineStr">
        <is>
          <t>3</t>
        </is>
      </c>
      <c r="J4" s="465" t="inlineStr">
        <is>
          <t>残旗再举</t>
        </is>
      </c>
      <c r="K4" s="465" t="inlineStr">
        <is>
          <t>不支付额外资源并恢复六点威望。</t>
        </is>
      </c>
      <c r="L4" s="465" t="inlineStr">
        <is>
          <t>6</t>
        </is>
      </c>
      <c r="M4" s="465" t="inlineStr">
        <is>
          <t>none</t>
        </is>
      </c>
      <c r="N4" s="465" t="inlineStr">
        <is>
          <t>0</t>
        </is>
      </c>
      <c r="O4" t="inlineStr">
        <is>
          <t>formal</t>
        </is>
      </c>
    </row>
    <row r="5">
      <c r="A5" s="465" t="n"/>
      <c r="B5" s="465" t="n"/>
      <c r="C5" s="465" t="n"/>
      <c r="D5" s="465" t="n"/>
      <c r="E5" s="465" t="n"/>
      <c r="F5" s="465" t="n"/>
      <c r="G5" s="465" t="n"/>
      <c r="H5" s="465" t="n"/>
      <c r="I5" s="465" t="n"/>
      <c r="J5" s="465" t="n"/>
      <c r="K5" s="465" t="n"/>
      <c r="L5" s="465" t="n"/>
      <c r="M5" s="465" t="n"/>
      <c r="N5" s="465" t="n"/>
    </row>
    <row r="6">
      <c r="A6" s="465" t="n"/>
      <c r="B6" s="465" t="n"/>
      <c r="C6" s="465" t="n"/>
      <c r="D6" s="465" t="n"/>
      <c r="E6" s="465" t="n"/>
      <c r="F6" s="465" t="n"/>
      <c r="G6" s="465" t="n"/>
      <c r="H6" s="465" t="n"/>
      <c r="I6" s="465" t="n"/>
      <c r="J6" s="465" t="n"/>
      <c r="K6" s="465" t="n"/>
      <c r="L6" s="465" t="n"/>
      <c r="M6" s="465" t="n"/>
      <c r="N6" s="465" t="n"/>
    </row>
    <row r="7">
      <c r="A7" s="465" t="n"/>
      <c r="B7" s="465" t="n"/>
      <c r="C7" s="465" t="n"/>
      <c r="D7" s="465" t="n"/>
      <c r="E7" s="465" t="n"/>
      <c r="F7" s="465" t="n"/>
      <c r="G7" s="465" t="n"/>
      <c r="H7" s="465" t="n"/>
      <c r="I7" s="465" t="n"/>
      <c r="J7" s="465" t="n"/>
      <c r="K7" s="465" t="n"/>
      <c r="L7" s="465" t="n"/>
      <c r="M7" s="465" t="n"/>
      <c r="N7" s="465" t="n"/>
    </row>
    <row r="8">
      <c r="A8" s="465" t="n"/>
      <c r="B8" s="465" t="n"/>
      <c r="C8" s="465" t="n"/>
      <c r="D8" s="465" t="n"/>
      <c r="E8" s="465" t="n"/>
      <c r="F8" s="465" t="n"/>
      <c r="G8" s="465" t="n"/>
      <c r="H8" s="465" t="n"/>
      <c r="I8" s="465" t="n"/>
      <c r="J8" s="465" t="n"/>
      <c r="K8" s="465" t="n"/>
      <c r="L8" s="465" t="n"/>
      <c r="M8" s="465" t="n"/>
      <c r="N8" s="465" t="n"/>
    </row>
    <row r="9">
      <c r="A9" s="465" t="n"/>
      <c r="B9" s="465" t="n"/>
      <c r="C9" s="465" t="n"/>
      <c r="D9" s="465" t="n"/>
      <c r="E9" s="465" t="n"/>
      <c r="F9" s="465" t="n"/>
      <c r="G9" s="465" t="n"/>
      <c r="H9" s="465" t="n"/>
      <c r="I9" s="465" t="n"/>
      <c r="J9" s="465" t="n"/>
      <c r="K9" s="465" t="n"/>
      <c r="L9" s="465" t="n"/>
      <c r="M9" s="465" t="n"/>
      <c r="N9" s="465" t="n"/>
    </row>
    <row r="10">
      <c r="A10" s="465" t="n"/>
      <c r="B10" s="465" t="n"/>
      <c r="C10" s="465" t="n"/>
      <c r="D10" s="465" t="n"/>
      <c r="E10" s="465" t="n"/>
      <c r="F10" s="465" t="n"/>
      <c r="G10" s="465" t="n"/>
      <c r="H10" s="465" t="n"/>
      <c r="I10" s="465" t="n"/>
      <c r="J10" s="465" t="n"/>
      <c r="K10" s="465" t="n"/>
      <c r="L10" s="465" t="n"/>
      <c r="M10" s="465" t="n"/>
      <c r="N10" s="465" t="n"/>
    </row>
  </sheetData>
  <autoFilter ref="A1:O4"/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P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style="439" min="1" max="1"/>
    <col width="23" customWidth="1" style="439" min="2" max="2"/>
    <col width="12" customWidth="1" style="439" min="3" max="3"/>
    <col width="12" customWidth="1" style="439" min="4" max="4"/>
    <col width="48" customWidth="1" style="439" min="5" max="5"/>
    <col width="34" customWidth="1" style="439" min="6" max="6"/>
    <col width="12" customWidth="1" style="439" min="7" max="7"/>
    <col width="20" customWidth="1" style="439" min="8" max="8"/>
    <col width="12" customWidth="1" style="439" min="9" max="9"/>
    <col width="25" customWidth="1" style="439" min="10" max="10"/>
    <col width="44" customWidth="1" style="439" min="11" max="11"/>
    <col width="15" customWidth="1" style="439" min="12" max="12"/>
    <col width="16" customWidth="1" style="439" min="13" max="13"/>
    <col width="12" customWidth="1" style="439" min="14" max="14"/>
    <col width="12" customWidth="1" style="439" min="15" max="15"/>
    <col width="16" customWidth="1" style="439" min="16" max="16"/>
  </cols>
  <sheetData>
    <row r="1">
      <c r="A1" s="464" t="inlineStr">
        <is>
          <t>hero_skill_id</t>
        </is>
      </c>
      <c r="B1" s="464" t="inlineStr">
        <is>
          <t>hero_id</t>
        </is>
      </c>
      <c r="C1" s="464" t="inlineStr">
        <is>
          <t>quality</t>
        </is>
      </c>
      <c r="D1" s="464" t="inlineStr">
        <is>
          <t>name_zh</t>
        </is>
      </c>
      <c r="E1" s="464" t="inlineStr">
        <is>
          <t>description_zh</t>
        </is>
      </c>
      <c r="F1" s="464" t="inlineStr">
        <is>
          <t>effect_description_zh</t>
        </is>
      </c>
      <c r="G1" s="464" t="inlineStr">
        <is>
          <t>priority</t>
        </is>
      </c>
      <c r="H1" s="464" t="inlineStr">
        <is>
          <t>trigger_event</t>
        </is>
      </c>
      <c r="I1" s="464" t="inlineStr">
        <is>
          <t>reentrant</t>
        </is>
      </c>
      <c r="J1" s="464" t="inlineStr">
        <is>
          <t>max_triggers_per_battle</t>
        </is>
      </c>
      <c r="K1" s="464" t="inlineStr">
        <is>
          <t>effect_id</t>
        </is>
      </c>
      <c r="L1" s="464" t="inlineStr">
        <is>
          <t>target_type</t>
        </is>
      </c>
      <c r="M1" s="464" t="inlineStr">
        <is>
          <t>operation_type</t>
        </is>
      </c>
      <c r="N1" s="464" t="inlineStr">
        <is>
          <t>amount</t>
        </is>
      </c>
      <c r="O1" s="464" t="inlineStr">
        <is>
          <t>ticks</t>
        </is>
      </c>
      <c r="P1" s="464" t="inlineStr">
        <is>
          <t>catalog_status</t>
        </is>
      </c>
    </row>
    <row r="2">
      <c r="A2" s="465" t="inlineStr">
        <is>
          <t>hero_skill_mist_salvo</t>
        </is>
      </c>
      <c r="B2" s="465" t="inlineStr">
        <is>
          <t>hero_mistwake_captain</t>
        </is>
      </c>
      <c r="C2" s="465" t="inlineStr">
        <is>
          <t>bronze</t>
        </is>
      </c>
      <c r="D2" s="465" t="inlineStr">
        <is>
          <t>雾线追炮</t>
        </is>
      </c>
      <c r="E2" s="465" t="inlineStr">
        <is>
          <t>英雄被动：每当我方物品完成一次使用，雾航船长向敌方英雄追加追击炮火；每场触发次数与伤害由品质决定。</t>
        </is>
      </c>
      <c r="F2" s="465" t="inlineStr">
        <is>
          <t>每场战斗中，前一次我方物品使用后，对敌方英雄造成一点伤害。</t>
        </is>
      </c>
      <c r="G2" s="465" t="inlineStr">
        <is>
          <t>10</t>
        </is>
      </c>
      <c r="H2" s="465" t="inlineStr">
        <is>
          <t>friendly_item_used</t>
        </is>
      </c>
      <c r="I2" s="465" t="inlineStr">
        <is>
          <t>false</t>
        </is>
      </c>
      <c r="J2" s="465" t="inlineStr">
        <is>
          <t>1</t>
        </is>
      </c>
      <c r="K2" s="465" t="inlineStr">
        <is>
          <t>hero_effect_mist_salvo_bronze_damage</t>
        </is>
      </c>
      <c r="L2" s="465" t="inlineStr">
        <is>
          <t>opponent_hero</t>
        </is>
      </c>
      <c r="M2" s="465" t="inlineStr">
        <is>
          <t>deal_damage</t>
        </is>
      </c>
      <c r="N2" s="465" t="inlineStr">
        <is>
          <t>1</t>
        </is>
      </c>
      <c r="O2" s="465" t="inlineStr">
        <is>
          <t>0</t>
        </is>
      </c>
      <c r="P2" s="465" t="inlineStr">
        <is>
          <t>formal</t>
        </is>
      </c>
    </row>
    <row r="3">
      <c r="A3" s="465" t="inlineStr">
        <is>
          <t>hero_skill_mist_salvo</t>
        </is>
      </c>
      <c r="B3" s="465" t="inlineStr">
        <is>
          <t>hero_mistwake_captain</t>
        </is>
      </c>
      <c r="C3" s="465" t="inlineStr">
        <is>
          <t>silver</t>
        </is>
      </c>
      <c r="D3" s="465" t="inlineStr">
        <is>
          <t>雾线追炮</t>
        </is>
      </c>
      <c r="E3" s="465" t="inlineStr">
        <is>
          <t>英雄被动：每当我方物品完成一次使用，雾航船长向敌方英雄追加追击炮火；每场触发次数与伤害由品质决定。</t>
        </is>
      </c>
      <c r="F3" s="465" t="inlineStr">
        <is>
          <t>每场战斗中，前两次我方物品使用后，每次对敌方英雄造成一点伤害。</t>
        </is>
      </c>
      <c r="G3" s="465" t="inlineStr">
        <is>
          <t>10</t>
        </is>
      </c>
      <c r="H3" s="465" t="inlineStr">
        <is>
          <t>friendly_item_used</t>
        </is>
      </c>
      <c r="I3" s="465" t="inlineStr">
        <is>
          <t>false</t>
        </is>
      </c>
      <c r="J3" s="465" t="inlineStr">
        <is>
          <t>2</t>
        </is>
      </c>
      <c r="K3" s="465" t="inlineStr">
        <is>
          <t>hero_effect_mist_salvo_silver_damage</t>
        </is>
      </c>
      <c r="L3" s="465" t="inlineStr">
        <is>
          <t>opponent_hero</t>
        </is>
      </c>
      <c r="M3" s="465" t="inlineStr">
        <is>
          <t>deal_damage</t>
        </is>
      </c>
      <c r="N3" s="465" t="inlineStr">
        <is>
          <t>1</t>
        </is>
      </c>
      <c r="O3" s="465" t="inlineStr">
        <is>
          <t>0</t>
        </is>
      </c>
      <c r="P3" s="465" t="inlineStr">
        <is>
          <t>formal</t>
        </is>
      </c>
    </row>
    <row r="4">
      <c r="A4" s="465" t="inlineStr">
        <is>
          <t>hero_skill_mist_salvo</t>
        </is>
      </c>
      <c r="B4" s="465" t="inlineStr">
        <is>
          <t>hero_mistwake_captain</t>
        </is>
      </c>
      <c r="C4" s="465" t="inlineStr">
        <is>
          <t>gold</t>
        </is>
      </c>
      <c r="D4" s="465" t="inlineStr">
        <is>
          <t>雾线追炮</t>
        </is>
      </c>
      <c r="E4" s="465" t="inlineStr">
        <is>
          <t>英雄被动：每当我方物品完成一次使用，雾航船长向敌方英雄追加追击炮火；每场触发次数与伤害由品质决定。</t>
        </is>
      </c>
      <c r="F4" s="465" t="inlineStr">
        <is>
          <t>每场战斗中，前两次我方物品使用后，每次对敌方英雄造成两点伤害。</t>
        </is>
      </c>
      <c r="G4" s="465" t="inlineStr">
        <is>
          <t>10</t>
        </is>
      </c>
      <c r="H4" s="465" t="inlineStr">
        <is>
          <t>friendly_item_used</t>
        </is>
      </c>
      <c r="I4" s="465" t="inlineStr">
        <is>
          <t>false</t>
        </is>
      </c>
      <c r="J4" s="465" t="inlineStr">
        <is>
          <t>2</t>
        </is>
      </c>
      <c r="K4" s="465" t="inlineStr">
        <is>
          <t>hero_effect_mist_salvo_gold_damage</t>
        </is>
      </c>
      <c r="L4" s="465" t="inlineStr">
        <is>
          <t>opponent_hero</t>
        </is>
      </c>
      <c r="M4" s="465" t="inlineStr">
        <is>
          <t>deal_damage</t>
        </is>
      </c>
      <c r="N4" s="465" t="inlineStr">
        <is>
          <t>2</t>
        </is>
      </c>
      <c r="O4" s="465" t="inlineStr">
        <is>
          <t>0</t>
        </is>
      </c>
      <c r="P4" s="465" t="inlineStr">
        <is>
          <t>formal</t>
        </is>
      </c>
    </row>
    <row r="5">
      <c r="A5" s="465" t="inlineStr">
        <is>
          <t>hero_skill_mist_salvo</t>
        </is>
      </c>
      <c r="B5" s="465" t="inlineStr">
        <is>
          <t>hero_mistwake_captain</t>
        </is>
      </c>
      <c r="C5" s="465" t="inlineStr">
        <is>
          <t>diamond</t>
        </is>
      </c>
      <c r="D5" s="465" t="inlineStr">
        <is>
          <t>雾线追炮</t>
        </is>
      </c>
      <c r="E5" s="465" t="inlineStr">
        <is>
          <t>英雄被动：每当我方物品完成一次使用，雾航船长向敌方英雄追加追击炮火；每场触发次数与伤害由品质决定。</t>
        </is>
      </c>
      <c r="F5" s="465" t="inlineStr">
        <is>
          <t>每场战斗中，前三次我方物品使用后，每次对敌方英雄造成两点伤害。</t>
        </is>
      </c>
      <c r="G5" s="465" t="inlineStr">
        <is>
          <t>10</t>
        </is>
      </c>
      <c r="H5" s="465" t="inlineStr">
        <is>
          <t>friendly_item_used</t>
        </is>
      </c>
      <c r="I5" s="465" t="inlineStr">
        <is>
          <t>false</t>
        </is>
      </c>
      <c r="J5" s="465" t="inlineStr">
        <is>
          <t>3</t>
        </is>
      </c>
      <c r="K5" s="465" t="inlineStr">
        <is>
          <t>hero_effect_mist_salvo_diamond_damage</t>
        </is>
      </c>
      <c r="L5" s="465" t="inlineStr">
        <is>
          <t>opponent_hero</t>
        </is>
      </c>
      <c r="M5" s="465" t="inlineStr">
        <is>
          <t>deal_damage</t>
        </is>
      </c>
      <c r="N5" s="465" t="inlineStr">
        <is>
          <t>2</t>
        </is>
      </c>
      <c r="O5" s="465" t="inlineStr">
        <is>
          <t>0</t>
        </is>
      </c>
      <c r="P5" s="465" t="inlineStr">
        <is>
          <t>formal</t>
        </is>
      </c>
    </row>
    <row r="6">
      <c r="A6" s="465" t="inlineStr">
        <is>
          <t>hero_skill_tailwind_return</t>
        </is>
      </c>
      <c r="B6" s="465" t="inlineStr">
        <is>
          <t>hero_mistwake_captain</t>
        </is>
      </c>
      <c r="C6" s="465" t="inlineStr">
        <is>
          <t>bronze</t>
        </is>
      </c>
      <c r="D6" s="465" t="inlineStr">
        <is>
          <t>顺风回索</t>
        </is>
      </c>
      <c r="E6" s="465" t="inlineStr">
        <is>
          <t>英雄被动：每当我方物品完成一次使用，顺风索具为该来源物品推进充能；每场触发次数与推进量由品质决定。</t>
        </is>
      </c>
      <c r="F6" s="465" t="inlineStr">
        <is>
          <t>每场战斗中，前一次我方物品使用后，使该来源物品推进一格充能。</t>
        </is>
      </c>
      <c r="G6" s="465" t="inlineStr">
        <is>
          <t>20</t>
        </is>
      </c>
      <c r="H6" s="465" t="inlineStr">
        <is>
          <t>friendly_item_used</t>
        </is>
      </c>
      <c r="I6" s="465" t="inlineStr">
        <is>
          <t>false</t>
        </is>
      </c>
      <c r="J6" s="465" t="inlineStr">
        <is>
          <t>1</t>
        </is>
      </c>
      <c r="K6" s="465" t="inlineStr">
        <is>
          <t>hero_effect_tailwind_return_bronze_charge</t>
        </is>
      </c>
      <c r="L6" s="465" t="inlineStr">
        <is>
          <t>source_item</t>
        </is>
      </c>
      <c r="M6" s="465" t="inlineStr">
        <is>
          <t>charge</t>
        </is>
      </c>
      <c r="N6" s="465" t="inlineStr">
        <is>
          <t>0</t>
        </is>
      </c>
      <c r="O6" s="465" t="inlineStr">
        <is>
          <t>1</t>
        </is>
      </c>
      <c r="P6" s="465" t="inlineStr">
        <is>
          <t>formal</t>
        </is>
      </c>
    </row>
    <row r="7">
      <c r="A7" s="465" t="inlineStr">
        <is>
          <t>hero_skill_tailwind_return</t>
        </is>
      </c>
      <c r="B7" s="465" t="inlineStr">
        <is>
          <t>hero_mistwake_captain</t>
        </is>
      </c>
      <c r="C7" s="465" t="inlineStr">
        <is>
          <t>silver</t>
        </is>
      </c>
      <c r="D7" s="465" t="inlineStr">
        <is>
          <t>顺风回索</t>
        </is>
      </c>
      <c r="E7" s="465" t="inlineStr">
        <is>
          <t>英雄被动：每当我方物品完成一次使用，顺风索具为该来源物品推进充能；每场触发次数与推进量由品质决定。</t>
        </is>
      </c>
      <c r="F7" s="465" t="inlineStr">
        <is>
          <t>每场战斗中，前两次我方物品使用后，每次使该来源物品推进一格充能。</t>
        </is>
      </c>
      <c r="G7" s="465" t="inlineStr">
        <is>
          <t>20</t>
        </is>
      </c>
      <c r="H7" s="465" t="inlineStr">
        <is>
          <t>friendly_item_used</t>
        </is>
      </c>
      <c r="I7" s="465" t="inlineStr">
        <is>
          <t>false</t>
        </is>
      </c>
      <c r="J7" s="465" t="inlineStr">
        <is>
          <t>2</t>
        </is>
      </c>
      <c r="K7" s="465" t="inlineStr">
        <is>
          <t>hero_effect_tailwind_return_silver_charge</t>
        </is>
      </c>
      <c r="L7" s="465" t="inlineStr">
        <is>
          <t>source_item</t>
        </is>
      </c>
      <c r="M7" s="465" t="inlineStr">
        <is>
          <t>charge</t>
        </is>
      </c>
      <c r="N7" s="465" t="inlineStr">
        <is>
          <t>0</t>
        </is>
      </c>
      <c r="O7" s="465" t="inlineStr">
        <is>
          <t>1</t>
        </is>
      </c>
      <c r="P7" s="465" t="inlineStr">
        <is>
          <t>formal</t>
        </is>
      </c>
    </row>
    <row r="8">
      <c r="A8" s="465" t="inlineStr">
        <is>
          <t>hero_skill_tailwind_return</t>
        </is>
      </c>
      <c r="B8" s="465" t="inlineStr">
        <is>
          <t>hero_mistwake_captain</t>
        </is>
      </c>
      <c r="C8" s="465" t="inlineStr">
        <is>
          <t>gold</t>
        </is>
      </c>
      <c r="D8" s="465" t="inlineStr">
        <is>
          <t>顺风回索</t>
        </is>
      </c>
      <c r="E8" s="465" t="inlineStr">
        <is>
          <t>英雄被动：每当我方物品完成一次使用，顺风索具为该来源物品推进充能；每场触发次数与推进量由品质决定。</t>
        </is>
      </c>
      <c r="F8" s="465" t="inlineStr">
        <is>
          <t>每场战斗中，前三次我方物品使用后，每次使该来源物品推进一格充能。</t>
        </is>
      </c>
      <c r="G8" s="465" t="inlineStr">
        <is>
          <t>20</t>
        </is>
      </c>
      <c r="H8" s="465" t="inlineStr">
        <is>
          <t>friendly_item_used</t>
        </is>
      </c>
      <c r="I8" s="465" t="inlineStr">
        <is>
          <t>false</t>
        </is>
      </c>
      <c r="J8" s="465" t="inlineStr">
        <is>
          <t>3</t>
        </is>
      </c>
      <c r="K8" s="465" t="inlineStr">
        <is>
          <t>hero_effect_tailwind_return_gold_charge</t>
        </is>
      </c>
      <c r="L8" s="465" t="inlineStr">
        <is>
          <t>source_item</t>
        </is>
      </c>
      <c r="M8" s="465" t="inlineStr">
        <is>
          <t>charge</t>
        </is>
      </c>
      <c r="N8" s="465" t="inlineStr">
        <is>
          <t>0</t>
        </is>
      </c>
      <c r="O8" s="465" t="inlineStr">
        <is>
          <t>1</t>
        </is>
      </c>
      <c r="P8" s="465" t="inlineStr">
        <is>
          <t>formal</t>
        </is>
      </c>
    </row>
    <row r="9">
      <c r="A9" s="465" t="inlineStr">
        <is>
          <t>hero_skill_tailwind_return</t>
        </is>
      </c>
      <c r="B9" s="465" t="inlineStr">
        <is>
          <t>hero_mistwake_captain</t>
        </is>
      </c>
      <c r="C9" s="465" t="inlineStr">
        <is>
          <t>diamond</t>
        </is>
      </c>
      <c r="D9" s="465" t="inlineStr">
        <is>
          <t>顺风回索</t>
        </is>
      </c>
      <c r="E9" s="465" t="inlineStr">
        <is>
          <t>英雄被动：每当我方物品完成一次使用，顺风索具为该来源物品推进充能；每场触发次数与推进量由品质决定。</t>
        </is>
      </c>
      <c r="F9" s="465" t="inlineStr">
        <is>
          <t>每场战斗中，前三次我方物品使用后，每次使该来源物品推进两格充能。</t>
        </is>
      </c>
      <c r="G9" s="465" t="inlineStr">
        <is>
          <t>20</t>
        </is>
      </c>
      <c r="H9" s="465" t="inlineStr">
        <is>
          <t>friendly_item_used</t>
        </is>
      </c>
      <c r="I9" s="465" t="inlineStr">
        <is>
          <t>false</t>
        </is>
      </c>
      <c r="J9" s="465" t="inlineStr">
        <is>
          <t>3</t>
        </is>
      </c>
      <c r="K9" s="465" t="inlineStr">
        <is>
          <t>hero_effect_tailwind_return_diamond_charge</t>
        </is>
      </c>
      <c r="L9" s="465" t="inlineStr">
        <is>
          <t>source_item</t>
        </is>
      </c>
      <c r="M9" s="465" t="inlineStr">
        <is>
          <t>charge</t>
        </is>
      </c>
      <c r="N9" s="465" t="inlineStr">
        <is>
          <t>0</t>
        </is>
      </c>
      <c r="O9" s="465" t="inlineStr">
        <is>
          <t>2</t>
        </is>
      </c>
      <c r="P9" s="465" t="inlineStr">
        <is>
          <t>formal</t>
        </is>
      </c>
    </row>
  </sheetData>
  <autoFilter ref="A1:P9"/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J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439" min="1" max="1"/>
    <col width="23" customWidth="1" style="439" min="2" max="2"/>
    <col width="38" customWidth="1" style="439" min="3" max="3"/>
    <col width="28" customWidth="1" style="439" min="4" max="4"/>
    <col width="12" customWidth="1" style="439" min="5" max="5"/>
    <col width="18" customWidth="1" style="439" min="6" max="6"/>
    <col width="23" customWidth="1" style="439" min="7" max="7"/>
    <col width="14" customWidth="1" style="439" min="8" max="8"/>
    <col width="14" customWidth="1" style="439" min="9" max="9"/>
    <col width="16" customWidth="1" style="439" min="10" max="10"/>
  </cols>
  <sheetData>
    <row r="1">
      <c r="A1" s="464" t="inlineStr">
        <is>
          <t>loadout_kind</t>
        </is>
      </c>
      <c r="B1" s="464" t="inlineStr">
        <is>
          <t>loadout_id</t>
        </is>
      </c>
      <c r="C1" s="464" t="inlineStr">
        <is>
          <t>instance_id</t>
        </is>
      </c>
      <c r="D1" s="464" t="inlineStr">
        <is>
          <t>hero_skill_id</t>
        </is>
      </c>
      <c r="E1" s="464" t="inlineStr">
        <is>
          <t>quality</t>
        </is>
      </c>
      <c r="F1" s="464" t="inlineStr">
        <is>
          <t>source_type</t>
        </is>
      </c>
      <c r="G1" s="464" t="inlineStr">
        <is>
          <t>source_id</t>
        </is>
      </c>
      <c r="H1" s="464" t="inlineStr">
        <is>
          <t>acquired_day</t>
        </is>
      </c>
      <c r="I1" s="464" t="inlineStr">
        <is>
          <t>acquired_seq</t>
        </is>
      </c>
      <c r="J1" s="464" t="inlineStr">
        <is>
          <t>catalog_status</t>
        </is>
      </c>
    </row>
    <row r="2">
      <c r="A2" s="465" t="inlineStr">
        <is>
          <t>starter</t>
        </is>
      </c>
      <c r="B2" s="465" t="inlineStr">
        <is>
          <t>hero_mistwake_captain</t>
        </is>
      </c>
      <c r="C2" s="465" t="inlineStr">
        <is>
          <t>starter_hero_skill_mist_salvo</t>
        </is>
      </c>
      <c r="D2" s="465" t="inlineStr">
        <is>
          <t>hero_skill_mist_salvo</t>
        </is>
      </c>
      <c r="E2" s="465" t="inlineStr">
        <is>
          <t>bronze</t>
        </is>
      </c>
      <c r="F2" s="465" t="inlineStr">
        <is>
          <t>starting_loadout</t>
        </is>
      </c>
      <c r="G2" s="465" t="inlineStr">
        <is>
          <t>hero_mistwake_captain</t>
        </is>
      </c>
      <c r="H2" s="465" t="inlineStr">
        <is>
          <t>1</t>
        </is>
      </c>
      <c r="I2" s="465" t="inlineStr">
        <is>
          <t>1</t>
        </is>
      </c>
      <c r="J2" s="465" t="inlineStr">
        <is>
          <t>formal</t>
        </is>
      </c>
    </row>
    <row r="3">
      <c r="A3" s="465" t="inlineStr">
        <is>
          <t>ghost_snapshot</t>
        </is>
      </c>
      <c r="B3" s="465" t="inlineStr">
        <is>
          <t>ghost_snapshot_day_01</t>
        </is>
      </c>
      <c r="C3" s="465" t="inlineStr">
        <is>
          <t>ghost_d01_hero_skill_mist_salvo</t>
        </is>
      </c>
      <c r="D3" s="465" t="inlineStr">
        <is>
          <t>hero_skill_mist_salvo</t>
        </is>
      </c>
      <c r="E3" s="465" t="inlineStr">
        <is>
          <t>bronze</t>
        </is>
      </c>
      <c r="F3" s="465" t="inlineStr">
        <is>
          <t>offline_snapshot</t>
        </is>
      </c>
      <c r="G3" s="465" t="inlineStr">
        <is>
          <t>ghost_snapshot_day_01</t>
        </is>
      </c>
      <c r="H3" s="465" t="inlineStr">
        <is>
          <t>1</t>
        </is>
      </c>
      <c r="I3" s="465" t="inlineStr">
        <is>
          <t>1</t>
        </is>
      </c>
      <c r="J3" s="465" t="inlineStr">
        <is>
          <t>formal</t>
        </is>
      </c>
    </row>
    <row r="4">
      <c r="A4" s="465" t="inlineStr">
        <is>
          <t>ghost_snapshot</t>
        </is>
      </c>
      <c r="B4" s="465" t="inlineStr">
        <is>
          <t>ghost_snapshot_day_01</t>
        </is>
      </c>
      <c r="C4" s="465" t="inlineStr">
        <is>
          <t>ghost_d01_hero_skill_tailwind_return</t>
        </is>
      </c>
      <c r="D4" s="465" t="inlineStr">
        <is>
          <t>hero_skill_tailwind_return</t>
        </is>
      </c>
      <c r="E4" s="465" t="inlineStr">
        <is>
          <t>bronze</t>
        </is>
      </c>
      <c r="F4" s="465" t="inlineStr">
        <is>
          <t>offline_snapshot</t>
        </is>
      </c>
      <c r="G4" s="465" t="inlineStr">
        <is>
          <t>ghost_snapshot_day_01</t>
        </is>
      </c>
      <c r="H4" s="465" t="inlineStr">
        <is>
          <t>1</t>
        </is>
      </c>
      <c r="I4" s="465" t="inlineStr">
        <is>
          <t>2</t>
        </is>
      </c>
      <c r="J4" s="465" t="inlineStr">
        <is>
          <t>formal</t>
        </is>
      </c>
    </row>
    <row r="5">
      <c r="A5" s="465" t="inlineStr">
        <is>
          <t>ghost_snapshot</t>
        </is>
      </c>
      <c r="B5" s="465" t="inlineStr">
        <is>
          <t>ghost_snapshot_day_02</t>
        </is>
      </c>
      <c r="C5" s="465" t="inlineStr">
        <is>
          <t>ghost_d02_hero_skill_mist_salvo</t>
        </is>
      </c>
      <c r="D5" s="465" t="inlineStr">
        <is>
          <t>hero_skill_mist_salvo</t>
        </is>
      </c>
      <c r="E5" s="465" t="inlineStr">
        <is>
          <t>bronze</t>
        </is>
      </c>
      <c r="F5" s="465" t="inlineStr">
        <is>
          <t>offline_snapshot</t>
        </is>
      </c>
      <c r="G5" s="465" t="inlineStr">
        <is>
          <t>ghost_snapshot_day_02</t>
        </is>
      </c>
      <c r="H5" s="465" t="inlineStr">
        <is>
          <t>2</t>
        </is>
      </c>
      <c r="I5" s="465" t="inlineStr">
        <is>
          <t>1</t>
        </is>
      </c>
      <c r="J5" s="465" t="inlineStr">
        <is>
          <t>formal</t>
        </is>
      </c>
    </row>
    <row r="6">
      <c r="A6" s="465" t="inlineStr">
        <is>
          <t>ghost_snapshot</t>
        </is>
      </c>
      <c r="B6" s="465" t="inlineStr">
        <is>
          <t>ghost_snapshot_day_02</t>
        </is>
      </c>
      <c r="C6" s="465" t="inlineStr">
        <is>
          <t>ghost_d02_hero_skill_tailwind_return</t>
        </is>
      </c>
      <c r="D6" s="465" t="inlineStr">
        <is>
          <t>hero_skill_tailwind_return</t>
        </is>
      </c>
      <c r="E6" s="465" t="inlineStr">
        <is>
          <t>bronze</t>
        </is>
      </c>
      <c r="F6" s="465" t="inlineStr">
        <is>
          <t>offline_snapshot</t>
        </is>
      </c>
      <c r="G6" s="465" t="inlineStr">
        <is>
          <t>ghost_snapshot_day_02</t>
        </is>
      </c>
      <c r="H6" s="465" t="inlineStr">
        <is>
          <t>2</t>
        </is>
      </c>
      <c r="I6" s="465" t="inlineStr">
        <is>
          <t>2</t>
        </is>
      </c>
      <c r="J6" s="465" t="inlineStr">
        <is>
          <t>formal</t>
        </is>
      </c>
    </row>
    <row r="7">
      <c r="A7" s="465" t="inlineStr">
        <is>
          <t>ghost_snapshot</t>
        </is>
      </c>
      <c r="B7" s="465" t="inlineStr">
        <is>
          <t>ghost_snapshot_day_03</t>
        </is>
      </c>
      <c r="C7" s="465" t="inlineStr">
        <is>
          <t>ghost_d03_hero_skill_mist_salvo</t>
        </is>
      </c>
      <c r="D7" s="465" t="inlineStr">
        <is>
          <t>hero_skill_mist_salvo</t>
        </is>
      </c>
      <c r="E7" s="465" t="inlineStr">
        <is>
          <t>bronze</t>
        </is>
      </c>
      <c r="F7" s="465" t="inlineStr">
        <is>
          <t>offline_snapshot</t>
        </is>
      </c>
      <c r="G7" s="465" t="inlineStr">
        <is>
          <t>ghost_snapshot_day_03</t>
        </is>
      </c>
      <c r="H7" s="465" t="inlineStr">
        <is>
          <t>3</t>
        </is>
      </c>
      <c r="I7" s="465" t="inlineStr">
        <is>
          <t>1</t>
        </is>
      </c>
      <c r="J7" s="465" t="inlineStr">
        <is>
          <t>formal</t>
        </is>
      </c>
    </row>
    <row r="8">
      <c r="A8" s="465" t="inlineStr">
        <is>
          <t>ghost_snapshot</t>
        </is>
      </c>
      <c r="B8" s="465" t="inlineStr">
        <is>
          <t>ghost_snapshot_day_03</t>
        </is>
      </c>
      <c r="C8" s="465" t="inlineStr">
        <is>
          <t>ghost_d03_hero_skill_tailwind_return</t>
        </is>
      </c>
      <c r="D8" s="465" t="inlineStr">
        <is>
          <t>hero_skill_tailwind_return</t>
        </is>
      </c>
      <c r="E8" s="465" t="inlineStr">
        <is>
          <t>bronze</t>
        </is>
      </c>
      <c r="F8" s="465" t="inlineStr">
        <is>
          <t>offline_snapshot</t>
        </is>
      </c>
      <c r="G8" s="465" t="inlineStr">
        <is>
          <t>ghost_snapshot_day_03</t>
        </is>
      </c>
      <c r="H8" s="465" t="inlineStr">
        <is>
          <t>3</t>
        </is>
      </c>
      <c r="I8" s="465" t="inlineStr">
        <is>
          <t>2</t>
        </is>
      </c>
      <c r="J8" s="465" t="inlineStr">
        <is>
          <t>formal</t>
        </is>
      </c>
    </row>
    <row r="9">
      <c r="A9" s="465" t="inlineStr">
        <is>
          <t>ghost_snapshot</t>
        </is>
      </c>
      <c r="B9" s="465" t="inlineStr">
        <is>
          <t>ghost_snapshot_day_04</t>
        </is>
      </c>
      <c r="C9" s="465" t="inlineStr">
        <is>
          <t>ghost_d04_hero_skill_mist_salvo</t>
        </is>
      </c>
      <c r="D9" s="465" t="inlineStr">
        <is>
          <t>hero_skill_mist_salvo</t>
        </is>
      </c>
      <c r="E9" s="465" t="inlineStr">
        <is>
          <t>silver</t>
        </is>
      </c>
      <c r="F9" s="465" t="inlineStr">
        <is>
          <t>offline_snapshot</t>
        </is>
      </c>
      <c r="G9" s="465" t="inlineStr">
        <is>
          <t>ghost_snapshot_day_04</t>
        </is>
      </c>
      <c r="H9" s="465" t="inlineStr">
        <is>
          <t>4</t>
        </is>
      </c>
      <c r="I9" s="465" t="inlineStr">
        <is>
          <t>1</t>
        </is>
      </c>
      <c r="J9" s="465" t="inlineStr">
        <is>
          <t>formal</t>
        </is>
      </c>
    </row>
    <row r="10">
      <c r="A10" s="465" t="inlineStr">
        <is>
          <t>ghost_snapshot</t>
        </is>
      </c>
      <c r="B10" s="465" t="inlineStr">
        <is>
          <t>ghost_snapshot_day_04</t>
        </is>
      </c>
      <c r="C10" s="465" t="inlineStr">
        <is>
          <t>ghost_d04_hero_skill_tailwind_return</t>
        </is>
      </c>
      <c r="D10" s="465" t="inlineStr">
        <is>
          <t>hero_skill_tailwind_return</t>
        </is>
      </c>
      <c r="E10" s="465" t="inlineStr">
        <is>
          <t>silver</t>
        </is>
      </c>
      <c r="F10" s="465" t="inlineStr">
        <is>
          <t>offline_snapshot</t>
        </is>
      </c>
      <c r="G10" s="465" t="inlineStr">
        <is>
          <t>ghost_snapshot_day_04</t>
        </is>
      </c>
      <c r="H10" s="465" t="inlineStr">
        <is>
          <t>4</t>
        </is>
      </c>
      <c r="I10" s="465" t="inlineStr">
        <is>
          <t>2</t>
        </is>
      </c>
      <c r="J10" s="465" t="inlineStr">
        <is>
          <t>formal</t>
        </is>
      </c>
    </row>
    <row r="11">
      <c r="A11" s="465" t="inlineStr">
        <is>
          <t>ghost_snapshot</t>
        </is>
      </c>
      <c r="B11" s="465" t="inlineStr">
        <is>
          <t>ghost_snapshot_day_05</t>
        </is>
      </c>
      <c r="C11" s="465" t="inlineStr">
        <is>
          <t>ghost_d05_hero_skill_mist_salvo</t>
        </is>
      </c>
      <c r="D11" s="465" t="inlineStr">
        <is>
          <t>hero_skill_mist_salvo</t>
        </is>
      </c>
      <c r="E11" s="465" t="inlineStr">
        <is>
          <t>silver</t>
        </is>
      </c>
      <c r="F11" s="465" t="inlineStr">
        <is>
          <t>offline_snapshot</t>
        </is>
      </c>
      <c r="G11" s="465" t="inlineStr">
        <is>
          <t>ghost_snapshot_day_05</t>
        </is>
      </c>
      <c r="H11" s="465" t="inlineStr">
        <is>
          <t>5</t>
        </is>
      </c>
      <c r="I11" s="465" t="inlineStr">
        <is>
          <t>1</t>
        </is>
      </c>
      <c r="J11" s="465" t="inlineStr">
        <is>
          <t>formal</t>
        </is>
      </c>
    </row>
    <row r="12">
      <c r="A12" s="465" t="inlineStr">
        <is>
          <t>ghost_snapshot</t>
        </is>
      </c>
      <c r="B12" s="465" t="inlineStr">
        <is>
          <t>ghost_snapshot_day_05</t>
        </is>
      </c>
      <c r="C12" s="465" t="inlineStr">
        <is>
          <t>ghost_d05_hero_skill_tailwind_return</t>
        </is>
      </c>
      <c r="D12" s="465" t="inlineStr">
        <is>
          <t>hero_skill_tailwind_return</t>
        </is>
      </c>
      <c r="E12" s="465" t="inlineStr">
        <is>
          <t>silver</t>
        </is>
      </c>
      <c r="F12" s="465" t="inlineStr">
        <is>
          <t>offline_snapshot</t>
        </is>
      </c>
      <c r="G12" s="465" t="inlineStr">
        <is>
          <t>ghost_snapshot_day_05</t>
        </is>
      </c>
      <c r="H12" s="465" t="inlineStr">
        <is>
          <t>5</t>
        </is>
      </c>
      <c r="I12" s="465" t="inlineStr">
        <is>
          <t>2</t>
        </is>
      </c>
      <c r="J12" s="465" t="inlineStr">
        <is>
          <t>formal</t>
        </is>
      </c>
    </row>
    <row r="13">
      <c r="A13" s="465" t="inlineStr">
        <is>
          <t>ghost_snapshot</t>
        </is>
      </c>
      <c r="B13" s="465" t="inlineStr">
        <is>
          <t>ghost_snapshot_day_06</t>
        </is>
      </c>
      <c r="C13" s="465" t="inlineStr">
        <is>
          <t>ghost_d06_hero_skill_mist_salvo</t>
        </is>
      </c>
      <c r="D13" s="465" t="inlineStr">
        <is>
          <t>hero_skill_mist_salvo</t>
        </is>
      </c>
      <c r="E13" s="465" t="inlineStr">
        <is>
          <t>silver</t>
        </is>
      </c>
      <c r="F13" s="465" t="inlineStr">
        <is>
          <t>offline_snapshot</t>
        </is>
      </c>
      <c r="G13" s="465" t="inlineStr">
        <is>
          <t>ghost_snapshot_day_06</t>
        </is>
      </c>
      <c r="H13" s="465" t="inlineStr">
        <is>
          <t>6</t>
        </is>
      </c>
      <c r="I13" s="465" t="inlineStr">
        <is>
          <t>1</t>
        </is>
      </c>
      <c r="J13" s="465" t="inlineStr">
        <is>
          <t>formal</t>
        </is>
      </c>
    </row>
    <row r="14">
      <c r="A14" s="465" t="inlineStr">
        <is>
          <t>ghost_snapshot</t>
        </is>
      </c>
      <c r="B14" s="465" t="inlineStr">
        <is>
          <t>ghost_snapshot_day_06</t>
        </is>
      </c>
      <c r="C14" s="465" t="inlineStr">
        <is>
          <t>ghost_d06_hero_skill_tailwind_return</t>
        </is>
      </c>
      <c r="D14" s="465" t="inlineStr">
        <is>
          <t>hero_skill_tailwind_return</t>
        </is>
      </c>
      <c r="E14" s="465" t="inlineStr">
        <is>
          <t>silver</t>
        </is>
      </c>
      <c r="F14" s="465" t="inlineStr">
        <is>
          <t>offline_snapshot</t>
        </is>
      </c>
      <c r="G14" s="465" t="inlineStr">
        <is>
          <t>ghost_snapshot_day_06</t>
        </is>
      </c>
      <c r="H14" s="465" t="inlineStr">
        <is>
          <t>6</t>
        </is>
      </c>
      <c r="I14" s="465" t="inlineStr">
        <is>
          <t>2</t>
        </is>
      </c>
      <c r="J14" s="465" t="inlineStr">
        <is>
          <t>formal</t>
        </is>
      </c>
    </row>
    <row r="15">
      <c r="A15" s="465" t="inlineStr">
        <is>
          <t>ghost_snapshot</t>
        </is>
      </c>
      <c r="B15" s="465" t="inlineStr">
        <is>
          <t>ghost_snapshot_day_07</t>
        </is>
      </c>
      <c r="C15" s="465" t="inlineStr">
        <is>
          <t>ghost_d07_hero_skill_mist_salvo</t>
        </is>
      </c>
      <c r="D15" s="465" t="inlineStr">
        <is>
          <t>hero_skill_mist_salvo</t>
        </is>
      </c>
      <c r="E15" s="465" t="inlineStr">
        <is>
          <t>gold</t>
        </is>
      </c>
      <c r="F15" s="465" t="inlineStr">
        <is>
          <t>offline_snapshot</t>
        </is>
      </c>
      <c r="G15" s="465" t="inlineStr">
        <is>
          <t>ghost_snapshot_day_07</t>
        </is>
      </c>
      <c r="H15" s="465" t="inlineStr">
        <is>
          <t>7</t>
        </is>
      </c>
      <c r="I15" s="465" t="inlineStr">
        <is>
          <t>1</t>
        </is>
      </c>
      <c r="J15" s="465" t="inlineStr">
        <is>
          <t>formal</t>
        </is>
      </c>
    </row>
    <row r="16">
      <c r="A16" s="465" t="inlineStr">
        <is>
          <t>ghost_snapshot</t>
        </is>
      </c>
      <c r="B16" s="465" t="inlineStr">
        <is>
          <t>ghost_snapshot_day_07</t>
        </is>
      </c>
      <c r="C16" s="465" t="inlineStr">
        <is>
          <t>ghost_d07_hero_skill_tailwind_return</t>
        </is>
      </c>
      <c r="D16" s="465" t="inlineStr">
        <is>
          <t>hero_skill_tailwind_return</t>
        </is>
      </c>
      <c r="E16" s="465" t="inlineStr">
        <is>
          <t>gold</t>
        </is>
      </c>
      <c r="F16" s="465" t="inlineStr">
        <is>
          <t>offline_snapshot</t>
        </is>
      </c>
      <c r="G16" s="465" t="inlineStr">
        <is>
          <t>ghost_snapshot_day_07</t>
        </is>
      </c>
      <c r="H16" s="465" t="inlineStr">
        <is>
          <t>7</t>
        </is>
      </c>
      <c r="I16" s="465" t="inlineStr">
        <is>
          <t>2</t>
        </is>
      </c>
      <c r="J16" s="465" t="inlineStr">
        <is>
          <t>formal</t>
        </is>
      </c>
    </row>
    <row r="17">
      <c r="A17" s="465" t="inlineStr">
        <is>
          <t>ghost_snapshot</t>
        </is>
      </c>
      <c r="B17" s="465" t="inlineStr">
        <is>
          <t>ghost_snapshot_day_08</t>
        </is>
      </c>
      <c r="C17" s="465" t="inlineStr">
        <is>
          <t>ghost_d08_hero_skill_mist_salvo</t>
        </is>
      </c>
      <c r="D17" s="465" t="inlineStr">
        <is>
          <t>hero_skill_mist_salvo</t>
        </is>
      </c>
      <c r="E17" s="465" t="inlineStr">
        <is>
          <t>gold</t>
        </is>
      </c>
      <c r="F17" s="465" t="inlineStr">
        <is>
          <t>offline_snapshot</t>
        </is>
      </c>
      <c r="G17" s="465" t="inlineStr">
        <is>
          <t>ghost_snapshot_day_08</t>
        </is>
      </c>
      <c r="H17" s="465" t="inlineStr">
        <is>
          <t>8</t>
        </is>
      </c>
      <c r="I17" s="465" t="inlineStr">
        <is>
          <t>1</t>
        </is>
      </c>
      <c r="J17" s="465" t="inlineStr">
        <is>
          <t>formal</t>
        </is>
      </c>
    </row>
    <row r="18">
      <c r="A18" s="465" t="inlineStr">
        <is>
          <t>ghost_snapshot</t>
        </is>
      </c>
      <c r="B18" s="465" t="inlineStr">
        <is>
          <t>ghost_snapshot_day_08</t>
        </is>
      </c>
      <c r="C18" s="465" t="inlineStr">
        <is>
          <t>ghost_d08_hero_skill_tailwind_return</t>
        </is>
      </c>
      <c r="D18" s="465" t="inlineStr">
        <is>
          <t>hero_skill_tailwind_return</t>
        </is>
      </c>
      <c r="E18" s="465" t="inlineStr">
        <is>
          <t>gold</t>
        </is>
      </c>
      <c r="F18" s="465" t="inlineStr">
        <is>
          <t>offline_snapshot</t>
        </is>
      </c>
      <c r="G18" s="465" t="inlineStr">
        <is>
          <t>ghost_snapshot_day_08</t>
        </is>
      </c>
      <c r="H18" s="465" t="inlineStr">
        <is>
          <t>8</t>
        </is>
      </c>
      <c r="I18" s="465" t="inlineStr">
        <is>
          <t>2</t>
        </is>
      </c>
      <c r="J18" s="465" t="inlineStr">
        <is>
          <t>formal</t>
        </is>
      </c>
    </row>
    <row r="19">
      <c r="A19" s="465" t="inlineStr">
        <is>
          <t>ghost_snapshot</t>
        </is>
      </c>
      <c r="B19" s="465" t="inlineStr">
        <is>
          <t>ghost_snapshot_day_09</t>
        </is>
      </c>
      <c r="C19" s="465" t="inlineStr">
        <is>
          <t>ghost_d09_hero_skill_mist_salvo</t>
        </is>
      </c>
      <c r="D19" s="465" t="inlineStr">
        <is>
          <t>hero_skill_mist_salvo</t>
        </is>
      </c>
      <c r="E19" s="465" t="inlineStr">
        <is>
          <t>gold</t>
        </is>
      </c>
      <c r="F19" s="465" t="inlineStr">
        <is>
          <t>offline_snapshot</t>
        </is>
      </c>
      <c r="G19" s="465" t="inlineStr">
        <is>
          <t>ghost_snapshot_day_09</t>
        </is>
      </c>
      <c r="H19" s="465" t="inlineStr">
        <is>
          <t>9</t>
        </is>
      </c>
      <c r="I19" s="465" t="inlineStr">
        <is>
          <t>1</t>
        </is>
      </c>
      <c r="J19" s="465" t="inlineStr">
        <is>
          <t>formal</t>
        </is>
      </c>
    </row>
    <row r="20">
      <c r="A20" s="465" t="inlineStr">
        <is>
          <t>ghost_snapshot</t>
        </is>
      </c>
      <c r="B20" s="465" t="inlineStr">
        <is>
          <t>ghost_snapshot_day_09</t>
        </is>
      </c>
      <c r="C20" s="465" t="inlineStr">
        <is>
          <t>ghost_d09_hero_skill_tailwind_return</t>
        </is>
      </c>
      <c r="D20" s="465" t="inlineStr">
        <is>
          <t>hero_skill_tailwind_return</t>
        </is>
      </c>
      <c r="E20" s="465" t="inlineStr">
        <is>
          <t>gold</t>
        </is>
      </c>
      <c r="F20" s="465" t="inlineStr">
        <is>
          <t>offline_snapshot</t>
        </is>
      </c>
      <c r="G20" s="465" t="inlineStr">
        <is>
          <t>ghost_snapshot_day_09</t>
        </is>
      </c>
      <c r="H20" s="465" t="inlineStr">
        <is>
          <t>9</t>
        </is>
      </c>
      <c r="I20" s="465" t="inlineStr">
        <is>
          <t>2</t>
        </is>
      </c>
      <c r="J20" s="465" t="inlineStr">
        <is>
          <t>formal</t>
        </is>
      </c>
    </row>
    <row r="21">
      <c r="A21" s="465" t="inlineStr">
        <is>
          <t>ghost_snapshot</t>
        </is>
      </c>
      <c r="B21" s="465" t="inlineStr">
        <is>
          <t>ghost_snapshot_day_10</t>
        </is>
      </c>
      <c r="C21" s="465" t="inlineStr">
        <is>
          <t>ghost_d10_hero_skill_mist_salvo</t>
        </is>
      </c>
      <c r="D21" s="465" t="inlineStr">
        <is>
          <t>hero_skill_mist_salvo</t>
        </is>
      </c>
      <c r="E21" s="465" t="inlineStr">
        <is>
          <t>diamond</t>
        </is>
      </c>
      <c r="F21" s="465" t="inlineStr">
        <is>
          <t>offline_snapshot</t>
        </is>
      </c>
      <c r="G21" s="465" t="inlineStr">
        <is>
          <t>ghost_snapshot_day_10</t>
        </is>
      </c>
      <c r="H21" s="465" t="inlineStr">
        <is>
          <t>10</t>
        </is>
      </c>
      <c r="I21" s="465" t="inlineStr">
        <is>
          <t>1</t>
        </is>
      </c>
      <c r="J21" s="465" t="inlineStr">
        <is>
          <t>formal</t>
        </is>
      </c>
    </row>
    <row r="22">
      <c r="A22" s="465" t="inlineStr">
        <is>
          <t>ghost_snapshot</t>
        </is>
      </c>
      <c r="B22" s="465" t="inlineStr">
        <is>
          <t>ghost_snapshot_day_10</t>
        </is>
      </c>
      <c r="C22" s="465" t="inlineStr">
        <is>
          <t>ghost_d10_hero_skill_tailwind_return</t>
        </is>
      </c>
      <c r="D22" s="465" t="inlineStr">
        <is>
          <t>hero_skill_tailwind_return</t>
        </is>
      </c>
      <c r="E22" s="465" t="inlineStr">
        <is>
          <t>diamond</t>
        </is>
      </c>
      <c r="F22" s="465" t="inlineStr">
        <is>
          <t>offline_snapshot</t>
        </is>
      </c>
      <c r="G22" s="465" t="inlineStr">
        <is>
          <t>ghost_snapshot_day_10</t>
        </is>
      </c>
      <c r="H22" s="465" t="inlineStr">
        <is>
          <t>10</t>
        </is>
      </c>
      <c r="I22" s="465" t="inlineStr">
        <is>
          <t>2</t>
        </is>
      </c>
      <c r="J22" s="465" t="inlineStr">
        <is>
          <t>formal</t>
        </is>
      </c>
    </row>
  </sheetData>
  <autoFilter ref="A1:J22"/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style="439" min="1" max="1"/>
    <col width="23" customWidth="1" style="439" min="2" max="2"/>
    <col width="16" customWidth="1" style="439" min="3" max="3"/>
    <col width="12" customWidth="1" style="439" min="4" max="4"/>
    <col width="32" customWidth="1" style="439" min="5" max="5"/>
    <col width="13" customWidth="1" style="439" min="6" max="6"/>
    <col width="16" customWidth="1" style="439" min="7" max="7"/>
    <col width="14" customWidth="1" style="439" min="8" max="8"/>
    <col width="14" customWidth="1" style="439" min="9" max="9"/>
    <col width="16" customWidth="1" style="439" min="10" max="10"/>
  </cols>
  <sheetData>
    <row r="1">
      <c r="A1" s="464" t="inlineStr">
        <is>
          <t>trainer_id</t>
        </is>
      </c>
      <c r="B1" s="464" t="inlineStr">
        <is>
          <t>hero_id</t>
        </is>
      </c>
      <c r="C1" s="464" t="inlineStr">
        <is>
          <t>stall_id</t>
        </is>
      </c>
      <c r="D1" s="464" t="inlineStr">
        <is>
          <t>name_zh</t>
        </is>
      </c>
      <c r="E1" s="464" t="inlineStr">
        <is>
          <t>description_zh</t>
        </is>
      </c>
      <c r="F1" s="464" t="inlineStr">
        <is>
          <t>offer_slots</t>
        </is>
      </c>
      <c r="G1" s="464" t="inlineStr">
        <is>
          <t>catalog_status</t>
        </is>
      </c>
    </row>
    <row r="2">
      <c r="A2" s="465" t="inlineStr">
        <is>
          <t>trainer_mistwake_gunnery</t>
        </is>
      </c>
      <c r="B2" s="465" t="inlineStr">
        <is>
          <t>hero_mistwake_captain</t>
        </is>
      </c>
      <c r="C2" s="465" t="inlineStr">
        <is>
          <t>stall_mistwake</t>
        </is>
      </c>
      <c r="D2" s="465" t="inlineStr">
        <is>
          <t>雾航炮术席</t>
        </is>
      </c>
      <c r="E2" s="465" t="inlineStr">
        <is>
          <t>在雾航补给舱内校准雾线追炮，只提供与当前品质相邻的正式进阶。</t>
        </is>
      </c>
      <c r="F2" s="465" t="inlineStr">
        <is>
          <t>1</t>
        </is>
      </c>
      <c r="G2" s="465" t="inlineStr">
        <is>
          <t>formal</t>
        </is>
      </c>
    </row>
    <row r="3">
      <c r="A3" s="465" t="inlineStr">
        <is>
          <t>trainer_mistwake_rigging</t>
        </is>
      </c>
      <c r="B3" s="465" t="inlineStr">
        <is>
          <t>hero_mistwake_captain</t>
        </is>
      </c>
      <c r="C3" s="465" t="inlineStr">
        <is>
          <t>stall_mistwake</t>
        </is>
      </c>
      <c r="D3" s="465" t="inlineStr">
        <is>
          <t>回风索具席</t>
        </is>
      </c>
      <c r="E3" s="465" t="inlineStr">
        <is>
          <t>在雾航补给舱内传授顺风回索，并提供与当前品质相邻的正式进阶。</t>
        </is>
      </c>
      <c r="F3" s="465" t="inlineStr">
        <is>
          <t>1</t>
        </is>
      </c>
      <c r="G3" s="465" t="inlineStr">
        <is>
          <t>formal</t>
        </is>
      </c>
    </row>
  </sheetData>
  <autoFilter ref="A1:G3"/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O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8" customWidth="1" style="439" min="1" max="1"/>
    <col width="26" customWidth="1" style="439" min="2" max="2"/>
    <col width="28" customWidth="1" style="439" min="3" max="3"/>
    <col width="13" customWidth="1" style="439" min="4" max="4"/>
    <col width="48" customWidth="1" style="439" min="5" max="5"/>
    <col width="14" customWidth="1" style="439" min="6" max="6"/>
    <col width="12" customWidth="1" style="439" min="7" max="7"/>
    <col width="16" customWidth="1" style="439" min="8" max="8"/>
    <col width="14" customWidth="1" style="439" min="9" max="9"/>
    <col width="12" customWidth="1" style="439" min="10" max="10"/>
    <col width="12" customWidth="1" style="439" min="11" max="11"/>
    <col width="13" customWidth="1" style="439" min="12" max="12"/>
    <col width="12" customWidth="1" style="439" min="13" max="13"/>
    <col width="28" customWidth="1" style="439" min="14" max="14"/>
    <col width="16" customWidth="1" style="439" min="15" max="15"/>
  </cols>
  <sheetData>
    <row r="1">
      <c r="A1" s="464" t="inlineStr">
        <is>
          <t>offer_id</t>
        </is>
      </c>
      <c r="B1" s="464" t="inlineStr">
        <is>
          <t>trainer_id</t>
        </is>
      </c>
      <c r="C1" s="464" t="inlineStr">
        <is>
          <t>hero_skill_id</t>
        </is>
      </c>
      <c r="D1" s="464" t="inlineStr">
        <is>
          <t>action_type</t>
        </is>
      </c>
      <c r="E1" s="464" t="inlineStr">
        <is>
          <t>upgrade_id</t>
        </is>
      </c>
      <c r="F1" s="464" t="inlineStr">
        <is>
          <t>from_quality</t>
        </is>
      </c>
      <c r="G1" s="464" t="inlineStr">
        <is>
          <t>to_quality</t>
        </is>
      </c>
      <c r="H1" s="464" t="inlineStr">
        <is>
          <t>price_currency</t>
        </is>
      </c>
      <c r="I1" s="464" t="inlineStr">
        <is>
          <t>price_amount</t>
        </is>
      </c>
      <c r="J1" s="464" t="inlineStr">
        <is>
          <t>from_day</t>
        </is>
      </c>
      <c r="K1" s="464" t="inlineStr">
        <is>
          <t>to_day</t>
        </is>
      </c>
      <c r="L1" s="464" t="inlineStr">
        <is>
          <t>offer_order</t>
        </is>
      </c>
      <c r="M1" s="464" t="inlineStr">
        <is>
          <t>name_zh</t>
        </is>
      </c>
      <c r="N1" s="464" t="inlineStr">
        <is>
          <t>description_zh</t>
        </is>
      </c>
      <c r="O1" s="464" t="inlineStr">
        <is>
          <t>catalog_status</t>
        </is>
      </c>
    </row>
    <row r="2">
      <c r="A2" s="465" t="inlineStr">
        <is>
          <t>hero_skill_offer_mist_salvo_bronze_silver</t>
        </is>
      </c>
      <c r="B2" s="465" t="inlineStr">
        <is>
          <t>trainer_mistwake_gunnery</t>
        </is>
      </c>
      <c r="C2" s="465" t="inlineStr">
        <is>
          <t>hero_skill_mist_salvo</t>
        </is>
      </c>
      <c r="D2" s="465" t="inlineStr">
        <is>
          <t>upgrade</t>
        </is>
      </c>
      <c r="E2" s="465" t="inlineStr">
        <is>
          <t>hero_skill_upgrade_mist_salvo_bronze_silver</t>
        </is>
      </c>
      <c r="F2" s="465" t="inlineStr">
        <is>
          <t>bronze</t>
        </is>
      </c>
      <c r="G2" s="465" t="inlineStr">
        <is>
          <t>silver</t>
        </is>
      </c>
      <c r="H2" s="465" t="inlineStr">
        <is>
          <t>gold</t>
        </is>
      </c>
      <c r="I2" s="465" t="inlineStr">
        <is>
          <t>5</t>
        </is>
      </c>
      <c r="J2" s="465" t="inlineStr">
        <is>
          <t>2</t>
        </is>
      </c>
      <c r="K2" s="465" t="inlineStr">
        <is>
          <t>10</t>
        </is>
      </c>
      <c r="L2" s="465" t="inlineStr">
        <is>
          <t>1</t>
        </is>
      </c>
      <c r="M2" s="465" t="inlineStr">
        <is>
          <t>雾线追炮·白银进阶</t>
        </is>
      </c>
      <c r="N2" s="465" t="inlineStr">
        <is>
          <t>支付五枚金币，将已有的青铜雾线追炮提升为白银品质。</t>
        </is>
      </c>
      <c r="O2" s="465" t="inlineStr">
        <is>
          <t>formal</t>
        </is>
      </c>
    </row>
    <row r="3">
      <c r="A3" s="465" t="inlineStr">
        <is>
          <t>hero_skill_offer_mist_salvo_silver_gold</t>
        </is>
      </c>
      <c r="B3" s="465" t="inlineStr">
        <is>
          <t>trainer_mistwake_gunnery</t>
        </is>
      </c>
      <c r="C3" s="465" t="inlineStr">
        <is>
          <t>hero_skill_mist_salvo</t>
        </is>
      </c>
      <c r="D3" s="465" t="inlineStr">
        <is>
          <t>upgrade</t>
        </is>
      </c>
      <c r="E3" s="465" t="inlineStr">
        <is>
          <t>hero_skill_upgrade_mist_salvo_silver_gold</t>
        </is>
      </c>
      <c r="F3" s="465" t="inlineStr">
        <is>
          <t>silver</t>
        </is>
      </c>
      <c r="G3" s="465" t="inlineStr">
        <is>
          <t>gold</t>
        </is>
      </c>
      <c r="H3" s="465" t="inlineStr">
        <is>
          <t>gold</t>
        </is>
      </c>
      <c r="I3" s="465" t="inlineStr">
        <is>
          <t>8</t>
        </is>
      </c>
      <c r="J3" s="465" t="inlineStr">
        <is>
          <t>5</t>
        </is>
      </c>
      <c r="K3" s="465" t="inlineStr">
        <is>
          <t>10</t>
        </is>
      </c>
      <c r="L3" s="465" t="inlineStr">
        <is>
          <t>2</t>
        </is>
      </c>
      <c r="M3" s="465" t="inlineStr">
        <is>
          <t>雾线追炮·黄金进阶</t>
        </is>
      </c>
      <c r="N3" s="465" t="inlineStr">
        <is>
          <t>支付八枚金币，将已有的白银雾线追炮提升为黄金品质。</t>
        </is>
      </c>
      <c r="O3" s="465" t="inlineStr">
        <is>
          <t>formal</t>
        </is>
      </c>
    </row>
    <row r="4">
      <c r="A4" s="465" t="inlineStr">
        <is>
          <t>hero_skill_offer_mist_salvo_gold_diamond</t>
        </is>
      </c>
      <c r="B4" s="465" t="inlineStr">
        <is>
          <t>trainer_mistwake_gunnery</t>
        </is>
      </c>
      <c r="C4" s="465" t="inlineStr">
        <is>
          <t>hero_skill_mist_salvo</t>
        </is>
      </c>
      <c r="D4" s="465" t="inlineStr">
        <is>
          <t>upgrade</t>
        </is>
      </c>
      <c r="E4" s="465" t="inlineStr">
        <is>
          <t>hero_skill_upgrade_mist_salvo_gold_diamond</t>
        </is>
      </c>
      <c r="F4" s="465" t="inlineStr">
        <is>
          <t>gold</t>
        </is>
      </c>
      <c r="G4" s="465" t="inlineStr">
        <is>
          <t>diamond</t>
        </is>
      </c>
      <c r="H4" s="465" t="inlineStr">
        <is>
          <t>gold</t>
        </is>
      </c>
      <c r="I4" s="465" t="inlineStr">
        <is>
          <t>12</t>
        </is>
      </c>
      <c r="J4" s="465" t="inlineStr">
        <is>
          <t>8</t>
        </is>
      </c>
      <c r="K4" s="465" t="inlineStr">
        <is>
          <t>10</t>
        </is>
      </c>
      <c r="L4" s="465" t="inlineStr">
        <is>
          <t>3</t>
        </is>
      </c>
      <c r="M4" s="465" t="inlineStr">
        <is>
          <t>雾线追炮·钻石进阶</t>
        </is>
      </c>
      <c r="N4" s="465" t="inlineStr">
        <is>
          <t>支付十二枚金币，将已有的黄金雾线追炮提升为钻石品质。</t>
        </is>
      </c>
      <c r="O4" s="465" t="inlineStr">
        <is>
          <t>formal</t>
        </is>
      </c>
    </row>
    <row r="5">
      <c r="A5" s="465" t="inlineStr">
        <is>
          <t>hero_skill_offer_tailwind_return_learn_bronze</t>
        </is>
      </c>
      <c r="B5" s="465" t="inlineStr">
        <is>
          <t>trainer_mistwake_rigging</t>
        </is>
      </c>
      <c r="C5" s="465" t="inlineStr">
        <is>
          <t>hero_skill_tailwind_return</t>
        </is>
      </c>
      <c r="D5" s="465" t="inlineStr">
        <is>
          <t>learn</t>
        </is>
      </c>
      <c r="E5" s="465" t="inlineStr"/>
      <c r="F5" s="465" t="inlineStr"/>
      <c r="G5" s="465" t="inlineStr">
        <is>
          <t>bronze</t>
        </is>
      </c>
      <c r="H5" s="465" t="inlineStr">
        <is>
          <t>gold</t>
        </is>
      </c>
      <c r="I5" s="465" t="inlineStr">
        <is>
          <t>5</t>
        </is>
      </c>
      <c r="J5" s="465" t="inlineStr">
        <is>
          <t>1</t>
        </is>
      </c>
      <c r="K5" s="465" t="inlineStr">
        <is>
          <t>10</t>
        </is>
      </c>
      <c r="L5" s="465" t="inlineStr">
        <is>
          <t>1</t>
        </is>
      </c>
      <c r="M5" s="465" t="inlineStr">
        <is>
          <t>领会顺风回索</t>
        </is>
      </c>
      <c r="N5" s="465" t="inlineStr">
        <is>
          <t>支付五枚金币，学习青铜品质的顺风回索。</t>
        </is>
      </c>
      <c r="O5" s="465" t="inlineStr">
        <is>
          <t>formal</t>
        </is>
      </c>
    </row>
    <row r="6">
      <c r="A6" s="465" t="inlineStr">
        <is>
          <t>hero_skill_offer_tailwind_return_bronze_silver</t>
        </is>
      </c>
      <c r="B6" s="465" t="inlineStr">
        <is>
          <t>trainer_mistwake_rigging</t>
        </is>
      </c>
      <c r="C6" s="465" t="inlineStr">
        <is>
          <t>hero_skill_tailwind_return</t>
        </is>
      </c>
      <c r="D6" s="465" t="inlineStr">
        <is>
          <t>upgrade</t>
        </is>
      </c>
      <c r="E6" s="465" t="inlineStr">
        <is>
          <t>hero_skill_upgrade_tailwind_return_bronze_silver</t>
        </is>
      </c>
      <c r="F6" s="465" t="inlineStr">
        <is>
          <t>bronze</t>
        </is>
      </c>
      <c r="G6" s="465" t="inlineStr">
        <is>
          <t>silver</t>
        </is>
      </c>
      <c r="H6" s="465" t="inlineStr">
        <is>
          <t>gold</t>
        </is>
      </c>
      <c r="I6" s="465" t="inlineStr">
        <is>
          <t>4</t>
        </is>
      </c>
      <c r="J6" s="465" t="inlineStr">
        <is>
          <t>2</t>
        </is>
      </c>
      <c r="K6" s="465" t="inlineStr">
        <is>
          <t>10</t>
        </is>
      </c>
      <c r="L6" s="465" t="inlineStr">
        <is>
          <t>2</t>
        </is>
      </c>
      <c r="M6" s="465" t="inlineStr">
        <is>
          <t>顺风回索·白银进阶</t>
        </is>
      </c>
      <c r="N6" s="465" t="inlineStr">
        <is>
          <t>支付四枚金币，将已有的青铜顺风回索提升为白银品质。</t>
        </is>
      </c>
      <c r="O6" s="465" t="inlineStr">
        <is>
          <t>formal</t>
        </is>
      </c>
    </row>
    <row r="7">
      <c r="A7" s="465" t="inlineStr">
        <is>
          <t>hero_skill_offer_tailwind_return_silver_gold</t>
        </is>
      </c>
      <c r="B7" s="465" t="inlineStr">
        <is>
          <t>trainer_mistwake_rigging</t>
        </is>
      </c>
      <c r="C7" s="465" t="inlineStr">
        <is>
          <t>hero_skill_tailwind_return</t>
        </is>
      </c>
      <c r="D7" s="465" t="inlineStr">
        <is>
          <t>upgrade</t>
        </is>
      </c>
      <c r="E7" s="465" t="inlineStr">
        <is>
          <t>hero_skill_upgrade_tailwind_return_silver_gold</t>
        </is>
      </c>
      <c r="F7" s="465" t="inlineStr">
        <is>
          <t>silver</t>
        </is>
      </c>
      <c r="G7" s="465" t="inlineStr">
        <is>
          <t>gold</t>
        </is>
      </c>
      <c r="H7" s="465" t="inlineStr">
        <is>
          <t>gold</t>
        </is>
      </c>
      <c r="I7" s="465" t="inlineStr">
        <is>
          <t>7</t>
        </is>
      </c>
      <c r="J7" s="465" t="inlineStr">
        <is>
          <t>5</t>
        </is>
      </c>
      <c r="K7" s="465" t="inlineStr">
        <is>
          <t>10</t>
        </is>
      </c>
      <c r="L7" s="465" t="inlineStr">
        <is>
          <t>3</t>
        </is>
      </c>
      <c r="M7" s="465" t="inlineStr">
        <is>
          <t>顺风回索·黄金进阶</t>
        </is>
      </c>
      <c r="N7" s="465" t="inlineStr">
        <is>
          <t>支付七枚金币，将已有的白银顺风回索提升为黄金品质。</t>
        </is>
      </c>
      <c r="O7" s="465" t="inlineStr">
        <is>
          <t>formal</t>
        </is>
      </c>
    </row>
    <row r="8">
      <c r="A8" s="465" t="inlineStr">
        <is>
          <t>hero_skill_offer_tailwind_return_gold_diamond</t>
        </is>
      </c>
      <c r="B8" s="465" t="inlineStr">
        <is>
          <t>trainer_mistwake_rigging</t>
        </is>
      </c>
      <c r="C8" s="465" t="inlineStr">
        <is>
          <t>hero_skill_tailwind_return</t>
        </is>
      </c>
      <c r="D8" s="465" t="inlineStr">
        <is>
          <t>upgrade</t>
        </is>
      </c>
      <c r="E8" s="465" t="inlineStr">
        <is>
          <t>hero_skill_upgrade_tailwind_return_gold_diamond</t>
        </is>
      </c>
      <c r="F8" s="465" t="inlineStr">
        <is>
          <t>gold</t>
        </is>
      </c>
      <c r="G8" s="465" t="inlineStr">
        <is>
          <t>diamond</t>
        </is>
      </c>
      <c r="H8" s="465" t="inlineStr">
        <is>
          <t>gold</t>
        </is>
      </c>
      <c r="I8" s="465" t="inlineStr">
        <is>
          <t>10</t>
        </is>
      </c>
      <c r="J8" s="465" t="inlineStr">
        <is>
          <t>8</t>
        </is>
      </c>
      <c r="K8" s="465" t="inlineStr">
        <is>
          <t>10</t>
        </is>
      </c>
      <c r="L8" s="465" t="inlineStr">
        <is>
          <t>4</t>
        </is>
      </c>
      <c r="M8" s="465" t="inlineStr">
        <is>
          <t>顺风回索·钻石进阶</t>
        </is>
      </c>
      <c r="N8" s="465" t="inlineStr">
        <is>
          <t>支付十枚金币，将已有的黄金顺风回索提升为钻石品质。</t>
        </is>
      </c>
      <c r="O8" s="465" t="inlineStr">
        <is>
          <t>formal</t>
        </is>
      </c>
    </row>
  </sheetData>
  <autoFilter ref="A1:O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2026-09-01T02:08:45Z</dcterms:created>
  <dcterms:modified xmlns:dcterms="http://purl.org/dc/terms/" xmlns:xsi="http://www.w3.org/2001/XMLSchema-instance" xsi:type="dcterms:W3CDTF">2026-09-03T09:03:19Z</dcterms:modified>
</cp:coreProperties>
</file>