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f983b006764d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e8330c881af4ef2"/>
    <x:sheet xmlns:r="http://schemas.openxmlformats.org/officeDocument/2006/relationships" name="PETS" sheetId="2" r:id="Rf5826a7cc5ce4896"/>
    <x:sheet xmlns:r="http://schemas.openxmlformats.org/officeDocument/2006/relationships" name="SHOP_STORES" sheetId="3" r:id="R0f45143068034643"/>
    <x:sheet xmlns:r="http://schemas.openxmlformats.org/officeDocument/2006/relationships" name="WAVES" sheetId="4" r:id="R6aab647533f9469c"/>
    <x:sheet xmlns:r="http://schemas.openxmlformats.org/officeDocument/2006/relationships" name="SHOP_ITEMS" sheetId="5" r:id="R3284167524b44299"/>
    <x:sheet xmlns:r="http://schemas.openxmlformats.org/officeDocument/2006/relationships" name="MECHANICS_QUALITY" sheetId="6" r:id="R241db9b8ab80494e"/>
    <x:sheet xmlns:r="http://schemas.openxmlformats.org/officeDocument/2006/relationships" name="SHAPES_TRIALS" sheetId="7" r:id="R1feb05019b644868"/>
    <x:sheet xmlns:r="http://schemas.openxmlformats.org/officeDocument/2006/relationships" name="BAZAAR_OBJECTS" sheetId="8" r:id="Rd10e88fcce6040cf"/>
    <x:sheet xmlns:r="http://schemas.openxmlformats.org/officeDocument/2006/relationships" name="SHOP_MAPPING" sheetId="9" r:id="Rf9642c35a74b4e93"/>
    <x:sheet xmlns:r="http://schemas.openxmlformats.org/officeDocument/2006/relationships" name="ENCHANTMENTS" sheetId="10" r:id="R4a36a77239274082"/>
    <x:sheet xmlns:r="http://schemas.openxmlformats.org/officeDocument/2006/relationships" name="PET_ENCHANTMENTS" sheetId="11" r:id="Rccf5a1bbb9994902"/>
    <x:sheet xmlns:r="http://schemas.openxmlformats.org/officeDocument/2006/relationships" name="AUDIT" sheetId="12" r:id="Rd81edd5eb47342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</x:fonts>
  <x:fills count="4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</x:fills>
  <x:borders count="2">
    <x:border/>
    <x:border>
      <x:bottom style="thin">
        <x:color rgb="FF9DC3E6"/>
      </x:bottom>
    </x:border>
  </x:borders>
  <x:cellStyleXfs count="1">
    <x:xf numFmtId="0" fontId="0" fillId="0" borderId="0"/>
  </x:cellStyleXfs>
  <x:cellXfs count="137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 patternType="solid">
          <x:bgColor rgb="FFDFF3E4"/>
        </x:patternFill>
      </x:fill>
    </x:dxf>
    <x:dxf>
      <x:font>
        <x:b/>
        <x:color rgb="FF991B1B"/>
      </x:font>
      <x:fill>
        <x:patternFill patternType="solid"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ab5e938f6e4205" /><Relationship Type="http://schemas.openxmlformats.org/officeDocument/2006/relationships/theme" Target="/xl/theme/theme1.xml" Id="R019a33e95de84536" /><Relationship Type="http://schemas.openxmlformats.org/officeDocument/2006/relationships/sharedStrings" Target="/xl/sharedStrings.xml" Id="R3465373060df448f" /><Relationship Type="http://schemas.openxmlformats.org/officeDocument/2006/relationships/worksheet" Target="/xl/worksheets/sheet1.xml" Id="R8e8330c881af4ef2" /><Relationship Type="http://schemas.openxmlformats.org/officeDocument/2006/relationships/worksheet" Target="/xl/worksheets/sheet2.xml" Id="Rf5826a7cc5ce4896" /><Relationship Type="http://schemas.openxmlformats.org/officeDocument/2006/relationships/worksheet" Target="/xl/worksheets/sheet3.xml" Id="R0f45143068034643" /><Relationship Type="http://schemas.openxmlformats.org/officeDocument/2006/relationships/worksheet" Target="/xl/worksheets/sheet4.xml" Id="R6aab647533f9469c" /><Relationship Type="http://schemas.openxmlformats.org/officeDocument/2006/relationships/worksheet" Target="/xl/worksheets/sheet5.xml" Id="R3284167524b44299" /><Relationship Type="http://schemas.openxmlformats.org/officeDocument/2006/relationships/worksheet" Target="/xl/worksheets/sheet6.xml" Id="R241db9b8ab80494e" /><Relationship Type="http://schemas.openxmlformats.org/officeDocument/2006/relationships/worksheet" Target="/xl/worksheets/sheet7.xml" Id="R1feb05019b644868" /><Relationship Type="http://schemas.openxmlformats.org/officeDocument/2006/relationships/worksheet" Target="/xl/worksheets/sheet8.xml" Id="Rd10e88fcce6040cf" /><Relationship Type="http://schemas.openxmlformats.org/officeDocument/2006/relationships/worksheet" Target="/xl/worksheets/sheet9.xml" Id="Rf9642c35a74b4e93" /><Relationship Type="http://schemas.openxmlformats.org/officeDocument/2006/relationships/worksheet" Target="/xl/worksheets/sheet10.xml" Id="R4a36a77239274082" /><Relationship Type="http://schemas.openxmlformats.org/officeDocument/2006/relationships/worksheet" Target="/xl/worksheets/sheet11.xml" Id="Rccf5a1bbb9994902" /><Relationship Type="http://schemas.openxmlformats.org/officeDocument/2006/relationships/worksheet" Target="/xl/worksheets/sheet12.xml" Id="Rd81edd5eb4734268" /></Relationships>
</file>

<file path=xl/tables/table1.xml><?xml version="1.0" encoding="utf-8"?>
<x:table xmlns:x="http://schemas.openxmlformats.org/spreadsheetml/2006/main" id="18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9" name="T_SHOP_STORES" displayName="T_SHOP_STORES" ref="A1:I31" headerRowCount="1" totalsRowCount="0" totalsRowShown="0">
  <x:tableColumns count="9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price_rule"/>
    <x:tableColumn id="8" name="status"/>
    <x:tableColumn id="9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0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1" name="T_BAZAAR_OBJECTS" displayName="T_BAZAAR_OBJECTS" ref="A1:R370" headerRowCount="1" totalsRowCount="0" totalsRowShown="0">
  <x:tableColumns count="18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local_shop_count"/>
    <x:tableColumn id="12" name="local_shop_ids"/>
    <x:tableColumn id="13" name="primary_enchant"/>
    <x:tableColumn id="14" name="pet_id"/>
    <x:tableColumn id="15" name="pet_name"/>
    <x:tableColumn id="16" name="source_url"/>
    <x:tableColumn id="17" name="source_effect"/>
    <x:tableColumn id="18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22" name="T_SHOP_MAPPING" displayName="T_SHOP_MAPPING" ref="A1:H52" headerRowCount="1" totalsRowCount="0" totalsRowShown="0">
  <x:tableColumns count="8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local_shop_id"/>
    <x:tableColumn id="7" name="local_shop_name"/>
    <x:tableColumn id="8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23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4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fd6995cd20e43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3456ee5a12c4b7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973d6565cb3430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3a89d51d63504f9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7cc1a3dd9f0344c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99e40d66d4ac461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2af9606f2638435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120" t="str">
        <x:v>西游宠物 369｜Vanessa 对象映射总表</x:v>
      </x:c>
      <x:c r="B1" s="120"/>
      <x:c r="C1" s="120"/>
      <x:c r="D1" s="120"/>
      <x:c r="E1" s="120"/>
      <x:c r="F1" s="120"/>
      <x:c r="G1" s="120"/>
      <x:c r="H1" s="120"/>
    </x:row>
    <x:row r="2" ht="28" customHeight="1">
      <x:c r="A2" s="121" t="str">
        <x:v>369 个来源对象全部转成宠物；前 30 家西游商店承接商人/训练师交叉图，每宠至少进入 8 店。</x:v>
      </x:c>
      <x:c r="B2" s="121"/>
      <x:c r="C2" s="121"/>
      <x:c r="D2" s="121"/>
      <x:c r="E2" s="121"/>
      <x:c r="F2" s="121"/>
      <x:c r="G2" s="121"/>
      <x:c r="H2" s="121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106" t="str">
        <x:v>指标</x:v>
      </x:c>
      <x:c r="B4" s="106" t="str">
        <x:v>结果</x:v>
      </x:c>
      <x:c r="C4" s="15"/>
      <x:c r="D4" s="106" t="str">
        <x:v>设计口径</x:v>
      </x:c>
      <x:c r="E4" s="106"/>
      <x:c r="F4" s="106"/>
      <x:c r="G4" s="106"/>
      <x:c r="H4" s="106"/>
    </x:row>
    <x:row r="5">
      <x:c r="A5" s="122" t="str">
        <x:v>宠物总数</x:v>
      </x:c>
      <x:c r="B5" s="15" t="n">
        <x:v>369</x:v>
      </x:c>
      <x:c r="C5" s="15"/>
      <x:c r="D5" s="123" t="str">
        <x:v>分类</x:v>
      </x:c>
      <x:c r="E5" s="123" t="str">
        <x:v>表内落点</x:v>
      </x:c>
      <x:c r="F5" s="123" t="str">
        <x:v>规则</x:v>
      </x:c>
      <x:c r="G5" s="123" t="str">
        <x:v>运行边界</x:v>
      </x:c>
      <x:c r="H5" s="123" t="str">
        <x:v>备注</x:v>
      </x:c>
    </x:row>
    <x:row r="6">
      <x:c r="A6" s="122" t="str">
        <x:v>正式西游商店</x:v>
      </x:c>
      <x:c r="B6" s="15" t="n">
        <x:v>30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122" t="str">
        <x:v>每宠最少商店数</x:v>
      </x:c>
      <x:c r="B7" s="15" t="n">
        <x:v>8</x:v>
      </x:c>
      <x:c r="C7" s="15"/>
      <x:c r="D7" s="15" t="str">
        <x:v>品质</x:v>
      </x:c>
      <x:c r="E7" s="15" t="str">
        <x:v>PETS.tier</x:v>
      </x:c>
      <x:c r="F7" s="15" t="str">
        <x:v>青铜/白银/黄金/钻石同档映射</x:v>
      </x:c>
      <x:c r="G7" s="15" t="str">
        <x:v>成长仍走品质表</x:v>
      </x:c>
      <x:c r="H7" s="15" t="str">
        <x:v>来源起始品质</x:v>
      </x:c>
    </x:row>
    <x:row r="8">
      <x:c r="A8" s="122" t="str">
        <x:v>每店最少宠物数</x:v>
      </x:c>
      <x:c r="B8" s="15" t="n">
        <x:v>23</x:v>
      </x:c>
      <x:c r="C8" s="15"/>
      <x:c r="D8" s="15" t="str">
        <x:v>占格</x:v>
      </x:c>
      <x:c r="E8" s="15" t="str">
        <x:v>PETS.body_size</x:v>
      </x:c>
      <x:c r="F8" s="15" t="str">
        <x:v>Small/Medium/Large → 一/两/三格</x:v>
      </x:c>
      <x:c r="G8" s="15" t="str">
        <x:v>战斗体型</x:v>
      </x:c>
      <x:c r="H8" s="15" t="str">
        <x:v>技能按来源 Medium=两格</x:v>
      </x:c>
    </x:row>
    <x:row r="9">
      <x:c r="A9" s="122" t="str">
        <x:v>确认来源对象</x:v>
      </x:c>
      <x:c r="B9" s="15" t="n">
        <x:v>276</x:v>
      </x:c>
      <x:c r="C9" s="15"/>
      <x:c r="D9" s="15" t="str">
        <x:v>攻击格</x:v>
      </x:c>
      <x:c r="E9" s="15" t="str">
        <x:v>attack_grid_count + shape_id</x:v>
      </x:c>
      <x:c r="F9" s="15" t="str">
        <x:v>语义推导 1/2/3 格，再落到 19 形状</x:v>
      </x:c>
      <x:c r="G9" s="15" t="str">
        <x:v>正式攻击形状</x:v>
      </x:c>
      <x:c r="H9" s="15" t="str">
        <x:v>所有形状仍结算 3 次</x:v>
      </x:c>
    </x:row>
    <x:row r="10">
      <x:c r="A10" s="122" t="str">
        <x:v>查询差额设计位</x:v>
      </x:c>
      <x:c r="B10" s="15" t="n">
        <x:v>93</x:v>
      </x:c>
      <x:c r="C10" s="15"/>
      <x:c r="D10" s="15" t="str">
        <x:v>商店</x:v>
      </x:c>
      <x:c r="E10" s="15" t="str">
        <x:v>SHOP_MAPPING + shop_store_ids</x:v>
      </x:c>
      <x:c r="F10" s="15" t="str">
        <x:v>来源重叠图压缩到前30店，不足8店做确定性补齐</x:v>
      </x:c>
      <x:c r="G10" s="15" t="str">
        <x:v>每宠≥8店</x:v>
      </x:c>
      <x:c r="H10" s="15" t="str">
        <x:v>不把共同来源节点折叠</x:v>
      </x:c>
    </x:row>
    <x:row r="11">
      <x:c r="A11" s="122" t="str">
        <x:v>商人来源节点</x:v>
      </x:c>
      <x:c r="B11" s="15" t="n">
        <x:v>36</x:v>
      </x:c>
      <x:c r="C11" s="15"/>
      <x:c r="D11" s="15" t="str">
        <x:v>附魔</x:v>
      </x:c>
      <x:c r="E11" s="15" t="str">
        <x:v>ENCHANTMENTS</x:v>
      </x:c>
      <x:c r="F11" s="15" t="str">
        <x:v>13 类、四品质效果</x:v>
      </x:c>
      <x:c r="G11" s="15" t="str">
        <x:v>当前为策划合同</x:v>
      </x:c>
      <x:c r="H11" s="15" t="str">
        <x:v>主附魔用于宠物分类</x:v>
      </x:c>
    </x:row>
    <x:row r="12">
      <x:c r="A12" s="122" t="str">
        <x:v>训练师来源节点</x:v>
      </x:c>
      <x:c r="B12" s="15" t="n">
        <x:v>15</x:v>
      </x:c>
      <x:c r="C12" s="15"/>
      <x:c r="D12" s="15" t="str">
        <x:v>宠物附魔</x:v>
      </x:c>
      <x:c r="E12" s="15" t="str">
        <x:v>PET_ENCHANTMENTS</x:v>
      </x:c>
      <x:c r="F12" s="15" t="str">
        <x:v>每宠选1个主附魔，13类均可成长</x:v>
      </x:c>
      <x:c r="G12" s="15" t="str">
        <x:v>后续 runtime 接线</x:v>
      </x:c>
      <x:c r="H12" s="15" t="str">
        <x:v>本轮先完成表格设计</x:v>
      </x:c>
    </x:row>
    <x:row r="13">
      <x:c r="A13" s="122" t="str">
        <x:v>附魔类型</x:v>
      </x:c>
      <x:c r="B13" s="15" t="n">
        <x:v>13</x:v>
      </x:c>
      <x:c r="C13" s="15"/>
      <x:c r="D13" s="15" t="str">
        <x:v>差额</x:v>
      </x:c>
      <x:c r="E13" s="15" t="str">
        <x:v>source_status</x:v>
      </x:c>
      <x:c r="F13" s="15" t="str">
        <x:v>93 条使用同品质 donor 画像</x:v>
      </x:c>
      <x:c r="G13" s="15" t="str">
        <x:v>不冒充精确来源</x:v>
      </x:c>
      <x:c r="H13" s="15" t="str">
        <x:v>待新源可用时逐行替换</x:v>
      </x:c>
    </x:row>
    <x:row r="14">
      <x:c r="A14" s="122" t="str">
        <x:v>攻击格分类</x:v>
      </x:c>
      <x:c r="B14" s="15" t="str">
        <x:v>1格 / 2格 / 3格</x:v>
      </x:c>
      <x:c r="C14" s="15"/>
      <x:c r="D14" s="15"/>
      <x:c r="E14" s="15"/>
      <x:c r="F14" s="15"/>
      <x:c r="G14" s="15"/>
      <x:c r="H14" s="15"/>
    </x:row>
    <x:row r="15">
      <x:c r="A15" s="15"/>
      <x:c r="B15" s="15"/>
      <x:c r="C15" s="15"/>
      <x:c r="D15" s="15"/>
      <x:c r="E15" s="15"/>
      <x:c r="F15" s="15"/>
      <x:c r="G15" s="15"/>
      <x:c r="H15" s="15"/>
    </x:row>
    <x:row r="16">
      <x:c r="A16" s="124" t="str">
        <x:v>导出链</x:v>
      </x:c>
      <x:c r="B16" s="124"/>
      <x:c r="C16" s="124"/>
      <x:c r="D16" s="124"/>
      <x:c r="E16" s="124"/>
      <x:c r="F16" s="124"/>
      <x:c r="G16" s="124"/>
      <x:c r="H16" s="124"/>
    </x:row>
    <x:row r="17">
      <x:c r="A17" s="123" t="str">
        <x:v>步骤</x:v>
      </x:c>
      <x:c r="B17" s="123" t="str">
        <x:v>命令 / 产物</x:v>
      </x:c>
      <x:c r="C17" s="123" t="str"/>
      <x:c r="D17" s="123" t="str"/>
      <x:c r="E17" s="123" t="str"/>
      <x:c r="F17" s="123" t="str"/>
      <x:c r="G17" s="123" t="str"/>
      <x:c r="H17" s="123" t="str"/>
    </x:row>
    <x:row r="18">
      <x:c r="A18" s="15" t="str">
        <x:v>1</x:v>
      </x:c>
      <x:c r="B18" s="15" t="str">
        <x:v>本文件为人类策划真相源</x:v>
      </x:c>
      <x:c r="C18" s="15" t="str"/>
      <x:c r="D18" s="15" t="str"/>
      <x:c r="E18" s="15" t="str"/>
      <x:c r="F18" s="15" t="str"/>
      <x:c r="G18" s="15" t="str"/>
      <x:c r="H18" s="15" t="str"/>
    </x:row>
    <x:row r="19">
      <x:c r="A19" s="15" t="str">
        <x:v>2</x:v>
      </x:c>
      <x:c r="B19" s="15" t="str">
        <x:v>npm run data:export → data/csv/*.csv</x:v>
      </x:c>
      <x:c r="C19" s="15" t="str"/>
      <x:c r="D19" s="15" t="str"/>
      <x:c r="E19" s="15" t="str"/>
      <x:c r="F19" s="15" t="str"/>
      <x:c r="G19" s="15" t="str"/>
      <x:c r="H19" s="15" t="str"/>
    </x:row>
    <x:row r="20">
      <x:c r="A20" s="15" t="str">
        <x:v>3</x:v>
      </x:c>
      <x:c r="B20" s="15" t="str">
        <x:v>python3 tools/export_ysbzs_singleplayer_data.py → Godot JSON</x:v>
      </x:c>
      <x:c r="C20" s="15" t="str"/>
      <x:c r="D20" s="15" t="str"/>
      <x:c r="E20" s="15" t="str"/>
      <x:c r="F20" s="15" t="str"/>
      <x:c r="G20" s="15" t="str"/>
      <x:c r="H20" s="15" t="str"/>
    </x:row>
    <x:row r="21">
      <x:c r="A21" s="15"/>
      <x:c r="B21" s="15"/>
      <x:c r="C21" s="15"/>
      <x:c r="D21" s="15"/>
      <x:c r="E21" s="15"/>
      <x:c r="F21" s="15"/>
      <x:c r="G21" s="15"/>
      <x:c r="H21" s="15"/>
    </x:row>
    <x:row r="22">
      <x:c r="A22" s="15"/>
      <x:c r="B22" s="15"/>
      <x:c r="C22" s="15"/>
      <x:c r="D22" s="15"/>
      <x:c r="E22" s="15"/>
      <x:c r="F22" s="15"/>
      <x:c r="G22" s="15"/>
      <x:c r="H22" s="15"/>
    </x:row>
    <x:row r="23">
      <x:c r="A23" s="15"/>
      <x:c r="B23" s="15"/>
      <x:c r="C23" s="15"/>
      <x:c r="D23" s="15"/>
      <x:c r="E23" s="15"/>
      <x:c r="F23" s="15"/>
      <x:c r="G23" s="15"/>
      <x:c r="H23" s="15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:H1"/>
    <x:mergeCell ref="A2:H2"/>
    <x:mergeCell ref="D4:H4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</x:cols>
  <x:sheetData>
    <x:row r="1" ht="32" customHeight="1">
      <x:c r="A1" s="108" t="str">
        <x:v>pet_id</x:v>
      </x:c>
      <x:c r="B1" s="108" t="str">
        <x:v>name</x:v>
      </x:c>
      <x:c r="C1" s="108" t="str">
        <x:v>element</x:v>
      </x:c>
      <x:c r="D1" s="108" t="str">
        <x:v>tier</x:v>
      </x:c>
      <x:c r="E1" s="108" t="str">
        <x:v>role</x:v>
      </x:c>
      <x:c r="F1" s="108" t="str">
        <x:v>body_size</x:v>
      </x:c>
      <x:c r="G1" s="108" t="str">
        <x:v>source_object_id</x:v>
      </x:c>
      <x:c r="H1" s="108" t="str">
        <x:v>shop_store_ids</x:v>
      </x:c>
      <x:c r="I1" s="108" t="str">
        <x:v>shop_count</x:v>
      </x:c>
      <x:c r="J1" s="108" t="str">
        <x:v>hp</x:v>
      </x:c>
      <x:c r="K1" s="108" t="str">
        <x:v>atk</x:v>
      </x:c>
      <x:c r="L1" s="108" t="str">
        <x:v>shield</x:v>
      </x:c>
      <x:c r="M1" s="108" t="str">
        <x:v>action</x:v>
      </x:c>
      <x:c r="N1" s="108" t="str">
        <x:v>attack_grid_count</x:v>
      </x:c>
      <x:c r="O1" s="108" t="str">
        <x:v>mechanism_id</x:v>
      </x:c>
      <x:c r="P1" s="108" t="str">
        <x:v>shape_id</x:v>
      </x:c>
      <x:c r="Q1" s="108" t="str">
        <x:v>primary_enchant</x:v>
      </x:c>
      <x:c r="R1" s="108" t="str">
        <x:v>note</x:v>
      </x:c>
      <x:c r="S1" s="108" t="str">
        <x:v>enemy_move_range</x:v>
      </x:c>
      <x:c r="T1" s="108" t="str">
        <x:v>enemy_attack_count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127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elem_水, elem_草, elem_地, elem_暗, elem_龙, elem_无, role_召唤, role_火系压制</x:v>
      </x:c>
      <x:c r="I2" s="38" t="n">
        <x:v>10</x:v>
      </x:c>
      <x:c r="J2" s="38" t="n">
        <x:v>28</x:v>
      </x:c>
      <x:c r="K2" s="38" t="n">
        <x:v>8</x:v>
      </x:c>
      <x:c r="L2" s="38" t="n">
        <x:v>2</x:v>
      </x:c>
      <x:c r="M2" s="38" t="n"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confirmed；来源=Ambergris；攻击1格；商店关系保留来源节点后补足8店。</x:v>
      </x:c>
      <x:c r="S2" s="38" t="n">
        <x:v>3</x:v>
      </x:c>
      <x:c r="T2" s="38" t="n">
        <x:v>1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130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elem_火, elem_水, elem_冰, elem_龙, elem_无, role_控制, role_治疗, role_经济, role_召唤铺场</x:v>
      </x:c>
      <x:c r="I3" s="38" t="n">
        <x:v>10</x:v>
      </x:c>
      <x:c r="J3" s="38" t="n">
        <x:v>58</x:v>
      </x:c>
      <x:c r="K3" s="38" t="n">
        <x:v>18</x:v>
      </x:c>
      <x:c r="L3" s="38" t="n">
        <x:v>6</x:v>
      </x:c>
      <x:c r="M3" s="38" t="n"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confirmed；来源=Anchor；攻击2格；商店关系保留来源节点后补足8店。</x:v>
      </x:c>
      <x:c r="S3" s="38" t="n">
        <x:v>3</x:v>
      </x:c>
      <x:c r="T3" s="38" t="n">
        <x:v>2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133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elem_火, elem_水, elem_冰, elem_地, elem_无, role_坦克, role_控制, role_治疗, role_经济</x:v>
      </x:c>
      <x:c r="I4" s="38" t="n">
        <x:v>10</x:v>
      </x:c>
      <x:c r="J4" s="38" t="n">
        <x:v>40</x:v>
      </x:c>
      <x:c r="K4" s="38" t="n">
        <x:v>12</x:v>
      </x:c>
      <x:c r="L4" s="38" t="n">
        <x:v>0</x:v>
      </x:c>
      <x:c r="M4" s="38" t="n"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confirmed；来源=Arbalest；攻击2格；商店关系保留来源节点后补足8店。</x:v>
      </x:c>
      <x:c r="S4" s="38" t="n">
        <x:v>5</x:v>
      </x:c>
      <x:c r="T4" s="38" t="n">
        <x:v>2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133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night_base, elem_火, elem_水, elem_冰, elem_地, elem_暗, role_控制, role_治疗, role_经济, role_召唤铺场</x:v>
      </x:c>
      <x:c r="I5" s="38" t="n">
        <x:v>10</x:v>
      </x:c>
      <x:c r="J5" s="38" t="n">
        <x:v>40</x:v>
      </x:c>
      <x:c r="K5" s="38" t="n">
        <x:v>12</x:v>
      </x:c>
      <x:c r="L5" s="38" t="n">
        <x:v>0</x:v>
      </x:c>
      <x:c r="M5" s="38" t="n"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confirmed；来源=Astrolabe；攻击3格；商店关系保留来源节点后补足8店。</x:v>
      </x:c>
      <x:c r="S5" s="38" t="n">
        <x:v>5</x:v>
      </x:c>
      <x:c r="T5" s="38" t="n">
        <x:v>2</x:v>
      </x:c>
    </x:row>
    <x:row r="6">
      <x:c r="A6" s="38" t="str">
        <x:v>pal_005</x:v>
      </x:c>
      <x:c r="B6" s="38" t="str">
        <x:v>赤尾狐</x:v>
      </x:c>
      <x:c r="C6" s="38" t="str">
        <x:v>雷</x:v>
      </x:c>
      <x:c r="D6" s="130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elem_水, elem_草, elem_雷, elem_冰, elem_龙, elem_无, role_坦克, role_机动压制</x:v>
      </x:c>
      <x:c r="I6" s="38" t="n">
        <x:v>10</x:v>
      </x:c>
      <x:c r="J6" s="38" t="n">
        <x:v>58</x:v>
      </x:c>
      <x:c r="K6" s="38" t="n">
        <x:v>26</x:v>
      </x:c>
      <x:c r="L6" s="38" t="n">
        <x:v>0</x:v>
      </x:c>
      <x:c r="M6" s="38" t="n">
        <x:v>2</x:v>
      </x:c>
      <x:c r="N6" s="38" t="n">
        <x:v>3</x:v>
      </x:c>
      <x:c r="O6" s="38" t="str">
        <x:v>mech_grow_atk_each_round</x:v>
      </x:c>
      <x:c r="P6" s="38" t="str">
        <x:v>13 形状13</x:v>
      </x:c>
      <x:c r="Q6" s="38" t="str">
        <x:v>Deadly</x:v>
      </x:c>
      <x:c r="R6" s="38" t="str">
        <x:v>item confirmed；来源=Ballista；攻击3格；商店关系保留来源节点后补足8店。</x:v>
      </x:c>
      <x:c r="S6" s="38" t="n">
        <x:v>2</x:v>
      </x:c>
      <x:c r="T6" s="38" t="n">
        <x:v>2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127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night_base, elem_火, elem_水, elem_雷, elem_冰, elem_地, elem_暗, role_控制, special_merchant</x:v>
      </x:c>
      <x:c r="I7" s="38" t="n">
        <x:v>9</x:v>
      </x:c>
      <x:c r="J7" s="38" t="n">
        <x:v>42</x:v>
      </x:c>
      <x:c r="K7" s="38" t="n">
        <x:v>6</x:v>
      </x:c>
      <x:c r="L7" s="38" t="n">
        <x:v>6</x:v>
      </x:c>
      <x:c r="M7" s="38" t="n"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confirmed；来源=Barrel；攻击2格；商店关系保留来源节点后补足8店。</x:v>
      </x:c>
      <x:c r="S7" s="38" t="n">
        <x:v>3</x:v>
      </x:c>
      <x:c r="T7" s="38" t="n">
        <x:v>1</x:v>
      </x:c>
    </x:row>
    <x:row r="8">
      <x:c r="A8" s="38" t="str">
        <x:v>pal_007</x:v>
      </x:c>
      <x:c r="B8" s="38" t="str">
        <x:v>雷须猫</x:v>
      </x:c>
      <x:c r="C8" s="38" t="str">
        <x:v>地</x:v>
      </x:c>
      <x:c r="D8" s="127" t="str">
        <x:v>青铜</x:v>
      </x:c>
      <x:c r="E8" s="38" t="str">
        <x:v>输出</x:v>
      </x:c>
      <x:c r="F8" s="38" t="str">
        <x:v>一格</x:v>
      </x:c>
      <x:c r="G8" s="38" t="str">
        <x:v>bz_van_007</x:v>
      </x:c>
      <x:c r="H8" s="38" t="str">
        <x:v>night_base, elem_火, elem_水, elem_草, elem_雷, elem_地, elem_龙, elem_无, role_召唤, role_风系铺场</x:v>
      </x:c>
      <x:c r="I8" s="38" t="n">
        <x:v>10</x:v>
      </x:c>
      <x:c r="J8" s="38" t="n">
        <x:v>22</x:v>
      </x:c>
      <x:c r="K8" s="38" t="n">
        <x:v>14</x:v>
      </x:c>
      <x:c r="L8" s="38" t="n">
        <x:v>0</x:v>
      </x:c>
      <x:c r="M8" s="38" t="n">
        <x:v>3</x:v>
      </x:c>
      <x:c r="N8" s="38" t="n">
        <x:v>1</x:v>
      </x:c>
      <x:c r="O8" s="38" t="str">
        <x:v>mech_grow_atk_each_round</x:v>
      </x:c>
      <x:c r="P8" s="38" t="str">
        <x:v>04 形状04</x:v>
      </x:c>
      <x:c r="Q8" s="38" t="str">
        <x:v>Deadly</x:v>
      </x:c>
      <x:c r="R8" s="38" t="str">
        <x:v>item confirmed；来源=Bayonet；攻击1格；商店关系保留来源节点后补足8店。</x:v>
      </x:c>
      <x:c r="S8" s="38" t="n">
        <x:v>3</x:v>
      </x:c>
      <x:c r="T8" s="38" t="n">
        <x:v>1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127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night_base, elem_火, elem_水, elem_冰, elem_地, elem_暗, elem_龙, role_控制, role_治疗, role_经济</x:v>
      </x:c>
      <x:c r="I9" s="38" t="n">
        <x:v>10</x:v>
      </x:c>
      <x:c r="J9" s="38" t="n">
        <x:v>28</x:v>
      </x:c>
      <x:c r="K9" s="38" t="n">
        <x:v>6</x:v>
      </x:c>
      <x:c r="L9" s="38" t="n">
        <x:v>0</x:v>
      </x:c>
      <x:c r="M9" s="38" t="n"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Ball；攻击3格；商店关系保留来源节点后补足8店。</x:v>
      </x:c>
      <x:c r="S9" s="38" t="n">
        <x:v>5</x:v>
      </x:c>
      <x:c r="T9" s="38" t="n">
        <x:v>1</x:v>
      </x:c>
    </x:row>
    <x:row r="10">
      <x:c r="A10" s="38" t="str">
        <x:v>pal_009</x:v>
      </x:c>
      <x:c r="B10" s="38" t="str">
        <x:v>火角鹿</x:v>
      </x:c>
      <x:c r="C10" s="38" t="str">
        <x:v>水</x:v>
      </x:c>
      <x:c r="D10" s="127" t="str">
        <x:v>青铜</x:v>
      </x:c>
      <x:c r="E10" s="38" t="str">
        <x:v>输出</x:v>
      </x:c>
      <x:c r="F10" s="38" t="str">
        <x:v>一格</x:v>
      </x:c>
      <x:c r="G10" s="38" t="str">
        <x:v>bz_van_009</x:v>
      </x:c>
      <x:c r="H10" s="38" t="str">
        <x:v>night_base, elem_火, elem_水, elem_草, elem_雷, elem_地, elem_龙, elem_无, role_召唤, role_风系铺场</x:v>
      </x:c>
      <x:c r="I10" s="38" t="n">
        <x:v>10</x:v>
      </x:c>
      <x:c r="J10" s="38" t="n">
        <x:v>22</x:v>
      </x:c>
      <x:c r="K10" s="38" t="n">
        <x:v>14</x:v>
      </x:c>
      <x:c r="L10" s="38" t="n">
        <x:v>0</x:v>
      </x:c>
      <x:c r="M10" s="38" t="n">
        <x:v>3</x:v>
      </x:c>
      <x:c r="N10" s="38" t="n">
        <x:v>1</x:v>
      </x:c>
      <x:c r="O10" s="38" t="str">
        <x:v>mech_grow_atk_each_round</x:v>
      </x:c>
      <x:c r="P10" s="38" t="str">
        <x:v>01 形状01</x:v>
      </x:c>
      <x:c r="Q10" s="38" t="str">
        <x:v>Deadly</x:v>
      </x:c>
      <x:c r="R10" s="38" t="str">
        <x:v>item confirmed；来源=Bilge Worm；攻击1格；商店关系保留来源节点后补足8店。</x:v>
      </x:c>
      <x:c r="S10" s="38" t="n">
        <x:v>3</x:v>
      </x:c>
      <x:c r="T10" s="38" t="n">
        <x:v>1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133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elem_冰, elem_龙, elem_无, role_控制, tier_pT1, role_远点压制, role_风系牵制</x:v>
      </x:c>
      <x:c r="I11" s="38" t="n">
        <x:v>10</x:v>
      </x:c>
      <x:c r="J11" s="38" t="n">
        <x:v>40</x:v>
      </x:c>
      <x:c r="K11" s="38" t="n">
        <x:v>12</x:v>
      </x:c>
      <x:c r="L11" s="38" t="n">
        <x:v>0</x:v>
      </x:c>
      <x:c r="M11" s="38" t="n"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Hoverboard；攻击2格；商店关系保留来源节点后补足8店。</x:v>
      </x:c>
      <x:c r="S11" s="38" t="n">
        <x:v>5</x:v>
      </x:c>
      <x:c r="T11" s="38" t="n">
        <x:v>2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130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elem_水, elem_草, elem_雷, elem_地, elem_暗, elem_无, role_召唤, role_重甲抗压</x:v>
      </x:c>
      <x:c r="I12" s="38" t="n">
        <x:v>10</x:v>
      </x:c>
      <x:c r="J12" s="38" t="n">
        <x:v>50</x:v>
      </x:c>
      <x:c r="K12" s="38" t="n">
        <x:v>22</x:v>
      </x:c>
      <x:c r="L12" s="38" t="n">
        <x:v>0</x:v>
      </x:c>
      <x:c r="M12" s="38" t="n"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confirmed；来源=Blowgun；攻击2格；商店关系保留来源节点后补足8店。</x:v>
      </x:c>
      <x:c r="S12" s="38" t="n">
        <x:v>4</x:v>
      </x:c>
      <x:c r="T12" s="38" t="n">
        <x:v>2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130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elem_水, elem_雷, elem_冰, elem_地, elem_无, role_坦克, role_控制, role_机动</x:v>
      </x:c>
      <x:c r="I13" s="38" t="n">
        <x:v>10</x:v>
      </x:c>
      <x:c r="J13" s="38" t="n">
        <x:v>52</x:v>
      </x:c>
      <x:c r="K13" s="38" t="n">
        <x:v>28</x:v>
      </x:c>
      <x:c r="L13" s="38" t="n">
        <x:v>0</x:v>
      </x:c>
      <x:c r="M13" s="38" t="n">
        <x:v>3</x:v>
      </x:c>
      <x:c r="N13" s="38" t="n">
        <x:v>3</x:v>
      </x:c>
      <x:c r="O13" s="38" t="str">
        <x:v>mech_fire_ignite_bonus</x:v>
      </x:c>
      <x:c r="P13" s="38" t="str">
        <x:v>17 形状17</x:v>
      </x:c>
      <x:c r="Q13" s="38" t="str">
        <x:v>Fiery</x:v>
      </x:c>
      <x:c r="R13" s="38" t="str">
        <x:v>item confirmed；来源=Blunderbuss；攻击3格；商店关系保留来源节点后补足8店。</x:v>
      </x:c>
      <x:c r="S13" s="38" t="n">
        <x:v>3</x:v>
      </x:c>
      <x:c r="T13" s="38" t="n">
        <x:v>2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127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elem_水, elem_草, elem_地, elem_无, role_召唤, role_坦克, role_治疗, elite_high</x:v>
      </x:c>
      <x:c r="I14" s="38" t="n">
        <x:v>10</x:v>
      </x:c>
      <x:c r="J14" s="38" t="n">
        <x:v>26</x:v>
      </x:c>
      <x:c r="K14" s="38" t="n">
        <x:v>10</x:v>
      </x:c>
      <x:c r="L14" s="38" t="n">
        <x:v>0</x:v>
      </x:c>
      <x:c r="M14" s="38" t="n"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confirmed；来源=Bolas；攻击2格；商店关系保留来源节点后补足8店。</x:v>
      </x:c>
      <x:c r="S14" s="38" t="n">
        <x:v>4</x:v>
      </x:c>
      <x:c r="T14" s="38" t="n">
        <x:v>1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133" t="str">
        <x:v>白银</x:v>
      </x:c>
      <x:c r="E15" s="38" t="str">
        <x:v>机动</x:v>
      </x:c>
      <x:c r="F15" s="38" t="str">
        <x:v>两格</x:v>
      </x:c>
      <x:c r="G15" s="38" t="str">
        <x:v>bz_van_014</x:v>
      </x:c>
      <x:c r="H15" s="38" t="str">
        <x:v>night_base, elem_火, elem_水, elem_冰, elem_地, elem_暗, role_控制, role_治疗, role_经济, role_机动</x:v>
      </x:c>
      <x:c r="I15" s="38" t="n">
        <x:v>10</x:v>
      </x:c>
      <x:c r="J15" s="38" t="n">
        <x:v>40</x:v>
      </x:c>
      <x:c r="K15" s="38" t="n">
        <x:v>12</x:v>
      </x:c>
      <x:c r="L15" s="38" t="n">
        <x:v>0</x:v>
      </x:c>
      <x:c r="M15" s="38" t="n">
        <x:v>5</x:v>
      </x:c>
      <x:c r="N15" s="38" t="n">
        <x:v>2</x:v>
      </x:c>
      <x:c r="O15" s="38" t="str">
        <x:v>mech_fire_ignite_bonus</x:v>
      </x:c>
      <x:c r="P15" s="38" t="str">
        <x:v>09 形状09</x:v>
      </x:c>
      <x:c r="Q15" s="38" t="str">
        <x:v>Fiery</x:v>
      </x:c>
      <x:c r="R15" s="38" t="str">
        <x:v>item confirmed；来源=Bonfire；攻击2格；商店关系保留来源节点后补足8店。</x:v>
      </x:c>
      <x:c r="S15" s="38" t="n">
        <x:v>5</x:v>
      </x:c>
      <x:c r="T15" s="38" t="n">
        <x:v>2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133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elem_水, elem_草, elem_雷, elem_地, elem_龙, elem_无, role_召唤, role_风系铺场</x:v>
      </x:c>
      <x:c r="I16" s="38" t="n">
        <x:v>10</x:v>
      </x:c>
      <x:c r="J16" s="38" t="n">
        <x:v>34</x:v>
      </x:c>
      <x:c r="K16" s="38" t="n">
        <x:v>22</x:v>
      </x:c>
      <x:c r="L16" s="38" t="n">
        <x:v>0</x:v>
      </x:c>
      <x:c r="M16" s="38" t="n"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Swords；攻击2格；商店关系保留来源节点后补足8店。</x:v>
      </x:c>
      <x:c r="S16" s="38" t="n">
        <x:v>3</x:v>
      </x:c>
      <x:c r="T16" s="38" t="n">
        <x:v>2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127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elem_水, elem_草, elem_雷, elem_地, elem_无, role_召唤, role_输出, tier_pT2</x:v>
      </x:c>
      <x:c r="I17" s="38" t="n">
        <x:v>10</x:v>
      </x:c>
      <x:c r="J17" s="38" t="n">
        <x:v>30</x:v>
      </x:c>
      <x:c r="K17" s="38" t="n">
        <x:v>8</x:v>
      </x:c>
      <x:c r="L17" s="38" t="n">
        <x:v>0</x:v>
      </x:c>
      <x:c r="M17" s="38" t="n"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confirmed；来源=Calico；攻击2格；商店关系保留来源节点后补足8店。</x:v>
      </x:c>
      <x:c r="S17" s="38" t="n">
        <x:v>3</x:v>
      </x:c>
      <x:c r="T17" s="38" t="n">
        <x:v>1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127" t="str">
        <x:v>青铜</x:v>
      </x:c>
      <x:c r="E18" s="38" t="str">
        <x:v>输出</x:v>
      </x:c>
      <x:c r="F18" s="38" t="str">
        <x:v>两格</x:v>
      </x:c>
      <x:c r="G18" s="38" t="str">
        <x:v>bz_van_017</x:v>
      </x:c>
      <x:c r="H18" s="38" t="str">
        <x:v>night_base, elem_火, elem_水, elem_雷, elem_冰, elem_地, elem_无, role_坦克, role_控制, role_机动</x:v>
      </x:c>
      <x:c r="I18" s="38" t="n">
        <x:v>10</x:v>
      </x:c>
      <x:c r="J18" s="38" t="n">
        <x:v>28</x:v>
      </x:c>
      <x:c r="K18" s="38" t="n">
        <x:v>12</x:v>
      </x:c>
      <x:c r="L18" s="38" t="n">
        <x:v>0</x:v>
      </x:c>
      <x:c r="M18" s="38" t="n">
        <x:v>3</x:v>
      </x:c>
      <x:c r="N18" s="38" t="n">
        <x:v>1</x:v>
      </x:c>
      <x:c r="O18" s="38" t="str">
        <x:v>mech_fire_ignite_bonus</x:v>
      </x:c>
      <x:c r="P18" s="38" t="str">
        <x:v>01 形状01</x:v>
      </x:c>
      <x:c r="Q18" s="38" t="str">
        <x:v>Fiery</x:v>
      </x:c>
      <x:c r="R18" s="38" t="str">
        <x:v>item confirmed；来源=Cannon；攻击1格；商店关系保留来源节点后补足8店。</x:v>
      </x:c>
      <x:c r="S18" s="38" t="n">
        <x:v>3</x:v>
      </x:c>
      <x:c r="T18" s="38" t="n">
        <x:v>1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130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elem_火, elem_水, elem_草, elem_雷, elem_冰, elem_龙, elem_无, role_机动, role_机动压制</x:v>
      </x:c>
      <x:c r="I19" s="38" t="n">
        <x:v>10</x:v>
      </x:c>
      <x:c r="J19" s="38" t="n">
        <x:v>58</x:v>
      </x:c>
      <x:c r="K19" s="38" t="n">
        <x:v>16</x:v>
      </x:c>
      <x:c r="L19" s="38" t="n">
        <x:v>0</x:v>
      </x:c>
      <x:c r="M19" s="38" t="n"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confirmed；来源=Cannonade；攻击2格；商店关系保留来源节点后补足8店。</x:v>
      </x:c>
      <x:c r="S19" s="38" t="n">
        <x:v>5</x:v>
      </x:c>
      <x:c r="T19" s="38" t="n">
        <x:v>2</x:v>
      </x:c>
    </x:row>
    <x:row r="20">
      <x:c r="A20" s="38" t="str">
        <x:v>pal_019</x:v>
      </x:c>
      <x:c r="B20" s="38" t="str">
        <x:v>夜穴鼹</x:v>
      </x:c>
      <x:c r="C20" s="38" t="str">
        <x:v>雷</x:v>
      </x:c>
      <x:c r="D20" s="133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elem_水, elem_草, elem_雷, elem_地, elem_暗, role_召唤, role_坦克, role_风系铺场</x:v>
      </x:c>
      <x:c r="I20" s="38" t="n">
        <x:v>10</x:v>
      </x:c>
      <x:c r="J20" s="38" t="n">
        <x:v>34</x:v>
      </x:c>
      <x:c r="K20" s="38" t="n">
        <x:v>22</x:v>
      </x:c>
      <x:c r="L20" s="38" t="n">
        <x:v>0</x:v>
      </x:c>
      <x:c r="M20" s="38" t="n">
        <x:v>3</x:v>
      </x:c>
      <x:c r="N20" s="38" t="n">
        <x:v>3</x:v>
      </x:c>
      <x:c r="O20" s="38" t="str">
        <x:v>mech_grow_atk_each_round</x:v>
      </x:c>
      <x:c r="P20" s="38" t="str">
        <x:v>13 形状13</x:v>
      </x:c>
      <x:c r="Q20" s="38" t="str">
        <x:v>Deadly</x:v>
      </x:c>
      <x:c r="R20" s="38" t="str">
        <x:v>item confirmed；来源=Cannonball；攻击3格；商店关系保留来源节点后补足8店。</x:v>
      </x:c>
      <x:c r="S20" s="38" t="n">
        <x:v>3</x:v>
      </x:c>
      <x:c r="T20" s="38" t="n">
        <x:v>2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133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night_base, elem_火, elem_水, elem_草, elem_冰, elem_暗, elem_龙, role_坦克, role_治疗, role_经济</x:v>
      </x:c>
      <x:c r="I21" s="38" t="n">
        <x:v>10</x:v>
      </x:c>
      <x:c r="J21" s="38" t="n">
        <x:v>46</x:v>
      </x:c>
      <x:c r="K21" s="38" t="n">
        <x:v>10</x:v>
      </x:c>
      <x:c r="L21" s="38" t="n">
        <x:v>0</x:v>
      </x:c>
      <x:c r="M21" s="38" t="n"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Quarters；攻击2格；商店关系保留来源节点后补足8店。</x:v>
      </x:c>
      <x:c r="S21" s="38" t="n">
        <x:v>5</x:v>
      </x:c>
      <x:c r="T21" s="38" t="n">
        <x:v>2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133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night_base, elem_火, elem_水, elem_冰, elem_暗, elem_龙, role_控制, role_治疗, role_经济, role_召唤铺场</x:v>
      </x:c>
      <x:c r="I22" s="38" t="n">
        <x:v>10</x:v>
      </x:c>
      <x:c r="J22" s="38" t="n">
        <x:v>40</x:v>
      </x:c>
      <x:c r="K22" s="38" t="n">
        <x:v>12</x:v>
      </x:c>
      <x:c r="L22" s="38" t="n">
        <x:v>0</x:v>
      </x:c>
      <x:c r="M22" s="38" t="n"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Wheel；攻击2格；商店关系保留来源节点后补足8店。</x:v>
      </x:c>
      <x:c r="S22" s="38" t="n">
        <x:v>5</x:v>
      </x:c>
      <x:c r="T22" s="38" t="n">
        <x:v>2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133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night_base, elem_火, elem_水, elem_雷, elem_冰, elem_地, elem_暗, elem_龙, role_控制, role_风系铺场</x:v>
      </x:c>
      <x:c r="I23" s="38" t="n">
        <x:v>10</x:v>
      </x:c>
      <x:c r="J23" s="38" t="n">
        <x:v>40</x:v>
      </x:c>
      <x:c r="K23" s="38" t="n">
        <x:v>12</x:v>
      </x:c>
      <x:c r="L23" s="38" t="n">
        <x:v>0</x:v>
      </x:c>
      <x:c r="M23" s="38" t="n"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Table；攻击2格；商店关系保留来源节点后补足8店。</x:v>
      </x:c>
      <x:c r="S23" s="38" t="n">
        <x:v>5</x:v>
      </x:c>
      <x:c r="T23" s="38" t="n">
        <x:v>2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127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night_base, elem_火, elem_水, elem_暗, elem_龙, role_召唤, role_治疗, role_经济, tier_pT2, role_重甲抗压</x:v>
      </x:c>
      <x:c r="I24" s="38" t="n">
        <x:v>10</x:v>
      </x:c>
      <x:c r="J24" s="38" t="n">
        <x:v>26</x:v>
      </x:c>
      <x:c r="K24" s="38" t="n">
        <x:v>10</x:v>
      </x:c>
      <x:c r="L24" s="38" t="n">
        <x:v>0</x:v>
      </x:c>
      <x:c r="M24" s="38" t="n"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confirmed；来源=Catfish；攻击2格；商店关系保留来源节点后补足8店。</x:v>
      </x:c>
      <x:c r="S24" s="38" t="n">
        <x:v>4</x:v>
      </x:c>
      <x:c r="T24" s="38" t="n">
        <x:v>1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133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elem_火, elem_水, elem_冰, elem_无, role_治疗, role_经济, role_机动, elite_high, tier_pT1</x:v>
      </x:c>
      <x:c r="I25" s="38" t="n">
        <x:v>10</x:v>
      </x:c>
      <x:c r="J25" s="38" t="n">
        <x:v>44</x:v>
      </x:c>
      <x:c r="K25" s="38" t="n">
        <x:v>14</x:v>
      </x:c>
      <x:c r="L25" s="38" t="n">
        <x:v>0</x:v>
      </x:c>
      <x:c r="M25" s="38" t="n"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Blade；攻击2格；商店关系保留来源节点后补足8店。</x:v>
      </x:c>
      <x:c r="S25" s="38" t="n">
        <x:v>4</x:v>
      </x:c>
      <x:c r="T25" s="38" t="n">
        <x:v>2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127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night_base, elem_火, elem_水, elem_草, elem_地, elem_暗, elem_龙, role_召唤, role_输出, tier_pT1</x:v>
      </x:c>
      <x:c r="I26" s="38" t="n">
        <x:v>10</x:v>
      </x:c>
      <x:c r="J26" s="38" t="n">
        <x:v>22</x:v>
      </x:c>
      <x:c r="K26" s="38" t="n">
        <x:v>8</x:v>
      </x:c>
      <x:c r="L26" s="38" t="n">
        <x:v>0</x:v>
      </x:c>
      <x:c r="M26" s="38" t="n"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confirmed；来源=Chum；攻击1格；商店关系保留来源节点后补足8店。</x:v>
      </x:c>
      <x:c r="S26" s="38" t="n">
        <x:v>3</x:v>
      </x:c>
      <x:c r="T26" s="38" t="n">
        <x:v>1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133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night_base, elem_火, elem_水, elem_草, elem_地, elem_暗, elem_龙, role_召唤, role_治疗, elite_high</x:v>
      </x:c>
      <x:c r="I27" s="38" t="n">
        <x:v>10</x:v>
      </x:c>
      <x:c r="J27" s="38" t="n">
        <x:v>38</x:v>
      </x:c>
      <x:c r="K27" s="38" t="n">
        <x:v>16</x:v>
      </x:c>
      <x:c r="L27" s="38" t="n">
        <x:v>0</x:v>
      </x:c>
      <x:c r="M27" s="38" t="n"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confirmed；来源=Clamera；攻击2格；商店关系保留来源节点后补足8店。</x:v>
      </x:c>
      <x:c r="S27" s="38" t="n">
        <x:v>4</x:v>
      </x:c>
      <x:c r="T27" s="38" t="n">
        <x:v>2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127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elem_水, elem_草, elem_雷, elem_地, elem_无, role_召唤, role_治疗, role_经济</x:v>
      </x:c>
      <x:c r="I28" s="38" t="n">
        <x:v>10</x:v>
      </x:c>
      <x:c r="J28" s="38" t="n">
        <x:v>22</x:v>
      </x:c>
      <x:c r="K28" s="38" t="n">
        <x:v>8</x:v>
      </x:c>
      <x:c r="L28" s="38" t="n">
        <x:v>0</x:v>
      </x:c>
      <x:c r="M28" s="38" t="n"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Dagger；攻击1格；商店关系保留来源节点后补足8店。</x:v>
      </x:c>
      <x:c r="S28" s="38" t="n">
        <x:v>5</x:v>
      </x:c>
      <x:c r="T28" s="38" t="n">
        <x:v>1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127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elem_水, elem_草, elem_雷, elem_地, elem_暗, elem_龙, role_召唤, role_火系压制</x:v>
      </x:c>
      <x:c r="I29" s="38" t="n">
        <x:v>10</x:v>
      </x:c>
      <x:c r="J29" s="38" t="n">
        <x:v>28</x:v>
      </x:c>
      <x:c r="K29" s="38" t="n">
        <x:v>8</x:v>
      </x:c>
      <x:c r="L29" s="38" t="n">
        <x:v>2</x:v>
      </x:c>
      <x:c r="M29" s="38" t="n"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confirmed；来源=Coral；攻击1格；商店关系保留来源节点后补足8店。</x:v>
      </x:c>
      <x:c r="S29" s="38" t="n">
        <x:v>3</x:v>
      </x:c>
      <x:c r="T29" s="38" t="n">
        <x:v>1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127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night_base, elem_火, elem_水, elem_冰, elem_暗, elem_龙, role_控制, special_merchant, tier_pT3</x:v>
      </x:c>
      <x:c r="I30" s="38" t="n">
        <x:v>9</x:v>
      </x:c>
      <x:c r="J30" s="38" t="n">
        <x:v>42</x:v>
      </x:c>
      <x:c r="K30" s="38" t="n">
        <x:v>6</x:v>
      </x:c>
      <x:c r="L30" s="38" t="n">
        <x:v>6</x:v>
      </x:c>
      <x:c r="M30" s="38" t="n"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Armor；攻击1格；商店关系保留来源节点后补足8店。</x:v>
      </x:c>
      <x:c r="S30" s="38" t="n">
        <x:v>3</x:v>
      </x:c>
      <x:c r="T30" s="38" t="n">
        <x:v>1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127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night_base, elem_火, elem_水, elem_草, elem_冰, elem_地, elem_暗, elem_龙, special_merchant, role_机动压制</x:v>
      </x:c>
      <x:c r="I31" s="38" t="n">
        <x:v>10</x:v>
      </x:c>
      <x:c r="J31" s="38" t="n">
        <x:v>48</x:v>
      </x:c>
      <x:c r="K31" s="38" t="n">
        <x:v>4</x:v>
      </x:c>
      <x:c r="L31" s="38" t="n">
        <x:v>6</x:v>
      </x:c>
      <x:c r="M31" s="38" t="n"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confirmed；来源=Cove；攻击1格；商店关系保留来源节点后补足8店。</x:v>
      </x:c>
      <x:c r="S31" s="38" t="n">
        <x:v>2</x:v>
      </x:c>
      <x:c r="T31" s="38" t="n">
        <x:v>1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133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elem_火, elem_地, elem_龙, role_经济, special_merchant, role_召唤铺场, role_抗压承伤, role_火系压制</x:v>
      </x:c>
      <x:c r="I32" s="38" t="n">
        <x:v>8</x:v>
      </x:c>
      <x:c r="J32" s="38" t="n">
        <x:v>52</x:v>
      </x:c>
      <x:c r="K32" s="38" t="n">
        <x:v>10</x:v>
      </x:c>
      <x:c r="L32" s="38" t="n">
        <x:v>4</x:v>
      </x:c>
      <x:c r="M32" s="38" t="n"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Nest；攻击2格；商店关系保留来源节点后补足8店。</x:v>
      </x:c>
      <x:c r="S32" s="38" t="n">
        <x:v>2</x:v>
      </x:c>
      <x:c r="T32" s="38" t="n">
        <x:v>2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133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night_base, elem_火, elem_水, elem_草, elem_雷, elem_地, elem_暗, role_召唤, role_输出, tier_pT1</x:v>
      </x:c>
      <x:c r="I33" s="38" t="n">
        <x:v>10</x:v>
      </x:c>
      <x:c r="J33" s="38" t="n">
        <x:v>34</x:v>
      </x:c>
      <x:c r="K33" s="38" t="n">
        <x:v>14</x:v>
      </x:c>
      <x:c r="L33" s="38" t="n">
        <x:v>0</x:v>
      </x:c>
      <x:c r="M33" s="38" t="n"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Scope；攻击2格；商店关系保留来源节点后补足8店。</x:v>
      </x:c>
      <x:c r="S33" s="38" t="n">
        <x:v>5</x:v>
      </x:c>
      <x:c r="T33" s="38" t="n">
        <x:v>2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127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elem_火, elem_水, elem_雷, elem_冰, elem_地, elem_无, role_控制, role_输出, elite_high</x:v>
      </x:c>
      <x:c r="I34" s="38" t="n">
        <x:v>10</x:v>
      </x:c>
      <x:c r="J34" s="38" t="n">
        <x:v>32</x:v>
      </x:c>
      <x:c r="K34" s="38" t="n">
        <x:v>8</x:v>
      </x:c>
      <x:c r="L34" s="38" t="n">
        <x:v>0</x:v>
      </x:c>
      <x:c r="M34" s="38" t="n"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confirmed；来源=Cutlass；攻击2格；商店关系保留来源节点后补足8店。</x:v>
      </x:c>
      <x:c r="S34" s="38" t="n">
        <x:v>4</x:v>
      </x:c>
      <x:c r="T34" s="38" t="n">
        <x:v>1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133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elem_火, elem_水, elem_雷, elem_冰, elem_地, elem_无, role_控制, role_输出, tier_pT1</x:v>
      </x:c>
      <x:c r="I35" s="38" t="n">
        <x:v>10</x:v>
      </x:c>
      <x:c r="J35" s="38" t="n">
        <x:v>40</x:v>
      </x:c>
      <x:c r="K35" s="38" t="n">
        <x:v>20</x:v>
      </x:c>
      <x:c r="L35" s="38" t="n">
        <x:v>0</x:v>
      </x:c>
      <x:c r="M35" s="38" t="n"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confirmed；来源=Cyber-Sai；攻击2格；商店关系保留来源节点后补足8店。</x:v>
      </x:c>
      <x:c r="S35" s="38" t="n">
        <x:v>3</x:v>
      </x:c>
      <x:c r="T35" s="38" t="n">
        <x:v>2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130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night_base, elem_火, elem_水, elem_草, elem_雷, elem_冰, elem_地, elem_暗, elem_龙, role_机动压制</x:v>
      </x:c>
      <x:c r="I36" s="38" t="n">
        <x:v>10</x:v>
      </x:c>
      <x:c r="J36" s="38" t="n">
        <x:v>62</x:v>
      </x:c>
      <x:c r="K36" s="38" t="n">
        <x:v>18</x:v>
      </x:c>
      <x:c r="L36" s="38" t="n">
        <x:v>0</x:v>
      </x:c>
      <x:c r="M36" s="38" t="n"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confirmed；来源=Dam；攻击3格；商店关系保留来源节点后补足8店。</x:v>
      </x:c>
      <x:c r="S36" s="38" t="n">
        <x:v>4</x:v>
      </x:c>
      <x:c r="T36" s="38" t="n">
        <x:v>2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133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night_base, elem_火, elem_水, elem_冰, elem_暗, elem_龙, role_治疗, role_机动, elite_high, tier_pT2</x:v>
      </x:c>
      <x:c r="I37" s="38" t="n">
        <x:v>10</x:v>
      </x:c>
      <x:c r="J37" s="38" t="n">
        <x:v>44</x:v>
      </x:c>
      <x:c r="K37" s="38" t="n">
        <x:v>14</x:v>
      </x:c>
      <x:c r="L37" s="38" t="n">
        <x:v>0</x:v>
      </x:c>
      <x:c r="M37" s="38" t="n"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Anglerfish；攻击2格；商店关系保留来源节点后补足8店。</x:v>
      </x:c>
      <x:c r="S37" s="38" t="n">
        <x:v>4</x:v>
      </x:c>
      <x:c r="T37" s="38" t="n">
        <x:v>2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133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elem_水, elem_草, elem_无, role_召唤, role_治疗, elite_high, tier_pT1, role_重甲抗压</x:v>
      </x:c>
      <x:c r="I38" s="38" t="n">
        <x:v>10</x:v>
      </x:c>
      <x:c r="J38" s="38" t="n">
        <x:v>38</x:v>
      </x:c>
      <x:c r="K38" s="38" t="n">
        <x:v>16</x:v>
      </x:c>
      <x:c r="L38" s="38" t="n">
        <x:v>0</x:v>
      </x:c>
      <x:c r="M38" s="38" t="n"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Launcher；攻击2格；商店关系保留来源节点后补足8店。</x:v>
      </x:c>
      <x:c r="S38" s="38" t="n">
        <x:v>4</x:v>
      </x:c>
      <x:c r="T38" s="38" t="n">
        <x:v>2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133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night_base, elem_火, elem_水, elem_雷, elem_冰, elem_地, elem_暗, role_控制, tier_pT3, role_风系铺场</x:v>
      </x:c>
      <x:c r="I39" s="38" t="n">
        <x:v>10</x:v>
      </x:c>
      <x:c r="J39" s="38" t="n">
        <x:v>40</x:v>
      </x:c>
      <x:c r="K39" s="38" t="n">
        <x:v>12</x:v>
      </x:c>
      <x:c r="L39" s="38" t="n">
        <x:v>0</x:v>
      </x:c>
      <x:c r="M39" s="38" t="n"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confirmed；来源=Disguise；攻击3格；商店关系保留来源节点后补足8店。</x:v>
      </x:c>
      <x:c r="S39" s="38" t="n">
        <x:v>5</x:v>
      </x:c>
      <x:c r="T39" s="38" t="n">
        <x:v>2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133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night_base, elem_火, elem_水, elem_暗, elem_龙, role_召唤, role_坦克, role_治疗, role_经济, tier_pT3</x:v>
      </x:c>
      <x:c r="I40" s="38" t="n">
        <x:v>10</x:v>
      </x:c>
      <x:c r="J40" s="38" t="n">
        <x:v>34</x:v>
      </x:c>
      <x:c r="K40" s="38" t="n">
        <x:v>14</x:v>
      </x:c>
      <x:c r="L40" s="38" t="n">
        <x:v>0</x:v>
      </x:c>
      <x:c r="M40" s="38" t="n"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Weights；攻击2格；商店关系保留来源节点后补足8店。</x:v>
      </x:c>
      <x:c r="S40" s="38" t="n">
        <x:v>5</x:v>
      </x:c>
      <x:c r="T40" s="38" t="n">
        <x:v>2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130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night_base, elem_火, elem_水, elem_冰, elem_暗, elem_龙, role_控制, special_merchant, tier_pT3, role_召唤铺场</x:v>
      </x:c>
      <x:c r="I41" s="38" t="n">
        <x:v>10</x:v>
      </x:c>
      <x:c r="J41" s="38" t="n">
        <x:v>66</x:v>
      </x:c>
      <x:c r="K41" s="38" t="n">
        <x:v>18</x:v>
      </x:c>
      <x:c r="L41" s="38" t="n">
        <x:v>14</x:v>
      </x:c>
      <x:c r="M41" s="38" t="n"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Helmet；攻击2格；商店关系保留来源节点后补足8店。</x:v>
      </x:c>
      <x:c r="S41" s="38" t="n">
        <x:v>3</x:v>
      </x:c>
      <x:c r="T41" s="38" t="n">
        <x:v>2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133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night_base, elem_火, elem_水, elem_冰, elem_暗, elem_龙, role_控制, role_治疗, elite_high, role_召唤铺场</x:v>
      </x:c>
      <x:c r="I42" s="38" t="n">
        <x:v>10</x:v>
      </x:c>
      <x:c r="J42" s="38" t="n">
        <x:v>44</x:v>
      </x:c>
      <x:c r="K42" s="38" t="n">
        <x:v>14</x:v>
      </x:c>
      <x:c r="L42" s="38" t="n">
        <x:v>0</x:v>
      </x:c>
      <x:c r="M42" s="38" t="n"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Lines；攻击3格；商店关系保留来源节点后补足8店。</x:v>
      </x:c>
      <x:c r="S42" s="38" t="n">
        <x:v>4</x:v>
      </x:c>
      <x:c r="T42" s="38" t="n">
        <x:v>2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127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elem_火, elem_水, elem_雷, elem_冰, elem_地, elem_无, role_坦克, role_控制, role_风系铺场</x:v>
      </x:c>
      <x:c r="I43" s="38" t="n">
        <x:v>10</x:v>
      </x:c>
      <x:c r="J43" s="38" t="n">
        <x:v>28</x:v>
      </x:c>
      <x:c r="K43" s="38" t="n">
        <x:v>12</x:v>
      </x:c>
      <x:c r="L43" s="38" t="n">
        <x:v>0</x:v>
      </x:c>
      <x:c r="M43" s="38" t="n"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Barrel；攻击1格；商店关系保留来源节点后补足8店。</x:v>
      </x:c>
      <x:c r="S43" s="38" t="n">
        <x:v>3</x:v>
      </x:c>
      <x:c r="T43" s="38" t="n">
        <x:v>1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130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elem_火, elem_水, elem_草, elem_冰, elem_龙, elem_无, role_治疗, elite_high, tier_pT2</x:v>
      </x:c>
      <x:c r="I44" s="38" t="n">
        <x:v>10</x:v>
      </x:c>
      <x:c r="J44" s="38" t="n">
        <x:v>62</x:v>
      </x:c>
      <x:c r="K44" s="38" t="n">
        <x:v>18</x:v>
      </x:c>
      <x:c r="L44" s="38" t="n">
        <x:v>0</x:v>
      </x:c>
      <x:c r="M44" s="38" t="n"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Eels；攻击2格；商店关系保留来源节点后补足8店。</x:v>
      </x:c>
      <x:c r="S44" s="38" t="n">
        <x:v>4</x:v>
      </x:c>
      <x:c r="T44" s="38" t="n">
        <x:v>2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133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night_base, elem_火, elem_冰, elem_暗, elem_龙, role_坦克, role_机动, tier_pT1, role_抗压承伤, role_重甲抗压</x:v>
      </x:c>
      <x:c r="I45" s="38" t="n">
        <x:v>10</x:v>
      </x:c>
      <x:c r="J45" s="38" t="n">
        <x:v>44</x:v>
      </x:c>
      <x:c r="K45" s="38" t="n">
        <x:v>14</x:v>
      </x:c>
      <x:c r="L45" s="38" t="n">
        <x:v>0</x:v>
      </x:c>
      <x:c r="M45" s="38" t="n"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Charge；攻击2格；商店关系保留来源节点后补足8店。</x:v>
      </x:c>
      <x:c r="S45" s="38" t="n">
        <x:v>4</x:v>
      </x:c>
      <x:c r="T45" s="38" t="n">
        <x:v>2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133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night_base, elem_火, elem_水, elem_雷, elem_冰, elem_地, elem_暗, elem_龙, role_控制, role_治疗</x:v>
      </x:c>
      <x:c r="I46" s="38" t="n">
        <x:v>10</x:v>
      </x:c>
      <x:c r="J46" s="38" t="n">
        <x:v>40</x:v>
      </x:c>
      <x:c r="K46" s="38" t="n">
        <x:v>12</x:v>
      </x:c>
      <x:c r="L46" s="38" t="n">
        <x:v>0</x:v>
      </x:c>
      <x:c r="M46" s="38" t="n"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confirmed；来源=Figurehead；攻击2格；商店关系保留来源节点后补足8店。</x:v>
      </x:c>
      <x:c r="S46" s="38" t="n">
        <x:v>5</x:v>
      </x:c>
      <x:c r="T46" s="38" t="n">
        <x:v>2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127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night_base, elem_火, elem_水, elem_冰, elem_暗, elem_龙, role_控制, role_治疗, elite_high, role_召唤铺场</x:v>
      </x:c>
      <x:c r="I47" s="38" t="n">
        <x:v>10</x:v>
      </x:c>
      <x:c r="J47" s="38" t="n">
        <x:v>32</x:v>
      </x:c>
      <x:c r="K47" s="38" t="n">
        <x:v>8</x:v>
      </x:c>
      <x:c r="L47" s="38" t="n">
        <x:v>0</x:v>
      </x:c>
      <x:c r="M47" s="38" t="n"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Net；攻击3格；商店关系保留来源节点后补足8店。</x:v>
      </x:c>
      <x:c r="S47" s="38" t="n">
        <x:v>4</x:v>
      </x:c>
      <x:c r="T47" s="38" t="n">
        <x:v>1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127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night_base, elem_火, elem_水, elem_冰, elem_暗, elem_龙, role_控制, role_治疗, role_经济, role_召唤铺场</x:v>
      </x:c>
      <x:c r="I48" s="38" t="n">
        <x:v>10</x:v>
      </x:c>
      <x:c r="J48" s="38" t="n">
        <x:v>28</x:v>
      </x:c>
      <x:c r="K48" s="38" t="n">
        <x:v>6</x:v>
      </x:c>
      <x:c r="L48" s="38" t="n">
        <x:v>0</x:v>
      </x:c>
      <x:c r="M48" s="38" t="n"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Rod；攻击3格；商店关系保留来源节点后补足8店。</x:v>
      </x:c>
      <x:c r="S48" s="38" t="n">
        <x:v>5</x:v>
      </x:c>
      <x:c r="T48" s="38" t="n">
        <x:v>1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133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elem_草, elem_冰, role_召唤, role_控制, tier_pT1, tier_pT3, role_远点压制, role_风系牵制</x:v>
      </x:c>
      <x:c r="I49" s="38" t="n">
        <x:v>8</x:v>
      </x:c>
      <x:c r="J49" s="38" t="n">
        <x:v>54</x:v>
      </x:c>
      <x:c r="K49" s="38" t="n">
        <x:v>10</x:v>
      </x:c>
      <x:c r="L49" s="38" t="n">
        <x:v>0</x:v>
      </x:c>
      <x:c r="M49" s="38" t="n"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confirmed；来源=Flagship；攻击2格；商店关系保留来源节点后补足8店。</x:v>
      </x:c>
      <x:c r="S49" s="38" t="n">
        <x:v>2</x:v>
      </x:c>
      <x:c r="T49" s="38" t="n">
        <x:v>2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127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elem_水, elem_龙, elem_无, role_召唤, role_治疗, role_经济, tier_pT2, role_远点压制</x:v>
      </x:c>
      <x:c r="I50" s="38" t="n">
        <x:v>10</x:v>
      </x:c>
      <x:c r="J50" s="38" t="n">
        <x:v>22</x:v>
      </x:c>
      <x:c r="K50" s="38" t="n">
        <x:v>8</x:v>
      </x:c>
      <x:c r="L50" s="38" t="n">
        <x:v>0</x:v>
      </x:c>
      <x:c r="M50" s="38" t="n"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Fish；攻击2格；商店关系保留来源节点后补足8店。</x:v>
      </x:c>
      <x:c r="S50" s="38" t="n">
        <x:v>5</x:v>
      </x:c>
      <x:c r="T50" s="38" t="n">
        <x:v>1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127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elem_水, elem_草, elem_雷, elem_地, elem_无, role_召唤, role_坦克, role_风系铺场</x:v>
      </x:c>
      <x:c r="I51" s="38" t="n">
        <x:v>10</x:v>
      </x:c>
      <x:c r="J51" s="38" t="n">
        <x:v>22</x:v>
      </x:c>
      <x:c r="K51" s="38" t="n">
        <x:v>14</x:v>
      </x:c>
      <x:c r="L51" s="38" t="n">
        <x:v>0</x:v>
      </x:c>
      <x:c r="M51" s="38" t="n"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confirmed；来源=Grapeshot；攻击1格；商店关系保留来源节点后补足8店。</x:v>
      </x:c>
      <x:c r="S51" s="38" t="n">
        <x:v>3</x:v>
      </x:c>
      <x:c r="T51" s="38" t="n">
        <x:v>1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127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elem_水, elem_草, elem_地, elem_无, role_召唤, role_治疗, elite_high, role_召唤铺场</x:v>
      </x:c>
      <x:c r="I52" s="38" t="n">
        <x:v>10</x:v>
      </x:c>
      <x:c r="J52" s="38" t="n">
        <x:v>26</x:v>
      </x:c>
      <x:c r="K52" s="38" t="n">
        <x:v>10</x:v>
      </x:c>
      <x:c r="L52" s="38" t="n">
        <x:v>0</x:v>
      </x:c>
      <x:c r="M52" s="38" t="n"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Hook；攻击3格；商店关系保留来源节点后补足8店。</x:v>
      </x:c>
      <x:c r="S52" s="38" t="n">
        <x:v>4</x:v>
      </x:c>
      <x:c r="T52" s="38" t="n">
        <x:v>1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127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elem_水, elem_草, elem_雷, elem_地, elem_无, role_召唤, role_坦克, role_风系铺场</x:v>
      </x:c>
      <x:c r="I53" s="38" t="n">
        <x:v>10</x:v>
      </x:c>
      <x:c r="J53" s="38" t="n">
        <x:v>22</x:v>
      </x:c>
      <x:c r="K53" s="38" t="n">
        <x:v>14</x:v>
      </x:c>
      <x:c r="L53" s="38" t="n">
        <x:v>0</x:v>
      </x:c>
      <x:c r="M53" s="38" t="n"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confirmed；来源=Grenade；攻击1格；商店关系保留来源节点后补足8店。</x:v>
      </x:c>
      <x:c r="S53" s="38" t="n">
        <x:v>3</x:v>
      </x:c>
      <x:c r="T53" s="38" t="n">
        <x:v>1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127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elem_水, elem_草, elem_雷, elem_地, elem_龙, elem_无, role_召唤, role_风系铺场</x:v>
      </x:c>
      <x:c r="I54" s="38" t="n">
        <x:v>10</x:v>
      </x:c>
      <x:c r="J54" s="38" t="n">
        <x:v>22</x:v>
      </x:c>
      <x:c r="K54" s="38" t="n">
        <x:v>14</x:v>
      </x:c>
      <x:c r="L54" s="38" t="n">
        <x:v>0</x:v>
      </x:c>
      <x:c r="M54" s="38" t="n"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confirmed；来源=Handaxe；攻击1格；商店关系保留来源节点后补足8店。</x:v>
      </x:c>
      <x:c r="S54" s="38" t="n">
        <x:v>3</x:v>
      </x:c>
      <x:c r="T54" s="38" t="n">
        <x:v>1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133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night_base, elem_火, elem_水, elem_雷, elem_冰, elem_地, elem_暗, elem_龙, role_坦克, role_控制</x:v>
      </x:c>
      <x:c r="I55" s="38" t="n">
        <x:v>10</x:v>
      </x:c>
      <x:c r="J55" s="38" t="n">
        <x:v>44</x:v>
      </x:c>
      <x:c r="K55" s="38" t="n">
        <x:v>14</x:v>
      </x:c>
      <x:c r="L55" s="38" t="n">
        <x:v>0</x:v>
      </x:c>
      <x:c r="M55" s="38" t="n"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confirmed；来源=Harpoon；攻击3格；商店关系保留来源节点后补足8店。</x:v>
      </x:c>
      <x:c r="S55" s="38" t="n">
        <x:v>4</x:v>
      </x:c>
      <x:c r="T55" s="38" t="n">
        <x:v>2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133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night_base, elem_火, elem_水, elem_草, elem_地, elem_暗, role_召唤, role_治疗, role_经济, tier_pT3</x:v>
      </x:c>
      <x:c r="I56" s="38" t="n">
        <x:v>10</x:v>
      </x:c>
      <x:c r="J56" s="38" t="n">
        <x:v>34</x:v>
      </x:c>
      <x:c r="K56" s="38" t="n">
        <x:v>14</x:v>
      </x:c>
      <x:c r="L56" s="38" t="n">
        <x:v>0</x:v>
      </x:c>
      <x:c r="M56" s="38" t="n"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confirmed；来源=Holsters；攻击3格；商店关系保留来源节点后补足8店。</x:v>
      </x:c>
      <x:c r="S56" s="38" t="n">
        <x:v>5</x:v>
      </x:c>
      <x:c r="T56" s="38" t="n">
        <x:v>2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127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night_base, elem_火, elem_水, elem_草, elem_雷, elem_地, elem_暗, role_召唤, role_召唤铺场, role_风系铺场</x:v>
      </x:c>
      <x:c r="I57" s="38" t="n">
        <x:v>10</x:v>
      </x:c>
      <x:c r="J57" s="38" t="n">
        <x:v>22</x:v>
      </x:c>
      <x:c r="K57" s="38" t="n">
        <x:v>14</x:v>
      </x:c>
      <x:c r="L57" s="38" t="n">
        <x:v>0</x:v>
      </x:c>
      <x:c r="M57" s="38" t="n"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Steel；攻击1格；商店关系保留来源节点后补足8店。</x:v>
      </x:c>
      <x:c r="S57" s="38" t="n">
        <x:v>3</x:v>
      </x:c>
      <x:c r="T57" s="38" t="n">
        <x:v>1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133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elem_水, elem_草, elem_雷, elem_地, elem_无, role_召唤, role_召唤铺场, role_抗压承伤</x:v>
      </x:c>
      <x:c r="I58" s="38" t="n">
        <x:v>10</x:v>
      </x:c>
      <x:c r="J58" s="38" t="n">
        <x:v>38</x:v>
      </x:c>
      <x:c r="K58" s="38" t="n">
        <x:v>16</x:v>
      </x:c>
      <x:c r="L58" s="38" t="n">
        <x:v>0</x:v>
      </x:c>
      <x:c r="M58" s="38" t="n"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Pick；攻击2格；商店关系保留来源节点后补足8店。</x:v>
      </x:c>
      <x:c r="S58" s="38" t="n">
        <x:v>4</x:v>
      </x:c>
      <x:c r="T58" s="38" t="n">
        <x:v>2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136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elem_火, elem_水, elem_草, elem_雷, elem_冰, elem_地, elem_暗, elem_龙, role_机动压制, role_抗压承伤</x:v>
      </x:c>
      <x:c r="I59" s="38" t="n">
        <x:v>10</x:v>
      </x:c>
      <x:c r="J59" s="38" t="n">
        <x:v>74</x:v>
      </x:c>
      <x:c r="K59" s="38" t="n">
        <x:v>24</x:v>
      </x:c>
      <x:c r="L59" s="38" t="n">
        <x:v>0</x:v>
      </x:c>
      <x:c r="M59" s="38" t="n"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confirmed；来源=Iceberg；攻击2格；商店关系保留来源节点后补足8店。</x:v>
      </x:c>
      <x:c r="S59" s="38" t="n">
        <x:v>4</x:v>
      </x:c>
      <x:c r="T59" s="38" t="n">
        <x:v>3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127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night_base, elem_火, elem_水, elem_草, elem_暗, elem_龙, role_召唤, role_治疗, elite_high, tier_pT2</x:v>
      </x:c>
      <x:c r="I60" s="38" t="n">
        <x:v>10</x:v>
      </x:c>
      <x:c r="J60" s="38" t="n">
        <x:v>26</x:v>
      </x:c>
      <x:c r="K60" s="38" t="n">
        <x:v>10</x:v>
      </x:c>
      <x:c r="L60" s="38" t="n">
        <x:v>0</x:v>
      </x:c>
      <x:c r="M60" s="38" t="n"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confirmed；来源=IllusoRay；攻击2格；商店关系保留来源节点后补足8店。</x:v>
      </x:c>
      <x:c r="S60" s="38" t="n">
        <x:v>4</x:v>
      </x:c>
      <x:c r="T60" s="38" t="n">
        <x:v>1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133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night_base, elem_火, elem_水, elem_草, elem_雷, elem_地, elem_暗, role_召唤, role_机动, role_风系铺场</x:v>
      </x:c>
      <x:c r="I61" s="38" t="n">
        <x:v>10</x:v>
      </x:c>
      <x:c r="J61" s="38" t="n">
        <x:v>34</x:v>
      </x:c>
      <x:c r="K61" s="38" t="n">
        <x:v>22</x:v>
      </x:c>
      <x:c r="L61" s="38" t="n">
        <x:v>0</x:v>
      </x:c>
      <x:c r="M61" s="38" t="n"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Rounds；攻击2格；商店关系保留来源节点后补足8店。</x:v>
      </x:c>
      <x:c r="S61" s="38" t="n">
        <x:v>3</x:v>
      </x:c>
      <x:c r="T61" s="38" t="n">
        <x:v>2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133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night_base, elem_火, elem_水, elem_暗, role_召唤, role_治疗, role_输出, elite_high, tier_pT1, tier_pT3</x:v>
      </x:c>
      <x:c r="I62" s="38" t="n">
        <x:v>10</x:v>
      </x:c>
      <x:c r="J62" s="38" t="n">
        <x:v>38</x:v>
      </x:c>
      <x:c r="K62" s="38" t="n">
        <x:v>16</x:v>
      </x:c>
      <x:c r="L62" s="38" t="n">
        <x:v>0</x:v>
      </x:c>
      <x:c r="M62" s="38" t="n"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HUD；攻击2格；商店关系保留来源节点后补足8店。</x:v>
      </x:c>
      <x:c r="S62" s="38" t="n">
        <x:v>4</x:v>
      </x:c>
      <x:c r="T62" s="38" t="n">
        <x:v>2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133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elem_火, elem_水, elem_冰, elem_地, elem_无, role_坦克, role_控制, role_治疗, role_经济</x:v>
      </x:c>
      <x:c r="I63" s="38" t="n">
        <x:v>10</x:v>
      </x:c>
      <x:c r="J63" s="38" t="n">
        <x:v>40</x:v>
      </x:c>
      <x:c r="K63" s="38" t="n">
        <x:v>12</x:v>
      </x:c>
      <x:c r="L63" s="38" t="n">
        <x:v>0</x:v>
      </x:c>
      <x:c r="M63" s="38" t="n"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confirmed；来源=Javelin；攻击2格；商店关系保留来源节点后补足8店。</x:v>
      </x:c>
      <x:c r="S63" s="38" t="n">
        <x:v>5</x:v>
      </x:c>
      <x:c r="T63" s="38" t="n">
        <x:v>2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127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night_base, elem_火, elem_水, elem_暗, elem_龙, role_召唤, role_治疗, role_经济, tier_pT2, role_重甲抗压</x:v>
      </x:c>
      <x:c r="I64" s="38" t="n">
        <x:v>10</x:v>
      </x:c>
      <x:c r="J64" s="38" t="n">
        <x:v>26</x:v>
      </x:c>
      <x:c r="K64" s="38" t="n">
        <x:v>10</x:v>
      </x:c>
      <x:c r="L64" s="38" t="n">
        <x:v>0</x:v>
      </x:c>
      <x:c r="M64" s="38" t="n"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confirmed；来源=Jellyfish；攻击2格；商店关系保留来源节点后补足8店。</x:v>
      </x:c>
      <x:c r="S64" s="38" t="n">
        <x:v>4</x:v>
      </x:c>
      <x:c r="T64" s="38" t="n">
        <x:v>1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133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elem_冰, elem_无, role_机动压制, role_远点压制, role_风系牵制</x:v>
      </x:c>
      <x:c r="I65" s="38" t="n">
        <x:v>10</x:v>
      </x:c>
      <x:c r="J65" s="38" t="n">
        <x:v>46</x:v>
      </x:c>
      <x:c r="K65" s="38" t="n">
        <x:v>10</x:v>
      </x:c>
      <x:c r="L65" s="38" t="n">
        <x:v>0</x:v>
      </x:c>
      <x:c r="M65" s="38" t="n"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confirmed；来源=Jetbike；攻击2格；商店关系保留来源节点后补足8店。</x:v>
      </x:c>
      <x:c r="S65" s="38" t="n">
        <x:v>5</x:v>
      </x:c>
      <x:c r="T65" s="38" t="n">
        <x:v>2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133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elem_水, elem_草, elem_雷, elem_地, elem_无, role_召唤, role_治疗, elite_high</x:v>
      </x:c>
      <x:c r="I66" s="38" t="n">
        <x:v>10</x:v>
      </x:c>
      <x:c r="J66" s="38" t="n">
        <x:v>38</x:v>
      </x:c>
      <x:c r="K66" s="38" t="n">
        <x:v>16</x:v>
      </x:c>
      <x:c r="L66" s="38" t="n">
        <x:v>0</x:v>
      </x:c>
      <x:c r="M66" s="38" t="n"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confirmed；来源=Jitte；攻击2格；商店关系保留来源节点后补足8店。</x:v>
      </x:c>
      <x:c r="S66" s="38" t="n">
        <x:v>4</x:v>
      </x:c>
      <x:c r="T66" s="38" t="n">
        <x:v>2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127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elem_火, elem_水, elem_雷, elem_冰, elem_地, elem_龙, elem_无, role_控制, role_风系铺场</x:v>
      </x:c>
      <x:c r="I67" s="38" t="n">
        <x:v>10</x:v>
      </x:c>
      <x:c r="J67" s="38" t="n">
        <x:v>28</x:v>
      </x:c>
      <x:c r="K67" s="38" t="n">
        <x:v>12</x:v>
      </x:c>
      <x:c r="L67" s="38" t="n">
        <x:v>0</x:v>
      </x:c>
      <x:c r="M67" s="38" t="n"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confirmed；来源=Katana；攻击1格；商店关系保留来源节点后补足8店。</x:v>
      </x:c>
      <x:c r="S67" s="38" t="n">
        <x:v>3</x:v>
      </x:c>
      <x:c r="T67" s="38" t="n">
        <x:v>1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133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night_base, elem_火, elem_水, elem_草, elem_雷, elem_地, elem_暗, role_召唤, role_输出, tier_pT3</x:v>
      </x:c>
      <x:c r="I68" s="38" t="n">
        <x:v>10</x:v>
      </x:c>
      <x:c r="J68" s="38" t="n">
        <x:v>34</x:v>
      </x:c>
      <x:c r="K68" s="38" t="n">
        <x:v>22</x:v>
      </x:c>
      <x:c r="L68" s="38" t="n">
        <x:v>0</x:v>
      </x:c>
      <x:c r="M68" s="38" t="n"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Crest；攻击2格；商店关系保留来源节点后补足8店。</x:v>
      </x:c>
      <x:c r="S68" s="38" t="n">
        <x:v>3</x:v>
      </x:c>
      <x:c r="T68" s="38" t="n">
        <x:v>2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133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elem_水, elem_草, elem_无, role_召唤, role_治疗, role_输出, elite_high, tier_pT1</x:v>
      </x:c>
      <x:c r="I69" s="38" t="n">
        <x:v>10</x:v>
      </x:c>
      <x:c r="J69" s="38" t="n">
        <x:v>38</x:v>
      </x:c>
      <x:c r="K69" s="38" t="n">
        <x:v>16</x:v>
      </x:c>
      <x:c r="L69" s="38" t="n">
        <x:v>0</x:v>
      </x:c>
      <x:c r="M69" s="38" t="n"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confirmed；来源=Kusarigama；攻击2格；商店关系保留来源节点后补足8店。</x:v>
      </x:c>
      <x:c r="S69" s="38" t="n">
        <x:v>4</x:v>
      </x:c>
      <x:c r="T69" s="38" t="n">
        <x:v>2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127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elem_火, elem_水, elem_雷, elem_冰, elem_地, elem_暗, elem_无, role_控制, role_风系铺场</x:v>
      </x:c>
      <x:c r="I70" s="38" t="n">
        <x:v>10</x:v>
      </x:c>
      <x:c r="J70" s="38" t="n">
        <x:v>28</x:v>
      </x:c>
      <x:c r="K70" s="38" t="n">
        <x:v>12</x:v>
      </x:c>
      <x:c r="L70" s="38" t="n">
        <x:v>0</x:v>
      </x:c>
      <x:c r="M70" s="38" t="n"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confirmed；来源=Langxian；攻击1格；商店关系保留来源节点后补足8店。</x:v>
      </x:c>
      <x:c r="S70" s="38" t="n">
        <x:v>3</x:v>
      </x:c>
      <x:c r="T70" s="38" t="n">
        <x:v>1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127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elem_火, elem_水, elem_冰, elem_暗, elem_龙, role_控制, special_merchant, role_火系压制</x:v>
      </x:c>
      <x:c r="I71" s="38" t="n">
        <x:v>9</x:v>
      </x:c>
      <x:c r="J71" s="38" t="n">
        <x:v>34</x:v>
      </x:c>
      <x:c r="K71" s="38" t="n">
        <x:v>6</x:v>
      </x:c>
      <x:c r="L71" s="38" t="n">
        <x:v>2</x:v>
      </x:c>
      <x:c r="M71" s="38" t="n"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Preserver；攻击1格；商店关系保留来源节点后补足8店。</x:v>
      </x:c>
      <x:c r="S71" s="38" t="n">
        <x:v>3</x:v>
      </x:c>
      <x:c r="T71" s="38" t="n">
        <x:v>1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127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night_base, elem_火, elem_水, elem_草, elem_雷, elem_地, elem_暗, role_召唤, role_机动, role_召唤铺场</x:v>
      </x:c>
      <x:c r="I72" s="38" t="n">
        <x:v>10</x:v>
      </x:c>
      <x:c r="J72" s="38" t="n">
        <x:v>22</x:v>
      </x:c>
      <x:c r="K72" s="38" t="n">
        <x:v>14</x:v>
      </x:c>
      <x:c r="L72" s="38" t="n">
        <x:v>0</x:v>
      </x:c>
      <x:c r="M72" s="38" t="n"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confirmed；来源=Lighter；攻击1格；商店关系保留来源节点后补足8店。</x:v>
      </x:c>
      <x:c r="S72" s="38" t="n">
        <x:v>3</x:v>
      </x:c>
      <x:c r="T72" s="38" t="n">
        <x:v>1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130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night_base, elem_火, elem_水, elem_草, elem_冰, elem_暗, elem_龙, role_治疗, role_机动, elite_high</x:v>
      </x:c>
      <x:c r="I73" s="38" t="n">
        <x:v>10</x:v>
      </x:c>
      <x:c r="J73" s="38" t="n">
        <x:v>62</x:v>
      </x:c>
      <x:c r="K73" s="38" t="n">
        <x:v>18</x:v>
      </x:c>
      <x:c r="L73" s="38" t="n">
        <x:v>0</x:v>
      </x:c>
      <x:c r="M73" s="38" t="n"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confirmed；来源=Lighthouse；攻击2格；商店关系保留来源节点后补足8店。</x:v>
      </x:c>
      <x:c r="S73" s="38" t="n">
        <x:v>4</x:v>
      </x:c>
      <x:c r="T73" s="38" t="n">
        <x:v>2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133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night_base, elem_火, elem_水, elem_雷, elem_冰, elem_地, elem_暗, elem_无, role_控制, role_风系铺场</x:v>
      </x:c>
      <x:c r="I74" s="38" t="n">
        <x:v>10</x:v>
      </x:c>
      <x:c r="J74" s="38" t="n">
        <x:v>40</x:v>
      </x:c>
      <x:c r="K74" s="38" t="n">
        <x:v>12</x:v>
      </x:c>
      <x:c r="L74" s="38" t="n">
        <x:v>0</x:v>
      </x:c>
      <x:c r="M74" s="38" t="n"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confirmed；来源=Lockbox；攻击2格；商店关系保留来源节点后补足8店。</x:v>
      </x:c>
      <x:c r="S74" s="38" t="n">
        <x:v>3</x:v>
      </x:c>
      <x:c r="T74" s="38" t="n">
        <x:v>2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127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elem_龙, elem_无, role_召唤, role_坦克, role_治疗, role_机动, elite_high, tier_pT2</x:v>
      </x:c>
      <x:c r="I75" s="38" t="n">
        <x:v>10</x:v>
      </x:c>
      <x:c r="J75" s="38" t="n">
        <x:v>26</x:v>
      </x:c>
      <x:c r="K75" s="38" t="n">
        <x:v>10</x:v>
      </x:c>
      <x:c r="L75" s="38" t="n">
        <x:v>0</x:v>
      </x:c>
      <x:c r="M75" s="38" t="n"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Shrimp；攻击2格；商店关系保留来源节点后补足8店。</x:v>
      </x:c>
      <x:c r="S75" s="38" t="n">
        <x:v>4</x:v>
      </x:c>
      <x:c r="T75" s="38" t="n">
        <x:v>1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127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elem_火, elem_水, elem_冰, elem_龙, elem_无, role_控制, role_输出, tier_pT2, role_远点压制</x:v>
      </x:c>
      <x:c r="I76" s="38" t="n">
        <x:v>10</x:v>
      </x:c>
      <x:c r="J76" s="38" t="n">
        <x:v>28</x:v>
      </x:c>
      <x:c r="K76" s="38" t="n">
        <x:v>6</x:v>
      </x:c>
      <x:c r="L76" s="38" t="n">
        <x:v>0</x:v>
      </x:c>
      <x:c r="M76" s="38" t="n"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confirmed；来源=Marlon；攻击1格；商店关系保留来源节点后补足8店。</x:v>
      </x:c>
      <x:c r="S76" s="38" t="n">
        <x:v>5</x:v>
      </x:c>
      <x:c r="T76" s="38" t="n">
        <x:v>1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133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night_base, elem_火, elem_暗, elem_龙, role_召唤, role_治疗, role_经济, special_merchant, elite_high, tier_pT2</x:v>
      </x:c>
      <x:c r="I77" s="38" t="n">
        <x:v>10</x:v>
      </x:c>
      <x:c r="J77" s="38" t="n">
        <x:v>48</x:v>
      </x:c>
      <x:c r="K77" s="38" t="n">
        <x:v>14</x:v>
      </x:c>
      <x:c r="L77" s="38" t="n">
        <x:v>10</x:v>
      </x:c>
      <x:c r="M77" s="38" t="n"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Richardson；攻击2格；商店关系保留来源节点后补足8店。</x:v>
      </x:c>
      <x:c r="S77" s="38" t="n">
        <x:v>3</x:v>
      </x:c>
      <x:c r="T77" s="38" t="n">
        <x:v>2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133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elem_火, elem_水, elem_雷, elem_冰, elem_地, elem_无, role_坦克, role_控制, role_机动</x:v>
      </x:c>
      <x:c r="I78" s="38" t="n">
        <x:v>10</x:v>
      </x:c>
      <x:c r="J78" s="38" t="n">
        <x:v>40</x:v>
      </x:c>
      <x:c r="K78" s="38" t="n">
        <x:v>20</x:v>
      </x:c>
      <x:c r="L78" s="38" t="n">
        <x:v>0</x:v>
      </x:c>
      <x:c r="M78" s="38" t="n"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confirmed；来源=Musket；攻击2格；商店关系保留来源节点后补足8店。</x:v>
      </x:c>
      <x:c r="S78" s="38" t="n">
        <x:v>3</x:v>
      </x:c>
      <x:c r="T78" s="38" t="n">
        <x:v>2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127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elem_水, elem_草, elem_雷, elem_地, elem_龙, elem_无, role_召唤, tier_pT2</x:v>
      </x:c>
      <x:c r="I79" s="38" t="n">
        <x:v>10</x:v>
      </x:c>
      <x:c r="J79" s="38" t="n">
        <x:v>30</x:v>
      </x:c>
      <x:c r="K79" s="38" t="n">
        <x:v>8</x:v>
      </x:c>
      <x:c r="L79" s="38" t="n">
        <x:v>0</x:v>
      </x:c>
      <x:c r="M79" s="38" t="n"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confirmed；来源=Narwhal；攻击2格；商店关系保留来源节点后补足8店。</x:v>
      </x:c>
      <x:c r="S79" s="38" t="n">
        <x:v>3</x:v>
      </x:c>
      <x:c r="T79" s="38" t="n">
        <x:v>1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133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night_base, elem_火, elem_水, elem_草, elem_地, elem_暗, role_召唤, role_坦克, special_merchant</x:v>
      </x:c>
      <x:c r="I80" s="38" t="n">
        <x:v>9</x:v>
      </x:c>
      <x:c r="J80" s="38" t="n">
        <x:v>48</x:v>
      </x:c>
      <x:c r="K80" s="38" t="n">
        <x:v>14</x:v>
      </x:c>
      <x:c r="L80" s="38" t="n">
        <x:v>10</x:v>
      </x:c>
      <x:c r="M80" s="38" t="n"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Doll；攻击2格；商店关系保留来源节点后补足8店。</x:v>
      </x:c>
      <x:c r="S80" s="38" t="n">
        <x:v>3</x:v>
      </x:c>
      <x:c r="T80" s="38" t="n">
        <x:v>2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133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elem_水, elem_龙, elem_无, role_召唤, role_治疗, role_经济, elite_high, tier_pT2</x:v>
      </x:c>
      <x:c r="I81" s="38" t="n">
        <x:v>10</x:v>
      </x:c>
      <x:c r="J81" s="38" t="n">
        <x:v>38</x:v>
      </x:c>
      <x:c r="K81" s="38" t="n">
        <x:v>16</x:v>
      </x:c>
      <x:c r="L81" s="38" t="n">
        <x:v>0</x:v>
      </x:c>
      <x:c r="M81" s="38" t="n"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Saltclaw；攻击2格；商店关系保留来源节点后补足8店。</x:v>
      </x:c>
      <x:c r="S81" s="38" t="n">
        <x:v>4</x:v>
      </x:c>
      <x:c r="T81" s="38" t="n">
        <x:v>2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133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night_base, elem_火, elem_水, elem_冰, elem_暗, role_控制, role_输出, role_机动, tier_pT1, tier_pT3</x:v>
      </x:c>
      <x:c r="I82" s="38" t="n">
        <x:v>10</x:v>
      </x:c>
      <x:c r="J82" s="38" t="n">
        <x:v>40</x:v>
      </x:c>
      <x:c r="K82" s="38" t="n">
        <x:v>20</x:v>
      </x:c>
      <x:c r="L82" s="38" t="n">
        <x:v>0</x:v>
      </x:c>
      <x:c r="M82" s="38" t="n"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Mask；攻击2格；商店关系保留来源节点后补足8店。</x:v>
      </x:c>
      <x:c r="S82" s="38" t="n">
        <x:v>3</x:v>
      </x:c>
      <x:c r="T82" s="38" t="n">
        <x:v>2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133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night_base, elem_火, elem_水, elem_雷, elem_冰, elem_地, elem_暗, elem_无, role_控制, tier_pT2</x:v>
      </x:c>
      <x:c r="I83" s="38" t="n">
        <x:v>10</x:v>
      </x:c>
      <x:c r="J83" s="38" t="n">
        <x:v>40</x:v>
      </x:c>
      <x:c r="K83" s="38" t="n">
        <x:v>12</x:v>
      </x:c>
      <x:c r="L83" s="38" t="n">
        <x:v>0</x:v>
      </x:c>
      <x:c r="M83" s="38" t="n"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Julian；攻击2格；商店关系保留来源节点后补足8店。</x:v>
      </x:c>
      <x:c r="S83" s="38" t="n">
        <x:v>3</x:v>
      </x:c>
      <x:c r="T83" s="38" t="n">
        <x:v>2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127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night_base, elem_火, elem_水, elem_草, elem_地, elem_暗, elem_龙, role_召唤, special_merchant</x:v>
      </x:c>
      <x:c r="I84" s="38" t="n">
        <x:v>9</x:v>
      </x:c>
      <x:c r="J84" s="38" t="n">
        <x:v>36</x:v>
      </x:c>
      <x:c r="K84" s="38" t="n">
        <x:v>8</x:v>
      </x:c>
      <x:c r="L84" s="38" t="n">
        <x:v>6</x:v>
      </x:c>
      <x:c r="M84" s="38" t="n"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confirmed；来源=Pearl；攻击1格；商店关系保留来源节点后补足8店。</x:v>
      </x:c>
      <x:c r="S84" s="38" t="n">
        <x:v>3</x:v>
      </x:c>
      <x:c r="T84" s="38" t="n">
        <x:v>1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127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night_base, elem_火, elem_水, elem_草, elem_地, elem_暗, role_召唤, role_机动, tier_pT2, role_远点压制</x:v>
      </x:c>
      <x:c r="I85" s="38" t="n">
        <x:v>10</x:v>
      </x:c>
      <x:c r="J85" s="38" t="n">
        <x:v>22</x:v>
      </x:c>
      <x:c r="K85" s="38" t="n">
        <x:v>8</x:v>
      </x:c>
      <x:c r="L85" s="38" t="n">
        <x:v>0</x:v>
      </x:c>
      <x:c r="M85" s="38" t="n"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Pete；攻击2格；商店关系保留来源节点后补足8店。</x:v>
      </x:c>
      <x:c r="S85" s="38" t="n">
        <x:v>5</x:v>
      </x:c>
      <x:c r="T85" s="38" t="n">
        <x:v>1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127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elem_水, elem_草, elem_雷, elem_地, elem_无, role_召唤, role_输出, tier_pT2</x:v>
      </x:c>
      <x:c r="I86" s="38" t="n">
        <x:v>10</x:v>
      </x:c>
      <x:c r="J86" s="38" t="n">
        <x:v>30</x:v>
      </x:c>
      <x:c r="K86" s="38" t="n">
        <x:v>8</x:v>
      </x:c>
      <x:c r="L86" s="38" t="n">
        <x:v>0</x:v>
      </x:c>
      <x:c r="M86" s="38" t="n"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Rock；攻击2格；商店关系保留来源节点后补足8店。</x:v>
      </x:c>
      <x:c r="S86" s="38" t="n">
        <x:v>3</x:v>
      </x:c>
      <x:c r="T86" s="38" t="n">
        <x:v>1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130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night_base, elem_火, elem_水, elem_雷, elem_冰, elem_地, elem_暗, role_控制, role_治疗, role_经济</x:v>
      </x:c>
      <x:c r="I87" s="38" t="n">
        <x:v>10</x:v>
      </x:c>
      <x:c r="J87" s="38" t="n">
        <x:v>52</x:v>
      </x:c>
      <x:c r="K87" s="38" t="n">
        <x:v>18</x:v>
      </x:c>
      <x:c r="L87" s="38" t="n">
        <x:v>0</x:v>
      </x:c>
      <x:c r="M87" s="38" t="n"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confirmed；来源=Piano；攻击2格；商店关系保留来源节点后补足8店。</x:v>
      </x:c>
      <x:c r="S87" s="38" t="n">
        <x:v>5</x:v>
      </x:c>
      <x:c r="T87" s="38" t="n">
        <x:v>2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127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elem_水, elem_草, elem_雷, elem_地, elem_龙, elem_无, role_召唤, tier_pT2</x:v>
      </x:c>
      <x:c r="I88" s="38" t="n">
        <x:v>10</x:v>
      </x:c>
      <x:c r="J88" s="38" t="n">
        <x:v>22</x:v>
      </x:c>
      <x:c r="K88" s="38" t="n">
        <x:v>8</x:v>
      </x:c>
      <x:c r="L88" s="38" t="n">
        <x:v>0</x:v>
      </x:c>
      <x:c r="M88" s="38" t="n"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confirmed；来源=Piranha；攻击1格；商店关系保留来源节点后补足8店。</x:v>
      </x:c>
      <x:c r="S88" s="38" t="n">
        <x:v>5</x:v>
      </x:c>
      <x:c r="T88" s="38" t="n">
        <x:v>1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130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elem_火, elem_水, elem_雷, elem_冰, elem_地, elem_龙, elem_无, role_坦克, role_控制</x:v>
      </x:c>
      <x:c r="I89" s="38" t="n">
        <x:v>10</x:v>
      </x:c>
      <x:c r="J89" s="38" t="n">
        <x:v>52</x:v>
      </x:c>
      <x:c r="K89" s="38" t="n">
        <x:v>28</x:v>
      </x:c>
      <x:c r="L89" s="38" t="n">
        <x:v>0</x:v>
      </x:c>
      <x:c r="M89" s="38" t="n"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Sword；攻击3格；商店关系保留来源节点后补足8店。</x:v>
      </x:c>
      <x:c r="S89" s="38" t="n">
        <x:v>3</x:v>
      </x:c>
      <x:c r="T89" s="38" t="n">
        <x:v>2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127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night_base, elem_火, elem_水, elem_草, elem_雷, elem_地, elem_暗, role_召唤, role_坦克, role_机动</x:v>
      </x:c>
      <x:c r="I90" s="38" t="n">
        <x:v>10</x:v>
      </x:c>
      <x:c r="J90" s="38" t="n">
        <x:v>22</x:v>
      </x:c>
      <x:c r="K90" s="38" t="n">
        <x:v>14</x:v>
      </x:c>
      <x:c r="L90" s="38" t="n">
        <x:v>0</x:v>
      </x:c>
      <x:c r="M90" s="38" t="n"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Snappers；攻击1格；商店关系保留来源节点后补足8店。</x:v>
      </x:c>
      <x:c r="S90" s="38" t="n">
        <x:v>3</x:v>
      </x:c>
      <x:c r="T90" s="38" t="n">
        <x:v>1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133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night_base, elem_火, elem_水, elem_草, elem_冰, elem_地, elem_暗, elem_龙, role_坦克, role_机动压制</x:v>
      </x:c>
      <x:c r="I91" s="38" t="n">
        <x:v>10</x:v>
      </x:c>
      <x:c r="J91" s="38" t="n">
        <x:v>46</x:v>
      </x:c>
      <x:c r="K91" s="38" t="n">
        <x:v>10</x:v>
      </x:c>
      <x:c r="L91" s="38" t="n">
        <x:v>0</x:v>
      </x:c>
      <x:c r="M91" s="38" t="n"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confirmed；来源=Port；攻击3格；商店关系保留来源节点后补足8店。</x:v>
      </x:c>
      <x:c r="S91" s="38" t="n">
        <x:v>5</x:v>
      </x:c>
      <x:c r="T91" s="38" t="n">
        <x:v>2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127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night_base, elem_火, elem_水, elem_草, elem_雷, elem_地, elem_暗, role_召唤, role_坦克, role_召唤铺场</x:v>
      </x:c>
      <x:c r="I92" s="38" t="n">
        <x:v>10</x:v>
      </x:c>
      <x:c r="J92" s="38" t="n">
        <x:v>22</x:v>
      </x:c>
      <x:c r="K92" s="38" t="n">
        <x:v>14</x:v>
      </x:c>
      <x:c r="L92" s="38" t="n">
        <x:v>0</x:v>
      </x:c>
      <x:c r="M92" s="38" t="n"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Horn；攻击1格；商店关系保留来源节点后补足8店。</x:v>
      </x:c>
      <x:c r="S92" s="38" t="n">
        <x:v>3</x:v>
      </x:c>
      <x:c r="T92" s="38" t="n">
        <x:v>1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130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elem_火, elem_水, elem_雷, elem_冰, elem_地, elem_龙, elem_无, role_控制, role_机动</x:v>
      </x:c>
      <x:c r="I93" s="38" t="n">
        <x:v>10</x:v>
      </x:c>
      <x:c r="J93" s="38" t="n">
        <x:v>58</x:v>
      </x:c>
      <x:c r="K93" s="38" t="n">
        <x:v>18</x:v>
      </x:c>
      <x:c r="L93" s="38" t="n">
        <x:v>6</x:v>
      </x:c>
      <x:c r="M93" s="38" t="n"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Keg；攻击2格；商店关系保留来源节点后补足8店。</x:v>
      </x:c>
      <x:c r="S93" s="38" t="n">
        <x:v>3</x:v>
      </x:c>
      <x:c r="T93" s="38" t="n">
        <x:v>2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133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night_base, elem_火, elem_水, elem_冰, elem_暗, elem_龙, role_治疗, role_经济, tier_pT2, role_重甲抗压</x:v>
      </x:c>
      <x:c r="I94" s="38" t="n">
        <x:v>10</x:v>
      </x:c>
      <x:c r="J94" s="38" t="n">
        <x:v>44</x:v>
      </x:c>
      <x:c r="K94" s="38" t="n">
        <x:v>14</x:v>
      </x:c>
      <x:c r="L94" s="38" t="n">
        <x:v>0</x:v>
      </x:c>
      <x:c r="M94" s="38" t="n"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confirmed；来源=Pufferfish；攻击2格；商店关系保留来源节点后补足8店。</x:v>
      </x:c>
      <x:c r="S94" s="38" t="n">
        <x:v>4</x:v>
      </x:c>
      <x:c r="T94" s="38" t="n">
        <x:v>2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127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night_base, elem_火, elem_水, elem_冰, elem_地, elem_暗, role_坦克, role_控制, role_输出, role_召唤铺场</x:v>
      </x:c>
      <x:c r="I95" s="38" t="n">
        <x:v>10</x:v>
      </x:c>
      <x:c r="J95" s="38" t="n">
        <x:v>28</x:v>
      </x:c>
      <x:c r="K95" s="38" t="n">
        <x:v>12</x:v>
      </x:c>
      <x:c r="L95" s="38" t="n">
        <x:v>0</x:v>
      </x:c>
      <x:c r="M95" s="38" t="n"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confirmed；来源=Ramrod；攻击2格；商店关系保留来源节点后补足8店。</x:v>
      </x:c>
      <x:c r="S95" s="38" t="n">
        <x:v>3</x:v>
      </x:c>
      <x:c r="T95" s="38" t="n">
        <x:v>1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133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elem_火, elem_水, elem_雷, elem_冰, elem_地, elem_无, role_坦克, role_控制, role_风系铺场</x:v>
      </x:c>
      <x:c r="I96" s="38" t="n">
        <x:v>10</x:v>
      </x:c>
      <x:c r="J96" s="38" t="n">
        <x:v>40</x:v>
      </x:c>
      <x:c r="K96" s="38" t="n">
        <x:v>20</x:v>
      </x:c>
      <x:c r="L96" s="38" t="n">
        <x:v>0</x:v>
      </x:c>
      <x:c r="M96" s="38" t="n"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confirmed；来源=Repeater；攻击2格；商店关系保留来源节点后补足8店。</x:v>
      </x:c>
      <x:c r="S96" s="38" t="n">
        <x:v>3</x:v>
      </x:c>
      <x:c r="T96" s="38" t="n">
        <x:v>2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127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elem_水, elem_草, elem_雷, elem_地, elem_无, role_召唤, role_坦克, role_风系铺场</x:v>
      </x:c>
      <x:c r="I97" s="38" t="n">
        <x:v>10</x:v>
      </x:c>
      <x:c r="J97" s="38" t="n">
        <x:v>22</x:v>
      </x:c>
      <x:c r="K97" s="38" t="n">
        <x:v>14</x:v>
      </x:c>
      <x:c r="L97" s="38" t="n">
        <x:v>0</x:v>
      </x:c>
      <x:c r="M97" s="38" t="n"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confirmed；来源=Revolver；攻击1格；商店关系保留来源节点后补足8店。</x:v>
      </x:c>
      <x:c r="S97" s="38" t="n">
        <x:v>3</x:v>
      </x:c>
      <x:c r="T97" s="38" t="n">
        <x:v>1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127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elem_火, elem_水, elem_雷, elem_冰, elem_地, elem_无, role_坦克, role_控制, role_风系铺场</x:v>
      </x:c>
      <x:c r="I98" s="38" t="n">
        <x:v>10</x:v>
      </x:c>
      <x:c r="J98" s="38" t="n">
        <x:v>28</x:v>
      </x:c>
      <x:c r="K98" s="38" t="n">
        <x:v>12</x:v>
      </x:c>
      <x:c r="L98" s="38" t="n">
        <x:v>0</x:v>
      </x:c>
      <x:c r="M98" s="38" t="n"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confirmed；来源=Rifle；攻击1格；商店关系保留来源节点后补足8店。</x:v>
      </x:c>
      <x:c r="S98" s="38" t="n">
        <x:v>3</x:v>
      </x:c>
      <x:c r="T98" s="38" t="n">
        <x:v>1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130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night_base, elem_火, elem_水, elem_冰, elem_地, elem_暗, elem_龙, role_控制, role_治疗, role_风系牵制</x:v>
      </x:c>
      <x:c r="I99" s="38" t="n">
        <x:v>10</x:v>
      </x:c>
      <x:c r="J99" s="38" t="n">
        <x:v>52</x:v>
      </x:c>
      <x:c r="K99" s="38" t="n">
        <x:v>18</x:v>
      </x:c>
      <x:c r="L99" s="38" t="n">
        <x:v>0</x:v>
      </x:c>
      <x:c r="M99" s="38" t="n"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confirmed；来源=Rowboat；攻击2格；商店关系保留来源节点后补足8店。</x:v>
      </x:c>
      <x:c r="S99" s="38" t="n">
        <x:v>5</x:v>
      </x:c>
      <x:c r="T99" s="38" t="n">
        <x:v>2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133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elem_火, elem_水, elem_冰, elem_龙, elem_无, role_治疗, role_输出, role_经济, role_重甲抗压</x:v>
      </x:c>
      <x:c r="I100" s="38" t="n">
        <x:v>10</x:v>
      </x:c>
      <x:c r="J100" s="38" t="n">
        <x:v>44</x:v>
      </x:c>
      <x:c r="K100" s="38" t="n">
        <x:v>14</x:v>
      </x:c>
      <x:c r="L100" s="38" t="n">
        <x:v>0</x:v>
      </x:c>
      <x:c r="M100" s="38" t="n"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Deep；攻击2格；商店关系保留来源节点后补足8店。</x:v>
      </x:c>
      <x:c r="S100" s="38" t="n">
        <x:v>4</x:v>
      </x:c>
      <x:c r="T100" s="38" t="n">
        <x:v>2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127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night_base, elem_火, elem_水, elem_草, elem_地, elem_暗, elem_龙, role_召唤, special_merchant</x:v>
      </x:c>
      <x:c r="I101" s="38" t="n">
        <x:v>9</x:v>
      </x:c>
      <x:c r="J101" s="38" t="n">
        <x:v>36</x:v>
      </x:c>
      <x:c r="K101" s="38" t="n">
        <x:v>8</x:v>
      </x:c>
      <x:c r="L101" s="38" t="n">
        <x:v>6</x:v>
      </x:c>
      <x:c r="M101" s="38" t="n"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Shell；攻击1格；商店关系保留来源节点后补足8店。</x:v>
      </x:c>
      <x:c r="S101" s="38" t="n">
        <x:v>3</x:v>
      </x:c>
      <x:c r="T101" s="38" t="n">
        <x:v>1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133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night_base, elem_火, elem_水, elem_草, elem_冰, elem_暗, elem_龙, role_治疗, role_经济, elite_high</x:v>
      </x:c>
      <x:c r="I102" s="38" t="n">
        <x:v>10</x:v>
      </x:c>
      <x:c r="J102" s="38" t="n">
        <x:v>50</x:v>
      </x:c>
      <x:c r="K102" s="38" t="n">
        <x:v>12</x:v>
      </x:c>
      <x:c r="L102" s="38" t="n">
        <x:v>0</x:v>
      </x:c>
      <x:c r="M102" s="38" t="n"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Saloon；攻击2格；商店关系保留来源节点后补足8店。</x:v>
      </x:c>
      <x:c r="S102" s="38" t="n">
        <x:v>4</x:v>
      </x:c>
      <x:c r="T102" s="38" t="n">
        <x:v>2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133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night_base, elem_火, elem_水, elem_冰, elem_地, elem_暗, role_控制, role_治疗, tier_pT2, role_风系牵制</x:v>
      </x:c>
      <x:c r="I103" s="38" t="n">
        <x:v>10</x:v>
      </x:c>
      <x:c r="J103" s="38" t="n">
        <x:v>40</x:v>
      </x:c>
      <x:c r="K103" s="38" t="n">
        <x:v>12</x:v>
      </x:c>
      <x:c r="L103" s="38" t="n">
        <x:v>0</x:v>
      </x:c>
      <x:c r="M103" s="38" t="n"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confirmed；来源=Seashadow；攻击2格；商店关系保留来源节点后补足8店。</x:v>
      </x:c>
      <x:c r="S103" s="38" t="n">
        <x:v>5</x:v>
      </x:c>
      <x:c r="T103" s="38" t="n">
        <x:v>2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127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elem_水, elem_草, elem_雷, elem_地, elem_暗, elem_龙, role_召唤, role_火系压制</x:v>
      </x:c>
      <x:c r="I104" s="38" t="n">
        <x:v>10</x:v>
      </x:c>
      <x:c r="J104" s="38" t="n">
        <x:v>28</x:v>
      </x:c>
      <x:c r="K104" s="38" t="n">
        <x:v>8</x:v>
      </x:c>
      <x:c r="L104" s="38" t="n">
        <x:v>2</x:v>
      </x:c>
      <x:c r="M104" s="38" t="n"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confirmed；来源=Seaweed；攻击1格；商店关系保留来源节点后补足8店。</x:v>
      </x:c>
      <x:c r="S104" s="38" t="n">
        <x:v>3</x:v>
      </x:c>
      <x:c r="T104" s="38" t="n">
        <x:v>1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133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night_base, elem_火, elem_水, elem_冰, elem_暗, elem_龙, role_控制, role_治疗, role_输出, role_经济</x:v>
      </x:c>
      <x:c r="I105" s="38" t="n">
        <x:v>10</x:v>
      </x:c>
      <x:c r="J105" s="38" t="n">
        <x:v>40</x:v>
      </x:c>
      <x:c r="K105" s="38" t="n">
        <x:v>12</x:v>
      </x:c>
      <x:c r="L105" s="38" t="n">
        <x:v>0</x:v>
      </x:c>
      <x:c r="M105" s="38" t="n"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confirmed；来源=Sextant；攻击2格；商店关系保留来源节点后补足8店。</x:v>
      </x:c>
      <x:c r="S105" s="38" t="n">
        <x:v>5</x:v>
      </x:c>
      <x:c r="T105" s="38" t="n">
        <x:v>2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127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elem_火, elem_水, elem_雷, elem_冰, elem_地, elem_龙, elem_无, role_控制, role_风系铺场</x:v>
      </x:c>
      <x:c r="I106" s="38" t="n">
        <x:v>10</x:v>
      </x:c>
      <x:c r="J106" s="38" t="n">
        <x:v>28</x:v>
      </x:c>
      <x:c r="K106" s="38" t="n">
        <x:v>12</x:v>
      </x:c>
      <x:c r="L106" s="38" t="n">
        <x:v>0</x:v>
      </x:c>
      <x:c r="M106" s="38" t="n"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confirmed；来源=Sharkclaws；攻击1格；商店关系保留来源节点后补足8店。</x:v>
      </x:c>
      <x:c r="S106" s="38" t="n">
        <x:v>3</x:v>
      </x:c>
      <x:c r="T106" s="38" t="n">
        <x:v>1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133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elem_火, elem_水, elem_冰, elem_龙, elem_无, role_治疗, role_经济, tier_pT2, role_重甲抗压</x:v>
      </x:c>
      <x:c r="I107" s="38" t="n">
        <x:v>10</x:v>
      </x:c>
      <x:c r="J107" s="38" t="n">
        <x:v>44</x:v>
      </x:c>
      <x:c r="K107" s="38" t="n">
        <x:v>14</x:v>
      </x:c>
      <x:c r="L107" s="38" t="n">
        <x:v>0</x:v>
      </x:c>
      <x:c r="M107" s="38" t="n"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confirmed；来源=Sharkray；攻击2格；商店关系保留来源节点后补足8店。</x:v>
      </x:c>
      <x:c r="S107" s="38" t="n">
        <x:v>4</x:v>
      </x:c>
      <x:c r="T107" s="38" t="n">
        <x:v>2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136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elem_草, elem_雷, elem_冰, elem_地, elem_暗, elem_龙, role_机动压制, role_风系牵制</x:v>
      </x:c>
      <x:c r="I108" s="38" t="n">
        <x:v>10</x:v>
      </x:c>
      <x:c r="J108" s="38" t="n">
        <x:v>78</x:v>
      </x:c>
      <x:c r="K108" s="38" t="n">
        <x:v>22</x:v>
      </x:c>
      <x:c r="L108" s="38" t="n">
        <x:v>0</x:v>
      </x:c>
      <x:c r="M108" s="38" t="n"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confirmed；来源=Shipwreck；攻击2格；商店关系保留来源节点后补足8店。</x:v>
      </x:c>
      <x:c r="S108" s="38" t="n">
        <x:v>2</x:v>
      </x:c>
      <x:c r="T108" s="38" t="n">
        <x:v>3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127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elem_水, elem_草, elem_雷, elem_地, elem_无, role_召唤, role_输出, tier_pT3</x:v>
      </x:c>
      <x:c r="I109" s="38" t="n">
        <x:v>10</x:v>
      </x:c>
      <x:c r="J109" s="38" t="n">
        <x:v>22</x:v>
      </x:c>
      <x:c r="K109" s="38" t="n">
        <x:v>14</x:v>
      </x:c>
      <x:c r="L109" s="38" t="n">
        <x:v>0</x:v>
      </x:c>
      <x:c r="M109" s="38" t="n"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Blade；攻击1格；商店关系保留来源节点后补足8店。</x:v>
      </x:c>
      <x:c r="S109" s="38" t="n">
        <x:v>3</x:v>
      </x:c>
      <x:c r="T109" s="38" t="n">
        <x:v>1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133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night_base, elem_火, elem_水, elem_草, elem_暗, role_召唤, role_坦克, role_治疗, role_经济, elite_high</x:v>
      </x:c>
      <x:c r="I110" s="38" t="n">
        <x:v>10</x:v>
      </x:c>
      <x:c r="J110" s="38" t="n">
        <x:v>38</x:v>
      </x:c>
      <x:c r="K110" s="38" t="n">
        <x:v>16</x:v>
      </x:c>
      <x:c r="L110" s="38" t="n">
        <x:v>0</x:v>
      </x:c>
      <x:c r="M110" s="38" t="n"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Glasses；攻击2格；商店关系保留来源节点后补足8店。</x:v>
      </x:c>
      <x:c r="S110" s="38" t="n">
        <x:v>4</x:v>
      </x:c>
      <x:c r="T110" s="38" t="n">
        <x:v>2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127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elem_火, elem_水, elem_雷, elem_冰, elem_地, elem_无, role_控制, role_召唤铺场, role_风系铺场</x:v>
      </x:c>
      <x:c r="I111" s="38" t="n">
        <x:v>10</x:v>
      </x:c>
      <x:c r="J111" s="38" t="n">
        <x:v>28</x:v>
      </x:c>
      <x:c r="K111" s="38" t="n">
        <x:v>12</x:v>
      </x:c>
      <x:c r="L111" s="38" t="n">
        <x:v>0</x:v>
      </x:c>
      <x:c r="M111" s="38" t="n"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confirmed；来源=Shovel；攻击3格；商店关系保留来源节点后补足8店。</x:v>
      </x:c>
      <x:c r="S111" s="38" t="n">
        <x:v>3</x:v>
      </x:c>
      <x:c r="T111" s="38" t="n">
        <x:v>1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127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elem_水, elem_草, elem_雷, elem_地, elem_无, role_召唤, role_坦克, role_风系铺场</x:v>
      </x:c>
      <x:c r="I112" s="38" t="n">
        <x:v>10</x:v>
      </x:c>
      <x:c r="J112" s="38" t="n">
        <x:v>22</x:v>
      </x:c>
      <x:c r="K112" s="38" t="n">
        <x:v>14</x:v>
      </x:c>
      <x:c r="L112" s="38" t="n">
        <x:v>0</x:v>
      </x:c>
      <x:c r="M112" s="38" t="n"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confirmed；来源=Shuriken；攻击3格；商店关系保留来源节点后补足8店。</x:v>
      </x:c>
      <x:c r="S112" s="38" t="n">
        <x:v>3</x:v>
      </x:c>
      <x:c r="T112" s="38" t="n">
        <x:v>1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130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elem_火, elem_水, elem_冰, elem_龙, elem_无, role_机动, tier_pT2, role_抗压承伤, role_重甲抗压</x:v>
      </x:c>
      <x:c r="I113" s="38" t="n">
        <x:v>10</x:v>
      </x:c>
      <x:c r="J113" s="38" t="n">
        <x:v>62</x:v>
      </x:c>
      <x:c r="K113" s="38" t="n">
        <x:v>18</x:v>
      </x:c>
      <x:c r="L113" s="38" t="n">
        <x:v>0</x:v>
      </x:c>
      <x:c r="M113" s="38" t="n"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Primordial；攻击2格；商店关系保留来源节点后补足8店。</x:v>
      </x:c>
      <x:c r="S113" s="38" t="n">
        <x:v>4</x:v>
      </x:c>
      <x:c r="T113" s="38" t="n">
        <x:v>2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130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elem_火, elem_水, elem_雷, elem_冰, elem_地, elem_龙, elem_无, role_控制, role_机动</x:v>
      </x:c>
      <x:c r="I114" s="38" t="n">
        <x:v>10</x:v>
      </x:c>
      <x:c r="J114" s="38" t="n">
        <x:v>52</x:v>
      </x:c>
      <x:c r="K114" s="38" t="n">
        <x:v>28</x:v>
      </x:c>
      <x:c r="L114" s="38" t="n">
        <x:v>0</x:v>
      </x:c>
      <x:c r="M114" s="38" t="n"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Rifle；攻击3格；商店关系保留来源节点后补足8店。</x:v>
      </x:c>
      <x:c r="S114" s="38" t="n">
        <x:v>3</x:v>
      </x:c>
      <x:c r="T114" s="38" t="n">
        <x:v>2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130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night_base, elem_火, elem_水, elem_冰, elem_暗, role_控制, role_治疗, role_输出, elite_high, role_召唤铺场</x:v>
      </x:c>
      <x:c r="I115" s="38" t="n">
        <x:v>10</x:v>
      </x:c>
      <x:c r="J115" s="38" t="n">
        <x:v>56</x:v>
      </x:c>
      <x:c r="K115" s="38" t="n">
        <x:v>20</x:v>
      </x:c>
      <x:c r="L115" s="38" t="n">
        <x:v>0</x:v>
      </x:c>
      <x:c r="M115" s="38" t="n"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confirmed；来源=Spyglass；攻击3格；商店关系保留来源节点后补足8店。</x:v>
      </x:c>
      <x:c r="S115" s="38" t="n">
        <x:v>4</x:v>
      </x:c>
      <x:c r="T115" s="38" t="n">
        <x:v>2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127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night_base, elem_火, elem_水, elem_冰, elem_地, elem_暗, role_控制, role_治疗, role_输出, role_召唤铺场</x:v>
      </x:c>
      <x:c r="I116" s="38" t="n">
        <x:v>10</x:v>
      </x:c>
      <x:c r="J116" s="38" t="n">
        <x:v>28</x:v>
      </x:c>
      <x:c r="K116" s="38" t="n">
        <x:v>6</x:v>
      </x:c>
      <x:c r="L116" s="38" t="n">
        <x:v>0</x:v>
      </x:c>
      <x:c r="M116" s="38" t="n"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Chart；攻击2格；商店关系保留来源节点后补足8店。</x:v>
      </x:c>
      <x:c r="S116" s="38" t="n">
        <x:v>5</x:v>
      </x:c>
      <x:c r="T116" s="38" t="n">
        <x:v>1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133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night_base, elem_火, elem_水, elem_草, elem_冰, elem_暗, tier_pT1, role_机动压制, role_远点压制, role_风系牵制</x:v>
      </x:c>
      <x:c r="I117" s="38" t="n">
        <x:v>10</x:v>
      </x:c>
      <x:c r="J117" s="38" t="n">
        <x:v>46</x:v>
      </x:c>
      <x:c r="K117" s="38" t="n">
        <x:v>10</x:v>
      </x:c>
      <x:c r="L117" s="38" t="n">
        <x:v>0</x:v>
      </x:c>
      <x:c r="M117" s="38" t="n"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Glider；攻击2格；商店关系保留来源节点后补足8店。</x:v>
      </x:c>
      <x:c r="S117" s="38" t="n">
        <x:v>5</x:v>
      </x:c>
      <x:c r="T117" s="38" t="n">
        <x:v>2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133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elem_草, elem_冰, elem_龙, elem_无, special_merchant, tier_pT1, role_风系牵制</x:v>
      </x:c>
      <x:c r="I118" s="38" t="n">
        <x:v>10</x:v>
      </x:c>
      <x:c r="J118" s="38" t="n">
        <x:v>60</x:v>
      </x:c>
      <x:c r="K118" s="38" t="n">
        <x:v>10</x:v>
      </x:c>
      <x:c r="L118" s="38" t="n">
        <x:v>10</x:v>
      </x:c>
      <x:c r="M118" s="38" t="n"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confirmed；来源=Submarine；攻击2格；商店关系保留来源节点后补足8店。</x:v>
      </x:c>
      <x:c r="S118" s="38" t="n">
        <x:v>2</x:v>
      </x:c>
      <x:c r="T118" s="38" t="n">
        <x:v>2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133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night_base, elem_火, elem_水, elem_冰, elem_暗, elem_龙, role_控制, special_merchant, tier_pT1, role_风系牵制</x:v>
      </x:c>
      <x:c r="I119" s="38" t="n">
        <x:v>10</x:v>
      </x:c>
      <x:c r="J119" s="38" t="n">
        <x:v>54</x:v>
      </x:c>
      <x:c r="K119" s="38" t="n">
        <x:v>12</x:v>
      </x:c>
      <x:c r="L119" s="38" t="n">
        <x:v>10</x:v>
      </x:c>
      <x:c r="M119" s="38" t="n"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confirmed；来源=Submersible；攻击2格；商店关系保留来源节点后补足8店。</x:v>
      </x:c>
      <x:c r="S119" s="38" t="n">
        <x:v>3</x:v>
      </x:c>
      <x:c r="T119" s="38" t="n">
        <x:v>2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133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night_base, elem_火, elem_水, elem_草, elem_雷, elem_地, elem_暗, role_召唤, role_治疗, tier_pT1</x:v>
      </x:c>
      <x:c r="I120" s="38" t="n">
        <x:v>10</x:v>
      </x:c>
      <x:c r="J120" s="38" t="n">
        <x:v>34</x:v>
      </x:c>
      <x:c r="K120" s="38" t="n">
        <x:v>14</x:v>
      </x:c>
      <x:c r="L120" s="38" t="n">
        <x:v>0</x:v>
      </x:c>
      <x:c r="M120" s="38" t="n"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confirmed；来源=Suppressor；攻击2格；商店关系保留来源节点后补足8店。</x:v>
      </x:c>
      <x:c r="S120" s="38" t="n">
        <x:v>5</x:v>
      </x:c>
      <x:c r="T120" s="38" t="n">
        <x:v>2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130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elem_火, elem_水, elem_冰, elem_暗, role_控制, role_输出, special_merchant, tier_pT3, role_火系压制</x:v>
      </x:c>
      <x:c r="I121" s="38" t="n">
        <x:v>10</x:v>
      </x:c>
      <x:c r="J121" s="38" t="n">
        <x:v>58</x:v>
      </x:c>
      <x:c r="K121" s="38" t="n">
        <x:v>18</x:v>
      </x:c>
      <x:c r="L121" s="38" t="n">
        <x:v>6</x:v>
      </x:c>
      <x:c r="M121" s="38" t="n"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Buckle；攻击2格；商店关系保留来源节点后补足8店。</x:v>
      </x:c>
      <x:c r="S121" s="38" t="n">
        <x:v>3</x:v>
      </x:c>
      <x:c r="T121" s="38" t="n">
        <x:v>2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127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elem_水, elem_草, elem_雷, elem_地, elem_龙, elem_无, role_召唤, role_风系铺场</x:v>
      </x:c>
      <x:c r="I122" s="38" t="n">
        <x:v>10</x:v>
      </x:c>
      <x:c r="J122" s="38" t="n">
        <x:v>22</x:v>
      </x:c>
      <x:c r="K122" s="38" t="n">
        <x:v>14</x:v>
      </x:c>
      <x:c r="L122" s="38" t="n">
        <x:v>0</x:v>
      </x:c>
      <x:c r="M122" s="38" t="n"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confirmed；来源=Switchblade；攻击2格；商店关系保留来源节点后补足8店。</x:v>
      </x:c>
      <x:c r="S122" s="38" t="n">
        <x:v>3</x:v>
      </x:c>
      <x:c r="T122" s="38" t="n">
        <x:v>1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130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elem_火, elem_水, elem_草, elem_雷, elem_冰, elem_暗, elem_无, role_坦克, role_机动压制</x:v>
      </x:c>
      <x:c r="I123" s="38" t="n">
        <x:v>10</x:v>
      </x:c>
      <x:c r="J123" s="38" t="n">
        <x:v>64</x:v>
      </x:c>
      <x:c r="K123" s="38" t="n">
        <x:v>16</x:v>
      </x:c>
      <x:c r="L123" s="38" t="n">
        <x:v>6</x:v>
      </x:c>
      <x:c r="M123" s="38" t="n"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Boulder；攻击2格；商店关系保留来源节点后补足8店。</x:v>
      </x:c>
      <x:c r="S123" s="38" t="n">
        <x:v>2</x:v>
      </x:c>
      <x:c r="T123" s="38" t="n">
        <x:v>2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130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elem_水, elem_草, elem_雷, elem_地, elem_无, role_召唤, role_坦克, role_输出</x:v>
      </x:c>
      <x:c r="I124" s="38" t="n">
        <x:v>10</x:v>
      </x:c>
      <x:c r="J124" s="38" t="n">
        <x:v>46</x:v>
      </x:c>
      <x:c r="K124" s="38" t="n">
        <x:v>30</x:v>
      </x:c>
      <x:c r="L124" s="38" t="n">
        <x:v>0</x:v>
      </x:c>
      <x:c r="M124" s="38" t="n"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Knives；攻击3格；商店关系保留来源节点后补足8店。</x:v>
      </x:c>
      <x:c r="S124" s="38" t="n">
        <x:v>3</x:v>
      </x:c>
      <x:c r="T124" s="38" t="n">
        <x:v>2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127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night_base, elem_冰, elem_暗, role_控制, role_输出, tier_pT3, role_机动压制, role_风系牵制</x:v>
      </x:c>
      <x:c r="I125" s="38" t="n">
        <x:v>8</x:v>
      </x:c>
      <x:c r="J125" s="38" t="n">
        <x:v>22</x:v>
      </x:c>
      <x:c r="K125" s="38" t="n">
        <x:v>14</x:v>
      </x:c>
      <x:c r="L125" s="38" t="n">
        <x:v>0</x:v>
      </x:c>
      <x:c r="M125" s="38" t="n"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Cutlass；攻击1格；商店关系保留来源节点后补足8店。</x:v>
      </x:c>
      <x:c r="S125" s="38" t="n">
        <x:v>3</x:v>
      </x:c>
      <x:c r="T125" s="38" t="n">
        <x:v>1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133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elem_火, elem_水, elem_冰, elem_地, elem_龙, elem_无, role_坦克, role_控制, tier_pT1</x:v>
      </x:c>
      <x:c r="I126" s="38" t="n">
        <x:v>10</x:v>
      </x:c>
      <x:c r="J126" s="38" t="n">
        <x:v>40</x:v>
      </x:c>
      <x:c r="K126" s="38" t="n">
        <x:v>20</x:v>
      </x:c>
      <x:c r="L126" s="38" t="n">
        <x:v>0</x:v>
      </x:c>
      <x:c r="M126" s="38" t="n"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confirmed；来源=Torpedo；攻击2格；商店关系保留来源节点后补足8店。</x:v>
      </x:c>
      <x:c r="S126" s="38" t="n">
        <x:v>3</x:v>
      </x:c>
      <x:c r="T126" s="38" t="n">
        <x:v>2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130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elem_冰, elem_龙, elem_无, role_治疗, role_经济, tier_pT2, role_风系牵制</x:v>
      </x:c>
      <x:c r="I127" s="38" t="n">
        <x:v>10</x:v>
      </x:c>
      <x:c r="J127" s="38" t="n">
        <x:v>58</x:v>
      </x:c>
      <x:c r="K127" s="38" t="n">
        <x:v>16</x:v>
      </x:c>
      <x:c r="L127" s="38" t="n">
        <x:v>0</x:v>
      </x:c>
      <x:c r="M127" s="38" t="n"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confirmed；来源=Tortuga；攻击2格；商店关系保留来源节点后补足8店。</x:v>
      </x:c>
      <x:c r="S127" s="38" t="n">
        <x:v>5</x:v>
      </x:c>
      <x:c r="T127" s="38" t="n">
        <x:v>2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133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elem_火, elem_水, elem_草, elem_冰, elem_无, role_治疗, role_经济, role_机动, role_机动压制</x:v>
      </x:c>
      <x:c r="I128" s="38" t="n">
        <x:v>10</x:v>
      </x:c>
      <x:c r="J128" s="38" t="n">
        <x:v>46</x:v>
      </x:c>
      <x:c r="K128" s="38" t="n">
        <x:v>10</x:v>
      </x:c>
      <x:c r="L128" s="38" t="n">
        <x:v>0</x:v>
      </x:c>
      <x:c r="M128" s="38" t="n"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confirmed；来源=Trebuchet；攻击2格；商店关系保留来源节点后补足8店。</x:v>
      </x:c>
      <x:c r="S128" s="38" t="n">
        <x:v>5</x:v>
      </x:c>
      <x:c r="T128" s="38" t="n">
        <x:v>2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130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night_base, elem_火, elem_水, elem_雷, elem_冰, elem_地, elem_暗, role_控制, role_治疗, elite_high</x:v>
      </x:c>
      <x:c r="I129" s="38" t="n">
        <x:v>10</x:v>
      </x:c>
      <x:c r="J129" s="38" t="n">
        <x:v>56</x:v>
      </x:c>
      <x:c r="K129" s="38" t="n">
        <x:v>20</x:v>
      </x:c>
      <x:c r="L129" s="38" t="n">
        <x:v>0</x:v>
      </x:c>
      <x:c r="M129" s="38" t="n"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confirmed；来源=Tripwire；攻击2格；商店关系保留来源节点后补足8店。</x:v>
      </x:c>
      <x:c r="S129" s="38" t="n">
        <x:v>4</x:v>
      </x:c>
      <x:c r="T129" s="38" t="n">
        <x:v>2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130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elem_火, elem_水, elem_草, elem_冰, elem_暗, elem_龙, role_治疗, elite_high, role_火系压制</x:v>
      </x:c>
      <x:c r="I130" s="38" t="n">
        <x:v>10</x:v>
      </x:c>
      <x:c r="J130" s="38" t="n">
        <x:v>64</x:v>
      </x:c>
      <x:c r="K130" s="38" t="n">
        <x:v>16</x:v>
      </x:c>
      <x:c r="L130" s="38" t="n">
        <x:v>6</x:v>
      </x:c>
      <x:c r="M130" s="38" t="n"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Island；攻击2格；商店关系保留来源节点后补足8店。</x:v>
      </x:c>
      <x:c r="S130" s="38" t="n">
        <x:v>2</x:v>
      </x:c>
      <x:c r="T130" s="38" t="n">
        <x:v>2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130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night_base, elem_火, elem_水, elem_冰, elem_地, elem_暗, elem_龙, role_控制, special_merchant</x:v>
      </x:c>
      <x:c r="I131" s="38" t="n">
        <x:v>9</x:v>
      </x:c>
      <x:c r="J131" s="38" t="n">
        <x:v>66</x:v>
      </x:c>
      <x:c r="K131" s="38" t="n">
        <x:v>18</x:v>
      </x:c>
      <x:c r="L131" s="38" t="n">
        <x:v>14</x:v>
      </x:c>
      <x:c r="M131" s="38" t="n"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Shell；攻击2格；商店关系保留来源节点后补足8店。</x:v>
      </x:c>
      <x:c r="S131" s="38" t="n">
        <x:v>3</x:v>
      </x:c>
      <x:c r="T131" s="38" t="n">
        <x:v>2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133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elem_水, elem_草, elem_地, elem_龙, elem_无, role_召唤, role_输出, tier_pT2</x:v>
      </x:c>
      <x:c r="I132" s="38" t="n">
        <x:v>10</x:v>
      </x:c>
      <x:c r="J132" s="38" t="n">
        <x:v>42</x:v>
      </x:c>
      <x:c r="K132" s="38" t="n">
        <x:v>14</x:v>
      </x:c>
      <x:c r="L132" s="38" t="n">
        <x:v>0</x:v>
      </x:c>
      <x:c r="M132" s="38" t="n"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Squid；攻击2格；商店关系保留来源节点后补足8店。</x:v>
      </x:c>
      <x:c r="S132" s="38" t="n">
        <x:v>3</x:v>
      </x:c>
      <x:c r="T132" s="38" t="n">
        <x:v>2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127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night_base, elem_火, elem_水, elem_雷, elem_冰, elem_地, elem_暗, elem_龙, role_控制, role_机动</x:v>
      </x:c>
      <x:c r="I133" s="38" t="n">
        <x:v>10</x:v>
      </x:c>
      <x:c r="J133" s="38" t="n">
        <x:v>28</x:v>
      </x:c>
      <x:c r="K133" s="38" t="n">
        <x:v>12</x:v>
      </x:c>
      <x:c r="L133" s="38" t="n">
        <x:v>0</x:v>
      </x:c>
      <x:c r="M133" s="38" t="n"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Vents；攻击1格；商店关系保留来源节点后补足8店。</x:v>
      </x:c>
      <x:c r="S133" s="38" t="n">
        <x:v>3</x:v>
      </x:c>
      <x:c r="T133" s="38" t="n">
        <x:v>1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133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night_base, elem_火, elem_水, elem_雷, elem_冰, elem_地, elem_暗, role_控制, role_输出, role_风系铺场</x:v>
      </x:c>
      <x:c r="I134" s="38" t="n">
        <x:v>10</x:v>
      </x:c>
      <x:c r="J134" s="38" t="n">
        <x:v>40</x:v>
      </x:c>
      <x:c r="K134" s="38" t="n">
        <x:v>12</x:v>
      </x:c>
      <x:c r="L134" s="38" t="n">
        <x:v>0</x:v>
      </x:c>
      <x:c r="M134" s="38" t="n"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Poster；攻击2格；商店关系保留来源节点后补足8店。</x:v>
      </x:c>
      <x:c r="S134" s="38" t="n">
        <x:v>3</x:v>
      </x:c>
      <x:c r="T134" s="38" t="n">
        <x:v>2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133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night_base, elem_火, elem_水, elem_草, elem_冰, elem_地, elem_暗, elem_龙, role_治疗, role_经济</x:v>
      </x:c>
      <x:c r="I135" s="38" t="n">
        <x:v>10</x:v>
      </x:c>
      <x:c r="J135" s="38" t="n">
        <x:v>46</x:v>
      </x:c>
      <x:c r="K135" s="38" t="n">
        <x:v>10</x:v>
      </x:c>
      <x:c r="L135" s="38" t="n">
        <x:v>0</x:v>
      </x:c>
      <x:c r="M135" s="38" t="n"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Wheel；攻击2格；商店关系保留来源节点后补足8店。</x:v>
      </x:c>
      <x:c r="S135" s="38" t="n">
        <x:v>5</x:v>
      </x:c>
      <x:c r="T135" s="38" t="n">
        <x:v>2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133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night_base, elem_火, elem_水, elem_冰, elem_暗, role_治疗, role_机动, elite_high, role_抗压承伤, role_重甲抗压</x:v>
      </x:c>
      <x:c r="I136" s="38" t="n">
        <x:v>10</x:v>
      </x:c>
      <x:c r="J136" s="38" t="n">
        <x:v>44</x:v>
      </x:c>
      <x:c r="K136" s="38" t="n">
        <x:v>14</x:v>
      </x:c>
      <x:c r="L136" s="38" t="n">
        <x:v>0</x:v>
      </x:c>
      <x:c r="M136" s="38" t="n"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Glass；攻击2格；商店关系保留来源节点后补足8店。</x:v>
      </x:c>
      <x:c r="S136" s="38" t="n">
        <x:v>4</x:v>
      </x:c>
      <x:c r="T136" s="38" t="n">
        <x:v>2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127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night_base, elem_火, elem_水, elem_冰, elem_暗, elem_龙, role_控制, special_merchant, tier_pT1, tier_pT3</x:v>
      </x:c>
      <x:c r="I137" s="38" t="n">
        <x:v>10</x:v>
      </x:c>
      <x:c r="J137" s="38" t="n">
        <x:v>42</x:v>
      </x:c>
      <x:c r="K137" s="38" t="n">
        <x:v>6</x:v>
      </x:c>
      <x:c r="L137" s="38" t="n">
        <x:v>6</x:v>
      </x:c>
      <x:c r="M137" s="38" t="n"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confirmed；来源=Wetware；攻击1格；商店关系保留来源节点后补足8店。</x:v>
      </x:c>
      <x:c r="S137" s="38" t="n">
        <x:v>3</x:v>
      </x:c>
      <x:c r="T137" s="38" t="n">
        <x:v>1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127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night_base, elem_火, elem_水, elem_草, elem_暗, elem_龙, role_召唤, tier_pT2, role_抗压承伤, role_重甲抗压</x:v>
      </x:c>
      <x:c r="I138" s="38" t="n">
        <x:v>10</x:v>
      </x:c>
      <x:c r="J138" s="38" t="n">
        <x:v>26</x:v>
      </x:c>
      <x:c r="K138" s="38" t="n">
        <x:v>10</x:v>
      </x:c>
      <x:c r="L138" s="38" t="n">
        <x:v>0</x:v>
      </x:c>
      <x:c r="M138" s="38" t="n"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Crab；攻击2格；商店关系保留来源节点后补足8店。</x:v>
      </x:c>
      <x:c r="S138" s="38" t="n">
        <x:v>4</x:v>
      </x:c>
      <x:c r="T138" s="38" t="n">
        <x:v>1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127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elem_水, elem_龙, elem_无, role_召唤, role_治疗, role_经济, role_机动, tier_pT2</x:v>
      </x:c>
      <x:c r="I139" s="38" t="n">
        <x:v>10</x:v>
      </x:c>
      <x:c r="J139" s="38" t="n">
        <x:v>22</x:v>
      </x:c>
      <x:c r="K139" s="38" t="n">
        <x:v>8</x:v>
      </x:c>
      <x:c r="L139" s="38" t="n">
        <x:v>0</x:v>
      </x:c>
      <x:c r="M139" s="38" t="n"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confirmed；来源=Zoarcid；攻击2格；商店关系保留来源节点后补足8店。</x:v>
      </x:c>
      <x:c r="S139" s="38" t="n">
        <x:v>5</x:v>
      </x:c>
      <x:c r="T139" s="38" t="n">
        <x:v>1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130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night_base, elem_水, elem_雷, elem_冰, role_控制, role_经济, tier_pT1, role_远点压制</x:v>
      </x:c>
      <x:c r="I140" s="38" t="n">
        <x:v>8</x:v>
      </x:c>
      <x:c r="J140" s="38" t="n">
        <x:v>52</x:v>
      </x:c>
      <x:c r="K140" s="38" t="n">
        <x:v>18</x:v>
      </x:c>
      <x:c r="L140" s="38" t="n">
        <x:v>0</x:v>
      </x:c>
      <x:c r="M140" s="38" t="n"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confirmed；来源=Alacrity；攻击2格；商店关系保留来源节点后补足8店。</x:v>
      </x:c>
      <x:c r="S140" s="38" t="n">
        <x:v>5</x:v>
      </x:c>
      <x:c r="T140" s="38" t="n">
        <x:v>2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133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night_base, elem_火, elem_水, elem_雷, elem_无, role_坦克, elite_high, role_重甲抗压</x:v>
      </x:c>
      <x:c r="I141" s="38" t="n">
        <x:v>8</x:v>
      </x:c>
      <x:c r="J141" s="38" t="n">
        <x:v>40</x:v>
      </x:c>
      <x:c r="K141" s="38" t="n">
        <x:v>12</x:v>
      </x:c>
      <x:c r="L141" s="38" t="n">
        <x:v>0</x:v>
      </x:c>
      <x:c r="M141" s="38" t="n"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confirmed；来源=Arbitrage；攻击2格；商店关系保留来源节点后补足8店。</x:v>
      </x:c>
      <x:c r="S141" s="38" t="n">
        <x:v>3</x:v>
      </x:c>
      <x:c r="T141" s="38" t="n">
        <x:v>2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127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night_base, elem_火, elem_水, elem_雷, role_召唤, elite_high, tier_pT2, role_风系铺场</x:v>
      </x:c>
      <x:c r="I142" s="38" t="n">
        <x:v>8</x:v>
      </x:c>
      <x:c r="J142" s="38" t="n">
        <x:v>34</x:v>
      </x:c>
      <x:c r="K142" s="38" t="n">
        <x:v>6</x:v>
      </x:c>
      <x:c r="L142" s="38" t="n">
        <x:v>2</x:v>
      </x:c>
      <x:c r="M142" s="38" t="n"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Dealer；攻击1格；商店关系保留来源节点后补足8店。</x:v>
      </x:c>
      <x:c r="S142" s="38" t="n">
        <x:v>3</x:v>
      </x:c>
      <x:c r="T142" s="38" t="n">
        <x:v>1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127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night_base, elem_火, elem_水, elem_雷, elem_冰, role_治疗, tier_pT2, role_风系铺场</x:v>
      </x:c>
      <x:c r="I143" s="38" t="n">
        <x:v>8</x:v>
      </x:c>
      <x:c r="J143" s="38" t="n">
        <x:v>28</x:v>
      </x:c>
      <x:c r="K143" s="38" t="n">
        <x:v>12</x:v>
      </x:c>
      <x:c r="L143" s="38" t="n">
        <x:v>0</x:v>
      </x:c>
      <x:c r="M143" s="38" t="n"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Spotter；攻击1格；商店关系保留来源节点后补足8店。</x:v>
      </x:c>
      <x:c r="S143" s="38" t="n">
        <x:v>3</x:v>
      </x:c>
      <x:c r="T143" s="38" t="n">
        <x:v>1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133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night_base, elem_火, elem_水, elem_雷, elem_龙, role_经济, tier_pT2, role_召唤铺场</x:v>
      </x:c>
      <x:c r="I144" s="38" t="n">
        <x:v>8</x:v>
      </x:c>
      <x:c r="J144" s="38" t="n">
        <x:v>54</x:v>
      </x:c>
      <x:c r="K144" s="38" t="n">
        <x:v>12</x:v>
      </x:c>
      <x:c r="L144" s="38" t="n">
        <x:v>10</x:v>
      </x:c>
      <x:c r="M144" s="38" t="n"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Friendship；攻击2格；商店关系保留来源节点后补足8店。</x:v>
      </x:c>
      <x:c r="S144" s="38" t="n">
        <x:v>3</x:v>
      </x:c>
      <x:c r="T144" s="38" t="n">
        <x:v>2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130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night_base, elem_水, elem_草, elem_雷, elem_龙, role_经济, role_召唤铺场, role_火系压制</x:v>
      </x:c>
      <x:c r="I145" s="38" t="n">
        <x:v>8</x:v>
      </x:c>
      <x:c r="J145" s="38" t="n">
        <x:v>52</x:v>
      </x:c>
      <x:c r="K145" s="38" t="n">
        <x:v>18</x:v>
      </x:c>
      <x:c r="L145" s="38" t="n">
        <x:v>0</x:v>
      </x:c>
      <x:c r="M145" s="38" t="n"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Crusted；攻击2格；商店关系保留来源节点后补足8店。</x:v>
      </x:c>
      <x:c r="S145" s="38" t="n">
        <x:v>5</x:v>
      </x:c>
      <x:c r="T145" s="38" t="n">
        <x:v>2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133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night_base, elem_火, elem_水, elem_雷, elem_冰, role_控制, tier_pT3, role_风系牵制</x:v>
      </x:c>
      <x:c r="I146" s="38" t="n">
        <x:v>8</x:v>
      </x:c>
      <x:c r="J146" s="38" t="n">
        <x:v>48</x:v>
      </x:c>
      <x:c r="K146" s="38" t="n">
        <x:v>12</x:v>
      </x:c>
      <x:c r="L146" s="38" t="n">
        <x:v>0</x:v>
      </x:c>
      <x:c r="M146" s="38" t="n"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Friendship；攻击2格；商店关系保留来源节点后补足8店。</x:v>
      </x:c>
      <x:c r="S146" s="38" t="n">
        <x:v>3</x:v>
      </x:c>
      <x:c r="T146" s="38" t="n">
        <x:v>2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133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night_base, elem_火, elem_水, elem_草, elem_雷, role_召唤, tier_pT2, role_风系铺场</x:v>
      </x:c>
      <x:c r="I147" s="38" t="n">
        <x:v>8</x:v>
      </x:c>
      <x:c r="J147" s="38" t="n">
        <x:v>46</x:v>
      </x:c>
      <x:c r="K147" s="38" t="n">
        <x:v>12</x:v>
      </x:c>
      <x:c r="L147" s="38" t="n">
        <x:v>4</x:v>
      </x:c>
      <x:c r="M147" s="38" t="n"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confirmed；来源=Berserker；攻击2格；商店关系保留来源节点后补足8店。</x:v>
      </x:c>
      <x:c r="S147" s="38" t="n">
        <x:v>3</x:v>
      </x:c>
      <x:c r="T147" s="38" t="n">
        <x:v>2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136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night_base, elem_水, elem_暗, elem_无, role_召唤, role_输出, role_机动, role_机动压制</x:v>
      </x:c>
      <x:c r="I148" s="38" t="n">
        <x:v>8</x:v>
      </x:c>
      <x:c r="J148" s="38" t="n">
        <x:v>64</x:v>
      </x:c>
      <x:c r="K148" s="38" t="n">
        <x:v>36</x:v>
      </x:c>
      <x:c r="L148" s="38" t="n">
        <x:v>0</x:v>
      </x:c>
      <x:c r="M148" s="38" t="n"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Guns；攻击3格；商店关系保留来源节点后补足8店。</x:v>
      </x:c>
      <x:c r="S148" s="38" t="n">
        <x:v>3</x:v>
      </x:c>
      <x:c r="T148" s="38" t="n">
        <x:v>3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130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night_base, elem_水, elem_雷, elem_冰, elem_无, role_坦克, elite_high, role_重甲抗压</x:v>
      </x:c>
      <x:c r="I149" s="38" t="n">
        <x:v>8</x:v>
      </x:c>
      <x:c r="J149" s="38" t="n">
        <x:v>52</x:v>
      </x:c>
      <x:c r="K149" s="38" t="n">
        <x:v>28</x:v>
      </x:c>
      <x:c r="L149" s="38" t="n">
        <x:v>0</x:v>
      </x:c>
      <x:c r="M149" s="38" t="n"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Numbers；攻击3格；商店关系保留来源节点后补足8店。</x:v>
      </x:c>
      <x:c r="S149" s="38" t="n">
        <x:v>3</x:v>
      </x:c>
      <x:c r="T149" s="38" t="n">
        <x:v>2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133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night_base, elem_火, elem_水, elem_雷, elem_冰, role_控制, role_经济, tier_pT1</x:v>
      </x:c>
      <x:c r="I150" s="38" t="n">
        <x:v>8</x:v>
      </x:c>
      <x:c r="J150" s="38" t="n">
        <x:v>46</x:v>
      </x:c>
      <x:c r="K150" s="38" t="n">
        <x:v>12</x:v>
      </x:c>
      <x:c r="L150" s="38" t="n">
        <x:v>4</x:v>
      </x:c>
      <x:c r="M150" s="38" t="n"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confirmed；来源=Bloodhound；攻击3格；商店关系保留来源节点后补足8店。</x:v>
      </x:c>
      <x:c r="S150" s="38" t="n">
        <x:v>3</x:v>
      </x:c>
      <x:c r="T150" s="38" t="n">
        <x:v>2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133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night_base, elem_火, elem_水, elem_草, elem_雷, role_召唤, role_经济, special_merchant</x:v>
      </x:c>
      <x:c r="I151" s="38" t="n">
        <x:v>8</x:v>
      </x:c>
      <x:c r="J151" s="38" t="n">
        <x:v>46</x:v>
      </x:c>
      <x:c r="K151" s="38" t="n">
        <x:v>12</x:v>
      </x:c>
      <x:c r="L151" s="38" t="n">
        <x:v>4</x:v>
      </x:c>
      <x:c r="M151" s="38" t="n"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Pressure；攻击3格；商店关系保留来源节点后补足8店。</x:v>
      </x:c>
      <x:c r="S151" s="38" t="n">
        <x:v>3</x:v>
      </x:c>
      <x:c r="T151" s="38" t="n">
        <x:v>2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130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night_base, elem_水, elem_草, elem_雷, elem_冰, role_召唤, special_merchant, role_远点压制</x:v>
      </x:c>
      <x:c r="I152" s="38" t="n">
        <x:v>8</x:v>
      </x:c>
      <x:c r="J152" s="38" t="n">
        <x:v>52</x:v>
      </x:c>
      <x:c r="K152" s="38" t="n">
        <x:v>28</x:v>
      </x:c>
      <x:c r="L152" s="38" t="n">
        <x:v>0</x:v>
      </x:c>
      <x:c r="M152" s="38" t="n"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Crescendo；攻击3格；商店关系保留来源节点后补足8店。</x:v>
      </x:c>
      <x:c r="S152" s="38" t="n">
        <x:v>3</x:v>
      </x:c>
      <x:c r="T152" s="38" t="n">
        <x:v>2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130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night_base, elem_水, elem_草, elem_雷, role_召唤, role_输出, special_merchant, role_抗压承伤</x:v>
      </x:c>
      <x:c r="I153" s="38" t="n">
        <x:v>8</x:v>
      </x:c>
      <x:c r="J153" s="38" t="n">
        <x:v>56</x:v>
      </x:c>
      <x:c r="K153" s="38" t="n">
        <x:v>20</x:v>
      </x:c>
      <x:c r="L153" s="38" t="n">
        <x:v>0</x:v>
      </x:c>
      <x:c r="M153" s="38" t="n"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Time；攻击2格；商店关系保留来源节点后补足8店。</x:v>
      </x:c>
      <x:c r="S153" s="38" t="n">
        <x:v>4</x:v>
      </x:c>
      <x:c r="T153" s="38" t="n">
        <x:v>2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133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night_base, elem_火, elem_水, elem_雷, elem_暗, role_经济, role_机动, role_机动压制</x:v>
      </x:c>
      <x:c r="I154" s="38" t="n">
        <x:v>8</x:v>
      </x:c>
      <x:c r="J154" s="38" t="n">
        <x:v>40</x:v>
      </x:c>
      <x:c r="K154" s="38" t="n">
        <x:v>12</x:v>
      </x:c>
      <x:c r="L154" s="38" t="n">
        <x:v>0</x:v>
      </x:c>
      <x:c r="M154" s="38" t="n"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Charge；攻击3格；商店关系保留来源节点后补足8店。</x:v>
      </x:c>
      <x:c r="S154" s="38" t="n">
        <x:v>5</x:v>
      </x:c>
      <x:c r="T154" s="38" t="n">
        <x:v>2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133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night_base, elem_火, elem_水, elem_雷, role_控制, role_治疗, role_机动, role_机动压制</x:v>
      </x:c>
      <x:c r="I155" s="38" t="n">
        <x:v>8</x:v>
      </x:c>
      <x:c r="J155" s="38" t="n">
        <x:v>44</x:v>
      </x:c>
      <x:c r="K155" s="38" t="n">
        <x:v>14</x:v>
      </x:c>
      <x:c r="L155" s="38" t="n">
        <x:v>0</x:v>
      </x:c>
      <x:c r="M155" s="38" t="n"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Fire；攻击2格；商店关系保留来源节点后补足8店。</x:v>
      </x:c>
      <x:c r="S155" s="38" t="n">
        <x:v>4</x:v>
      </x:c>
      <x:c r="T155" s="38" t="n">
        <x:v>2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136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night_base, elem_水, elem_冰, role_召唤, role_控制, role_输出, tier_pT3, role_风系牵制</x:v>
      </x:c>
      <x:c r="I156" s="38" t="n">
        <x:v>8</x:v>
      </x:c>
      <x:c r="J156" s="38" t="n">
        <x:v>70</x:v>
      </x:c>
      <x:c r="K156" s="38" t="n">
        <x:v>24</x:v>
      </x:c>
      <x:c r="L156" s="38" t="n">
        <x:v>8</x:v>
      </x:c>
      <x:c r="M156" s="38" t="n"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Life；攻击2格；商店关系保留来源节点后补足8店。</x:v>
      </x:c>
      <x:c r="S156" s="38" t="n">
        <x:v>3</x:v>
      </x:c>
      <x:c r="T156" s="38" t="n">
        <x:v>3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130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night_base, elem_水, elem_草, elem_雷, elem_冰, role_控制, tier_pT1, role_远点压制</x:v>
      </x:c>
      <x:c r="I157" s="38" t="n">
        <x:v>8</x:v>
      </x:c>
      <x:c r="J157" s="38" t="n">
        <x:v>52</x:v>
      </x:c>
      <x:c r="K157" s="38" t="n">
        <x:v>18</x:v>
      </x:c>
      <x:c r="L157" s="38" t="n">
        <x:v>0</x:v>
      </x:c>
      <x:c r="M157" s="38" t="n"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Ship；攻击2格；商店关系保留来源节点后补足8店。</x:v>
      </x:c>
      <x:c r="S157" s="38" t="n">
        <x:v>5</x:v>
      </x:c>
      <x:c r="T157" s="38" t="n">
        <x:v>2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133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night_base, elem_火, elem_水, elem_雷, elem_龙, role_控制, role_经济, role_召唤铺场</x:v>
      </x:c>
      <x:c r="I158" s="38" t="n">
        <x:v>8</x:v>
      </x:c>
      <x:c r="J158" s="38" t="n">
        <x:v>40</x:v>
      </x:c>
      <x:c r="K158" s="38" t="n">
        <x:v>20</x:v>
      </x:c>
      <x:c r="L158" s="38" t="n">
        <x:v>0</x:v>
      </x:c>
      <x:c r="M158" s="38" t="n"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confirmed；来源=Conflagration；攻击2格；商店关系保留来源节点后补足8店。</x:v>
      </x:c>
      <x:c r="S158" s="38" t="n">
        <x:v>3</x:v>
      </x:c>
      <x:c r="T158" s="38" t="n">
        <x:v>2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130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night_base, elem_水, elem_草, elem_雷, elem_无, role_召唤, role_经济, role_重甲抗压</x:v>
      </x:c>
      <x:c r="I159" s="38" t="n">
        <x:v>8</x:v>
      </x:c>
      <x:c r="J159" s="38" t="n">
        <x:v>52</x:v>
      </x:c>
      <x:c r="K159" s="38" t="n">
        <x:v>18</x:v>
      </x:c>
      <x:c r="L159" s="38" t="n">
        <x:v>0</x:v>
      </x:c>
      <x:c r="M159" s="38" t="n"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Waves；攻击2格；商店关系保留来源节点后补足8店。</x:v>
      </x:c>
      <x:c r="S159" s="38" t="n">
        <x:v>5</x:v>
      </x:c>
      <x:c r="T159" s="38" t="n">
        <x:v>2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133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night_base, elem_火, elem_水, elem_雷, elem_冰, role_坦克, role_控制, role_输出</x:v>
      </x:c>
      <x:c r="I160" s="38" t="n">
        <x:v>8</x:v>
      </x:c>
      <x:c r="J160" s="38" t="n">
        <x:v>44</x:v>
      </x:c>
      <x:c r="K160" s="38" t="n">
        <x:v>14</x:v>
      </x:c>
      <x:c r="L160" s="38" t="n">
        <x:v>0</x:v>
      </x:c>
      <x:c r="M160" s="38" t="n"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Chill；攻击2格；商店关系保留来源节点后补足8店。</x:v>
      </x:c>
      <x:c r="S160" s="38" t="n">
        <x:v>4</x:v>
      </x:c>
      <x:c r="T160" s="38" t="n">
        <x:v>2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130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night_base, elem_水, elem_雷, elem_地, role_治疗, role_输出, role_经济, tier_pT2</x:v>
      </x:c>
      <x:c r="I161" s="38" t="n">
        <x:v>8</x:v>
      </x:c>
      <x:c r="J161" s="38" t="n">
        <x:v>56</x:v>
      </x:c>
      <x:c r="K161" s="38" t="n">
        <x:v>20</x:v>
      </x:c>
      <x:c r="L161" s="38" t="n">
        <x:v>0</x:v>
      </x:c>
      <x:c r="M161" s="38" t="n"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Toxins；攻击2格；商店关系保留来源节点后补足8店。</x:v>
      </x:c>
      <x:c r="S161" s="38" t="n">
        <x:v>4</x:v>
      </x:c>
      <x:c r="T161" s="38" t="n">
        <x:v>2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127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night_base, elem_火, elem_水, elem_草, elem_雷, elem_冰, role_召唤, role_远点压制</x:v>
      </x:c>
      <x:c r="I162" s="38" t="n">
        <x:v>8</x:v>
      </x:c>
      <x:c r="J162" s="38" t="n">
        <x:v>28</x:v>
      </x:c>
      <x:c r="K162" s="38" t="n">
        <x:v>12</x:v>
      </x:c>
      <x:c r="L162" s="38" t="n">
        <x:v>0</x:v>
      </x:c>
      <x:c r="M162" s="38" t="n"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Eye；攻击1格；商店关系保留来源节点后补足8店。</x:v>
      </x:c>
      <x:c r="S162" s="38" t="n">
        <x:v>3</x:v>
      </x:c>
      <x:c r="T162" s="38" t="n">
        <x:v>1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127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night_base, elem_火, elem_水, elem_草, elem_雷, role_召唤, tier_pT1, role_远点压制</x:v>
      </x:c>
      <x:c r="I163" s="38" t="n">
        <x:v>8</x:v>
      </x:c>
      <x:c r="J163" s="38" t="n">
        <x:v>28</x:v>
      </x:c>
      <x:c r="K163" s="38" t="n">
        <x:v>12</x:v>
      </x:c>
      <x:c r="L163" s="38" t="n">
        <x:v>0</x:v>
      </x:c>
      <x:c r="M163" s="38" t="n"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Waters；攻击1格；商店关系保留来源节点后补足8店。</x:v>
      </x:c>
      <x:c r="S163" s="38" t="n">
        <x:v>3</x:v>
      </x:c>
      <x:c r="T163" s="38" t="n">
        <x:v>1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133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night_base, elem_火, elem_水, elem_雷, role_召唤, tier_pT1, tier_pT2, role_远点压制</x:v>
      </x:c>
      <x:c r="I164" s="38" t="n">
        <x:v>8</x:v>
      </x:c>
      <x:c r="J164" s="38" t="n">
        <x:v>54</x:v>
      </x:c>
      <x:c r="K164" s="38" t="n">
        <x:v>12</x:v>
      </x:c>
      <x:c r="L164" s="38" t="n">
        <x:v>10</x:v>
      </x:c>
      <x:c r="M164" s="38" t="n"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Stance；攻击2格；商店关系保留来源节点后补足8店。</x:v>
      </x:c>
      <x:c r="S164" s="38" t="n">
        <x:v>3</x:v>
      </x:c>
      <x:c r="T164" s="38" t="n">
        <x:v>2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130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night_base, elem_水, elem_草, elem_雷, role_控制, role_治疗, role_召唤铺场, role_火系压制</x:v>
      </x:c>
      <x:c r="I165" s="38" t="n">
        <x:v>8</x:v>
      </x:c>
      <x:c r="J165" s="38" t="n">
        <x:v>56</x:v>
      </x:c>
      <x:c r="K165" s="38" t="n">
        <x:v>20</x:v>
      </x:c>
      <x:c r="L165" s="38" t="n">
        <x:v>0</x:v>
      </x:c>
      <x:c r="M165" s="38" t="n"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Deep；攻击2格；商店关系保留来源节点后补足8店。</x:v>
      </x:c>
      <x:c r="S165" s="38" t="n">
        <x:v>4</x:v>
      </x:c>
      <x:c r="T165" s="38" t="n">
        <x:v>2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130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night_base, elem_水, elem_草, elem_雷, elem_暗, role_召唤, special_merchant, role_机动压制</x:v>
      </x:c>
      <x:c r="I166" s="38" t="n">
        <x:v>8</x:v>
      </x:c>
      <x:c r="J166" s="38" t="n">
        <x:v>52</x:v>
      </x:c>
      <x:c r="K166" s="38" t="n">
        <x:v>18</x:v>
      </x:c>
      <x:c r="L166" s="38" t="n">
        <x:v>0</x:v>
      </x:c>
      <x:c r="M166" s="38" t="n"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Charge；攻击2格；商店关系保留来源节点后补足8店。</x:v>
      </x:c>
      <x:c r="S166" s="38" t="n">
        <x:v>5</x:v>
      </x:c>
      <x:c r="T166" s="38" t="n">
        <x:v>2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136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night_base, elem_水, elem_暗, elem_无, role_输出, role_机动, tier_pT3, role_机动压制</x:v>
      </x:c>
      <x:c r="I167" s="38" t="n">
        <x:v>8</x:v>
      </x:c>
      <x:c r="J167" s="38" t="n">
        <x:v>70</x:v>
      </x:c>
      <x:c r="K167" s="38" t="n">
        <x:v>24</x:v>
      </x:c>
      <x:c r="L167" s="38" t="n">
        <x:v>8</x:v>
      </x:c>
      <x:c r="M167" s="38" t="n"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Cleanse；攻击3格；商店关系保留来源节点后补足8店。</x:v>
      </x:c>
      <x:c r="S167" s="38" t="n">
        <x:v>3</x:v>
      </x:c>
      <x:c r="T167" s="38" t="n">
        <x:v>3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133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night_base, elem_火, elem_水, elem_雷, elem_冰, elem_龙, special_merchant, role_抗压承伤</x:v>
      </x:c>
      <x:c r="I168" s="38" t="n">
        <x:v>8</x:v>
      </x:c>
      <x:c r="J168" s="38" t="n">
        <x:v>46</x:v>
      </x:c>
      <x:c r="K168" s="38" t="n">
        <x:v>12</x:v>
      </x:c>
      <x:c r="L168" s="38" t="n">
        <x:v>4</x:v>
      </x:c>
      <x:c r="M168" s="38" t="n"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Strike；攻击2格；商店关系保留来源节点后补足8店。</x:v>
      </x:c>
      <x:c r="S168" s="38" t="n">
        <x:v>3</x:v>
      </x:c>
      <x:c r="T168" s="38" t="n">
        <x:v>2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136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night_base, elem_火, elem_水, elem_龙, role_召唤, role_经济, role_召唤铺场, role_火系压制</x:v>
      </x:c>
      <x:c r="I169" s="38" t="n">
        <x:v>8</x:v>
      </x:c>
      <x:c r="J169" s="38" t="n">
        <x:v>70</x:v>
      </x:c>
      <x:c r="K169" s="38" t="n">
        <x:v>24</x:v>
      </x:c>
      <x:c r="L169" s="38" t="n">
        <x:v>8</x:v>
      </x:c>
      <x:c r="M169" s="38" t="n"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Down；攻击3格；商店关系保留来源节点后补足8店。</x:v>
      </x:c>
      <x:c r="S169" s="38" t="n">
        <x:v>3</x:v>
      </x:c>
      <x:c r="T169" s="38" t="n">
        <x:v>3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133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night_base, elem_火, elem_水, elem_雷, role_召唤, role_控制, special_merchant, role_抗压承伤</x:v>
      </x:c>
      <x:c r="I170" s="38" t="n">
        <x:v>8</x:v>
      </x:c>
      <x:c r="J170" s="38" t="n">
        <x:v>46</x:v>
      </x:c>
      <x:c r="K170" s="38" t="n">
        <x:v>12</x:v>
      </x:c>
      <x:c r="L170" s="38" t="n">
        <x:v>4</x:v>
      </x:c>
      <x:c r="M170" s="38" t="n"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Burn；攻击3格；商店关系保留来源节点后补足8店。</x:v>
      </x:c>
      <x:c r="S170" s="38" t="n">
        <x:v>3</x:v>
      </x:c>
      <x:c r="T170" s="38" t="n">
        <x:v>2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133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night_base, elem_火, elem_水, elem_雷, elem_冰, role_治疗, elite_high, role_重甲抗压</x:v>
      </x:c>
      <x:c r="I171" s="38" t="n">
        <x:v>8</x:v>
      </x:c>
      <x:c r="J171" s="38" t="n">
        <x:v>44</x:v>
      </x:c>
      <x:c r="K171" s="38" t="n">
        <x:v>14</x:v>
      </x:c>
      <x:c r="L171" s="38" t="n">
        <x:v>0</x:v>
      </x:c>
      <x:c r="M171" s="38" t="n"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Toxins；攻击2格；商店关系保留来源节点后补足8店。</x:v>
      </x:c>
      <x:c r="S171" s="38" t="n">
        <x:v>4</x:v>
      </x:c>
      <x:c r="T171" s="38" t="n">
        <x:v>2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127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night_base, elem_火, elem_水, elem_雷, elem_无, role_控制, elite_high, role_重甲抗压</x:v>
      </x:c>
      <x:c r="I172" s="38" t="n">
        <x:v>8</x:v>
      </x:c>
      <x:c r="J172" s="38" t="n">
        <x:v>28</x:v>
      </x:c>
      <x:c r="K172" s="38" t="n">
        <x:v>12</x:v>
      </x:c>
      <x:c r="L172" s="38" t="n">
        <x:v>0</x:v>
      </x:c>
      <x:c r="M172" s="38" t="n"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confirmed；来源=Fiery；攻击1格；商店关系保留来源节点后补足8店。</x:v>
      </x:c>
      <x:c r="S172" s="38" t="n">
        <x:v>3</x:v>
      </x:c>
      <x:c r="T172" s="38" t="n">
        <x:v>1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127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night_base, elem_火, elem_水, elem_雷, elem_冰, role_控制, role_治疗, tier_pT1</x:v>
      </x:c>
      <x:c r="I173" s="38" t="n">
        <x:v>8</x:v>
      </x:c>
      <x:c r="J173" s="38" t="n">
        <x:v>32</x:v>
      </x:c>
      <x:c r="K173" s="38" t="n">
        <x:v>8</x:v>
      </x:c>
      <x:c r="L173" s="38" t="n">
        <x:v>0</x:v>
      </x:c>
      <x:c r="M173" s="38" t="n"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Dose；攻击2格；商店关系保留来源节点后补足8店。</x:v>
      </x:c>
      <x:c r="S173" s="38" t="n">
        <x:v>4</x:v>
      </x:c>
      <x:c r="T173" s="38" t="n">
        <x:v>1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127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night_base, elem_火, elem_水, elem_雷, elem_冰, role_控制, tier_pT1, role_远点压制</x:v>
      </x:c>
      <x:c r="I174" s="38" t="n">
        <x:v>8</x:v>
      </x:c>
      <x:c r="J174" s="38" t="n">
        <x:v>28</x:v>
      </x:c>
      <x:c r="K174" s="38" t="n">
        <x:v>12</x:v>
      </x:c>
      <x:c r="L174" s="38" t="n">
        <x:v>0</x:v>
      </x:c>
      <x:c r="M174" s="38" t="n"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Flame；攻击1格；商店关系保留来源节点后补足8店。</x:v>
      </x:c>
      <x:c r="S174" s="38" t="n">
        <x:v>3</x:v>
      </x:c>
      <x:c r="T174" s="38" t="n">
        <x:v>1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133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night_base, elem_火, elem_水, elem_雷, elem_无, role_控制, role_机动, role_机动压制</x:v>
      </x:c>
      <x:c r="I175" s="38" t="n">
        <x:v>8</x:v>
      </x:c>
      <x:c r="J175" s="38" t="n">
        <x:v>40</x:v>
      </x:c>
      <x:c r="K175" s="38" t="n">
        <x:v>20</x:v>
      </x:c>
      <x:c r="L175" s="38" t="n">
        <x:v>0</x:v>
      </x:c>
      <x:c r="M175" s="38" t="n"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Flames；攻击2格；商店关系保留来源节点后补足8店。</x:v>
      </x:c>
      <x:c r="S175" s="38" t="n">
        <x:v>3</x:v>
      </x:c>
      <x:c r="T175" s="38" t="n">
        <x:v>2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130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night_base, elem_水, elem_草, elem_雷, elem_冰, role_召唤, special_merchant, role_远点压制</x:v>
      </x:c>
      <x:c r="I176" s="38" t="n">
        <x:v>8</x:v>
      </x:c>
      <x:c r="J176" s="38" t="n">
        <x:v>52</x:v>
      </x:c>
      <x:c r="K176" s="38" t="n">
        <x:v>28</x:v>
      </x:c>
      <x:c r="L176" s="38" t="n">
        <x:v>0</x:v>
      </x:c>
      <x:c r="M176" s="38" t="n"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Strike；攻击3格；商店关系保留来源节点后补足8店。</x:v>
      </x:c>
      <x:c r="S176" s="38" t="n">
        <x:v>3</x:v>
      </x:c>
      <x:c r="T176" s="38" t="n">
        <x:v>2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133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night_base, elem_火, elem_水, elem_雷, elem_冰, role_输出, tier_pT3, role_风系牵制</x:v>
      </x:c>
      <x:c r="I177" s="38" t="n">
        <x:v>8</x:v>
      </x:c>
      <x:c r="J177" s="38" t="n">
        <x:v>40</x:v>
      </x:c>
      <x:c r="K177" s="38" t="n">
        <x:v>20</x:v>
      </x:c>
      <x:c r="L177" s="38" t="n">
        <x:v>0</x:v>
      </x:c>
      <x:c r="M177" s="38" t="n"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Criticals；攻击2格；商店关系保留来源节点后补足8店。</x:v>
      </x:c>
      <x:c r="S177" s="38" t="n">
        <x:v>3</x:v>
      </x:c>
      <x:c r="T177" s="38" t="n">
        <x:v>2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133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night_base, elem_火, elem_水, elem_雷, elem_冰, elem_暗, role_输出, tier_pT3</x:v>
      </x:c>
      <x:c r="I178" s="38" t="n">
        <x:v>8</x:v>
      </x:c>
      <x:c r="J178" s="38" t="n">
        <x:v>40</x:v>
      </x:c>
      <x:c r="K178" s="38" t="n">
        <x:v>20</x:v>
      </x:c>
      <x:c r="L178" s="38" t="n">
        <x:v>0</x:v>
      </x:c>
      <x:c r="M178" s="38" t="n"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Mechanic；攻击2格；商店关系保留来源节点后补足8店。</x:v>
      </x:c>
      <x:c r="S178" s="38" t="n">
        <x:v>3</x:v>
      </x:c>
      <x:c r="T178" s="38" t="n">
        <x:v>2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133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night_base, elem_火, elem_水, elem_雷, elem_冰, elem_地, role_治疗, role_火系压制</x:v>
      </x:c>
      <x:c r="I179" s="38" t="n">
        <x:v>8</x:v>
      </x:c>
      <x:c r="J179" s="38" t="n">
        <x:v>48</x:v>
      </x:c>
      <x:c r="K179" s="38" t="n">
        <x:v>12</x:v>
      </x:c>
      <x:c r="L179" s="38" t="n">
        <x:v>0</x:v>
      </x:c>
      <x:c r="M179" s="38" t="n"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Pilot；攻击2格；商店关系保留来源节点后补足8店。</x:v>
      </x:c>
      <x:c r="S179" s="38" t="n">
        <x:v>3</x:v>
      </x:c>
      <x:c r="T179" s="38" t="n">
        <x:v>2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130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night_base, elem_水, elem_雷, elem_冰, elem_地, special_merchant, role_召唤铺场, role_火系压制</x:v>
      </x:c>
      <x:c r="I180" s="38" t="n">
        <x:v>8</x:v>
      </x:c>
      <x:c r="J180" s="38" t="n">
        <x:v>52</x:v>
      </x:c>
      <x:c r="K180" s="38" t="n">
        <x:v>28</x:v>
      </x:c>
      <x:c r="L180" s="38" t="n">
        <x:v>0</x:v>
      </x:c>
      <x:c r="M180" s="38" t="n"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Reload；攻击3格；商店关系保留来源节点后补足8店。</x:v>
      </x:c>
      <x:c r="S180" s="38" t="n">
        <x:v>3</x:v>
      </x:c>
      <x:c r="T180" s="38" t="n">
        <x:v>2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130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night_base, elem_水, elem_草, elem_雷, role_召唤, role_经济, role_召唤铺场, role_火系压制</x:v>
      </x:c>
      <x:c r="I181" s="38" t="n">
        <x:v>8</x:v>
      </x:c>
      <x:c r="J181" s="38" t="n">
        <x:v>52</x:v>
      </x:c>
      <x:c r="K181" s="38" t="n">
        <x:v>18</x:v>
      </x:c>
      <x:c r="L181" s="38" t="n">
        <x:v>0</x:v>
      </x:c>
      <x:c r="M181" s="38" t="n"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Blows；攻击2格；商店关系保留来源节点后补足8店。</x:v>
      </x:c>
      <x:c r="S181" s="38" t="n">
        <x:v>5</x:v>
      </x:c>
      <x:c r="T181" s="38" t="n">
        <x:v>2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136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night_base, elem_水, elem_草, elem_冰, elem_暗, role_输出, role_机动, role_机动压制</x:v>
      </x:c>
      <x:c r="I182" s="38" t="n">
        <x:v>8</x:v>
      </x:c>
      <x:c r="J182" s="38" t="n">
        <x:v>70</x:v>
      </x:c>
      <x:c r="K182" s="38" t="n">
        <x:v>24</x:v>
      </x:c>
      <x:c r="L182" s="38" t="n">
        <x:v>8</x:v>
      </x:c>
      <x:c r="M182" s="38" t="n"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Rage；攻击3格；商店关系保留来源节点后补足8店。</x:v>
      </x:c>
      <x:c r="S182" s="38" t="n">
        <x:v>3</x:v>
      </x:c>
      <x:c r="T182" s="38" t="n">
        <x:v>3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136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night_base, elem_水, elem_草, elem_地, role_治疗, tier_pT2, role_风系铺场, role_火系压制</x:v>
      </x:c>
      <x:c r="I183" s="38" t="n">
        <x:v>8</x:v>
      </x:c>
      <x:c r="J183" s="38" t="n">
        <x:v>72</x:v>
      </x:c>
      <x:c r="K183" s="38" t="n">
        <x:v>24</x:v>
      </x:c>
      <x:c r="L183" s="38" t="n">
        <x:v>0</x:v>
      </x:c>
      <x:c r="M183" s="38" t="n"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Sea；攻击2格；商店关系保留来源节点后补足8店。</x:v>
      </x:c>
      <x:c r="S183" s="38" t="n">
        <x:v>3</x:v>
      </x:c>
      <x:c r="T183" s="38" t="n">
        <x:v>3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127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night_base, elem_火, elem_水, elem_雷, role_坦克, elite_high, tier_pT2, role_重甲抗压</x:v>
      </x:c>
      <x:c r="I184" s="38" t="n">
        <x:v>8</x:v>
      </x:c>
      <x:c r="J184" s="38" t="n">
        <x:v>42</x:v>
      </x:c>
      <x:c r="K184" s="38" t="n">
        <x:v>6</x:v>
      </x:c>
      <x:c r="L184" s="38" t="n">
        <x:v>6</x:v>
      </x:c>
      <x:c r="M184" s="38" t="n"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Shielding；攻击1格；商店关系保留来源节点后补足8店。</x:v>
      </x:c>
      <x:c r="S184" s="38" t="n">
        <x:v>3</x:v>
      </x:c>
      <x:c r="T184" s="38" t="n">
        <x:v>1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133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night_base, elem_火, elem_水, elem_雷, elem_暗, role_召唤, role_输出, special_merchant</x:v>
      </x:c>
      <x:c r="I185" s="38" t="n">
        <x:v>8</x:v>
      </x:c>
      <x:c r="J185" s="38" t="n">
        <x:v>40</x:v>
      </x:c>
      <x:c r="K185" s="38" t="n">
        <x:v>20</x:v>
      </x:c>
      <x:c r="L185" s="38" t="n">
        <x:v>0</x:v>
      </x:c>
      <x:c r="M185" s="38" t="n"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Logistics；攻击2格；商店关系保留来源节点后补足8店。</x:v>
      </x:c>
      <x:c r="S185" s="38" t="n">
        <x:v>3</x:v>
      </x:c>
      <x:c r="T185" s="38" t="n">
        <x:v>2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133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night_base, elem_火, elem_水, elem_雷, role_坦克, role_控制, role_经济, role_召唤铺场</x:v>
      </x:c>
      <x:c r="I186" s="38" t="n">
        <x:v>8</x:v>
      </x:c>
      <x:c r="J186" s="38" t="n">
        <x:v>44</x:v>
      </x:c>
      <x:c r="K186" s="38" t="n">
        <x:v>14</x:v>
      </x:c>
      <x:c r="L186" s="38" t="n">
        <x:v>0</x:v>
      </x:c>
      <x:c r="M186" s="38" t="n"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confirmed；来源=Frostfire；攻击2格；商店关系保留来源节点后补足8店。</x:v>
      </x:c>
      <x:c r="S186" s="38" t="n">
        <x:v>4</x:v>
      </x:c>
      <x:c r="T186" s="38" t="n">
        <x:v>2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136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night_base, elem_水, elem_草, elem_暗, role_召唤, role_输出, tier_pT3, role_机动压制</x:v>
      </x:c>
      <x:c r="I187" s="38" t="n">
        <x:v>8</x:v>
      </x:c>
      <x:c r="J187" s="38" t="n">
        <x:v>64</x:v>
      </x:c>
      <x:c r="K187" s="38" t="n">
        <x:v>36</x:v>
      </x:c>
      <x:c r="L187" s="38" t="n">
        <x:v>0</x:v>
      </x:c>
      <x:c r="M187" s="38" t="n"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Cannon；攻击3格；商店关系保留来源节点后补足8店。</x:v>
      </x:c>
      <x:c r="S187" s="38" t="n">
        <x:v>3</x:v>
      </x:c>
      <x:c r="T187" s="38" t="n">
        <x:v>3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133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night_base, elem_火, elem_水, elem_雷, elem_地, role_治疗, special_merchant, tier_pT2</x:v>
      </x:c>
      <x:c r="I188" s="38" t="n">
        <x:v>8</x:v>
      </x:c>
      <x:c r="J188" s="38" t="n">
        <x:v>40</x:v>
      </x:c>
      <x:c r="K188" s="38" t="n">
        <x:v>20</x:v>
      </x:c>
      <x:c r="L188" s="38" t="n">
        <x:v>0</x:v>
      </x:c>
      <x:c r="M188" s="38" t="n"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confirmed；来源=Gunner；攻击2格；商店关系保留来源节点后补足8店。</x:v>
      </x:c>
      <x:c r="S188" s="38" t="n">
        <x:v>3</x:v>
      </x:c>
      <x:c r="T188" s="38" t="n">
        <x:v>2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133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night_base, elem_火, elem_水, elem_雷, elem_暗, role_输出, tier_pT2, tier_pT3</x:v>
      </x:c>
      <x:c r="I189" s="38" t="n">
        <x:v>8</x:v>
      </x:c>
      <x:c r="J189" s="38" t="n">
        <x:v>54</x:v>
      </x:c>
      <x:c r="K189" s="38" t="n">
        <x:v>12</x:v>
      </x:c>
      <x:c r="L189" s="38" t="n">
        <x:v>10</x:v>
      </x:c>
      <x:c r="M189" s="38" t="n"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Shield；攻击2格；商店关系保留来源节点后补足8店。</x:v>
      </x:c>
      <x:c r="S189" s="38" t="n">
        <x:v>3</x:v>
      </x:c>
      <x:c r="T189" s="38" t="n">
        <x:v>2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136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night_base, elem_火, elem_水, elem_草, role_召唤, special_merchant, elite_high, role_抗压承伤</x:v>
      </x:c>
      <x:c r="I190" s="38" t="n">
        <x:v>8</x:v>
      </x:c>
      <x:c r="J190" s="38" t="n">
        <x:v>70</x:v>
      </x:c>
      <x:c r="K190" s="38" t="n">
        <x:v>24</x:v>
      </x:c>
      <x:c r="L190" s="38" t="n">
        <x:v>8</x:v>
      </x:c>
      <x:c r="M190" s="38" t="n"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Heart；攻击3格；商店关系保留来源节点后补足8店。</x:v>
      </x:c>
      <x:c r="S190" s="38" t="n">
        <x:v>3</x:v>
      </x:c>
      <x:c r="T190" s="38" t="n">
        <x:v>3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133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night_base, elem_火, elem_水, elem_雷, elem_无, role_经济, elite_high, role_重甲抗压</x:v>
      </x:c>
      <x:c r="I191" s="38" t="n">
        <x:v>8</x:v>
      </x:c>
      <x:c r="J191" s="38" t="n">
        <x:v>46</x:v>
      </x:c>
      <x:c r="K191" s="38" t="n">
        <x:v>12</x:v>
      </x:c>
      <x:c r="L191" s="38" t="n">
        <x:v>4</x:v>
      </x:c>
      <x:c r="M191" s="38" t="n"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Jolt；攻击2格；商店关系保留来源节点后补足8店。</x:v>
      </x:c>
      <x:c r="S191" s="38" t="n">
        <x:v>3</x:v>
      </x:c>
      <x:c r="T191" s="38" t="n">
        <x:v>2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133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night_base, elem_火, elem_水, elem_雷, role_控制, special_merchant, tier_pT2, role_风系铺场</x:v>
      </x:c>
      <x:c r="I192" s="38" t="n">
        <x:v>8</x:v>
      </x:c>
      <x:c r="J192" s="38" t="n">
        <x:v>40</x:v>
      </x:c>
      <x:c r="K192" s="38" t="n">
        <x:v>20</x:v>
      </x:c>
      <x:c r="L192" s="38" t="n">
        <x:v>0</x:v>
      </x:c>
      <x:c r="M192" s="38" t="n"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Shells；攻击2格；商店关系保留来源节点后补足8店。</x:v>
      </x:c>
      <x:c r="S192" s="38" t="n">
        <x:v>3</x:v>
      </x:c>
      <x:c r="T192" s="38" t="n">
        <x:v>2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133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night_base, elem_火, elem_水, elem_雷, elem_龙, role_召唤, role_经济, role_抗压承伤</x:v>
      </x:c>
      <x:c r="I193" s="38" t="n">
        <x:v>8</x:v>
      </x:c>
      <x:c r="J193" s="38" t="n">
        <x:v>54</x:v>
      </x:c>
      <x:c r="K193" s="38" t="n">
        <x:v>12</x:v>
      </x:c>
      <x:c r="L193" s="38" t="n">
        <x:v>10</x:v>
      </x:c>
      <x:c r="M193" s="38" t="n"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Firepower；攻击2格；商店关系保留来源节点后补足8店。</x:v>
      </x:c>
      <x:c r="S193" s="38" t="n">
        <x:v>3</x:v>
      </x:c>
      <x:c r="T193" s="38" t="n">
        <x:v>2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133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night_base, elem_火, elem_水, elem_雷, elem_冰, elem_地, role_召唤, role_治疗</x:v>
      </x:c>
      <x:c r="I194" s="38" t="n">
        <x:v>8</x:v>
      </x:c>
      <x:c r="J194" s="38" t="n">
        <x:v>40</x:v>
      </x:c>
      <x:c r="K194" s="38" t="n">
        <x:v>20</x:v>
      </x:c>
      <x:c r="L194" s="38" t="n">
        <x:v>0</x:v>
      </x:c>
      <x:c r="M194" s="38" t="n"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Arsenal；攻击2格；商店关系保留来源节点后补足8店。</x:v>
      </x:c>
      <x:c r="S194" s="38" t="n">
        <x:v>3</x:v>
      </x:c>
      <x:c r="T194" s="38" t="n">
        <x:v>2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130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night_base, elem_水, elem_雷, elem_冰, elem_龙, role_经济, role_召唤铺场, role_火系压制</x:v>
      </x:c>
      <x:c r="I195" s="38" t="n">
        <x:v>8</x:v>
      </x:c>
      <x:c r="J195" s="38" t="n">
        <x:v>52</x:v>
      </x:c>
      <x:c r="K195" s="38" t="n">
        <x:v>28</x:v>
      </x:c>
      <x:c r="L195" s="38" t="n">
        <x:v>0</x:v>
      </x:c>
      <x:c r="M195" s="38" t="n"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Strike；攻击3格；商店关系保留来源节点后补足8店。</x:v>
      </x:c>
      <x:c r="S195" s="38" t="n">
        <x:v>3</x:v>
      </x:c>
      <x:c r="T195" s="38" t="n">
        <x:v>2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133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night_base, elem_火, elem_水, elem_雷, elem_暗, role_控制, role_输出, role_机动压制</x:v>
      </x:c>
      <x:c r="I196" s="38" t="n">
        <x:v>8</x:v>
      </x:c>
      <x:c r="J196" s="38" t="n">
        <x:v>40</x:v>
      </x:c>
      <x:c r="K196" s="38" t="n">
        <x:v>20</x:v>
      </x:c>
      <x:c r="L196" s="38" t="n">
        <x:v>0</x:v>
      </x:c>
      <x:c r="M196" s="38" t="n"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Spot；攻击2格；商店关系保留来源节点后补足8店。</x:v>
      </x:c>
      <x:c r="S196" s="38" t="n">
        <x:v>3</x:v>
      </x:c>
      <x:c r="T196" s="38" t="n">
        <x:v>2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130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night_base, elem_水, elem_草, elem_雷, role_坦克, special_merchant, role_召唤铺场, role_火系压制</x:v>
      </x:c>
      <x:c r="I197" s="38" t="n">
        <x:v>8</x:v>
      </x:c>
      <x:c r="J197" s="38" t="n">
        <x:v>56</x:v>
      </x:c>
      <x:c r="K197" s="38" t="n">
        <x:v>20</x:v>
      </x:c>
      <x:c r="L197" s="38" t="n">
        <x:v>0</x:v>
      </x:c>
      <x:c r="M197" s="38" t="n"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Bullets；攻击2格；商店关系保留来源节点后补足8店。</x:v>
      </x:c>
      <x:c r="S197" s="38" t="n">
        <x:v>4</x:v>
      </x:c>
      <x:c r="T197" s="38" t="n">
        <x:v>2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136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night_base, elem_水, elem_暗, elem_无, role_召唤, role_输出, role_机动, role_机动压制</x:v>
      </x:c>
      <x:c r="I198" s="38" t="n">
        <x:v>8</x:v>
      </x:c>
      <x:c r="J198" s="38" t="n">
        <x:v>68</x:v>
      </x:c>
      <x:c r="K198" s="38" t="n">
        <x:v>26</x:v>
      </x:c>
      <x:c r="L198" s="38" t="n">
        <x:v>0</x:v>
      </x:c>
      <x:c r="M198" s="38" t="n"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Smasher；攻击3格；商店关系保留来源节点后补足8店。</x:v>
      </x:c>
      <x:c r="S198" s="38" t="n">
        <x:v>4</x:v>
      </x:c>
      <x:c r="T198" s="38" t="n">
        <x:v>3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127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night_base, elem_火, elem_水, elem_雷, elem_龙, role_控制, role_经济, role_抗压承伤</x:v>
      </x:c>
      <x:c r="I199" s="38" t="n">
        <x:v>8</x:v>
      </x:c>
      <x:c r="J199" s="38" t="n">
        <x:v>28</x:v>
      </x:c>
      <x:c r="K199" s="38" t="n">
        <x:v>12</x:v>
      </x:c>
      <x:c r="L199" s="38" t="n">
        <x:v>0</x:v>
      </x:c>
      <x:c r="M199" s="38" t="n"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Spark；攻击1格；商店关系保留来源节点后补足8店。</x:v>
      </x:c>
      <x:c r="S199" s="38" t="n">
        <x:v>3</x:v>
      </x:c>
      <x:c r="T199" s="38" t="n">
        <x:v>1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127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night_base, elem_火, elem_水, elem_雷, elem_无, role_治疗, role_机动, role_重甲抗压</x:v>
      </x:c>
      <x:c r="I200" s="38" t="n">
        <x:v>8</x:v>
      </x:c>
      <x:c r="J200" s="38" t="n">
        <x:v>32</x:v>
      </x:c>
      <x:c r="K200" s="38" t="n">
        <x:v>8</x:v>
      </x:c>
      <x:c r="L200" s="38" t="n">
        <x:v>0</x:v>
      </x:c>
      <x:c r="M200" s="38" t="n"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Toxins；攻击2格；商店关系保留来源节点后补足8店。</x:v>
      </x:c>
      <x:c r="S200" s="38" t="n">
        <x:v>4</x:v>
      </x:c>
      <x:c r="T200" s="38" t="n">
        <x:v>1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130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night_base, elem_水, elem_雷, elem_冰, role_控制, tier_pT1, tier_pT3, role_风系牵制</x:v>
      </x:c>
      <x:c r="I201" s="38" t="n">
        <x:v>8</x:v>
      </x:c>
      <x:c r="J201" s="38" t="n">
        <x:v>52</x:v>
      </x:c>
      <x:c r="K201" s="38" t="n">
        <x:v>28</x:v>
      </x:c>
      <x:c r="L201" s="38" t="n">
        <x:v>0</x:v>
      </x:c>
      <x:c r="M201" s="38" t="n"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Burn；攻击3格；商店关系保留来源节点后补足8店。</x:v>
      </x:c>
      <x:c r="S201" s="38" t="n">
        <x:v>3</x:v>
      </x:c>
      <x:c r="T201" s="38" t="n">
        <x:v>2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133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night_base, elem_火, elem_水, elem_草, elem_雷, elem_冰, role_控制, elite_high</x:v>
      </x:c>
      <x:c r="I202" s="38" t="n">
        <x:v>8</x:v>
      </x:c>
      <x:c r="J202" s="38" t="n">
        <x:v>46</x:v>
      </x:c>
      <x:c r="K202" s="38" t="n">
        <x:v>12</x:v>
      </x:c>
      <x:c r="L202" s="38" t="n">
        <x:v>4</x:v>
      </x:c>
      <x:c r="M202" s="38" t="n"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Heal；攻击2格；商店关系保留来源节点后补足8店。</x:v>
      </x:c>
      <x:c r="S202" s="38" t="n">
        <x:v>3</x:v>
      </x:c>
      <x:c r="T202" s="38" t="n">
        <x:v>2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130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night_base, elem_水, elem_雷, elem_冰, elem_无, role_治疗, role_机动, role_机动压制</x:v>
      </x:c>
      <x:c r="I203" s="38" t="n">
        <x:v>8</x:v>
      </x:c>
      <x:c r="J203" s="38" t="n">
        <x:v>56</x:v>
      </x:c>
      <x:c r="K203" s="38" t="n">
        <x:v>20</x:v>
      </x:c>
      <x:c r="L203" s="38" t="n">
        <x:v>0</x:v>
      </x:c>
      <x:c r="M203" s="38" t="n"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Poison；攻击2格；商店关系保留来源节点后补足8店。</x:v>
      </x:c>
      <x:c r="S203" s="38" t="n">
        <x:v>4</x:v>
      </x:c>
      <x:c r="T203" s="38" t="n">
        <x:v>2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133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night_base, elem_火, elem_水, elem_雷, elem_冰, elem_无, tier_pT2, role_重甲抗压</x:v>
      </x:c>
      <x:c r="I204" s="38" t="n">
        <x:v>8</x:v>
      </x:c>
      <x:c r="J204" s="38" t="n">
        <x:v>54</x:v>
      </x:c>
      <x:c r="K204" s="38" t="n">
        <x:v>12</x:v>
      </x:c>
      <x:c r="L204" s="38" t="n">
        <x:v>10</x:v>
      </x:c>
      <x:c r="M204" s="38" t="n"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Protection；攻击2格；商店关系保留来源节点后补足8店。</x:v>
      </x:c>
      <x:c r="S204" s="38" t="n">
        <x:v>3</x:v>
      </x:c>
      <x:c r="T204" s="38" t="n">
        <x:v>2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133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night_base, elem_火, elem_水, elem_雷, elem_冰, elem_地, role_召唤, role_火系压制</x:v>
      </x:c>
      <x:c r="I205" s="38" t="n">
        <x:v>8</x:v>
      </x:c>
      <x:c r="J205" s="38" t="n">
        <x:v>40</x:v>
      </x:c>
      <x:c r="K205" s="38" t="n">
        <x:v>20</x:v>
      </x:c>
      <x:c r="L205" s="38" t="n">
        <x:v>0</x:v>
      </x:c>
      <x:c r="M205" s="38" t="n"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Weaponry；攻击2格；商店关系保留来源节点后补足8店。</x:v>
      </x:c>
      <x:c r="S205" s="38" t="n">
        <x:v>3</x:v>
      </x:c>
      <x:c r="T205" s="38" t="n">
        <x:v>2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133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night_base, elem_火, elem_水, elem_草, elem_雷, elem_冰, elite_high, role_重甲抗压</x:v>
      </x:c>
      <x:c r="I206" s="38" t="n">
        <x:v>8</x:v>
      </x:c>
      <x:c r="J206" s="38" t="n">
        <x:v>40</x:v>
      </x:c>
      <x:c r="K206" s="38" t="n">
        <x:v>20</x:v>
      </x:c>
      <x:c r="L206" s="38" t="n">
        <x:v>0</x:v>
      </x:c>
      <x:c r="M206" s="38" t="n"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confirmed；来源=Inexorable；攻击2格；商店关系保留来源节点后补足8店。</x:v>
      </x:c>
      <x:c r="S206" s="38" t="n">
        <x:v>3</x:v>
      </x:c>
      <x:c r="T206" s="38" t="n">
        <x:v>2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133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night_base, elem_火, elem_水, elem_雷, elem_无, role_坦克, elite_high, role_重甲抗压</x:v>
      </x:c>
      <x:c r="I207" s="38" t="n">
        <x:v>8</x:v>
      </x:c>
      <x:c r="J207" s="38" t="n">
        <x:v>44</x:v>
      </x:c>
      <x:c r="K207" s="38" t="n">
        <x:v>14</x:v>
      </x:c>
      <x:c r="L207" s="38" t="n">
        <x:v>0</x:v>
      </x:c>
      <x:c r="M207" s="38" t="n"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Chill；攻击2格；商店关系保留来源节点后补足8店。</x:v>
      </x:c>
      <x:c r="S207" s="38" t="n">
        <x:v>4</x:v>
      </x:c>
      <x:c r="T207" s="38" t="n">
        <x:v>2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127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night_base, elem_火, elem_水, elem_雷, elem_冰, role_控制, role_治疗, tier_pT1</x:v>
      </x:c>
      <x:c r="I208" s="38" t="n">
        <x:v>8</x:v>
      </x:c>
      <x:c r="J208" s="38" t="n">
        <x:v>32</x:v>
      </x:c>
      <x:c r="K208" s="38" t="n">
        <x:v>8</x:v>
      </x:c>
      <x:c r="L208" s="38" t="n">
        <x:v>0</x:v>
      </x:c>
      <x:c r="M208" s="38" t="n"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Dose；攻击2格；商店关系保留来源节点后补足8店。</x:v>
      </x:c>
      <x:c r="S208" s="38" t="n">
        <x:v>4</x:v>
      </x:c>
      <x:c r="T208" s="38" t="n">
        <x:v>1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133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night_base, elem_火, elem_水, elem_草, elem_雷, role_召唤, role_坦克, role_经济</x:v>
      </x:c>
      <x:c r="I209" s="38" t="n">
        <x:v>8</x:v>
      </x:c>
      <x:c r="J209" s="38" t="n">
        <x:v>44</x:v>
      </x:c>
      <x:c r="K209" s="38" t="n">
        <x:v>14</x:v>
      </x:c>
      <x:c r="L209" s="38" t="n">
        <x:v>0</x:v>
      </x:c>
      <x:c r="M209" s="38" t="n"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Cold；攻击3格；商店关系保留来源节点后补足8店。</x:v>
      </x:c>
      <x:c r="S209" s="38" t="n">
        <x:v>4</x:v>
      </x:c>
      <x:c r="T209" s="38" t="n">
        <x:v>2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133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night_base, elem_火, elem_水, elem_草, elem_雷, role_召唤, tier_pT1, role_远点压制</x:v>
      </x:c>
      <x:c r="I210" s="38" t="n">
        <x:v>8</x:v>
      </x:c>
      <x:c r="J210" s="38" t="n">
        <x:v>40</x:v>
      </x:c>
      <x:c r="K210" s="38" t="n">
        <x:v>12</x:v>
      </x:c>
      <x:c r="L210" s="38" t="n">
        <x:v>0</x:v>
      </x:c>
      <x:c r="M210" s="38" t="n"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Iron；攻击2格；商店关系保留来源节点后补足8店。</x:v>
      </x:c>
      <x:c r="S210" s="38" t="n">
        <x:v>3</x:v>
      </x:c>
      <x:c r="T210" s="38" t="n">
        <x:v>2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127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night_base, elem_火, elem_水, elem_雷, elem_冰, role_控制, tier_pT1, role_风系牵制</x:v>
      </x:c>
      <x:c r="I211" s="38" t="n">
        <x:v>8</x:v>
      </x:c>
      <x:c r="J211" s="38" t="n">
        <x:v>28</x:v>
      </x:c>
      <x:c r="K211" s="38" t="n">
        <x:v>12</x:v>
      </x:c>
      <x:c r="L211" s="38" t="n">
        <x:v>0</x:v>
      </x:c>
      <x:c r="M211" s="38" t="n"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Eye；攻击1格；商店关系保留来源节点后补足8店。</x:v>
      </x:c>
      <x:c r="S211" s="38" t="n">
        <x:v>3</x:v>
      </x:c>
      <x:c r="T211" s="38" t="n">
        <x:v>1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136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night_base, elem_水, elem_雷, role_召唤, role_坦克, role_治疗, tier_pT2, role_风系铺场</x:v>
      </x:c>
      <x:c r="I212" s="38" t="n">
        <x:v>8</x:v>
      </x:c>
      <x:c r="J212" s="38" t="n">
        <x:v>64</x:v>
      </x:c>
      <x:c r="K212" s="38" t="n">
        <x:v>24</x:v>
      </x:c>
      <x:c r="L212" s="38" t="n">
        <x:v>0</x:v>
      </x:c>
      <x:c r="M212" s="38" t="n"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Tricks；攻击2格；商店关系保留来源节点后补足8店。</x:v>
      </x:c>
      <x:c r="S212" s="38" t="n">
        <x:v>5</x:v>
      </x:c>
      <x:c r="T212" s="38" t="n">
        <x:v>3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133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night_base, elem_火, elem_水, elem_草, elem_雷, role_召唤, elite_high, role_远点压制</x:v>
      </x:c>
      <x:c r="I213" s="38" t="n">
        <x:v>8</x:v>
      </x:c>
      <x:c r="J213" s="38" t="n">
        <x:v>46</x:v>
      </x:c>
      <x:c r="K213" s="38" t="n">
        <x:v>12</x:v>
      </x:c>
      <x:c r="L213" s="38" t="n">
        <x:v>4</x:v>
      </x:c>
      <x:c r="M213" s="38" t="n"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Appetites；攻击2格；商店关系保留来源节点后补足8店。</x:v>
      </x:c>
      <x:c r="S213" s="38" t="n">
        <x:v>3</x:v>
      </x:c>
      <x:c r="T213" s="38" t="n">
        <x:v>2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127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night_base, elem_火, elem_水, elem_雷, elem_冰, elem_暗, role_机动, role_机动压制</x:v>
      </x:c>
      <x:c r="I214" s="38" t="n">
        <x:v>8</x:v>
      </x:c>
      <x:c r="J214" s="38" t="n">
        <x:v>28</x:v>
      </x:c>
      <x:c r="K214" s="38" t="n">
        <x:v>12</x:v>
      </x:c>
      <x:c r="L214" s="38" t="n">
        <x:v>0</x:v>
      </x:c>
      <x:c r="M214" s="38" t="n"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Eye；攻击1格；商店关系保留来源节点后补足8店。</x:v>
      </x:c>
      <x:c r="S214" s="38" t="n">
        <x:v>3</x:v>
      </x:c>
      <x:c r="T214" s="38" t="n">
        <x:v>1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127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night_base, elem_火, elem_水, elem_雷, elem_冰, role_召唤, role_控制, tier_pT1</x:v>
      </x:c>
      <x:c r="I215" s="38" t="n">
        <x:v>8</x:v>
      </x:c>
      <x:c r="J215" s="38" t="n">
        <x:v>28</x:v>
      </x:c>
      <x:c r="K215" s="38" t="n">
        <x:v>12</x:v>
      </x:c>
      <x:c r="L215" s="38" t="n">
        <x:v>0</x:v>
      </x:c>
      <x:c r="M215" s="38" t="n"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confirmed；来源=Left-Handed；攻击1格；商店关系保留来源节点后补足8店。</x:v>
      </x:c>
      <x:c r="S215" s="38" t="n">
        <x:v>3</x:v>
      </x:c>
      <x:c r="T215" s="38" t="n">
        <x:v>1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130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night_base, elem_水, elem_雷, elem_冰, role_控制, role_经济, tier_pT1, role_远点压制</x:v>
      </x:c>
      <x:c r="I216" s="38" t="n">
        <x:v>8</x:v>
      </x:c>
      <x:c r="J216" s="38" t="n">
        <x:v>52</x:v>
      </x:c>
      <x:c r="K216" s="38" t="n">
        <x:v>18</x:v>
      </x:c>
      <x:c r="L216" s="38" t="n">
        <x:v>0</x:v>
      </x:c>
      <x:c r="M216" s="38" t="n"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Loosey；攻击2格；商店关系保留来源节点后补足8店。</x:v>
      </x:c>
      <x:c r="S216" s="38" t="n">
        <x:v>5</x:v>
      </x:c>
      <x:c r="T216" s="38" t="n">
        <x:v>2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133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night_base, elem_火, elem_水, elem_草, elem_雷, role_召唤, tier_pT1, role_远点压制</x:v>
      </x:c>
      <x:c r="I217" s="38" t="n">
        <x:v>8</x:v>
      </x:c>
      <x:c r="J217" s="38" t="n">
        <x:v>40</x:v>
      </x:c>
      <x:c r="K217" s="38" t="n">
        <x:v>12</x:v>
      </x:c>
      <x:c r="L217" s="38" t="n">
        <x:v>0</x:v>
      </x:c>
      <x:c r="M217" s="38" t="n"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confirmed；来源=Lethargy；攻击3格；商店关系保留来源节点后补足8店。</x:v>
      </x:c>
      <x:c r="S217" s="38" t="n">
        <x:v>5</x:v>
      </x:c>
      <x:c r="T217" s="38" t="n">
        <x:v>2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133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night_base, elem_火, elem_水, elem_雷, elem_冰, role_召唤, role_控制, role_风系牵制</x:v>
      </x:c>
      <x:c r="I218" s="38" t="n">
        <x:v>8</x:v>
      </x:c>
      <x:c r="J218" s="38" t="n">
        <x:v>40</x:v>
      </x:c>
      <x:c r="K218" s="38" t="n">
        <x:v>12</x:v>
      </x:c>
      <x:c r="L218" s="38" t="n">
        <x:v>0</x:v>
      </x:c>
      <x:c r="M218" s="38" t="n"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confirmed；来源=Lifting；攻击2格；商店关系保留来源节点后补足8店。</x:v>
      </x:c>
      <x:c r="S218" s="38" t="n">
        <x:v>3</x:v>
      </x:c>
      <x:c r="T218" s="38" t="n">
        <x:v>2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136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night_base, elem_火, elem_水, elem_龙, role_控制, role_经济, role_召唤铺场, role_抗压承伤</x:v>
      </x:c>
      <x:c r="I219" s="38" t="n">
        <x:v>8</x:v>
      </x:c>
      <x:c r="J219" s="38" t="n">
        <x:v>70</x:v>
      </x:c>
      <x:c r="K219" s="38" t="n">
        <x:v>24</x:v>
      </x:c>
      <x:c r="L219" s="38" t="n">
        <x:v>8</x:v>
      </x:c>
      <x:c r="M219" s="38" t="n"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Flame；攻击3格；商店关系保留来源节点后补足8店。</x:v>
      </x:c>
      <x:c r="S219" s="38" t="n">
        <x:v>3</x:v>
      </x:c>
      <x:c r="T219" s="38" t="n">
        <x:v>3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133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night_base, elem_火, elem_水, elem_草, elem_雷, elem_无, special_merchant, role_重甲抗压</x:v>
      </x:c>
      <x:c r="I220" s="38" t="n">
        <x:v>8</x:v>
      </x:c>
      <x:c r="J220" s="38" t="n">
        <x:v>40</x:v>
      </x:c>
      <x:c r="K220" s="38" t="n">
        <x:v>20</x:v>
      </x:c>
      <x:c r="L220" s="38" t="n">
        <x:v>0</x:v>
      </x:c>
      <x:c r="M220" s="38" t="n"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Fury；攻击2格；商店关系保留来源节点后补足8店。</x:v>
      </x:c>
      <x:c r="S220" s="38" t="n">
        <x:v>3</x:v>
      </x:c>
      <x:c r="T220" s="38" t="n">
        <x:v>2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130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night_base, elem_水, elem_草, elem_雷, elem_冰, role_控制, tier_pT1, role_风系牵制</x:v>
      </x:c>
      <x:c r="I221" s="38" t="n">
        <x:v>8</x:v>
      </x:c>
      <x:c r="J221" s="38" t="n">
        <x:v>52</x:v>
      </x:c>
      <x:c r="K221" s="38" t="n">
        <x:v>18</x:v>
      </x:c>
      <x:c r="L221" s="38" t="n">
        <x:v>0</x:v>
      </x:c>
      <x:c r="M221" s="38" t="n"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Diver；攻击2格；商店关系保留来源节点后补足8店。</x:v>
      </x:c>
      <x:c r="S221" s="38" t="n">
        <x:v>5</x:v>
      </x:c>
      <x:c r="T221" s="38" t="n">
        <x:v>2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136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night_base, elem_水, elem_草, elem_无, role_召唤, role_机动, special_merchant, role_重甲抗压</x:v>
      </x:c>
      <x:c r="I222" s="38" t="n">
        <x:v>8</x:v>
      </x:c>
      <x:c r="J222" s="38" t="n">
        <x:v>64</x:v>
      </x:c>
      <x:c r="K222" s="38" t="n">
        <x:v>36</x:v>
      </x:c>
      <x:c r="L222" s="38" t="n">
        <x:v>0</x:v>
      </x:c>
      <x:c r="M222" s="38" t="n"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Sniper；攻击3格；商店关系保留来源节点后补足8店。</x:v>
      </x:c>
      <x:c r="S222" s="38" t="n">
        <x:v>3</x:v>
      </x:c>
      <x:c r="T222" s="38" t="n">
        <x:v>3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130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night_base, elem_水, elem_雷, elem_暗, role_召唤, role_输出, role_经济, tier_pT3</x:v>
      </x:c>
      <x:c r="I223" s="38" t="n">
        <x:v>8</x:v>
      </x:c>
      <x:c r="J223" s="38" t="n">
        <x:v>52</x:v>
      </x:c>
      <x:c r="K223" s="38" t="n">
        <x:v>18</x:v>
      </x:c>
      <x:c r="L223" s="38" t="n">
        <x:v>0</x:v>
      </x:c>
      <x:c r="M223" s="38" t="n"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Message；攻击2格；商店关系保留来源节点后补足8店。</x:v>
      </x:c>
      <x:c r="S223" s="38" t="n">
        <x:v>5</x:v>
      </x:c>
      <x:c r="T223" s="38" t="n">
        <x:v>2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136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night_base, elem_水, elem_无, role_坦克, role_控制, role_机动, elite_high, role_重甲抗压</x:v>
      </x:c>
      <x:c r="I224" s="38" t="n">
        <x:v>8</x:v>
      </x:c>
      <x:c r="J224" s="38" t="n">
        <x:v>70</x:v>
      </x:c>
      <x:c r="K224" s="38" t="n">
        <x:v>24</x:v>
      </x:c>
      <x:c r="L224" s="38" t="n">
        <x:v>8</x:v>
      </x:c>
      <x:c r="M224" s="38" t="n"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Flame；攻击2格；商店关系保留来源节点后补足8店。</x:v>
      </x:c>
      <x:c r="S224" s="38" t="n">
        <x:v>3</x:v>
      </x:c>
      <x:c r="T224" s="38" t="n">
        <x:v>3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133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night_base, elem_火, elem_水, elem_雷, elem_龙, role_输出, role_经济, role_召唤铺场</x:v>
      </x:c>
      <x:c r="I225" s="38" t="n">
        <x:v>8</x:v>
      </x:c>
      <x:c r="J225" s="38" t="n">
        <x:v>44</x:v>
      </x:c>
      <x:c r="K225" s="38" t="n">
        <x:v>14</x:v>
      </x:c>
      <x:c r="L225" s="38" t="n">
        <x:v>0</x:v>
      </x:c>
      <x:c r="M225" s="38" t="n"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Launcher；攻击3格；商店关系保留来源节点后补足8店。</x:v>
      </x:c>
      <x:c r="S225" s="38" t="n">
        <x:v>4</x:v>
      </x:c>
      <x:c r="T225" s="38" t="n">
        <x:v>2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133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night_base, elem_火, elem_水, elem_草, elem_雷, role_召唤, special_merchant, role_抗压承伤</x:v>
      </x:c>
      <x:c r="I226" s="38" t="n">
        <x:v>8</x:v>
      </x:c>
      <x:c r="J226" s="38" t="n">
        <x:v>40</x:v>
      </x:c>
      <x:c r="K226" s="38" t="n">
        <x:v>20</x:v>
      </x:c>
      <x:c r="L226" s="38" t="n">
        <x:v>0</x:v>
      </x:c>
      <x:c r="M226" s="38" t="n"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Cricket；攻击3格；商店关系保留来源节点后补足8店。</x:v>
      </x:c>
      <x:c r="S226" s="38" t="n">
        <x:v>3</x:v>
      </x:c>
      <x:c r="T226" s="38" t="n">
        <x:v>2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133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night_base, elem_火, elem_水, elem_草, elem_雷, elem_地, role_治疗, role_经济</x:v>
      </x:c>
      <x:c r="I227" s="38" t="n">
        <x:v>8</x:v>
      </x:c>
      <x:c r="J227" s="38" t="n">
        <x:v>40</x:v>
      </x:c>
      <x:c r="K227" s="38" t="n">
        <x:v>12</x:v>
      </x:c>
      <x:c r="L227" s="38" t="n">
        <x:v>0</x:v>
      </x:c>
      <x:c r="M227" s="38" t="n"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Rush；攻击2格；商店关系保留来源节点后补足8店。</x:v>
      </x:c>
      <x:c r="S227" s="38" t="n">
        <x:v>5</x:v>
      </x:c>
      <x:c r="T227" s="38" t="n">
        <x:v>2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130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night_base, elem_水, elem_雷, elem_冰, role_输出, role_经济, tier_pT3, role_风系牵制</x:v>
      </x:c>
      <x:c r="I228" s="38" t="n">
        <x:v>8</x:v>
      </x:c>
      <x:c r="J228" s="38" t="n">
        <x:v>56</x:v>
      </x:c>
      <x:c r="K228" s="38" t="n">
        <x:v>20</x:v>
      </x:c>
      <x:c r="L228" s="38" t="n">
        <x:v>0</x:v>
      </x:c>
      <x:c r="M228" s="38" t="n"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confirmed；来源=Outmaneuver；攻击2格；商店关系保留来源节点后补足8店。</x:v>
      </x:c>
      <x:c r="S228" s="38" t="n">
        <x:v>4</x:v>
      </x:c>
      <x:c r="T228" s="38" t="n">
        <x:v>2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133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night_base, elem_火, elem_水, elem_雷, role_坦克, role_治疗, elite_high, role_风系铺场</x:v>
      </x:c>
      <x:c r="I229" s="38" t="n">
        <x:v>8</x:v>
      </x:c>
      <x:c r="J229" s="38" t="n">
        <x:v>44</x:v>
      </x:c>
      <x:c r="K229" s="38" t="n">
        <x:v>14</x:v>
      </x:c>
      <x:c r="L229" s="38" t="n">
        <x:v>0</x:v>
      </x:c>
      <x:c r="M229" s="38" t="n"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Poison；攻击2格；商店关系保留来源节点后补足8店。</x:v>
      </x:c>
      <x:c r="S229" s="38" t="n">
        <x:v>4</x:v>
      </x:c>
      <x:c r="T229" s="38" t="n">
        <x:v>2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130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night_base, elem_水, elem_雷, elem_冰, role_控制, special_merchant, tier_pT1, role_远点压制</x:v>
      </x:c>
      <x:c r="I230" s="38" t="n">
        <x:v>8</x:v>
      </x:c>
      <x:c r="J230" s="38" t="n">
        <x:v>52</x:v>
      </x:c>
      <x:c r="K230" s="38" t="n">
        <x:v>28</x:v>
      </x:c>
      <x:c r="L230" s="38" t="n">
        <x:v>0</x:v>
      </x:c>
      <x:c r="M230" s="38" t="n"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Shot；攻击3格；商店关系保留来源节点后补足8店。</x:v>
      </x:c>
      <x:c r="S230" s="38" t="n">
        <x:v>3</x:v>
      </x:c>
      <x:c r="T230" s="38" t="n">
        <x:v>2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127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night_base, elem_火, elem_水, elem_雷, elem_冰, elem_暗, role_机动, role_机动压制</x:v>
      </x:c>
      <x:c r="I231" s="38" t="n">
        <x:v>8</x:v>
      </x:c>
      <x:c r="J231" s="38" t="n">
        <x:v>28</x:v>
      </x:c>
      <x:c r="K231" s="38" t="n">
        <x:v>12</x:v>
      </x:c>
      <x:c r="L231" s="38" t="n">
        <x:v>0</x:v>
      </x:c>
      <x:c r="M231" s="38" t="n"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Eye；攻击1格；商店关系保留来源节点后补足8店。</x:v>
      </x:c>
      <x:c r="S231" s="38" t="n">
        <x:v>3</x:v>
      </x:c>
      <x:c r="T231" s="38" t="n">
        <x:v>1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133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night_base, elem_火, elem_水, elem_雷, elem_无, role_治疗, role_机动, role_机动压制</x:v>
      </x:c>
      <x:c r="I232" s="38" t="n">
        <x:v>8</x:v>
      </x:c>
      <x:c r="J232" s="38" t="n">
        <x:v>44</x:v>
      </x:c>
      <x:c r="K232" s="38" t="n">
        <x:v>14</x:v>
      </x:c>
      <x:c r="L232" s="38" t="n">
        <x:v>0</x:v>
      </x:c>
      <x:c r="M232" s="38" t="n"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Opener；攻击2格；商店关系保留来源节点后补足8店。</x:v>
      </x:c>
      <x:c r="S232" s="38" t="n">
        <x:v>4</x:v>
      </x:c>
      <x:c r="T232" s="38" t="n">
        <x:v>2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130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night_base, elem_水, elem_雷, elem_冰, role_召唤, role_经济, role_召唤铺场, role_火系压制</x:v>
      </x:c>
      <x:c r="I233" s="38" t="n">
        <x:v>8</x:v>
      </x:c>
      <x:c r="J233" s="38" t="n">
        <x:v>58</x:v>
      </x:c>
      <x:c r="K233" s="38" t="n">
        <x:v>18</x:v>
      </x:c>
      <x:c r="L233" s="38" t="n">
        <x:v>6</x:v>
      </x:c>
      <x:c r="M233" s="38" t="n"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Quantity；攻击2格；商店关系保留来源节点后补足8店。</x:v>
      </x:c>
      <x:c r="S233" s="38" t="n">
        <x:v>3</x:v>
      </x:c>
      <x:c r="T233" s="38" t="n">
        <x:v>2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130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night_base, elem_水, elem_雷, elem_暗, elem_无, role_机动, tier_pT2, role_机动压制</x:v>
      </x:c>
      <x:c r="I234" s="38" t="n">
        <x:v>8</x:v>
      </x:c>
      <x:c r="J234" s="38" t="n">
        <x:v>66</x:v>
      </x:c>
      <x:c r="K234" s="38" t="n">
        <x:v>18</x:v>
      </x:c>
      <x:c r="L234" s="38" t="n">
        <x:v>14</x:v>
      </x:c>
      <x:c r="M234" s="38" t="n"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Defenses；攻击2格；商店关系保留来源节点后补足8店。</x:v>
      </x:c>
      <x:c r="S234" s="38" t="n">
        <x:v>3</x:v>
      </x:c>
      <x:c r="T234" s="38" t="n">
        <x:v>2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133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night_base, elem_火, elem_水, elem_雷, role_坦克, role_经济, tier_pT2, role_风系铺场</x:v>
      </x:c>
      <x:c r="I235" s="38" t="n">
        <x:v>8</x:v>
      </x:c>
      <x:c r="J235" s="38" t="n">
        <x:v>44</x:v>
      </x:c>
      <x:c r="K235" s="38" t="n">
        <x:v>14</x:v>
      </x:c>
      <x:c r="L235" s="38" t="n">
        <x:v>0</x:v>
      </x:c>
      <x:c r="M235" s="38" t="n"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Freeze；攻击2格；商店关系保留来源节点后补足8店。</x:v>
      </x:c>
      <x:c r="S235" s="38" t="n">
        <x:v>4</x:v>
      </x:c>
      <x:c r="T235" s="38" t="n">
        <x:v>2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133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night_base, elem_火, elem_水, elem_雷, role_控制, role_经济, role_召唤铺场, role_火系压制</x:v>
      </x:c>
      <x:c r="I236" s="38" t="n">
        <x:v>8</x:v>
      </x:c>
      <x:c r="J236" s="38" t="n">
        <x:v>40</x:v>
      </x:c>
      <x:c r="K236" s="38" t="n">
        <x:v>12</x:v>
      </x:c>
      <x:c r="L236" s="38" t="n">
        <x:v>0</x:v>
      </x:c>
      <x:c r="M236" s="38" t="n"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Ignition；攻击2格；商店关系保留来源节点后补足8店。</x:v>
      </x:c>
      <x:c r="S236" s="38" t="n">
        <x:v>5</x:v>
      </x:c>
      <x:c r="T236" s="38" t="n">
        <x:v>2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136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night_base, elem_火, elem_水, elem_草, role_召唤, special_merchant, role_抗压承伤, role_远点压制</x:v>
      </x:c>
      <x:c r="I237" s="38" t="n">
        <x:v>8</x:v>
      </x:c>
      <x:c r="J237" s="38" t="n">
        <x:v>64</x:v>
      </x:c>
      <x:c r="K237" s="38" t="n">
        <x:v>36</x:v>
      </x:c>
      <x:c r="L237" s="38" t="n">
        <x:v>0</x:v>
      </x:c>
      <x:c r="M237" s="38" t="n"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confirmed；来源=Re-Tooled；攻击3格；商店关系保留来源节点后补足8店。</x:v>
      </x:c>
      <x:c r="S237" s="38" t="n">
        <x:v>3</x:v>
      </x:c>
      <x:c r="T237" s="38" t="n">
        <x:v>3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130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night_base, elem_水, elem_草, elem_雷, elem_冰, role_召唤, role_坦克, role_远点压制</x:v>
      </x:c>
      <x:c r="I238" s="38" t="n">
        <x:v>8</x:v>
      </x:c>
      <x:c r="J238" s="38" t="n">
        <x:v>56</x:v>
      </x:c>
      <x:c r="K238" s="38" t="n">
        <x:v>20</x:v>
      </x:c>
      <x:c r="L238" s="38" t="n">
        <x:v>0</x:v>
      </x:c>
      <x:c r="M238" s="38" t="n"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Summit；攻击2格；商店关系保留来源节点后补足8店。</x:v>
      </x:c>
      <x:c r="S238" s="38" t="n">
        <x:v>4</x:v>
      </x:c>
      <x:c r="T238" s="38" t="n">
        <x:v>2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127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night_base, elem_火, elem_水, elem_草, elem_雷, tier_pT1, tier_pT2, role_远点压制</x:v>
      </x:c>
      <x:c r="I239" s="38" t="n">
        <x:v>8</x:v>
      </x:c>
      <x:c r="J239" s="38" t="n">
        <x:v>42</x:v>
      </x:c>
      <x:c r="K239" s="38" t="n">
        <x:v>6</x:v>
      </x:c>
      <x:c r="L239" s="38" t="n">
        <x:v>6</x:v>
      </x:c>
      <x:c r="M239" s="38" t="n"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Shielding；攻击1格；商店关系保留来源节点后补足8店。</x:v>
      </x:c>
      <x:c r="S239" s="38" t="n">
        <x:v>3</x:v>
      </x:c>
      <x:c r="T239" s="38" t="n">
        <x:v>1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136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night_base, elem_水, elem_草, elem_暗, elem_无, role_输出, role_机动, role_机动压制</x:v>
      </x:c>
      <x:c r="I240" s="38" t="n">
        <x:v>8</x:v>
      </x:c>
      <x:c r="J240" s="38" t="n">
        <x:v>70</x:v>
      </x:c>
      <x:c r="K240" s="38" t="n">
        <x:v>24</x:v>
      </x:c>
      <x:c r="L240" s="38" t="n">
        <x:v>8</x:v>
      </x:c>
      <x:c r="M240" s="38" t="n"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In；攻击3格；商店关系保留来源节点后补足8店。</x:v>
      </x:c>
      <x:c r="S240" s="38" t="n">
        <x:v>3</x:v>
      </x:c>
      <x:c r="T240" s="38" t="n">
        <x:v>3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133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night_base, elem_火, elem_水, elem_雷, elem_无, role_坦克, elite_high, role_重甲抗压</x:v>
      </x:c>
      <x:c r="I241" s="38" t="n">
        <x:v>8</x:v>
      </x:c>
      <x:c r="J241" s="38" t="n">
        <x:v>46</x:v>
      </x:c>
      <x:c r="K241" s="38" t="n">
        <x:v>12</x:v>
      </x:c>
      <x:c r="L241" s="38" t="n">
        <x:v>4</x:v>
      </x:c>
      <x:c r="M241" s="38" t="n"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confirmed；来源=Regenerative；攻击2格；商店关系保留来源节点后补足8店。</x:v>
      </x:c>
      <x:c r="S241" s="38" t="n">
        <x:v>3</x:v>
      </x:c>
      <x:c r="T241" s="38" t="n">
        <x:v>2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130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night_base, elem_水, elem_雷, elem_无, role_坦克, role_机动, elite_high, role_重甲抗压</x:v>
      </x:c>
      <x:c r="I242" s="38" t="n">
        <x:v>8</x:v>
      </x:c>
      <x:c r="J242" s="38" t="n">
        <x:v>56</x:v>
      </x:c>
      <x:c r="K242" s="38" t="n">
        <x:v>20</x:v>
      </x:c>
      <x:c r="L242" s="38" t="n">
        <x:v>0</x:v>
      </x:c>
      <x:c r="M242" s="38" t="n"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Mechanic；攻击2格；商店关系保留来源节点后补足8店。</x:v>
      </x:c>
      <x:c r="S242" s="38" t="n">
        <x:v>4</x:v>
      </x:c>
      <x:c r="T242" s="38" t="n">
        <x:v>2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127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night_base, elem_火, elem_水, elem_草, elem_雷, elem_冰, role_召唤, special_merchant</x:v>
      </x:c>
      <x:c r="I243" s="38" t="n">
        <x:v>8</x:v>
      </x:c>
      <x:c r="J243" s="38" t="n">
        <x:v>28</x:v>
      </x:c>
      <x:c r="K243" s="38" t="n">
        <x:v>12</x:v>
      </x:c>
      <x:c r="L243" s="38" t="n">
        <x:v>0</x:v>
      </x:c>
      <x:c r="M243" s="38" t="n"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Eye；攻击1格；商店关系保留来源节点后补足8店。</x:v>
      </x:c>
      <x:c r="S243" s="38" t="n">
        <x:v>3</x:v>
      </x:c>
      <x:c r="T243" s="38" t="n">
        <x:v>1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127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night_base, elem_火, elem_水, elem_雷, elem_暗, role_召唤, role_输出, tier_pT3</x:v>
      </x:c>
      <x:c r="I244" s="38" t="n">
        <x:v>8</x:v>
      </x:c>
      <x:c r="J244" s="38" t="n">
        <x:v>28</x:v>
      </x:c>
      <x:c r="K244" s="38" t="n">
        <x:v>12</x:v>
      </x:c>
      <x:c r="L244" s="38" t="n">
        <x:v>0</x:v>
      </x:c>
      <x:c r="M244" s="38" t="n"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confirmed；来源=Right-Handed；攻击1格；商店关系保留来源节点后补足8店。</x:v>
      </x:c>
      <x:c r="S244" s="38" t="n">
        <x:v>3</x:v>
      </x:c>
      <x:c r="T244" s="38" t="n">
        <x:v>1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133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night_base, elem_火, elem_水, elem_雷, role_控制, role_输出, role_经济, tier_pT1</x:v>
      </x:c>
      <x:c r="I245" s="38" t="n">
        <x:v>8</x:v>
      </x:c>
      <x:c r="J245" s="38" t="n">
        <x:v>44</x:v>
      </x:c>
      <x:c r="K245" s="38" t="n">
        <x:v>14</x:v>
      </x:c>
      <x:c r="L245" s="38" t="n">
        <x:v>0</x:v>
      </x:c>
      <x:c r="M245" s="38" t="n"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Tighty；攻击2格；商店关系保留来源节点后补足8店。</x:v>
      </x:c>
      <x:c r="S245" s="38" t="n">
        <x:v>4</x:v>
      </x:c>
      <x:c r="T245" s="38" t="n">
        <x:v>2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130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night_base, elem_水, elem_雷, elem_冰, role_控制, role_输出, tier_pT1, role_远点压制</x:v>
      </x:c>
      <x:c r="I246" s="38" t="n">
        <x:v>8</x:v>
      </x:c>
      <x:c r="J246" s="38" t="n">
        <x:v>56</x:v>
      </x:c>
      <x:c r="K246" s="38" t="n">
        <x:v>20</x:v>
      </x:c>
      <x:c r="L246" s="38" t="n">
        <x:v>0</x:v>
      </x:c>
      <x:c r="M246" s="38" t="n"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confirmed；来源=Sabotage；攻击2格；商店关系保留来源节点后补足8店。</x:v>
      </x:c>
      <x:c r="S246" s="38" t="n">
        <x:v>4</x:v>
      </x:c>
      <x:c r="T246" s="38" t="n">
        <x:v>2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133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night_base, elem_火, elem_水, elem_雷, elem_暗, role_控制, role_经济, role_机动压制</x:v>
      </x:c>
      <x:c r="I247" s="38" t="n">
        <x:v>8</x:v>
      </x:c>
      <x:c r="J247" s="38" t="n">
        <x:v>40</x:v>
      </x:c>
      <x:c r="K247" s="38" t="n">
        <x:v>12</x:v>
      </x:c>
      <x:c r="L247" s="38" t="n">
        <x:v>0</x:v>
      </x:c>
      <x:c r="M247" s="38" t="n"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Flames；攻击2格；商店关系保留来源节点后补足8店。</x:v>
      </x:c>
      <x:c r="S247" s="38" t="n">
        <x:v>5</x:v>
      </x:c>
      <x:c r="T247" s="38" t="n">
        <x:v>2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133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night_base, elem_火, elem_水, elem_雷, role_控制, elite_high, tier_pT1, role_远点压制</x:v>
      </x:c>
      <x:c r="I248" s="38" t="n">
        <x:v>8</x:v>
      </x:c>
      <x:c r="J248" s="38" t="n">
        <x:v>46</x:v>
      </x:c>
      <x:c r="K248" s="38" t="n">
        <x:v>12</x:v>
      </x:c>
      <x:c r="L248" s="38" t="n">
        <x:v>4</x:v>
      </x:c>
      <x:c r="M248" s="38" t="n"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Wind；攻击2格；商店关系保留来源节点后补足8店。</x:v>
      </x:c>
      <x:c r="S248" s="38" t="n">
        <x:v>3</x:v>
      </x:c>
      <x:c r="T248" s="38" t="n">
        <x:v>2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133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night_base, elem_火, elem_水, elem_雷, role_召唤, role_机动, tier_pT2, role_机动压制</x:v>
      </x:c>
      <x:c r="I249" s="38" t="n">
        <x:v>8</x:v>
      </x:c>
      <x:c r="J249" s="38" t="n">
        <x:v>54</x:v>
      </x:c>
      <x:c r="K249" s="38" t="n">
        <x:v>12</x:v>
      </x:c>
      <x:c r="L249" s="38" t="n">
        <x:v>10</x:v>
      </x:c>
      <x:c r="M249" s="38" t="n"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Corners；攻击2格；商店关系保留来源节点后补足8店。</x:v>
      </x:c>
      <x:c r="S249" s="38" t="n">
        <x:v>3</x:v>
      </x:c>
      <x:c r="T249" s="38" t="n">
        <x:v>2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136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night_base, elem_水, elem_冰, elem_暗, role_召唤, role_输出, tier_pT3, role_风系牵制</x:v>
      </x:c>
      <x:c r="I250" s="38" t="n">
        <x:v>8</x:v>
      </x:c>
      <x:c r="J250" s="38" t="n">
        <x:v>64</x:v>
      </x:c>
      <x:c r="K250" s="38" t="n">
        <x:v>36</x:v>
      </x:c>
      <x:c r="L250" s="38" t="n">
        <x:v>0</x:v>
      </x:c>
      <x:c r="M250" s="38" t="n"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confirmed；来源=Sharpshooter；攻击3格；商店关系保留来源节点后补足8店。</x:v>
      </x:c>
      <x:c r="S250" s="38" t="n">
        <x:v>3</x:v>
      </x:c>
      <x:c r="T250" s="38" t="n">
        <x:v>3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133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night_base, elem_火, elem_水, elem_雷, elem_龙, role_召唤, role_坦克, role_抗压承伤</x:v>
      </x:c>
      <x:c r="I251" s="38" t="n">
        <x:v>8</x:v>
      </x:c>
      <x:c r="J251" s="38" t="n">
        <x:v>44</x:v>
      </x:c>
      <x:c r="K251" s="38" t="n">
        <x:v>14</x:v>
      </x:c>
      <x:c r="L251" s="38" t="n">
        <x:v>0</x:v>
      </x:c>
      <x:c r="M251" s="38" t="n"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confirmed；来源=Shatter；攻击2格；商店关系保留来源节点后补足8店。</x:v>
      </x:c>
      <x:c r="S251" s="38" t="n">
        <x:v>4</x:v>
      </x:c>
      <x:c r="T251" s="38" t="n">
        <x:v>2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130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night_base, elem_水, elem_雷, elem_无, role_召唤, role_经济, role_机动, role_重甲抗压</x:v>
      </x:c>
      <x:c r="I252" s="38" t="n">
        <x:v>8</x:v>
      </x:c>
      <x:c r="J252" s="38" t="n">
        <x:v>66</x:v>
      </x:c>
      <x:c r="K252" s="38" t="n">
        <x:v>18</x:v>
      </x:c>
      <x:c r="L252" s="38" t="n">
        <x:v>14</x:v>
      </x:c>
      <x:c r="M252" s="38" t="n"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Bash；攻击2格；商店关系保留来源节点后补足8店。</x:v>
      </x:c>
      <x:c r="S252" s="38" t="n">
        <x:v>3</x:v>
      </x:c>
      <x:c r="T252" s="38" t="n">
        <x:v>2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130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night_base, elem_火, elem_水, elem_雷, elem_龙, role_控制, role_治疗, role_经济</x:v>
      </x:c>
      <x:c r="I253" s="38" t="n">
        <x:v>8</x:v>
      </x:c>
      <x:c r="J253" s="38" t="n">
        <x:v>56</x:v>
      </x:c>
      <x:c r="K253" s="38" t="n">
        <x:v>20</x:v>
      </x:c>
      <x:c r="L253" s="38" t="n">
        <x:v>0</x:v>
      </x:c>
      <x:c r="M253" s="38" t="n"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Burn；攻击2格；商店关系保留来源节点后补足8店。</x:v>
      </x:c>
      <x:c r="S253" s="38" t="n">
        <x:v>4</x:v>
      </x:c>
      <x:c r="T253" s="38" t="n">
        <x:v>2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133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night_base, elem_火, elem_水, elem_雷, role_召唤, role_输出, tier_pT1, role_远点压制</x:v>
      </x:c>
      <x:c r="I254" s="38" t="n">
        <x:v>8</x:v>
      </x:c>
      <x:c r="J254" s="38" t="n">
        <x:v>44</x:v>
      </x:c>
      <x:c r="K254" s="38" t="n">
        <x:v>14</x:v>
      </x:c>
      <x:c r="L254" s="38" t="n">
        <x:v>0</x:v>
      </x:c>
      <x:c r="M254" s="38" t="n"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Steady；攻击2格；商店关系保留来源节点后补足8店。</x:v>
      </x:c>
      <x:c r="S254" s="38" t="n">
        <x:v>4</x:v>
      </x:c>
      <x:c r="T254" s="38" t="n">
        <x:v>2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130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night_base, elem_水, elem_雷, role_控制, role_输出, role_经济, tier_pT1, role_远点压制</x:v>
      </x:c>
      <x:c r="I255" s="38" t="n">
        <x:v>8</x:v>
      </x:c>
      <x:c r="J255" s="38" t="n">
        <x:v>56</x:v>
      </x:c>
      <x:c r="K255" s="38" t="n">
        <x:v>20</x:v>
      </x:c>
      <x:c r="L255" s="38" t="n">
        <x:v>0</x:v>
      </x:c>
      <x:c r="M255" s="38" t="n"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Burn；攻击2格；商店关系保留来源节点后补足8店。</x:v>
      </x:c>
      <x:c r="S255" s="38" t="n">
        <x:v>4</x:v>
      </x:c>
      <x:c r="T255" s="38" t="n">
        <x:v>2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133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night_base, elem_火, elem_水, elem_雷, elem_冰, elem_龙, role_输出, role_经济</x:v>
      </x:c>
      <x:c r="I256" s="38" t="n">
        <x:v>8</x:v>
      </x:c>
      <x:c r="J256" s="38" t="n">
        <x:v>44</x:v>
      </x:c>
      <x:c r="K256" s="38" t="n">
        <x:v>14</x:v>
      </x:c>
      <x:c r="L256" s="38" t="n">
        <x:v>0</x:v>
      </x:c>
      <x:c r="M256" s="38" t="n"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Targets；攻击2格；商店关系保留来源节点后补足8店。</x:v>
      </x:c>
      <x:c r="S256" s="38" t="n">
        <x:v>4</x:v>
      </x:c>
      <x:c r="T256" s="38" t="n">
        <x:v>2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133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night_base, elem_火, elem_水, elem_雷, elem_冰, role_召唤, role_经济, special_merchant</x:v>
      </x:c>
      <x:c r="I257" s="38" t="n">
        <x:v>8</x:v>
      </x:c>
      <x:c r="J257" s="38" t="n">
        <x:v>40</x:v>
      </x:c>
      <x:c r="K257" s="38" t="n">
        <x:v>12</x:v>
      </x:c>
      <x:c r="L257" s="38" t="n">
        <x:v>0</x:v>
      </x:c>
      <x:c r="M257" s="38" t="n"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Acceleration；攻击2格；商店关系保留来源节点后补足8店。</x:v>
      </x:c>
      <x:c r="S257" s="38" t="n">
        <x:v>5</x:v>
      </x:c>
      <x:c r="T257" s="38" t="n">
        <x:v>2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133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night_base, elem_火, elem_水, elem_草, elem_雷, role_召唤, special_merchant, role_抗压承伤</x:v>
      </x:c>
      <x:c r="I258" s="38" t="n">
        <x:v>8</x:v>
      </x:c>
      <x:c r="J258" s="38" t="n">
        <x:v>40</x:v>
      </x:c>
      <x:c r="K258" s="38" t="n">
        <x:v>20</x:v>
      </x:c>
      <x:c r="L258" s="38" t="n">
        <x:v>0</x:v>
      </x:c>
      <x:c r="M258" s="38" t="n"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confirmed；来源=Steelstorm；攻击2格；商店关系保留来源节点后补足8店。</x:v>
      </x:c>
      <x:c r="S258" s="38" t="n">
        <x:v>3</x:v>
      </x:c>
      <x:c r="T258" s="38" t="n">
        <x:v>2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133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night_base, elem_火, elem_水, elem_雷, elem_无, role_输出, role_机动, role_机动压制</x:v>
      </x:c>
      <x:c r="I259" s="38" t="n">
        <x:v>8</x:v>
      </x:c>
      <x:c r="J259" s="38" t="n">
        <x:v>46</x:v>
      </x:c>
      <x:c r="K259" s="38" t="n">
        <x:v>12</x:v>
      </x:c>
      <x:c r="L259" s="38" t="n">
        <x:v>4</x:v>
      </x:c>
      <x:c r="M259" s="38" t="n"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That!；攻击3格；商店关系保留来源节点后补足8店。</x:v>
      </x:c>
      <x:c r="S259" s="38" t="n">
        <x:v>3</x:v>
      </x:c>
      <x:c r="T259" s="38" t="n">
        <x:v>2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133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night_base, elem_火, elem_水, elem_雷, role_召唤, role_经济, special_merchant, role_抗压承伤</x:v>
      </x:c>
      <x:c r="I260" s="38" t="n">
        <x:v>8</x:v>
      </x:c>
      <x:c r="J260" s="38" t="n">
        <x:v>40</x:v>
      </x:c>
      <x:c r="K260" s="38" t="n">
        <x:v>12</x:v>
      </x:c>
      <x:c r="L260" s="38" t="n">
        <x:v>0</x:v>
      </x:c>
      <x:c r="M260" s="38" t="n"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Weapon；攻击2格；商店关系保留来源节点后补足8店。</x:v>
      </x:c>
      <x:c r="S260" s="38" t="n">
        <x:v>5</x:v>
      </x:c>
      <x:c r="T260" s="38" t="n">
        <x:v>2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127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night_base, elem_火, elem_水, elem_雷, elem_地, role_召唤, role_治疗, tier_pT2</x:v>
      </x:c>
      <x:c r="I261" s="38" t="n">
        <x:v>8</x:v>
      </x:c>
      <x:c r="J261" s="38" t="n">
        <x:v>28</x:v>
      </x:c>
      <x:c r="K261" s="38" t="n">
        <x:v>12</x:v>
      </x:c>
      <x:c r="L261" s="38" t="n">
        <x:v>0</x:v>
      </x:c>
      <x:c r="M261" s="38" t="n"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confirmed；来源=Strength；攻击1格；商店关系保留来源节点后补足8店。</x:v>
      </x:c>
      <x:c r="S261" s="38" t="n">
        <x:v>3</x:v>
      </x:c>
      <x:c r="T261" s="38" t="n">
        <x:v>1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133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night_base, elem_火, elem_水, elem_雷, elem_冰, elem_龙, role_坦克, role_经济</x:v>
      </x:c>
      <x:c r="I262" s="38" t="n">
        <x:v>8</x:v>
      </x:c>
      <x:c r="J262" s="38" t="n">
        <x:v>44</x:v>
      </x:c>
      <x:c r="K262" s="38" t="n">
        <x:v>14</x:v>
      </x:c>
      <x:c r="L262" s="38" t="n">
        <x:v>0</x:v>
      </x:c>
      <x:c r="M262" s="38" t="n"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Strike；攻击2格；商店关系保留来源节点后补足8店。</x:v>
      </x:c>
      <x:c r="S262" s="38" t="n">
        <x:v>4</x:v>
      </x:c>
      <x:c r="T262" s="38" t="n">
        <x:v>2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133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night_base, elem_火, elem_水, elem_草, elem_雷, elem_龙, role_召唤, tier_pT2</x:v>
      </x:c>
      <x:c r="I263" s="38" t="n">
        <x:v>8</x:v>
      </x:c>
      <x:c r="J263" s="38" t="n">
        <x:v>54</x:v>
      </x:c>
      <x:c r="K263" s="38" t="n">
        <x:v>12</x:v>
      </x:c>
      <x:c r="L263" s="38" t="n">
        <x:v>10</x:v>
      </x:c>
      <x:c r="M263" s="38" t="n"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confirmed；来源=Submerged；攻击2格；商店关系保留来源节点后补足8店。</x:v>
      </x:c>
      <x:c r="S263" s="38" t="n">
        <x:v>3</x:v>
      </x:c>
      <x:c r="T263" s="38" t="n">
        <x:v>2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127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night_base, elem_火, elem_水, elem_雷, elem_暗, elem_无, role_机动, role_机动压制</x:v>
      </x:c>
      <x:c r="I264" s="38" t="n">
        <x:v>8</x:v>
      </x:c>
      <x:c r="J264" s="38" t="n">
        <x:v>28</x:v>
      </x:c>
      <x:c r="K264" s="38" t="n">
        <x:v>12</x:v>
      </x:c>
      <x:c r="L264" s="38" t="n">
        <x:v>0</x:v>
      </x:c>
      <x:c r="M264" s="38" t="n"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Cache；攻击1格；商店关系保留来源节点后补足8店。</x:v>
      </x:c>
      <x:c r="S264" s="38" t="n">
        <x:v>3</x:v>
      </x:c>
      <x:c r="T264" s="38" t="n">
        <x:v>1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133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night_base, elem_火, elem_水, elem_雷, role_召唤, role_坦克, tier_pT2, role_风系铺场</x:v>
      </x:c>
      <x:c r="I265" s="38" t="n">
        <x:v>8</x:v>
      </x:c>
      <x:c r="J265" s="38" t="n">
        <x:v>40</x:v>
      </x:c>
      <x:c r="K265" s="38" t="n">
        <x:v>20</x:v>
      </x:c>
      <x:c r="L265" s="38" t="n">
        <x:v>0</x:v>
      </x:c>
      <x:c r="M265" s="38" t="n"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confirmed；来源=Tempering；攻击2格；商店关系保留来源节点后补足8店。</x:v>
      </x:c>
      <x:c r="S265" s="38" t="n">
        <x:v>3</x:v>
      </x:c>
      <x:c r="T265" s="38" t="n">
        <x:v>2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130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night_base, elem_水, elem_草, elem_雷, role_召唤, role_输出, role_经济, role_远点压制</x:v>
      </x:c>
      <x:c r="I266" s="38" t="n">
        <x:v>8</x:v>
      </x:c>
      <x:c r="J266" s="38" t="n">
        <x:v>56</x:v>
      </x:c>
      <x:c r="K266" s="38" t="n">
        <x:v>20</x:v>
      </x:c>
      <x:c r="L266" s="38" t="n">
        <x:v>0</x:v>
      </x:c>
      <x:c r="M266" s="38" t="n"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Strike；攻击2格；商店关系保留来源节点后补足8店。</x:v>
      </x:c>
      <x:c r="S266" s="38" t="n">
        <x:v>4</x:v>
      </x:c>
      <x:c r="T266" s="38" t="n">
        <x:v>2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133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night_base, elem_火, elem_水, elem_草, elem_雷, elem_无, role_召唤, role_机动</x:v>
      </x:c>
      <x:c r="I267" s="38" t="n">
        <x:v>8</x:v>
      </x:c>
      <x:c r="J267" s="38" t="n">
        <x:v>40</x:v>
      </x:c>
      <x:c r="K267" s="38" t="n">
        <x:v>20</x:v>
      </x:c>
      <x:c r="L267" s="38" t="n">
        <x:v>0</x:v>
      </x:c>
      <x:c r="M267" s="38" t="n"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Defense；攻击2格；商店关系保留来源节点后补足8店。</x:v>
      </x:c>
      <x:c r="S267" s="38" t="n">
        <x:v>3</x:v>
      </x:c>
      <x:c r="T267" s="38" t="n">
        <x:v>2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130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night_base, elem_火, elem_水, elem_雷, elem_龙, role_经济, role_召唤铺场, role_火系压制</x:v>
      </x:c>
      <x:c r="I268" s="38" t="n">
        <x:v>8</x:v>
      </x:c>
      <x:c r="J268" s="38" t="n">
        <x:v>52</x:v>
      </x:c>
      <x:c r="K268" s="38" t="n">
        <x:v>18</x:v>
      </x:c>
      <x:c r="L268" s="38" t="n">
        <x:v>0</x:v>
      </x:c>
      <x:c r="M268" s="38" t="n"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Dancer；攻击3格；商店关系保留来源节点后补足8店。</x:v>
      </x:c>
      <x:c r="S268" s="38" t="n">
        <x:v>5</x:v>
      </x:c>
      <x:c r="T268" s="38" t="n">
        <x:v>2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127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night_base, elem_火, elem_水, elem_雷, elem_无, role_机动, tier_pT2, role_重甲抗压</x:v>
      </x:c>
      <x:c r="I269" s="38" t="n">
        <x:v>8</x:v>
      </x:c>
      <x:c r="J269" s="38" t="n">
        <x:v>42</x:v>
      </x:c>
      <x:c r="K269" s="38" t="n">
        <x:v>6</x:v>
      </x:c>
      <x:c r="L269" s="38" t="n">
        <x:v>6</x:v>
      </x:c>
      <x:c r="M269" s="38" t="n"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confirmed；来源=Toughness；攻击1格；商店关系保留来源节点后补足8店。</x:v>
      </x:c>
      <x:c r="S269" s="38" t="n">
        <x:v>3</x:v>
      </x:c>
      <x:c r="T269" s="38" t="n">
        <x:v>1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133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night_base, elem_火, elem_水, elem_草, elem_雷, role_控制, role_治疗, role_远点压制</x:v>
      </x:c>
      <x:c r="I270" s="38" t="n">
        <x:v>8</x:v>
      </x:c>
      <x:c r="J270" s="38" t="n">
        <x:v>44</x:v>
      </x:c>
      <x:c r="K270" s="38" t="n">
        <x:v>14</x:v>
      </x:c>
      <x:c r="L270" s="38" t="n">
        <x:v>0</x:v>
      </x:c>
      <x:c r="M270" s="38" t="n"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Flame；攻击2格；商店关系保留来源节点后补足8店。</x:v>
      </x:c>
      <x:c r="S270" s="38" t="n">
        <x:v>4</x:v>
      </x:c>
      <x:c r="T270" s="38" t="n">
        <x:v>2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133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night_base, elem_火, elem_水, elem_雷, role_召唤, role_治疗, role_机动, role_机动压制</x:v>
      </x:c>
      <x:c r="I271" s="38" t="n">
        <x:v>8</x:v>
      </x:c>
      <x:c r="J271" s="38" t="n">
        <x:v>44</x:v>
      </x:c>
      <x:c r="K271" s="38" t="n">
        <x:v>14</x:v>
      </x:c>
      <x:c r="L271" s="38" t="n">
        <x:v>0</x:v>
      </x:c>
      <x:c r="M271" s="38" t="n"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Weapons；攻击2格；商店关系保留来源节点后补足8店。</x:v>
      </x:c>
      <x:c r="S271" s="38" t="n">
        <x:v>4</x:v>
      </x:c>
      <x:c r="T271" s="38" t="n">
        <x:v>2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133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night_base, elem_火, elem_水, elem_雷, elem_龙, role_治疗, role_经济, role_抗压承伤</x:v>
      </x:c>
      <x:c r="I272" s="38" t="n">
        <x:v>8</x:v>
      </x:c>
      <x:c r="J272" s="38" t="n">
        <x:v>44</x:v>
      </x:c>
      <x:c r="K272" s="38" t="n">
        <x:v>14</x:v>
      </x:c>
      <x:c r="L272" s="38" t="n">
        <x:v>0</x:v>
      </x:c>
      <x:c r="M272" s="38" t="n"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confirmed；来源=Toxicity；攻击2格；商店关系保留来源节点后补足8店。</x:v>
      </x:c>
      <x:c r="S272" s="38" t="n">
        <x:v>4</x:v>
      </x:c>
      <x:c r="T272" s="38" t="n">
        <x:v>2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133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night_base, elem_火, elem_水, elem_雷, role_召唤, role_治疗, role_经济, special_merchant</x:v>
      </x:c>
      <x:c r="I273" s="38" t="n">
        <x:v>8</x:v>
      </x:c>
      <x:c r="J273" s="38" t="n">
        <x:v>44</x:v>
      </x:c>
      <x:c r="K273" s="38" t="n">
        <x:v>14</x:v>
      </x:c>
      <x:c r="L273" s="38" t="n">
        <x:v>0</x:v>
      </x:c>
      <x:c r="M273" s="38" t="n"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Injector；攻击2格；商店关系保留来源节点后补足8店。</x:v>
      </x:c>
      <x:c r="S273" s="38" t="n">
        <x:v>4</x:v>
      </x:c>
      <x:c r="T273" s="38" t="n">
        <x:v>2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133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night_base, elem_火, elem_水, elem_雷, elem_冰, role_控制, special_merchant, role_抗压承伤</x:v>
      </x:c>
      <x:c r="I274" s="38" t="n">
        <x:v>8</x:v>
      </x:c>
      <x:c r="J274" s="38" t="n">
        <x:v>40</x:v>
      </x:c>
      <x:c r="K274" s="38" t="n">
        <x:v>20</x:v>
      </x:c>
      <x:c r="L274" s="38" t="n">
        <x:v>0</x:v>
      </x:c>
      <x:c r="M274" s="38" t="n"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Fire；攻击2格；商店关系保留来源节点后补足8店。</x:v>
      </x:c>
      <x:c r="S274" s="38" t="n">
        <x:v>3</x:v>
      </x:c>
      <x:c r="T274" s="38" t="n">
        <x:v>2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130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night_base, elem_水, elem_雷, role_召唤, role_治疗, role_输出, role_经济, tier_pT3</x:v>
      </x:c>
      <x:c r="I275" s="38" t="n">
        <x:v>8</x:v>
      </x:c>
      <x:c r="J275" s="38" t="n">
        <x:v>56</x:v>
      </x:c>
      <x:c r="K275" s="38" t="n">
        <x:v>20</x:v>
      </x:c>
      <x:c r="L275" s="38" t="n">
        <x:v>0</x:v>
      </x:c>
      <x:c r="M275" s="38" t="n"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Blade；攻击2格；商店关系保留来源节点后补足8店。</x:v>
      </x:c>
      <x:c r="S275" s="38" t="n">
        <x:v>4</x:v>
      </x:c>
      <x:c r="T275" s="38" t="n">
        <x:v>2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136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night_base, elem_水, elem_草, role_控制, role_治疗, elite_high, tier_pT1, role_远点压制</x:v>
      </x:c>
      <x:c r="I276" s="38" t="n">
        <x:v>8</x:v>
      </x:c>
      <x:c r="J276" s="38" t="n">
        <x:v>70</x:v>
      </x:c>
      <x:c r="K276" s="38" t="n">
        <x:v>24</x:v>
      </x:c>
      <x:c r="L276" s="38" t="n">
        <x:v>8</x:v>
      </x:c>
      <x:c r="M276" s="38" t="n"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Vitality；攻击2格；商店关系保留来源节点后补足8店。</x:v>
      </x:c>
      <x:c r="S276" s="38" t="n">
        <x:v>3</x:v>
      </x:c>
      <x:c r="T276" s="38" t="n">
        <x:v>3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133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night_base, elem_火, elem_水, elem_雷, role_控制, role_输出, tier_pT3, role_风系牵制</x:v>
      </x:c>
      <x:c r="I277" s="38" t="n">
        <x:v>8</x:v>
      </x:c>
      <x:c r="J277" s="38" t="n">
        <x:v>48</x:v>
      </x:c>
      <x:c r="K277" s="38" t="n">
        <x:v>12</x:v>
      </x:c>
      <x:c r="L277" s="38" t="n">
        <x:v>0</x:v>
      </x:c>
      <x:c r="M277" s="38" t="n"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Hugs；攻击2格；商店关系保留来源节点后补足8店。</x:v>
      </x:c>
      <x:c r="S277" s="38" t="n">
        <x:v>3</x:v>
      </x:c>
      <x:c r="T277" s="38" t="n">
        <x:v>2</x:v>
      </x:c>
    </x:row>
    <x:row r="278">
      <x:c r="A278" s="38" t="str">
        <x:v>pal_277</x:v>
      </x:c>
      <x:c r="B278" s="38" t="str">
        <x:v>澜蚌灵</x:v>
      </x:c>
      <x:c r="C278" s="38" t="str">
        <x:v>水、龙</x:v>
      </x:c>
      <x:c r="D278" s="127" t="str">
        <x:v>青铜</x:v>
      </x:c>
      <x:c r="E278" s="38" t="str">
        <x:v>治疗</x:v>
      </x:c>
      <x:c r="F278" s="38" t="str">
        <x:v>一格</x:v>
      </x:c>
      <x:c r="G278" s="38" t="str">
        <x:v>bz_van_277</x:v>
      </x:c>
      <x:c r="H278" s="38" t="str">
        <x:v>night_base, elem_火, elem_水, elem_草, elem_地, elem_暗, elem_龙, elem_无, role_召唤, role_火系压制</x:v>
      </x:c>
      <x:c r="I278" s="38" t="n">
        <x:v>10</x:v>
      </x:c>
      <x:c r="J278" s="38" t="n">
        <x:v>28</x:v>
      </x:c>
      <x:c r="K278" s="38" t="n">
        <x:v>8</x:v>
      </x:c>
      <x:c r="L278" s="38" t="n">
        <x:v>2</x:v>
      </x:c>
      <x:c r="M278" s="38" t="n">
        <x:v>3</x:v>
      </x:c>
      <x:c r="N278" s="38" t="n">
        <x:v>1</x:v>
      </x:c>
      <x:c r="O278" s="38" t="str">
        <x:v>mech_shield_regen</x:v>
      </x:c>
      <x:c r="P278" s="38" t="str">
        <x:v>04 形状04</x:v>
      </x:c>
      <x:c r="Q278" s="38" t="str">
        <x:v>Restorative</x:v>
      </x:c>
      <x:c r="R278" s="38" t="str">
        <x:v>item_gap derived_gap_profile；来源=Vanessa Query Gap 青铜 01；攻击1格；商店关系保留来源节点后补足8店。</x:v>
      </x:c>
      <x:c r="S278" s="38" t="n">
        <x:v>3</x:v>
      </x:c>
      <x:c r="T278" s="38" t="n">
        <x:v>1</x:v>
      </x:c>
    </x:row>
    <x:row r="279">
      <x:c r="A279" s="38" t="str">
        <x:v>pal_278</x:v>
      </x:c>
      <x:c r="B279" s="38" t="str">
        <x:v>岩犀仔</x:v>
      </x:c>
      <x:c r="C279" s="38" t="str">
        <x:v>地</x:v>
      </x:c>
      <x:c r="D279" s="127" t="str">
        <x:v>青铜</x:v>
      </x:c>
      <x:c r="E279" s="38" t="str">
        <x:v>坦克</x:v>
      </x:c>
      <x:c r="F279" s="38" t="str">
        <x:v>两格</x:v>
      </x:c>
      <x:c r="G279" s="38" t="str">
        <x:v>bz_van_278</x:v>
      </x:c>
      <x:c r="H279" s="38" t="str">
        <x:v>night_base, elem_火, elem_水, elem_雷, elem_冰, elem_地, elem_暗, role_控制, special_merchant</x:v>
      </x:c>
      <x:c r="I279" s="38" t="n">
        <x:v>9</x:v>
      </x:c>
      <x:c r="J279" s="38" t="n">
        <x:v>42</x:v>
      </x:c>
      <x:c r="K279" s="38" t="n">
        <x:v>6</x:v>
      </x:c>
      <x:c r="L279" s="38" t="n">
        <x:v>6</x:v>
      </x:c>
      <x:c r="M279" s="38" t="n">
        <x:v>3</x:v>
      </x:c>
      <x:c r="N279" s="38" t="n">
        <x:v>2</x:v>
      </x:c>
      <x:c r="O279" s="38" t="str">
        <x:v>mech_shield_flat</x:v>
      </x:c>
      <x:c r="P279" s="38" t="str">
        <x:v>07 形状07</x:v>
      </x:c>
      <x:c r="Q279" s="38" t="str">
        <x:v>Shielded</x:v>
      </x:c>
      <x:c r="R279" s="38" t="str">
        <x:v>item_gap derived_gap_profile；来源=Vanessa Query Gap 青铜 02；攻击2格；商店关系保留来源节点后补足8店。</x:v>
      </x:c>
      <x:c r="S279" s="38" t="n">
        <x:v>3</x:v>
      </x:c>
      <x:c r="T279" s="38" t="n">
        <x:v>1</x:v>
      </x:c>
    </x:row>
    <x:row r="280">
      <x:c r="A280" s="38" t="str">
        <x:v>pal_279</x:v>
      </x:c>
      <x:c r="B280" s="38" t="str">
        <x:v>凝隼兽</x:v>
      </x:c>
      <x:c r="C280" s="38" t="str">
        <x:v>冰</x:v>
      </x:c>
      <x:c r="D280" s="127" t="str">
        <x:v>青铜</x:v>
      </x:c>
      <x:c r="E280" s="38" t="str">
        <x:v>输出</x:v>
      </x:c>
      <x:c r="F280" s="38" t="str">
        <x:v>一格</x:v>
      </x:c>
      <x:c r="G280" s="38" t="str">
        <x:v>bz_van_279</x:v>
      </x:c>
      <x:c r="H280" s="38" t="str">
        <x:v>night_base, elem_火, elem_水, elem_草, elem_雷, elem_地, elem_龙, elem_无, role_召唤, role_风系铺场</x:v>
      </x:c>
      <x:c r="I280" s="38" t="n">
        <x:v>10</x:v>
      </x:c>
      <x:c r="J280" s="38" t="n">
        <x:v>22</x:v>
      </x:c>
      <x:c r="K280" s="38" t="n">
        <x:v>14</x:v>
      </x:c>
      <x:c r="L280" s="38" t="n">
        <x:v>0</x:v>
      </x:c>
      <x:c r="M280" s="38" t="n">
        <x:v>3</x:v>
      </x:c>
      <x:c r="N280" s="38" t="n">
        <x:v>1</x:v>
      </x:c>
      <x:c r="O280" s="38" t="str">
        <x:v>mech_grow_atk_each_round</x:v>
      </x:c>
      <x:c r="P280" s="38" t="str">
        <x:v>02 形状02</x:v>
      </x:c>
      <x:c r="Q280" s="38" t="str">
        <x:v>Deadly</x:v>
      </x:c>
      <x:c r="R280" s="38" t="str">
        <x:v>item_gap derived_gap_profile；来源=Vanessa Query Gap 青铜 03；攻击1格；商店关系保留来源节点后补足8店。</x:v>
      </x:c>
      <x:c r="S280" s="38" t="n">
        <x:v>3</x:v>
      </x:c>
      <x:c r="T280" s="38" t="n">
        <x:v>1</x:v>
      </x:c>
    </x:row>
    <x:row r="281">
      <x:c r="A281" s="38" t="str">
        <x:v>pal_280</x:v>
      </x:c>
      <x:c r="B281" s="38" t="str">
        <x:v>潮猿仔</x:v>
      </x:c>
      <x:c r="C281" s="38" t="str">
        <x:v>水</x:v>
      </x:c>
      <x:c r="D281" s="127" t="str">
        <x:v>青铜</x:v>
      </x:c>
      <x:c r="E281" s="38" t="str">
        <x:v>机动</x:v>
      </x:c>
      <x:c r="F281" s="38" t="str">
        <x:v>两格</x:v>
      </x:c>
      <x:c r="G281" s="38" t="str">
        <x:v>bz_van_280</x:v>
      </x:c>
      <x:c r="H281" s="38" t="str">
        <x:v>night_base, elem_火, elem_水, elem_冰, elem_地, elem_暗, elem_龙, role_控制, role_治疗, role_经济</x:v>
      </x:c>
      <x:c r="I281" s="38" t="n">
        <x:v>10</x:v>
      </x:c>
      <x:c r="J281" s="38" t="n">
        <x:v>28</x:v>
      </x:c>
      <x:c r="K281" s="38" t="n">
        <x:v>6</x:v>
      </x:c>
      <x:c r="L281" s="38" t="n">
        <x:v>0</x:v>
      </x:c>
      <x:c r="M281" s="38" t="n">
        <x:v>5</x:v>
      </x:c>
      <x:c r="N281" s="38" t="n">
        <x:v>3</x:v>
      </x:c>
      <x:c r="O281" s="38" t="str">
        <x:v>none</x:v>
      </x:c>
      <x:c r="P281" s="38" t="str">
        <x:v>15 形状15</x:v>
      </x:c>
      <x:c r="Q281" s="38" t="str">
        <x:v>Turbo</x:v>
      </x:c>
      <x:c r="R281" s="38" t="str">
        <x:v>item_gap derived_gap_profile；来源=Vanessa Query Gap 青铜 04；攻击3格；商店关系保留来源节点后补足8店。</x:v>
      </x:c>
      <x:c r="S281" s="38" t="n">
        <x:v>5</x:v>
      </x:c>
      <x:c r="T281" s="38" t="n">
        <x:v>1</x:v>
      </x:c>
    </x:row>
    <x:row r="282">
      <x:c r="A282" s="38" t="str">
        <x:v>pal_281</x:v>
      </x:c>
      <x:c r="B282" s="38" t="str">
        <x:v>渊隼兽</x:v>
      </x:c>
      <x:c r="C282" s="38" t="str">
        <x:v>水</x:v>
      </x:c>
      <x:c r="D282" s="127" t="str">
        <x:v>青铜</x:v>
      </x:c>
      <x:c r="E282" s="38" t="str">
        <x:v>输出</x:v>
      </x:c>
      <x:c r="F282" s="38" t="str">
        <x:v>一格</x:v>
      </x:c>
      <x:c r="G282" s="38" t="str">
        <x:v>bz_van_281</x:v>
      </x:c>
      <x:c r="H282" s="38" t="str">
        <x:v>night_base, elem_火, elem_水, elem_草, elem_雷, elem_地, elem_龙, elem_无, role_召唤, role_风系铺场</x:v>
      </x:c>
      <x:c r="I282" s="38" t="n">
        <x:v>10</x:v>
      </x:c>
      <x:c r="J282" s="38" t="n">
        <x:v>22</x:v>
      </x:c>
      <x:c r="K282" s="38" t="n">
        <x:v>14</x:v>
      </x:c>
      <x:c r="L282" s="38" t="n">
        <x:v>0</x:v>
      </x:c>
      <x:c r="M282" s="38" t="n">
        <x:v>3</x:v>
      </x:c>
      <x:c r="N282" s="38" t="n">
        <x:v>1</x:v>
      </x:c>
      <x:c r="O282" s="38" t="str">
        <x:v>mech_grow_atk_each_round</x:v>
      </x:c>
      <x:c r="P282" s="38" t="str">
        <x:v>04 形状04</x:v>
      </x:c>
      <x:c r="Q282" s="38" t="str">
        <x:v>Deadly</x:v>
      </x:c>
      <x:c r="R282" s="38" t="str">
        <x:v>item_gap derived_gap_profile；来源=Vanessa Query Gap 青铜 05；攻击1格；商店关系保留来源节点后补足8店。</x:v>
      </x:c>
      <x:c r="S282" s="38" t="n">
        <x:v>3</x:v>
      </x:c>
      <x:c r="T282" s="38" t="n">
        <x:v>1</x:v>
      </x:c>
    </x:row>
    <x:row r="283">
      <x:c r="A283" s="38" t="str">
        <x:v>pal_282</x:v>
      </x:c>
      <x:c r="B283" s="38" t="str">
        <x:v>震蛙童</x:v>
      </x:c>
      <x:c r="C283" s="38" t="str">
        <x:v>雷</x:v>
      </x:c>
      <x:c r="D283" s="127" t="str">
        <x:v>青铜</x:v>
      </x:c>
      <x:c r="E283" s="38" t="str">
        <x:v>控制</x:v>
      </x:c>
      <x:c r="F283" s="38" t="str">
        <x:v>一格</x:v>
      </x:c>
      <x:c r="G283" s="38" t="str">
        <x:v>bz_van_282</x:v>
      </x:c>
      <x:c r="H283" s="38" t="str">
        <x:v>night_base, elem_火, elem_水, elem_草, elem_地, elem_无, role_召唤, role_坦克, role_治疗, elite_high</x:v>
      </x:c>
      <x:c r="I283" s="38" t="n">
        <x:v>10</x:v>
      </x:c>
      <x:c r="J283" s="38" t="n">
        <x:v>26</x:v>
      </x:c>
      <x:c r="K283" s="38" t="n">
        <x:v>10</x:v>
      </x:c>
      <x:c r="L283" s="38" t="n">
        <x:v>0</x:v>
      </x:c>
      <x:c r="M283" s="38" t="n">
        <x:v>4</x:v>
      </x:c>
      <x:c r="N283" s="38" t="n">
        <x:v>2</x:v>
      </x:c>
      <x:c r="O283" s="38" t="str">
        <x:v>mech_counter_damage</x:v>
      </x:c>
      <x:c r="P283" s="38" t="str">
        <x:v>11 形状11</x:v>
      </x:c>
      <x:c r="Q283" s="38" t="str">
        <x:v>Icy</x:v>
      </x:c>
      <x:c r="R283" s="38" t="str">
        <x:v>item_gap derived_gap_profile；来源=Vanessa Query Gap 青铜 06；攻击2格；商店关系保留来源节点后补足8店。</x:v>
      </x:c>
      <x:c r="S283" s="38" t="n">
        <x:v>4</x:v>
      </x:c>
      <x:c r="T283" s="38" t="n">
        <x:v>1</x:v>
      </x:c>
    </x:row>
    <x:row r="284">
      <x:c r="A284" s="38" t="str">
        <x:v>pal_283</x:v>
      </x:c>
      <x:c r="B284" s="38" t="str">
        <x:v>鸣蟾仔</x:v>
      </x:c>
      <x:c r="C284" s="38" t="str">
        <x:v>雷、龙</x:v>
      </x:c>
      <x:c r="D284" s="127" t="str">
        <x:v>青铜</x:v>
      </x:c>
      <x:c r="E284" s="38" t="str">
        <x:v>召唤</x:v>
      </x:c>
      <x:c r="F284" s="38" t="str">
        <x:v>一格</x:v>
      </x:c>
      <x:c r="G284" s="38" t="str">
        <x:v>bz_van_283</x:v>
      </x:c>
      <x:c r="H284" s="38" t="str">
        <x:v>night_base, elem_火, elem_水, elem_草, elem_雷, elem_地, elem_无, role_召唤, role_输出, tier_pT2</x:v>
      </x:c>
      <x:c r="I284" s="38" t="n">
        <x:v>10</x:v>
      </x:c>
      <x:c r="J284" s="38" t="n">
        <x:v>30</x:v>
      </x:c>
      <x:c r="K284" s="38" t="n">
        <x:v>8</x:v>
      </x:c>
      <x:c r="L284" s="38" t="n">
        <x:v>0</x:v>
      </x:c>
      <x:c r="M284" s="38" t="n">
        <x:v>3</x:v>
      </x:c>
      <x:c r="N284" s="38" t="n">
        <x:v>2</x:v>
      </x:c>
      <x:c r="O284" s="38" t="str">
        <x:v>mech_grow_shield_each_round</x:v>
      </x:c>
      <x:c r="P284" s="38" t="str">
        <x:v>06 形状06</x:v>
      </x:c>
      <x:c r="Q284" s="38" t="str">
        <x:v>Deadly</x:v>
      </x:c>
      <x:c r="R284" s="38" t="str">
        <x:v>item_gap derived_gap_profile；来源=Vanessa Query Gap 青铜 07；攻击2格；商店关系保留来源节点后补足8店。</x:v>
      </x:c>
      <x:c r="S284" s="38" t="n">
        <x:v>3</x:v>
      </x:c>
      <x:c r="T284" s="38" t="n">
        <x:v>1</x:v>
      </x:c>
    </x:row>
    <x:row r="285">
      <x:c r="A285" s="38" t="str">
        <x:v>pal_284</x:v>
      </x:c>
      <x:c r="B285" s="38" t="str">
        <x:v>朱鲨童</x:v>
      </x:c>
      <x:c r="C285" s="38" t="str">
        <x:v>火、雷</x:v>
      </x:c>
      <x:c r="D285" s="127" t="str">
        <x:v>青铜</x:v>
      </x:c>
      <x:c r="E285" s="38" t="str">
        <x:v>输出</x:v>
      </x:c>
      <x:c r="F285" s="38" t="str">
        <x:v>两格</x:v>
      </x:c>
      <x:c r="G285" s="38" t="str">
        <x:v>bz_van_284</x:v>
      </x:c>
      <x:c r="H285" s="38" t="str">
        <x:v>night_base, elem_火, elem_水, elem_雷, elem_冰, elem_地, elem_无, role_坦克, role_控制, role_机动</x:v>
      </x:c>
      <x:c r="I285" s="38" t="n">
        <x:v>10</x:v>
      </x:c>
      <x:c r="J285" s="38" t="n">
        <x:v>28</x:v>
      </x:c>
      <x:c r="K285" s="38" t="n">
        <x:v>12</x:v>
      </x:c>
      <x:c r="L285" s="38" t="n">
        <x:v>0</x:v>
      </x:c>
      <x:c r="M285" s="38" t="n">
        <x:v>3</x:v>
      </x:c>
      <x:c r="N285" s="38" t="n">
        <x:v>1</x:v>
      </x:c>
      <x:c r="O285" s="38" t="str">
        <x:v>mech_fire_ignite_bonus</x:v>
      </x:c>
      <x:c r="P285" s="38" t="str">
        <x:v>01 形状01</x:v>
      </x:c>
      <x:c r="Q285" s="38" t="str">
        <x:v>Fiery</x:v>
      </x:c>
      <x:c r="R285" s="38" t="str">
        <x:v>item_gap derived_gap_profile；来源=Vanessa Query Gap 青铜 08；攻击1格；商店关系保留来源节点后补足8店。</x:v>
      </x:c>
      <x:c r="S285" s="38" t="n">
        <x:v>3</x:v>
      </x:c>
      <x:c r="T285" s="38" t="n">
        <x:v>1</x:v>
      </x:c>
    </x:row>
    <x:row r="286">
      <x:c r="A286" s="38" t="str">
        <x:v>pal_285</x:v>
      </x:c>
      <x:c r="B286" s="38" t="str">
        <x:v>翠蝎灵</x:v>
      </x:c>
      <x:c r="C286" s="38" t="str">
        <x:v>草、水</x:v>
      </x:c>
      <x:c r="D286" s="127" t="str">
        <x:v>青铜</x:v>
      </x:c>
      <x:c r="E286" s="38" t="str">
        <x:v>控制</x:v>
      </x:c>
      <x:c r="F286" s="38" t="str">
        <x:v>一格</x:v>
      </x:c>
      <x:c r="G286" s="38" t="str">
        <x:v>bz_van_285</x:v>
      </x:c>
      <x:c r="H286" s="38" t="str">
        <x:v>night_base, elem_火, elem_水, elem_暗, elem_龙, role_召唤, role_治疗, role_经济, tier_pT2, role_重甲抗压</x:v>
      </x:c>
      <x:c r="I286" s="38" t="n">
        <x:v>10</x:v>
      </x:c>
      <x:c r="J286" s="38" t="n">
        <x:v>26</x:v>
      </x:c>
      <x:c r="K286" s="38" t="n">
        <x:v>10</x:v>
      </x:c>
      <x:c r="L286" s="38" t="n">
        <x:v>0</x:v>
      </x:c>
      <x:c r="M286" s="38" t="n">
        <x:v>4</x:v>
      </x:c>
      <x:c r="N286" s="38" t="n">
        <x:v>2</x:v>
      </x:c>
      <x:c r="O286" s="38" t="str">
        <x:v>mech_counter_damage</x:v>
      </x:c>
      <x:c r="P286" s="38" t="str">
        <x:v>12 形状12</x:v>
      </x:c>
      <x:c r="Q286" s="38" t="str">
        <x:v>Toxic</x:v>
      </x:c>
      <x:c r="R286" s="38" t="str">
        <x:v>item_gap derived_gap_profile；来源=Vanessa Query Gap 青铜 09；攻击2格；商店关系保留来源节点后补足8店。</x:v>
      </x:c>
      <x:c r="S286" s="38" t="n">
        <x:v>4</x:v>
      </x:c>
      <x:c r="T286" s="38" t="n">
        <x:v>1</x:v>
      </x:c>
    </x:row>
    <x:row r="287">
      <x:c r="A287" s="38" t="str">
        <x:v>pal_286</x:v>
      </x:c>
      <x:c r="B287" s="38" t="str">
        <x:v>森狮童</x:v>
      </x:c>
      <x:c r="C287" s="38" t="str">
        <x:v>草、水</x:v>
      </x:c>
      <x:c r="D287" s="127" t="str">
        <x:v>青铜</x:v>
      </x:c>
      <x:c r="E287" s="38" t="str">
        <x:v>输出</x:v>
      </x:c>
      <x:c r="F287" s="38" t="str">
        <x:v>一格</x:v>
      </x:c>
      <x:c r="G287" s="38" t="str">
        <x:v>bz_van_286</x:v>
      </x:c>
      <x:c r="H287" s="38" t="str">
        <x:v>night_base, elem_火, elem_水, elem_草, elem_地, elem_暗, elem_龙, role_召唤, role_输出, tier_pT1</x:v>
      </x:c>
      <x:c r="I287" s="38" t="n">
        <x:v>10</x:v>
      </x:c>
      <x:c r="J287" s="38" t="n">
        <x:v>22</x:v>
      </x:c>
      <x:c r="K287" s="38" t="n">
        <x:v>14</x:v>
      </x:c>
      <x:c r="L287" s="38" t="n">
        <x:v>0</x:v>
      </x:c>
      <x:c r="M287" s="38" t="n">
        <x:v>3</x:v>
      </x:c>
      <x:c r="N287" s="38" t="n">
        <x:v>1</x:v>
      </x:c>
      <x:c r="O287" s="38" t="str">
        <x:v>mech_grow_atk_each_round</x:v>
      </x:c>
      <x:c r="P287" s="38" t="str">
        <x:v>02 形状02</x:v>
      </x:c>
      <x:c r="Q287" s="38" t="str">
        <x:v>Deadly</x:v>
      </x:c>
      <x:c r="R287" s="38" t="str">
        <x:v>item_gap derived_gap_profile；来源=Vanessa Query Gap 青铜 10；攻击1格；商店关系保留来源节点后补足8店。</x:v>
      </x:c>
      <x:c r="S287" s="38" t="n">
        <x:v>3</x:v>
      </x:c>
      <x:c r="T287" s="38" t="n">
        <x:v>1</x:v>
      </x:c>
    </x:row>
    <x:row r="288">
      <x:c r="A288" s="38" t="str">
        <x:v>pal_287</x:v>
      </x:c>
      <x:c r="B288" s="38" t="str">
        <x:v>云狐兽</x:v>
      </x:c>
      <x:c r="C288" s="38" t="str">
        <x:v>无</x:v>
      </x:c>
      <x:c r="D288" s="127" t="str">
        <x:v>青铜</x:v>
      </x:c>
      <x:c r="E288" s="38" t="str">
        <x:v>机动</x:v>
      </x:c>
      <x:c r="F288" s="38" t="str">
        <x:v>一格</x:v>
      </x:c>
      <x:c r="G288" s="38" t="str">
        <x:v>bz_van_287</x:v>
      </x:c>
      <x:c r="H288" s="38" t="str">
        <x:v>night_base, elem_火, elem_水, elem_草, elem_雷, elem_地, elem_无, role_召唤, role_治疗, role_经济</x:v>
      </x:c>
      <x:c r="I288" s="38" t="n">
        <x:v>10</x:v>
      </x:c>
      <x:c r="J288" s="38" t="n">
        <x:v>22</x:v>
      </x:c>
      <x:c r="K288" s="38" t="n">
        <x:v>8</x:v>
      </x:c>
      <x:c r="L288" s="38" t="n">
        <x:v>0</x:v>
      </x:c>
      <x:c r="M288" s="38" t="n">
        <x:v>5</x:v>
      </x:c>
      <x:c r="N288" s="38" t="n">
        <x:v>1</x:v>
      </x:c>
      <x:c r="O288" s="38" t="str">
        <x:v>none</x:v>
      </x:c>
      <x:c r="P288" s="38" t="str">
        <x:v>03 形状03</x:v>
      </x:c>
      <x:c r="Q288" s="38" t="str">
        <x:v>Turbo</x:v>
      </x:c>
      <x:c r="R288" s="38" t="str">
        <x:v>item_gap derived_gap_profile；来源=Vanessa Query Gap 青铜 11；攻击1格；商店关系保留来源节点后补足8店。</x:v>
      </x:c>
      <x:c r="S288" s="38" t="n">
        <x:v>5</x:v>
      </x:c>
      <x:c r="T288" s="38" t="n">
        <x:v>1</x:v>
      </x:c>
    </x:row>
    <x:row r="289">
      <x:c r="A289" s="38" t="str">
        <x:v>pal_288</x:v>
      </x:c>
      <x:c r="B289" s="38" t="str">
        <x:v>澜兔仔</x:v>
      </x:c>
      <x:c r="C289" s="38" t="str">
        <x:v>水、龙</x:v>
      </x:c>
      <x:c r="D289" s="127" t="str">
        <x:v>青铜</x:v>
      </x:c>
      <x:c r="E289" s="38" t="str">
        <x:v>治疗</x:v>
      </x:c>
      <x:c r="F289" s="38" t="str">
        <x:v>一格</x:v>
      </x:c>
      <x:c r="G289" s="38" t="str">
        <x:v>bz_van_288</x:v>
      </x:c>
      <x:c r="H289" s="38" t="str">
        <x:v>night_base, elem_火, elem_水, elem_草, elem_雷, elem_地, elem_暗, elem_龙, role_召唤, role_火系压制</x:v>
      </x:c>
      <x:c r="I289" s="38" t="n">
        <x:v>10</x:v>
      </x:c>
      <x:c r="J289" s="38" t="n">
        <x:v>28</x:v>
      </x:c>
      <x:c r="K289" s="38" t="n">
        <x:v>8</x:v>
      </x:c>
      <x:c r="L289" s="38" t="n">
        <x:v>2</x:v>
      </x:c>
      <x:c r="M289" s="38" t="n">
        <x:v>3</x:v>
      </x:c>
      <x:c r="N289" s="38" t="n">
        <x:v>1</x:v>
      </x:c>
      <x:c r="O289" s="38" t="str">
        <x:v>mech_shield_regen</x:v>
      </x:c>
      <x:c r="P289" s="38" t="str">
        <x:v>04 形状04</x:v>
      </x:c>
      <x:c r="Q289" s="38" t="str">
        <x:v>Restorative</x:v>
      </x:c>
      <x:c r="R289" s="38" t="str">
        <x:v>item_gap derived_gap_profile；来源=Vanessa Query Gap 青铜 12；攻击1格；商店关系保留来源节点后补足8店。</x:v>
      </x:c>
      <x:c r="S289" s="38" t="n">
        <x:v>3</x:v>
      </x:c>
      <x:c r="T289" s="38" t="n">
        <x:v>1</x:v>
      </x:c>
    </x:row>
    <x:row r="290">
      <x:c r="A290" s="38" t="str">
        <x:v>pal_289</x:v>
      </x:c>
      <x:c r="B290" s="38" t="str">
        <x:v>沧鼋童</x:v>
      </x:c>
      <x:c r="C290" s="38" t="str">
        <x:v>水、地</x:v>
      </x:c>
      <x:c r="D290" s="127" t="str">
        <x:v>青铜</x:v>
      </x:c>
      <x:c r="E290" s="38" t="str">
        <x:v>坦克</x:v>
      </x:c>
      <x:c r="F290" s="38" t="str">
        <x:v>两格</x:v>
      </x:c>
      <x:c r="G290" s="38" t="str">
        <x:v>bz_van_289</x:v>
      </x:c>
      <x:c r="H290" s="38" t="str">
        <x:v>night_base, elem_火, elem_水, elem_冰, elem_暗, elem_龙, role_控制, special_merchant, tier_pT3</x:v>
      </x:c>
      <x:c r="I290" s="38" t="n">
        <x:v>9</x:v>
      </x:c>
      <x:c r="J290" s="38" t="n">
        <x:v>42</x:v>
      </x:c>
      <x:c r="K290" s="38" t="n">
        <x:v>6</x:v>
      </x:c>
      <x:c r="L290" s="38" t="n">
        <x:v>6</x:v>
      </x:c>
      <x:c r="M290" s="38" t="n">
        <x:v>3</x:v>
      </x:c>
      <x:c r="N290" s="38" t="n">
        <x:v>1</x:v>
      </x:c>
      <x:c r="O290" s="38" t="str">
        <x:v>mech_shield_regen</x:v>
      </x:c>
      <x:c r="P290" s="38" t="str">
        <x:v>01 形状01</x:v>
      </x:c>
      <x:c r="Q290" s="38" t="str">
        <x:v>Shielded</x:v>
      </x:c>
      <x:c r="R290" s="38" t="str">
        <x:v>item_gap derived_gap_profile；来源=Vanessa Query Gap 青铜 13；攻击1格；商店关系保留来源节点后补足8店。</x:v>
      </x:c>
      <x:c r="S290" s="38" t="n">
        <x:v>3</x:v>
      </x:c>
      <x:c r="T290" s="38" t="n">
        <x:v>1</x:v>
      </x:c>
    </x:row>
    <x:row r="291">
      <x:c r="A291" s="38" t="str">
        <x:v>pal_290</x:v>
      </x:c>
      <x:c r="B291" s="38" t="str">
        <x:v>汐象兽</x:v>
      </x:c>
      <x:c r="C291" s="38" t="str">
        <x:v>水、地</x:v>
      </x:c>
      <x:c r="D291" s="127" t="str">
        <x:v>青铜</x:v>
      </x:c>
      <x:c r="E291" s="38" t="str">
        <x:v>坦克</x:v>
      </x:c>
      <x:c r="F291" s="38" t="str">
        <x:v>三格</x:v>
      </x:c>
      <x:c r="G291" s="38" t="str">
        <x:v>bz_van_290</x:v>
      </x:c>
      <x:c r="H291" s="38" t="str">
        <x:v>night_base, elem_火, elem_水, elem_草, elem_冰, elem_地, elem_暗, elem_龙, special_merchant, role_机动压制</x:v>
      </x:c>
      <x:c r="I291" s="38" t="n">
        <x:v>10</x:v>
      </x:c>
      <x:c r="J291" s="38" t="n">
        <x:v>48</x:v>
      </x:c>
      <x:c r="K291" s="38" t="n">
        <x:v>4</x:v>
      </x:c>
      <x:c r="L291" s="38" t="n">
        <x:v>6</x:v>
      </x:c>
      <x:c r="M291" s="38" t="n">
        <x:v>2</x:v>
      </x:c>
      <x:c r="N291" s="38" t="n">
        <x:v>1</x:v>
      </x:c>
      <x:c r="O291" s="38" t="str">
        <x:v>mech_shield_flat</x:v>
      </x:c>
      <x:c r="P291" s="38" t="str">
        <x:v>02 形状02</x:v>
      </x:c>
      <x:c r="Q291" s="38" t="str">
        <x:v>Shielded</x:v>
      </x:c>
      <x:c r="R291" s="38" t="str">
        <x:v>item_gap derived_gap_profile；来源=Vanessa Query Gap 青铜 14；攻击1格；商店关系保留来源节点后补足8店。</x:v>
      </x:c>
      <x:c r="S291" s="38" t="n">
        <x:v>2</x:v>
      </x:c>
      <x:c r="T291" s="38" t="n">
        <x:v>1</x:v>
      </x:c>
    </x:row>
    <x:row r="292">
      <x:c r="A292" s="38" t="str">
        <x:v>pal_291</x:v>
      </x:c>
      <x:c r="B292" s="38" t="str">
        <x:v>震虎灵</x:v>
      </x:c>
      <x:c r="C292" s="38" t="str">
        <x:v>雷</x:v>
      </x:c>
      <x:c r="D292" s="127" t="str">
        <x:v>青铜</x:v>
      </x:c>
      <x:c r="E292" s="38" t="str">
        <x:v>输出</x:v>
      </x:c>
      <x:c r="F292" s="38" t="str">
        <x:v>两格</x:v>
      </x:c>
      <x:c r="G292" s="38" t="str">
        <x:v>bz_van_291</x:v>
      </x:c>
      <x:c r="H292" s="38" t="str">
        <x:v>night_base, elem_火, elem_水, elem_雷, elem_冰, elem_地, elem_无, role_控制, role_输出, elite_high</x:v>
      </x:c>
      <x:c r="I292" s="38" t="n">
        <x:v>10</x:v>
      </x:c>
      <x:c r="J292" s="38" t="n">
        <x:v>28</x:v>
      </x:c>
      <x:c r="K292" s="38" t="n">
        <x:v>12</x:v>
      </x:c>
      <x:c r="L292" s="38" t="n">
        <x:v>0</x:v>
      </x:c>
      <x:c r="M292" s="38" t="n">
        <x:v>3</x:v>
      </x:c>
      <x:c r="N292" s="38" t="n">
        <x:v>1</x:v>
      </x:c>
      <x:c r="O292" s="38" t="str">
        <x:v>mech_grow_atk_each_round</x:v>
      </x:c>
      <x:c r="P292" s="38" t="str">
        <x:v>03 形状03</x:v>
      </x:c>
      <x:c r="Q292" s="38" t="str">
        <x:v>Deadly</x:v>
      </x:c>
      <x:c r="R292" s="38" t="str">
        <x:v>item_gap derived_gap_profile；来源=Vanessa Query Gap 青铜 15；攻击1格；商店关系保留来源节点后补足8店。</x:v>
      </x:c>
      <x:c r="S292" s="38" t="n">
        <x:v>3</x:v>
      </x:c>
      <x:c r="T292" s="38" t="n">
        <x:v>1</x:v>
      </x:c>
    </x:row>
    <x:row r="293">
      <x:c r="A293" s="38" t="str">
        <x:v>pal_292</x:v>
      </x:c>
      <x:c r="B293" s="38" t="str">
        <x:v>闪狮童</x:v>
      </x:c>
      <x:c r="C293" s="38" t="str">
        <x:v>雷</x:v>
      </x:c>
      <x:c r="D293" s="127" t="str">
        <x:v>青铜</x:v>
      </x:c>
      <x:c r="E293" s="38" t="str">
        <x:v>输出</x:v>
      </x:c>
      <x:c r="F293" s="38" t="str">
        <x:v>两格</x:v>
      </x:c>
      <x:c r="G293" s="38" t="str">
        <x:v>bz_van_292</x:v>
      </x:c>
      <x:c r="H293" s="38" t="str">
        <x:v>night_base, elem_火, elem_水, elem_雷, elem_冰, elem_地, elem_无, role_坦克, role_控制, role_风系铺场</x:v>
      </x:c>
      <x:c r="I293" s="38" t="n">
        <x:v>10</x:v>
      </x:c>
      <x:c r="J293" s="38" t="n">
        <x:v>28</x:v>
      </x:c>
      <x:c r="K293" s="38" t="n">
        <x:v>12</x:v>
      </x:c>
      <x:c r="L293" s="38" t="n">
        <x:v>0</x:v>
      </x:c>
      <x:c r="M293" s="38" t="n">
        <x:v>3</x:v>
      </x:c>
      <x:c r="N293" s="38" t="n">
        <x:v>1</x:v>
      </x:c>
      <x:c r="O293" s="38" t="str">
        <x:v>mech_grow_atk_each_round</x:v>
      </x:c>
      <x:c r="P293" s="38" t="str">
        <x:v>04 形状04</x:v>
      </x:c>
      <x:c r="Q293" s="38" t="str">
        <x:v>Deadly</x:v>
      </x:c>
      <x:c r="R293" s="38" t="str">
        <x:v>item_gap derived_gap_profile；来源=Vanessa Query Gap 青铜 16；攻击1格；商店关系保留来源节点后补足8店。</x:v>
      </x:c>
      <x:c r="S293" s="38" t="n">
        <x:v>3</x:v>
      </x:c>
      <x:c r="T293" s="38" t="n">
        <x:v>1</x:v>
      </x:c>
    </x:row>
    <x:row r="294">
      <x:c r="A294" s="38" t="str">
        <x:v>pal_293</x:v>
      </x:c>
      <x:c r="B294" s="38" t="str">
        <x:v>潮貂仔</x:v>
      </x:c>
      <x:c r="C294" s="38" t="str">
        <x:v>水</x:v>
      </x:c>
      <x:c r="D294" s="127" t="str">
        <x:v>青铜</x:v>
      </x:c>
      <x:c r="E294" s="38" t="str">
        <x:v>控制</x:v>
      </x:c>
      <x:c r="F294" s="38" t="str">
        <x:v>两格</x:v>
      </x:c>
      <x:c r="G294" s="38" t="str">
        <x:v>bz_van_293</x:v>
      </x:c>
      <x:c r="H294" s="38" t="str">
        <x:v>night_base, elem_火, elem_水, elem_冰, elem_暗, elem_龙, role_控制, role_治疗, elite_high, role_召唤铺场</x:v>
      </x:c>
      <x:c r="I294" s="38" t="n">
        <x:v>10</x:v>
      </x:c>
      <x:c r="J294" s="38" t="n">
        <x:v>32</x:v>
      </x:c>
      <x:c r="K294" s="38" t="n">
        <x:v>8</x:v>
      </x:c>
      <x:c r="L294" s="38" t="n">
        <x:v>0</x:v>
      </x:c>
      <x:c r="M294" s="38" t="n">
        <x:v>4</x:v>
      </x:c>
      <x:c r="N294" s="38" t="n">
        <x:v>2</x:v>
      </x:c>
      <x:c r="O294" s="38" t="str">
        <x:v>mech_counter_damage</x:v>
      </x:c>
      <x:c r="P294" s="38" t="str">
        <x:v>05 形状05</x:v>
      </x:c>
      <x:c r="Q294" s="38" t="str">
        <x:v>Icy</x:v>
      </x:c>
      <x:c r="R294" s="38" t="str">
        <x:v>item_gap derived_gap_profile；来源=Vanessa Query Gap 青铜 17；攻击2格；商店关系保留来源节点后补足8店。</x:v>
      </x:c>
      <x:c r="S294" s="38" t="n">
        <x:v>4</x:v>
      </x:c>
      <x:c r="T294" s="38" t="n">
        <x:v>1</x:v>
      </x:c>
    </x:row>
    <x:row r="295">
      <x:c r="A295" s="38" t="str">
        <x:v>pal_294</x:v>
      </x:c>
      <x:c r="B295" s="38" t="str">
        <x:v>澜燕灵</x:v>
      </x:c>
      <x:c r="C295" s="38" t="str">
        <x:v>水</x:v>
      </x:c>
      <x:c r="D295" s="127" t="str">
        <x:v>青铜</x:v>
      </x:c>
      <x:c r="E295" s="38" t="str">
        <x:v>机动</x:v>
      </x:c>
      <x:c r="F295" s="38" t="str">
        <x:v>两格</x:v>
      </x:c>
      <x:c r="G295" s="38" t="str">
        <x:v>bz_van_294</x:v>
      </x:c>
      <x:c r="H295" s="38" t="str">
        <x:v>night_base, elem_火, elem_水, elem_冰, elem_暗, elem_龙, role_控制, role_治疗, role_经济, role_召唤铺场</x:v>
      </x:c>
      <x:c r="I295" s="38" t="n">
        <x:v>10</x:v>
      </x:c>
      <x:c r="J295" s="38" t="n">
        <x:v>28</x:v>
      </x:c>
      <x:c r="K295" s="38" t="n">
        <x:v>6</x:v>
      </x:c>
      <x:c r="L295" s="38" t="n">
        <x:v>0</x:v>
      </x:c>
      <x:c r="M295" s="38" t="n">
        <x:v>5</x:v>
      </x:c>
      <x:c r="N295" s="38" t="n">
        <x:v>1</x:v>
      </x:c>
      <x:c r="O295" s="38" t="str">
        <x:v>none</x:v>
      </x:c>
      <x:c r="P295" s="38" t="str">
        <x:v>02 形状02</x:v>
      </x:c>
      <x:c r="Q295" s="38" t="str">
        <x:v>Turbo</x:v>
      </x:c>
      <x:c r="R295" s="38" t="str">
        <x:v>item_gap derived_gap_profile；来源=Vanessa Query Gap 青铜 18；攻击1格；商店关系保留来源节点后补足8店。</x:v>
      </x:c>
      <x:c r="S295" s="38" t="n">
        <x:v>5</x:v>
      </x:c>
      <x:c r="T295" s="38" t="n">
        <x:v>1</x:v>
      </x:c>
    </x:row>
    <x:row r="296">
      <x:c r="A296" s="38" t="str">
        <x:v>pal_295</x:v>
      </x:c>
      <x:c r="B296" s="38" t="str">
        <x:v>沧鲭童</x:v>
      </x:c>
      <x:c r="C296" s="38" t="str">
        <x:v>水、龙</x:v>
      </x:c>
      <x:c r="D296" s="127" t="str">
        <x:v>青铜</x:v>
      </x:c>
      <x:c r="E296" s="38" t="str">
        <x:v>机动</x:v>
      </x:c>
      <x:c r="F296" s="38" t="str">
        <x:v>一格</x:v>
      </x:c>
      <x:c r="G296" s="38" t="str">
        <x:v>bz_van_295</x:v>
      </x:c>
      <x:c r="H296" s="38" t="str">
        <x:v>night_base, elem_火, elem_水, elem_龙, elem_无, role_召唤, role_治疗, role_经济, tier_pT2, role_远点压制</x:v>
      </x:c>
      <x:c r="I296" s="38" t="n">
        <x:v>10</x:v>
      </x:c>
      <x:c r="J296" s="38" t="n">
        <x:v>22</x:v>
      </x:c>
      <x:c r="K296" s="38" t="n">
        <x:v>8</x:v>
      </x:c>
      <x:c r="L296" s="38" t="n">
        <x:v>0</x:v>
      </x:c>
      <x:c r="M296" s="38" t="n">
        <x:v>5</x:v>
      </x:c>
      <x:c r="N296" s="38" t="n">
        <x:v>2</x:v>
      </x:c>
      <x:c r="O296" s="38" t="str">
        <x:v>none</x:v>
      </x:c>
      <x:c r="P296" s="38" t="str">
        <x:v>07 形状07</x:v>
      </x:c>
      <x:c r="Q296" s="38" t="str">
        <x:v>Turbo</x:v>
      </x:c>
      <x:c r="R296" s="38" t="str">
        <x:v>item_gap derived_gap_profile；来源=Vanessa Query Gap 青铜 19；攻击2格；商店关系保留来源节点后补足8店。</x:v>
      </x:c>
      <x:c r="S296" s="38" t="n">
        <x:v>5</x:v>
      </x:c>
      <x:c r="T296" s="38" t="n">
        <x:v>1</x:v>
      </x:c>
    </x:row>
    <x:row r="297">
      <x:c r="A297" s="38" t="str">
        <x:v>pal_296</x:v>
      </x:c>
      <x:c r="B297" s="38" t="str">
        <x:v>雷隼兽</x:v>
      </x:c>
      <x:c r="C297" s="38" t="str">
        <x:v>雷</x:v>
      </x:c>
      <x:c r="D297" s="127" t="str">
        <x:v>青铜</x:v>
      </x:c>
      <x:c r="E297" s="38" t="str">
        <x:v>输出</x:v>
      </x:c>
      <x:c r="F297" s="38" t="str">
        <x:v>一格</x:v>
      </x:c>
      <x:c r="G297" s="38" t="str">
        <x:v>bz_van_296</x:v>
      </x:c>
      <x:c r="H297" s="38" t="str">
        <x:v>night_base, elem_火, elem_水, elem_草, elem_雷, elem_地, elem_无, role_召唤, role_坦克, role_风系铺场</x:v>
      </x:c>
      <x:c r="I297" s="38" t="n">
        <x:v>10</x:v>
      </x:c>
      <x:c r="J297" s="38" t="n">
        <x:v>22</x:v>
      </x:c>
      <x:c r="K297" s="38" t="n">
        <x:v>14</x:v>
      </x:c>
      <x:c r="L297" s="38" t="n">
        <x:v>0</x:v>
      </x:c>
      <x:c r="M297" s="38" t="n">
        <x:v>3</x:v>
      </x:c>
      <x:c r="N297" s="38" t="n">
        <x:v>1</x:v>
      </x:c>
      <x:c r="O297" s="38" t="str">
        <x:v>mech_grow_atk_each_round</x:v>
      </x:c>
      <x:c r="P297" s="38" t="str">
        <x:v>03 形状03</x:v>
      </x:c>
      <x:c r="Q297" s="38" t="str">
        <x:v>Deadly</x:v>
      </x:c>
      <x:c r="R297" s="38" t="str">
        <x:v>item_gap derived_gap_profile；来源=Vanessa Query Gap 青铜 20；攻击1格；商店关系保留来源节点后补足8店。</x:v>
      </x:c>
      <x:c r="S297" s="38" t="n">
        <x:v>3</x:v>
      </x:c>
      <x:c r="T297" s="38" t="n">
        <x:v>1</x:v>
      </x:c>
    </x:row>
    <x:row r="298">
      <x:c r="A298" s="38" t="str">
        <x:v>pal_297</x:v>
      </x:c>
      <x:c r="B298" s="38" t="str">
        <x:v>凝蛇灵</x:v>
      </x:c>
      <x:c r="C298" s="38" t="str">
        <x:v>冰</x:v>
      </x:c>
      <x:c r="D298" s="127" t="str">
        <x:v>青铜</x:v>
      </x:c>
      <x:c r="E298" s="38" t="str">
        <x:v>控制</x:v>
      </x:c>
      <x:c r="F298" s="38" t="str">
        <x:v>一格</x:v>
      </x:c>
      <x:c r="G298" s="38" t="str">
        <x:v>bz_van_297</x:v>
      </x:c>
      <x:c r="H298" s="38" t="str">
        <x:v>night_base, elem_火, elem_水, elem_草, elem_地, elem_无, role_召唤, role_治疗, elite_high, role_召唤铺场</x:v>
      </x:c>
      <x:c r="I298" s="38" t="n">
        <x:v>10</x:v>
      </x:c>
      <x:c r="J298" s="38" t="n">
        <x:v>26</x:v>
      </x:c>
      <x:c r="K298" s="38" t="n">
        <x:v>10</x:v>
      </x:c>
      <x:c r="L298" s="38" t="n">
        <x:v>0</x:v>
      </x:c>
      <x:c r="M298" s="38" t="n">
        <x:v>4</x:v>
      </x:c>
      <x:c r="N298" s="38" t="n">
        <x:v>2</x:v>
      </x:c>
      <x:c r="O298" s="38" t="str">
        <x:v>mech_counter_damage</x:v>
      </x:c>
      <x:c r="P298" s="38" t="str">
        <x:v>06 形状06</x:v>
      </x:c>
      <x:c r="Q298" s="38" t="str">
        <x:v>Icy</x:v>
      </x:c>
      <x:c r="R298" s="38" t="str">
        <x:v>item_gap derived_gap_profile；来源=Vanessa Query Gap 青铜 21；攻击2格；商店关系保留来源节点后补足8店。</x:v>
      </x:c>
      <x:c r="S298" s="38" t="n">
        <x:v>4</x:v>
      </x:c>
      <x:c r="T298" s="38" t="n">
        <x:v>1</x:v>
      </x:c>
    </x:row>
    <x:row r="299">
      <x:c r="A299" s="38" t="str">
        <x:v>pal_298</x:v>
      </x:c>
      <x:c r="B299" s="38" t="str">
        <x:v>电虎灵</x:v>
      </x:c>
      <x:c r="C299" s="38" t="str">
        <x:v>雷</x:v>
      </x:c>
      <x:c r="D299" s="127" t="str">
        <x:v>青铜</x:v>
      </x:c>
      <x:c r="E299" s="38" t="str">
        <x:v>输出</x:v>
      </x:c>
      <x:c r="F299" s="38" t="str">
        <x:v>一格</x:v>
      </x:c>
      <x:c r="G299" s="38" t="str">
        <x:v>bz_van_298</x:v>
      </x:c>
      <x:c r="H299" s="38" t="str">
        <x:v>night_base, elem_火, elem_水, elem_草, elem_雷, elem_地, elem_无, role_召唤, role_坦克, role_风系铺场</x:v>
      </x:c>
      <x:c r="I299" s="38" t="n">
        <x:v>10</x:v>
      </x:c>
      <x:c r="J299" s="38" t="n">
        <x:v>22</x:v>
      </x:c>
      <x:c r="K299" s="38" t="n">
        <x:v>14</x:v>
      </x:c>
      <x:c r="L299" s="38" t="n">
        <x:v>0</x:v>
      </x:c>
      <x:c r="M299" s="38" t="n">
        <x:v>3</x:v>
      </x:c>
      <x:c r="N299" s="38" t="n">
        <x:v>1</x:v>
      </x:c>
      <x:c r="O299" s="38" t="str">
        <x:v>mech_grow_atk_each_round</x:v>
      </x:c>
      <x:c r="P299" s="38" t="str">
        <x:v>01 形状01</x:v>
      </x:c>
      <x:c r="Q299" s="38" t="str">
        <x:v>Deadly</x:v>
      </x:c>
      <x:c r="R299" s="38" t="str">
        <x:v>item_gap derived_gap_profile；来源=Vanessa Query Gap 青铜 22；攻击1格；商店关系保留来源节点后补足8店。</x:v>
      </x:c>
      <x:c r="S299" s="38" t="n">
        <x:v>3</x:v>
      </x:c>
      <x:c r="T299" s="38" t="n">
        <x:v>1</x:v>
      </x:c>
    </x:row>
    <x:row r="300">
      <x:c r="A300" s="38" t="str">
        <x:v>pal_299</x:v>
      </x:c>
      <x:c r="B300" s="38" t="str">
        <x:v>夜鹰仔</x:v>
      </x:c>
      <x:c r="C300" s="38" t="str">
        <x:v>暗</x:v>
      </x:c>
      <x:c r="D300" s="127" t="str">
        <x:v>青铜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night_base, elem_火, elem_水, elem_草, elem_雷, elem_地, elem_龙, elem_无, role_召唤, role_风系铺场</x:v>
      </x:c>
      <x:c r="I300" s="38" t="n">
        <x:v>10</x:v>
      </x:c>
      <x:c r="J300" s="38" t="n">
        <x:v>22</x:v>
      </x:c>
      <x:c r="K300" s="38" t="n">
        <x:v>14</x:v>
      </x:c>
      <x:c r="L300" s="38" t="n">
        <x:v>0</x:v>
      </x:c>
      <x:c r="M300" s="38" t="n">
        <x:v>3</x:v>
      </x:c>
      <x:c r="N300" s="38" t="n">
        <x:v>1</x:v>
      </x:c>
      <x:c r="O300" s="38" t="str">
        <x:v>mech_grow_atk_each_round</x:v>
      </x:c>
      <x:c r="P300" s="38" t="str">
        <x:v>04 形状04</x:v>
      </x:c>
      <x:c r="Q300" s="38" t="str">
        <x:v>Deadly</x:v>
      </x:c>
      <x:c r="R300" s="38" t="str">
        <x:v>item_gap derived_gap_profile；来源=Vanessa Query Gap 青铜 23；攻击1格；商店关系保留来源节点后补足8店。</x:v>
      </x:c>
      <x:c r="S300" s="38" t="n">
        <x:v>3</x:v>
      </x:c>
      <x:c r="T300" s="38" t="n">
        <x:v>1</x:v>
      </x:c>
    </x:row>
    <x:row r="301">
      <x:c r="A301" s="38" t="str">
        <x:v>pal_300</x:v>
      </x:c>
      <x:c r="B301" s="38" t="str">
        <x:v>沧虎灵</x:v>
      </x:c>
      <x:c r="C301" s="38" t="str">
        <x:v>水</x:v>
      </x:c>
      <x:c r="D301" s="127" t="str">
        <x:v>青铜</x:v>
      </x:c>
      <x:c r="E301" s="38" t="str">
        <x:v>输出</x:v>
      </x:c>
      <x:c r="F301" s="38" t="str">
        <x:v>一格</x:v>
      </x:c>
      <x:c r="G301" s="38" t="str">
        <x:v>bz_van_300</x:v>
      </x:c>
      <x:c r="H301" s="38" t="str">
        <x:v>night_base, elem_火, elem_水, elem_草, elem_雷, elem_地, elem_暗, role_召唤, role_召唤铺场, role_风系铺场</x:v>
      </x:c>
      <x:c r="I301" s="38" t="n">
        <x:v>10</x:v>
      </x:c>
      <x:c r="J301" s="38" t="n">
        <x:v>22</x:v>
      </x:c>
      <x:c r="K301" s="38" t="n">
        <x:v>14</x:v>
      </x:c>
      <x:c r="L301" s="38" t="n">
        <x:v>0</x:v>
      </x:c>
      <x:c r="M301" s="38" t="n">
        <x:v>3</x:v>
      </x:c>
      <x:c r="N301" s="38" t="n">
        <x:v>1</x:v>
      </x:c>
      <x:c r="O301" s="38" t="str">
        <x:v>mech_grow_atk_each_round</x:v>
      </x:c>
      <x:c r="P301" s="38" t="str">
        <x:v>03 形状03</x:v>
      </x:c>
      <x:c r="Q301" s="38" t="str">
        <x:v>Deadly</x:v>
      </x:c>
      <x:c r="R301" s="38" t="str">
        <x:v>item_gap derived_gap_profile；来源=Vanessa Query Gap 青铜 24；攻击1格；商店关系保留来源节点后补足8店。</x:v>
      </x:c>
      <x:c r="S301" s="38" t="n">
        <x:v>3</x:v>
      </x:c>
      <x:c r="T301" s="38" t="n">
        <x:v>1</x:v>
      </x:c>
    </x:row>
    <x:row r="302">
      <x:c r="A302" s="38" t="str">
        <x:v>pal_301</x:v>
      </x:c>
      <x:c r="B302" s="38" t="str">
        <x:v>澜貂仔</x:v>
      </x:c>
      <x:c r="C302" s="38" t="str">
        <x:v>水、龙</x:v>
      </x:c>
      <x:c r="D302" s="127" t="str">
        <x:v>青铜</x:v>
      </x:c>
      <x:c r="E302" s="38" t="str">
        <x:v>控制</x:v>
      </x:c>
      <x:c r="F302" s="38" t="str">
        <x:v>一格</x:v>
      </x:c>
      <x:c r="G302" s="38" t="str">
        <x:v>bz_van_301</x:v>
      </x:c>
      <x:c r="H302" s="38" t="str">
        <x:v>night_base, elem_火, elem_水, elem_草, elem_暗, elem_龙, role_召唤, role_治疗, elite_high, tier_pT2</x:v>
      </x:c>
      <x:c r="I302" s="38" t="n">
        <x:v>10</x:v>
      </x:c>
      <x:c r="J302" s="38" t="n">
        <x:v>26</x:v>
      </x:c>
      <x:c r="K302" s="38" t="n">
        <x:v>10</x:v>
      </x:c>
      <x:c r="L302" s="38" t="n">
        <x:v>0</x:v>
      </x:c>
      <x:c r="M302" s="38" t="n">
        <x:v>4</x:v>
      </x:c>
      <x:c r="N302" s="38" t="n">
        <x:v>2</x:v>
      </x:c>
      <x:c r="O302" s="38" t="str">
        <x:v>mech_counter_damage</x:v>
      </x:c>
      <x:c r="P302" s="38" t="str">
        <x:v>10 形状10</x:v>
      </x:c>
      <x:c r="Q302" s="38" t="str">
        <x:v>Icy</x:v>
      </x:c>
      <x:c r="R302" s="38" t="str">
        <x:v>item_gap derived_gap_profile；来源=Vanessa Query Gap 青铜 25；攻击2格；商店关系保留来源节点后补足8店。</x:v>
      </x:c>
      <x:c r="S302" s="38" t="n">
        <x:v>4</x:v>
      </x:c>
      <x:c r="T302" s="38" t="n">
        <x:v>1</x:v>
      </x:c>
    </x:row>
    <x:row r="303">
      <x:c r="A303" s="38" t="str">
        <x:v>pal_302</x:v>
      </x:c>
      <x:c r="B303" s="38" t="str">
        <x:v>芽蝎仔</x:v>
      </x:c>
      <x:c r="C303" s="38" t="str">
        <x:v>草、水</x:v>
      </x:c>
      <x:c r="D303" s="127" t="str">
        <x:v>青铜</x:v>
      </x:c>
      <x:c r="E303" s="38" t="str">
        <x:v>控制</x:v>
      </x:c>
      <x:c r="F303" s="38" t="str">
        <x:v>一格</x:v>
      </x:c>
      <x:c r="G303" s="38" t="str">
        <x:v>bz_van_302</x:v>
      </x:c>
      <x:c r="H303" s="38" t="str">
        <x:v>night_base, elem_火, elem_水, elem_暗, elem_龙, role_召唤, role_治疗, role_经济, tier_pT2, role_重甲抗压</x:v>
      </x:c>
      <x:c r="I303" s="38" t="n">
        <x:v>10</x:v>
      </x:c>
      <x:c r="J303" s="38" t="n">
        <x:v>26</x:v>
      </x:c>
      <x:c r="K303" s="38" t="n">
        <x:v>10</x:v>
      </x:c>
      <x:c r="L303" s="38" t="n">
        <x:v>0</x:v>
      </x:c>
      <x:c r="M303" s="38" t="n">
        <x:v>4</x:v>
      </x:c>
      <x:c r="N303" s="38" t="n">
        <x:v>2</x:v>
      </x:c>
      <x:c r="O303" s="38" t="str">
        <x:v>mech_counter_damage</x:v>
      </x:c>
      <x:c r="P303" s="38" t="str">
        <x:v>09 形状09</x:v>
      </x:c>
      <x:c r="Q303" s="38" t="str">
        <x:v>Toxic</x:v>
      </x:c>
      <x:c r="R303" s="38" t="str">
        <x:v>item_gap derived_gap_profile；来源=Vanessa Query Gap 青铜 26；攻击2格；商店关系保留来源节点后补足8店。</x:v>
      </x:c>
      <x:c r="S303" s="38" t="n">
        <x:v>4</x:v>
      </x:c>
      <x:c r="T303" s="38" t="n">
        <x:v>1</x:v>
      </x:c>
    </x:row>
    <x:row r="304">
      <x:c r="A304" s="38" t="str">
        <x:v>pal_303</x:v>
      </x:c>
      <x:c r="B304" s="38" t="str">
        <x:v>翠隼童</x:v>
      </x:c>
      <x:c r="C304" s="38" t="str">
        <x:v>草</x:v>
      </x:c>
      <x:c r="D304" s="127" t="str">
        <x:v>青铜</x:v>
      </x:c>
      <x:c r="E304" s="38" t="str">
        <x:v>输出</x:v>
      </x:c>
      <x:c r="F304" s="38" t="str">
        <x:v>两格</x:v>
      </x:c>
      <x:c r="G304" s="38" t="str">
        <x:v>bz_van_303</x:v>
      </x:c>
      <x:c r="H304" s="38" t="str">
        <x:v>night_base, elem_火, elem_水, elem_雷, elem_冰, elem_地, elem_龙, elem_无, role_控制, role_风系铺场</x:v>
      </x:c>
      <x:c r="I304" s="38" t="n">
        <x:v>10</x:v>
      </x:c>
      <x:c r="J304" s="38" t="n">
        <x:v>28</x:v>
      </x:c>
      <x:c r="K304" s="38" t="n">
        <x:v>12</x:v>
      </x:c>
      <x:c r="L304" s="38" t="n">
        <x:v>0</x:v>
      </x:c>
      <x:c r="M304" s="38" t="n">
        <x:v>3</x:v>
      </x:c>
      <x:c r="N304" s="38" t="n">
        <x:v>1</x:v>
      </x:c>
      <x:c r="O304" s="38" t="str">
        <x:v>mech_grow_atk_each_round</x:v>
      </x:c>
      <x:c r="P304" s="38" t="str">
        <x:v>04 形状04</x:v>
      </x:c>
      <x:c r="Q304" s="38" t="str">
        <x:v>Deadly</x:v>
      </x:c>
      <x:c r="R304" s="38" t="str">
        <x:v>item_gap derived_gap_profile；来源=Vanessa Query Gap 青铜 27；攻击1格；商店关系保留来源节点后补足8店。</x:v>
      </x:c>
      <x:c r="S304" s="38" t="n">
        <x:v>3</x:v>
      </x:c>
      <x:c r="T304" s="38" t="n">
        <x:v>1</x:v>
      </x:c>
    </x:row>
    <x:row r="305">
      <x:c r="A305" s="38" t="str">
        <x:v>pal_304</x:v>
      </x:c>
      <x:c r="B305" s="38" t="str">
        <x:v>虬豹兽</x:v>
      </x:c>
      <x:c r="C305" s="38" t="str">
        <x:v>龙</x:v>
      </x:c>
      <x:c r="D305" s="127" t="str">
        <x:v>青铜</x:v>
      </x:c>
      <x:c r="E305" s="38" t="str">
        <x:v>输出</x:v>
      </x:c>
      <x:c r="F305" s="38" t="str">
        <x:v>两格</x:v>
      </x:c>
      <x:c r="G305" s="38" t="str">
        <x:v>bz_van_304</x:v>
      </x:c>
      <x:c r="H305" s="38" t="str">
        <x:v>night_base, elem_火, elem_水, elem_雷, elem_冰, elem_地, elem_暗, elem_无, role_控制, role_风系铺场</x:v>
      </x:c>
      <x:c r="I305" s="38" t="n">
        <x:v>10</x:v>
      </x:c>
      <x:c r="J305" s="38" t="n">
        <x:v>28</x:v>
      </x:c>
      <x:c r="K305" s="38" t="n">
        <x:v>12</x:v>
      </x:c>
      <x:c r="L305" s="38" t="n">
        <x:v>0</x:v>
      </x:c>
      <x:c r="M305" s="38" t="n">
        <x:v>3</x:v>
      </x:c>
      <x:c r="N305" s="38" t="n">
        <x:v>1</x:v>
      </x:c>
      <x:c r="O305" s="38" t="str">
        <x:v>mech_grow_atk_each_round</x:v>
      </x:c>
      <x:c r="P305" s="38" t="str">
        <x:v>03 形状03</x:v>
      </x:c>
      <x:c r="Q305" s="38" t="str">
        <x:v>Deadly</x:v>
      </x:c>
      <x:c r="R305" s="38" t="str">
        <x:v>item_gap derived_gap_profile；来源=Vanessa Query Gap 青铜 28；攻击1格；商店关系保留来源节点后补足8店。</x:v>
      </x:c>
      <x:c r="S305" s="38" t="n">
        <x:v>3</x:v>
      </x:c>
      <x:c r="T305" s="38" t="n">
        <x:v>1</x:v>
      </x:c>
    </x:row>
    <x:row r="306">
      <x:c r="A306" s="38" t="str">
        <x:v>pal_305</x:v>
      </x:c>
      <x:c r="B306" s="38" t="str">
        <x:v>汐羊童</x:v>
      </x:c>
      <x:c r="C306" s="38" t="str">
        <x:v>水、地</x:v>
      </x:c>
      <x:c r="D306" s="127" t="str">
        <x:v>青铜</x:v>
      </x:c>
      <x:c r="E306" s="38" t="str">
        <x:v>治疗</x:v>
      </x:c>
      <x:c r="F306" s="38" t="str">
        <x:v>两格</x:v>
      </x:c>
      <x:c r="G306" s="38" t="str">
        <x:v>bz_van_305</x:v>
      </x:c>
      <x:c r="H306" s="38" t="str">
        <x:v>night_base, elem_火, elem_水, elem_冰, elem_暗, elem_龙, role_控制, special_merchant, role_火系压制</x:v>
      </x:c>
      <x:c r="I306" s="38" t="n">
        <x:v>9</x:v>
      </x:c>
      <x:c r="J306" s="38" t="n">
        <x:v>34</x:v>
      </x:c>
      <x:c r="K306" s="38" t="n">
        <x:v>6</x:v>
      </x:c>
      <x:c r="L306" s="38" t="n">
        <x:v>2</x:v>
      </x:c>
      <x:c r="M306" s="38" t="n">
        <x:v>3</x:v>
      </x:c>
      <x:c r="N306" s="38" t="n">
        <x:v>1</x:v>
      </x:c>
      <x:c r="O306" s="38" t="str">
        <x:v>mech_shield_regen</x:v>
      </x:c>
      <x:c r="P306" s="38" t="str">
        <x:v>02 形状02</x:v>
      </x:c>
      <x:c r="Q306" s="38" t="str">
        <x:v>Restorative</x:v>
      </x:c>
      <x:c r="R306" s="38" t="str">
        <x:v>item_gap derived_gap_profile；来源=Vanessa Query Gap 青铜 29；攻击1格；商店关系保留来源节点后补足8店。</x:v>
      </x:c>
      <x:c r="S306" s="38" t="n">
        <x:v>3</x:v>
      </x:c>
      <x:c r="T306" s="38" t="n">
        <x:v>1</x:v>
      </x:c>
    </x:row>
    <x:row r="307">
      <x:c r="A307" s="38" t="str">
        <x:v>pal_306</x:v>
      </x:c>
      <x:c r="B307" s="38" t="str">
        <x:v>燎豹童</x:v>
      </x:c>
      <x:c r="C307" s="38" t="str">
        <x:v>火</x:v>
      </x:c>
      <x:c r="D307" s="127" t="str">
        <x:v>青铜</x:v>
      </x:c>
      <x:c r="E307" s="38" t="str">
        <x:v>输出</x:v>
      </x:c>
      <x:c r="F307" s="38" t="str">
        <x:v>一格</x:v>
      </x:c>
      <x:c r="G307" s="38" t="str">
        <x:v>bz_van_306</x:v>
      </x:c>
      <x:c r="H307" s="38" t="str">
        <x:v>night_base, elem_火, elem_水, elem_草, elem_雷, elem_地, elem_暗, role_召唤, role_机动, role_召唤铺场</x:v>
      </x:c>
      <x:c r="I307" s="38" t="n">
        <x:v>10</x:v>
      </x:c>
      <x:c r="J307" s="38" t="n">
        <x:v>22</x:v>
      </x:c>
      <x:c r="K307" s="38" t="n">
        <x:v>14</x:v>
      </x:c>
      <x:c r="L307" s="38" t="n">
        <x:v>0</x:v>
      </x:c>
      <x:c r="M307" s="38" t="n">
        <x:v>3</x:v>
      </x:c>
      <x:c r="N307" s="38" t="n">
        <x:v>1</x:v>
      </x:c>
      <x:c r="O307" s="38" t="str">
        <x:v>mech_fire_ignite_bonus</x:v>
      </x:c>
      <x:c r="P307" s="38" t="str">
        <x:v>04 形状04</x:v>
      </x:c>
      <x:c r="Q307" s="38" t="str">
        <x:v>Fiery</x:v>
      </x:c>
      <x:c r="R307" s="38" t="str">
        <x:v>item_gap derived_gap_profile；来源=Vanessa Query Gap 青铜 30；攻击1格；商店关系保留来源节点后补足8店。</x:v>
      </x:c>
      <x:c r="S307" s="38" t="n">
        <x:v>3</x:v>
      </x:c>
      <x:c r="T307" s="38" t="n">
        <x:v>1</x:v>
      </x:c>
    </x:row>
    <x:row r="308">
      <x:c r="A308" s="38" t="str">
        <x:v>pal_307</x:v>
      </x:c>
      <x:c r="B308" s="38" t="str">
        <x:v>赤蛇仔</x:v>
      </x:c>
      <x:c r="C308" s="38" t="str">
        <x:v>火、水</x:v>
      </x:c>
      <x:c r="D308" s="127" t="str">
        <x:v>青铜</x:v>
      </x:c>
      <x:c r="E308" s="38" t="str">
        <x:v>控制</x:v>
      </x:c>
      <x:c r="F308" s="38" t="str">
        <x:v>一格</x:v>
      </x:c>
      <x:c r="G308" s="38" t="str">
        <x:v>bz_van_307</x:v>
      </x:c>
      <x:c r="H308" s="38" t="str">
        <x:v>night_base, elem_火, elem_龙, elem_无, role_召唤, role_坦克, role_治疗, role_机动, elite_high, tier_pT2</x:v>
      </x:c>
      <x:c r="I308" s="38" t="n">
        <x:v>10</x:v>
      </x:c>
      <x:c r="J308" s="38" t="n">
        <x:v>26</x:v>
      </x:c>
      <x:c r="K308" s="38" t="n">
        <x:v>10</x:v>
      </x:c>
      <x:c r="L308" s="38" t="n">
        <x:v>0</x:v>
      </x:c>
      <x:c r="M308" s="38" t="n">
        <x:v>4</x:v>
      </x:c>
      <x:c r="N308" s="38" t="n">
        <x:v>2</x:v>
      </x:c>
      <x:c r="O308" s="38" t="str">
        <x:v>mech_fire_ignite_bonus</x:v>
      </x:c>
      <x:c r="P308" s="38" t="str">
        <x:v>09 形状09</x:v>
      </x:c>
      <x:c r="Q308" s="38" t="str">
        <x:v>Fiery</x:v>
      </x:c>
      <x:c r="R308" s="38" t="str">
        <x:v>item_gap derived_gap_profile；来源=Vanessa Query Gap 青铜 31；攻击2格；商店关系保留来源节点后补足8店。</x:v>
      </x:c>
      <x:c r="S308" s="38" t="n">
        <x:v>4</x:v>
      </x:c>
      <x:c r="T308" s="38" t="n">
        <x:v>1</x:v>
      </x:c>
    </x:row>
    <x:row r="309">
      <x:c r="A309" s="38" t="str">
        <x:v>pal_308</x:v>
      </x:c>
      <x:c r="B309" s="38" t="str">
        <x:v>汐燕仔</x:v>
      </x:c>
      <x:c r="C309" s="38" t="str">
        <x:v>水、雷</x:v>
      </x:c>
      <x:c r="D309" s="127" t="str">
        <x:v>青铜</x:v>
      </x:c>
      <x:c r="E309" s="38" t="str">
        <x:v>机动</x:v>
      </x:c>
      <x:c r="F309" s="38" t="str">
        <x:v>两格</x:v>
      </x:c>
      <x:c r="G309" s="38" t="str">
        <x:v>bz_van_308</x:v>
      </x:c>
      <x:c r="H309" s="38" t="str">
        <x:v>night_base, elem_火, elem_水, elem_冰, elem_龙, elem_无, role_控制, role_输出, tier_pT2, role_远点压制</x:v>
      </x:c>
      <x:c r="I309" s="38" t="n">
        <x:v>10</x:v>
      </x:c>
      <x:c r="J309" s="38" t="n">
        <x:v>28</x:v>
      </x:c>
      <x:c r="K309" s="38" t="n">
        <x:v>6</x:v>
      </x:c>
      <x:c r="L309" s="38" t="n">
        <x:v>0</x:v>
      </x:c>
      <x:c r="M309" s="38" t="n">
        <x:v>5</x:v>
      </x:c>
      <x:c r="N309" s="38" t="n">
        <x:v>1</x:v>
      </x:c>
      <x:c r="O309" s="38" t="str">
        <x:v>none</x:v>
      </x:c>
      <x:c r="P309" s="38" t="str">
        <x:v>02 形状02</x:v>
      </x:c>
      <x:c r="Q309" s="38" t="str">
        <x:v>Deadly</x:v>
      </x:c>
      <x:c r="R309" s="38" t="str">
        <x:v>item_gap derived_gap_profile；来源=Vanessa Query Gap 青铜 32；攻击1格；商店关系保留来源节点后补足8店。</x:v>
      </x:c>
      <x:c r="S309" s="38" t="n">
        <x:v>5</x:v>
      </x:c>
      <x:c r="T309" s="38" t="n">
        <x:v>1</x:v>
      </x:c>
    </x:row>
    <x:row r="310">
      <x:c r="A310" s="38" t="str">
        <x:v>pal_309</x:v>
      </x:c>
      <x:c r="B310" s="38" t="str">
        <x:v>碧鲲灵</x:v>
      </x:c>
      <x:c r="C310" s="38" t="str">
        <x:v>水、龙</x:v>
      </x:c>
      <x:c r="D310" s="127" t="str">
        <x:v>青铜</x:v>
      </x:c>
      <x:c r="E310" s="38" t="str">
        <x:v>召唤</x:v>
      </x:c>
      <x:c r="F310" s="38" t="str">
        <x:v>一格</x:v>
      </x:c>
      <x:c r="G310" s="38" t="str">
        <x:v>bz_van_309</x:v>
      </x:c>
      <x:c r="H310" s="38" t="str">
        <x:v>night_base, elem_火, elem_水, elem_草, elem_雷, elem_地, elem_龙, elem_无, role_召唤, tier_pT2</x:v>
      </x:c>
      <x:c r="I310" s="38" t="n">
        <x:v>10</x:v>
      </x:c>
      <x:c r="J310" s="38" t="n">
        <x:v>30</x:v>
      </x:c>
      <x:c r="K310" s="38" t="n">
        <x:v>8</x:v>
      </x:c>
      <x:c r="L310" s="38" t="n">
        <x:v>0</x:v>
      </x:c>
      <x:c r="M310" s="38" t="n">
        <x:v>3</x:v>
      </x:c>
      <x:c r="N310" s="38" t="n">
        <x:v>2</x:v>
      </x:c>
      <x:c r="O310" s="38" t="str">
        <x:v>mech_grow_shield_each_round</x:v>
      </x:c>
      <x:c r="P310" s="38" t="str">
        <x:v>07 形状07</x:v>
      </x:c>
      <x:c r="Q310" s="38" t="str">
        <x:v>Deadly</x:v>
      </x:c>
      <x:c r="R310" s="38" t="str">
        <x:v>item_gap derived_gap_profile；来源=Vanessa Query Gap 青铜 33；攻击2格；商店关系保留来源节点后补足8店。</x:v>
      </x:c>
      <x:c r="S310" s="38" t="n">
        <x:v>3</x:v>
      </x:c>
      <x:c r="T310" s="38" t="n">
        <x:v>1</x:v>
      </x:c>
    </x:row>
    <x:row r="311">
      <x:c r="A311" s="38" t="str">
        <x:v>pal_310</x:v>
      </x:c>
      <x:c r="B311" s="38" t="str">
        <x:v>汐熊仔</x:v>
      </x:c>
      <x:c r="C311" s="38" t="str">
        <x:v>水、地</x:v>
      </x:c>
      <x:c r="D311" s="127" t="str">
        <x:v>青铜</x:v>
      </x:c>
      <x:c r="E311" s="38" t="str">
        <x:v>坦克</x:v>
      </x:c>
      <x:c r="F311" s="38" t="str">
        <x:v>一格</x:v>
      </x:c>
      <x:c r="G311" s="38" t="str">
        <x:v>bz_van_310</x:v>
      </x:c>
      <x:c r="H311" s="38" t="str">
        <x:v>night_base, elem_火, elem_水, elem_草, elem_地, elem_暗, elem_龙, role_召唤, special_merchant</x:v>
      </x:c>
      <x:c r="I311" s="38" t="n">
        <x:v>9</x:v>
      </x:c>
      <x:c r="J311" s="38" t="n">
        <x:v>36</x:v>
      </x:c>
      <x:c r="K311" s="38" t="n">
        <x:v>8</x:v>
      </x:c>
      <x:c r="L311" s="38" t="n">
        <x:v>6</x:v>
      </x:c>
      <x:c r="M311" s="38" t="n">
        <x:v>3</x:v>
      </x:c>
      <x:c r="N311" s="38" t="n">
        <x:v>1</x:v>
      </x:c>
      <x:c r="O311" s="38" t="str">
        <x:v>mech_shield_flat</x:v>
      </x:c>
      <x:c r="P311" s="38" t="str">
        <x:v>04 形状04</x:v>
      </x:c>
      <x:c r="Q311" s="38" t="str">
        <x:v>Shielded</x:v>
      </x:c>
      <x:c r="R311" s="38" t="str">
        <x:v>item_gap derived_gap_profile；来源=Vanessa Query Gap 青铜 34；攻击1格；商店关系保留来源节点后补足8店。</x:v>
      </x:c>
      <x:c r="S311" s="38" t="n">
        <x:v>3</x:v>
      </x:c>
      <x:c r="T311" s="38" t="n">
        <x:v>1</x:v>
      </x:c>
    </x:row>
    <x:row r="312">
      <x:c r="A312" s="38" t="str">
        <x:v>pal_311</x:v>
      </x:c>
      <x:c r="B312" s="38" t="str">
        <x:v>朱雀灵</x:v>
      </x:c>
      <x:c r="C312" s="38" t="str">
        <x:v>火、龙</x:v>
      </x:c>
      <x:c r="D312" s="127" t="str">
        <x:v>青铜</x:v>
      </x:c>
      <x:c r="E312" s="38" t="str">
        <x:v>机动</x:v>
      </x:c>
      <x:c r="F312" s="38" t="str">
        <x:v>一格</x:v>
      </x:c>
      <x:c r="G312" s="38" t="str">
        <x:v>bz_van_311</x:v>
      </x:c>
      <x:c r="H312" s="38" t="str">
        <x:v>night_base, elem_火, elem_水, elem_草, elem_地, elem_暗, role_召唤, role_机动, tier_pT2, role_远点压制</x:v>
      </x:c>
      <x:c r="I312" s="38" t="n">
        <x:v>10</x:v>
      </x:c>
      <x:c r="J312" s="38" t="n">
        <x:v>22</x:v>
      </x:c>
      <x:c r="K312" s="38" t="n">
        <x:v>8</x:v>
      </x:c>
      <x:c r="L312" s="38" t="n">
        <x:v>0</x:v>
      </x:c>
      <x:c r="M312" s="38" t="n">
        <x:v>5</x:v>
      </x:c>
      <x:c r="N312" s="38" t="n">
        <x:v>2</x:v>
      </x:c>
      <x:c r="O312" s="38" t="str">
        <x:v>mech_fire_ignite_bonus</x:v>
      </x:c>
      <x:c r="P312" s="38" t="str">
        <x:v>05 形状05</x:v>
      </x:c>
      <x:c r="Q312" s="38" t="str">
        <x:v>Fiery</x:v>
      </x:c>
      <x:c r="R312" s="38" t="str">
        <x:v>item_gap derived_gap_profile；来源=Vanessa Query Gap 青铜 35；攻击2格；商店关系保留来源节点后补足8店。</x:v>
      </x:c>
      <x:c r="S312" s="38" t="n">
        <x:v>5</x:v>
      </x:c>
      <x:c r="T312" s="38" t="n">
        <x:v>1</x:v>
      </x:c>
    </x:row>
    <x:row r="313">
      <x:c r="A313" s="38" t="str">
        <x:v>pal_312</x:v>
      </x:c>
      <x:c r="B313" s="38" t="str">
        <x:v>霆螺灵</x:v>
      </x:c>
      <x:c r="C313" s="38" t="str">
        <x:v>雷、地</x:v>
      </x:c>
      <x:c r="D313" s="127" t="str">
        <x:v>青铜</x:v>
      </x:c>
      <x:c r="E313" s="38" t="str">
        <x:v>召唤</x:v>
      </x:c>
      <x:c r="F313" s="38" t="str">
        <x:v>一格</x:v>
      </x:c>
      <x:c r="G313" s="38" t="str">
        <x:v>bz_van_312</x:v>
      </x:c>
      <x:c r="H313" s="38" t="str">
        <x:v>night_base, elem_火, elem_水, elem_草, elem_雷, elem_地, elem_无, role_召唤, role_输出, tier_pT2</x:v>
      </x:c>
      <x:c r="I313" s="38" t="n">
        <x:v>10</x:v>
      </x:c>
      <x:c r="J313" s="38" t="n">
        <x:v>30</x:v>
      </x:c>
      <x:c r="K313" s="38" t="n">
        <x:v>8</x:v>
      </x:c>
      <x:c r="L313" s="38" t="n">
        <x:v>0</x:v>
      </x:c>
      <x:c r="M313" s="38" t="n">
        <x:v>3</x:v>
      </x:c>
      <x:c r="N313" s="38" t="n">
        <x:v>2</x:v>
      </x:c>
      <x:c r="O313" s="38" t="str">
        <x:v>mech_grow_shield_each_round</x:v>
      </x:c>
      <x:c r="P313" s="38" t="str">
        <x:v>06 形状06</x:v>
      </x:c>
      <x:c r="Q313" s="38" t="str">
        <x:v>Deadly</x:v>
      </x:c>
      <x:c r="R313" s="38" t="str">
        <x:v>item_gap derived_gap_profile；来源=Vanessa Query Gap 青铜 36；攻击2格；商店关系保留来源节点后补足8店。</x:v>
      </x:c>
      <x:c r="S313" s="38" t="n">
        <x:v>3</x:v>
      </x:c>
      <x:c r="T313" s="38" t="n">
        <x:v>1</x:v>
      </x:c>
    </x:row>
    <x:row r="314">
      <x:c r="A314" s="38" t="str">
        <x:v>pal_313</x:v>
      </x:c>
      <x:c r="B314" s="38" t="str">
        <x:v>沧狐兽</x:v>
      </x:c>
      <x:c r="C314" s="38" t="str">
        <x:v>水、雷</x:v>
      </x:c>
      <x:c r="D314" s="127" t="str">
        <x:v>青铜</x:v>
      </x:c>
      <x:c r="E314" s="38" t="str">
        <x:v>机动</x:v>
      </x:c>
      <x:c r="F314" s="38" t="str">
        <x:v>一格</x:v>
      </x:c>
      <x:c r="G314" s="38" t="str">
        <x:v>bz_van_313</x:v>
      </x:c>
      <x:c r="H314" s="38" t="str">
        <x:v>night_base, elem_火, elem_水, elem_草, elem_雷, elem_地, elem_龙, elem_无, role_召唤, tier_pT2</x:v>
      </x:c>
      <x:c r="I314" s="38" t="n">
        <x:v>10</x:v>
      </x:c>
      <x:c r="J314" s="38" t="n">
        <x:v>22</x:v>
      </x:c>
      <x:c r="K314" s="38" t="n">
        <x:v>8</x:v>
      </x:c>
      <x:c r="L314" s="38" t="n">
        <x:v>0</x:v>
      </x:c>
      <x:c r="M314" s="38" t="n">
        <x:v>5</x:v>
      </x:c>
      <x:c r="N314" s="38" t="n">
        <x:v>1</x:v>
      </x:c>
      <x:c r="O314" s="38" t="str">
        <x:v>none</x:v>
      </x:c>
      <x:c r="P314" s="38" t="str">
        <x:v>03 形状03</x:v>
      </x:c>
      <x:c r="Q314" s="38" t="str">
        <x:v>Turbo</x:v>
      </x:c>
      <x:c r="R314" s="38" t="str">
        <x:v>item_gap derived_gap_profile；来源=Vanessa Query Gap 青铜 37；攻击1格；商店关系保留来源节点后补足8店。</x:v>
      </x:c>
      <x:c r="S314" s="38" t="n">
        <x:v>5</x:v>
      </x:c>
      <x:c r="T314" s="38" t="n">
        <x:v>1</x:v>
      </x:c>
    </x:row>
    <x:row r="315">
      <x:c r="A315" s="38" t="str">
        <x:v>pal_314</x:v>
      </x:c>
      <x:c r="B315" s="38" t="str">
        <x:v>震燕将</x:v>
      </x:c>
      <x:c r="C315" s="38" t="str">
        <x:v>雷</x:v>
      </x:c>
      <x:c r="D315" s="133" t="str">
        <x:v>白银</x:v>
      </x:c>
      <x:c r="E315" s="38" t="str">
        <x:v>机动</x:v>
      </x:c>
      <x:c r="F315" s="38" t="str">
        <x:v>两格</x:v>
      </x:c>
      <x:c r="G315" s="38" t="str">
        <x:v>bz_van_314</x:v>
      </x:c>
      <x:c r="H315" s="38" t="str">
        <x:v>night_base, elem_火, elem_水, elem_冰, elem_地, elem_无, role_坦克, role_控制, role_治疗, role_经济</x:v>
      </x:c>
      <x:c r="I315" s="38" t="n">
        <x:v>10</x:v>
      </x:c>
      <x:c r="J315" s="38" t="n">
        <x:v>40</x:v>
      </x:c>
      <x:c r="K315" s="38" t="n">
        <x:v>12</x:v>
      </x:c>
      <x:c r="L315" s="38" t="n">
        <x:v>0</x:v>
      </x:c>
      <x:c r="M315" s="38" t="n">
        <x:v>5</x:v>
      </x:c>
      <x:c r="N315" s="38" t="n">
        <x:v>2</x:v>
      </x:c>
      <x:c r="O315" s="38" t="str">
        <x:v>none</x:v>
      </x:c>
      <x:c r="P315" s="38" t="str">
        <x:v>09 形状09</x:v>
      </x:c>
      <x:c r="Q315" s="38" t="str">
        <x:v>Turbo</x:v>
      </x:c>
      <x:c r="R315" s="38" t="str">
        <x:v>item_gap derived_gap_profile；来源=Vanessa Query Gap 白银 01；攻击2格；商店关系保留来源节点后补足8店。</x:v>
      </x:c>
      <x:c r="S315" s="38" t="n">
        <x:v>5</x:v>
      </x:c>
      <x:c r="T315" s="38" t="n">
        <x:v>2</x:v>
      </x:c>
    </x:row>
    <x:row r="316">
      <x:c r="A316" s="38" t="str">
        <x:v>pal_315</x:v>
      </x:c>
      <x:c r="B316" s="38" t="str">
        <x:v>炎燕将</x:v>
      </x:c>
      <x:c r="C316" s="38" t="str">
        <x:v>火</x:v>
      </x:c>
      <x:c r="D316" s="133" t="str">
        <x:v>白银</x:v>
      </x:c>
      <x:c r="E316" s="38" t="str">
        <x:v>机动</x:v>
      </x:c>
      <x:c r="F316" s="38" t="str">
        <x:v>两格</x:v>
      </x:c>
      <x:c r="G316" s="38" t="str">
        <x:v>bz_van_315</x:v>
      </x:c>
      <x:c r="H316" s="38" t="str">
        <x:v>night_base, elem_火, elem_水, elem_冰, elem_地, elem_暗, role_控制, role_治疗, role_经济, role_召唤铺场</x:v>
      </x:c>
      <x:c r="I316" s="38" t="n">
        <x:v>10</x:v>
      </x:c>
      <x:c r="J316" s="38" t="n">
        <x:v>40</x:v>
      </x:c>
      <x:c r="K316" s="38" t="n">
        <x:v>12</x:v>
      </x:c>
      <x:c r="L316" s="38" t="n">
        <x:v>0</x:v>
      </x:c>
      <x:c r="M316" s="38" t="n">
        <x:v>5</x:v>
      </x:c>
      <x:c r="N316" s="38" t="n">
        <x:v>2</x:v>
      </x:c>
      <x:c r="O316" s="38" t="str">
        <x:v>none</x:v>
      </x:c>
      <x:c r="P316" s="38" t="str">
        <x:v>10 形状10</x:v>
      </x:c>
      <x:c r="Q316" s="38" t="str">
        <x:v>Turbo</x:v>
      </x:c>
      <x:c r="R316" s="38" t="str">
        <x:v>item_gap derived_gap_profile；来源=Vanessa Query Gap 白银 02；攻击2格；商店关系保留来源节点后补足8店。</x:v>
      </x:c>
      <x:c r="S316" s="38" t="n">
        <x:v>5</x:v>
      </x:c>
      <x:c r="T316" s="38" t="n">
        <x:v>2</x:v>
      </x:c>
    </x:row>
    <x:row r="317">
      <x:c r="A317" s="38" t="str">
        <x:v>pal_316</x:v>
      </x:c>
      <x:c r="B317" s="38" t="str">
        <x:v>沧鲭卫</x:v>
      </x:c>
      <x:c r="C317" s="38" t="str">
        <x:v>水、龙</x:v>
      </x:c>
      <x:c r="D317" s="133" t="str">
        <x:v>白银</x:v>
      </x:c>
      <x:c r="E317" s="38" t="str">
        <x:v>机动</x:v>
      </x:c>
      <x:c r="F317" s="38" t="str">
        <x:v>两格</x:v>
      </x:c>
      <x:c r="G317" s="38" t="str">
        <x:v>bz_van_316</x:v>
      </x:c>
      <x:c r="H317" s="38" t="str">
        <x:v>night_base, elem_火, elem_水, elem_冰, elem_龙, elem_无, role_控制, tier_pT1, role_远点压制, role_风系牵制</x:v>
      </x:c>
      <x:c r="I317" s="38" t="n">
        <x:v>10</x:v>
      </x:c>
      <x:c r="J317" s="38" t="n">
        <x:v>40</x:v>
      </x:c>
      <x:c r="K317" s="38" t="n">
        <x:v>12</x:v>
      </x:c>
      <x:c r="L317" s="38" t="n">
        <x:v>0</x:v>
      </x:c>
      <x:c r="M317" s="38" t="n">
        <x:v>5</x:v>
      </x:c>
      <x:c r="N317" s="38" t="n">
        <x:v>2</x:v>
      </x:c>
      <x:c r="O317" s="38" t="str">
        <x:v>none</x:v>
      </x:c>
      <x:c r="P317" s="38" t="str">
        <x:v>07 形状07</x:v>
      </x:c>
      <x:c r="Q317" s="38" t="str">
        <x:v>Deadly</x:v>
      </x:c>
      <x:c r="R317" s="38" t="str">
        <x:v>item_gap derived_gap_profile；来源=Vanessa Query Gap 白银 03；攻击2格；商店关系保留来源节点后补足8店。</x:v>
      </x:c>
      <x:c r="S317" s="38" t="n">
        <x:v>5</x:v>
      </x:c>
      <x:c r="T317" s="38" t="n">
        <x:v>2</x:v>
      </x:c>
    </x:row>
    <x:row r="318">
      <x:c r="A318" s="38" t="str">
        <x:v>pal_317</x:v>
      </x:c>
      <x:c r="B318" s="38" t="str">
        <x:v>焰狐卫</x:v>
      </x:c>
      <x:c r="C318" s="38" t="str">
        <x:v>火</x:v>
      </x:c>
      <x:c r="D318" s="133" t="str">
        <x:v>白银</x:v>
      </x:c>
      <x:c r="E318" s="38" t="str">
        <x:v>机动</x:v>
      </x:c>
      <x:c r="F318" s="38" t="str">
        <x:v>两格</x:v>
      </x:c>
      <x:c r="G318" s="38" t="str">
        <x:v>bz_van_317</x:v>
      </x:c>
      <x:c r="H318" s="38" t="str">
        <x:v>night_base, elem_火, elem_水, elem_冰, elem_地, elem_暗, role_控制, role_治疗, role_经济, role_机动</x:v>
      </x:c>
      <x:c r="I318" s="38" t="n">
        <x:v>10</x:v>
      </x:c>
      <x:c r="J318" s="38" t="n">
        <x:v>40</x:v>
      </x:c>
      <x:c r="K318" s="38" t="n">
        <x:v>12</x:v>
      </x:c>
      <x:c r="L318" s="38" t="n">
        <x:v>0</x:v>
      </x:c>
      <x:c r="M318" s="38" t="n">
        <x:v>5</x:v>
      </x:c>
      <x:c r="N318" s="38" t="n">
        <x:v>2</x:v>
      </x:c>
      <x:c r="O318" s="38" t="str">
        <x:v>mech_fire_ignite_bonus</x:v>
      </x:c>
      <x:c r="P318" s="38" t="str">
        <x:v>08 形状08</x:v>
      </x:c>
      <x:c r="Q318" s="38" t="str">
        <x:v>Fiery</x:v>
      </x:c>
      <x:c r="R318" s="38" t="str">
        <x:v>item_gap derived_gap_profile；来源=Vanessa Query Gap 白银 04；攻击2格；商店关系保留来源节点后补足8店。</x:v>
      </x:c>
      <x:c r="S318" s="38" t="n">
        <x:v>5</x:v>
      </x:c>
      <x:c r="T318" s="38" t="n">
        <x:v>2</x:v>
      </x:c>
    </x:row>
    <x:row r="319">
      <x:c r="A319" s="38" t="str">
        <x:v>pal_318</x:v>
      </x:c>
      <x:c r="B319" s="38" t="str">
        <x:v>蛟隼妖</x:v>
      </x:c>
      <x:c r="C319" s="38" t="str">
        <x:v>龙</x:v>
      </x:c>
      <x:c r="D319" s="133" t="str">
        <x:v>白银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night_base, elem_火, elem_水, elem_草, elem_雷, elem_地, elem_龙, elem_无, role_召唤, role_风系铺场</x:v>
      </x:c>
      <x:c r="I319" s="38" t="n">
        <x:v>10</x:v>
      </x:c>
      <x:c r="J319" s="38" t="n">
        <x:v>34</x:v>
      </x:c>
      <x:c r="K319" s="38" t="n">
        <x:v>22</x:v>
      </x:c>
      <x:c r="L319" s="38" t="n">
        <x:v>0</x:v>
      </x:c>
      <x:c r="M319" s="38" t="n">
        <x:v>3</x:v>
      </x:c>
      <x:c r="N319" s="38" t="n">
        <x:v>2</x:v>
      </x:c>
      <x:c r="O319" s="38" t="str">
        <x:v>mech_grow_atk_each_round</x:v>
      </x:c>
      <x:c r="P319" s="38" t="str">
        <x:v>05 形状05</x:v>
      </x:c>
      <x:c r="Q319" s="38" t="str">
        <x:v>Deadly</x:v>
      </x:c>
      <x:c r="R319" s="38" t="str">
        <x:v>item_gap derived_gap_profile；来源=Vanessa Query Gap 白银 05；攻击2格；商店关系保留来源节点后补足8店。</x:v>
      </x:c>
      <x:c r="S319" s="38" t="n">
        <x:v>3</x:v>
      </x:c>
      <x:c r="T319" s="38" t="n">
        <x:v>2</x:v>
      </x:c>
    </x:row>
    <x:row r="320">
      <x:c r="A320" s="38" t="str">
        <x:v>pal_319</x:v>
      </x:c>
      <x:c r="B320" s="38" t="str">
        <x:v>闪隼妖</x:v>
      </x:c>
      <x:c r="C320" s="38" t="str">
        <x:v>雷</x:v>
      </x:c>
      <x:c r="D320" s="133" t="str">
        <x:v>白银</x:v>
      </x:c>
      <x:c r="E320" s="38" t="str">
        <x:v>输出</x:v>
      </x:c>
      <x:c r="F320" s="38" t="str">
        <x:v>一格</x:v>
      </x:c>
      <x:c r="G320" s="38" t="str">
        <x:v>bz_van_319</x:v>
      </x:c>
      <x:c r="H320" s="38" t="str">
        <x:v>night_base, elem_火, elem_水, elem_草, elem_雷, elem_地, elem_暗, role_召唤, role_坦克, role_风系铺场</x:v>
      </x:c>
      <x:c r="I320" s="38" t="n">
        <x:v>10</x:v>
      </x:c>
      <x:c r="J320" s="38" t="n">
        <x:v>34</x:v>
      </x:c>
      <x:c r="K320" s="38" t="n">
        <x:v>22</x:v>
      </x:c>
      <x:c r="L320" s="38" t="n">
        <x:v>0</x:v>
      </x:c>
      <x:c r="M320" s="38" t="n">
        <x:v>3</x:v>
      </x:c>
      <x:c r="N320" s="38" t="n">
        <x:v>3</x:v>
      </x:c>
      <x:c r="O320" s="38" t="str">
        <x:v>mech_grow_atk_each_round</x:v>
      </x:c>
      <x:c r="P320" s="38" t="str">
        <x:v>19 形状19</x:v>
      </x:c>
      <x:c r="Q320" s="38" t="str">
        <x:v>Deadly</x:v>
      </x:c>
      <x:c r="R320" s="38" t="str">
        <x:v>item_gap derived_gap_profile；来源=Vanessa Query Gap 白银 06；攻击3格；商店关系保留来源节点后补足8店。</x:v>
      </x:c>
      <x:c r="S320" s="38" t="n">
        <x:v>3</x:v>
      </x:c>
      <x:c r="T320" s="38" t="n">
        <x:v>2</x:v>
      </x:c>
    </x:row>
    <x:row r="321">
      <x:c r="A321" s="38" t="str">
        <x:v>pal_320</x:v>
      </x:c>
      <x:c r="B321" s="38" t="str">
        <x:v>潮狐精</x:v>
      </x:c>
      <x:c r="C321" s="38" t="str">
        <x:v>水、雷</x:v>
      </x:c>
      <x:c r="D321" s="133" t="str">
        <x:v>白银</x:v>
      </x:c>
      <x:c r="E321" s="38" t="str">
        <x:v>机动</x:v>
      </x:c>
      <x:c r="F321" s="38" t="str">
        <x:v>三格</x:v>
      </x:c>
      <x:c r="G321" s="38" t="str">
        <x:v>bz_van_320</x:v>
      </x:c>
      <x:c r="H321" s="38" t="str">
        <x:v>night_base, elem_火, elem_水, elem_草, elem_冰, elem_暗, elem_龙, role_坦克, role_治疗, role_经济</x:v>
      </x:c>
      <x:c r="I321" s="38" t="n">
        <x:v>10</x:v>
      </x:c>
      <x:c r="J321" s="38" t="n">
        <x:v>46</x:v>
      </x:c>
      <x:c r="K321" s="38" t="n">
        <x:v>10</x:v>
      </x:c>
      <x:c r="L321" s="38" t="n">
        <x:v>0</x:v>
      </x:c>
      <x:c r="M321" s="38" t="n">
        <x:v>5</x:v>
      </x:c>
      <x:c r="N321" s="38" t="n">
        <x:v>2</x:v>
      </x:c>
      <x:c r="O321" s="38" t="str">
        <x:v>none</x:v>
      </x:c>
      <x:c r="P321" s="38" t="str">
        <x:v>11 形状11</x:v>
      </x:c>
      <x:c r="Q321" s="38" t="str">
        <x:v>Turbo</x:v>
      </x:c>
      <x:c r="R321" s="38" t="str">
        <x:v>item_gap derived_gap_profile；来源=Vanessa Query Gap 白银 07；攻击2格；商店关系保留来源节点后补足8店。</x:v>
      </x:c>
      <x:c r="S321" s="38" t="n">
        <x:v>5</x:v>
      </x:c>
      <x:c r="T321" s="38" t="n">
        <x:v>2</x:v>
      </x:c>
    </x:row>
    <x:row r="322">
      <x:c r="A322" s="38" t="str">
        <x:v>pal_321</x:v>
      </x:c>
      <x:c r="B322" s="38" t="str">
        <x:v>澜隼精</x:v>
      </x:c>
      <x:c r="C322" s="38" t="str">
        <x:v>水</x:v>
      </x:c>
      <x:c r="D322" s="133" t="str">
        <x:v>白银</x:v>
      </x:c>
      <x:c r="E322" s="38" t="str">
        <x:v>机动</x:v>
      </x:c>
      <x:c r="F322" s="38" t="str">
        <x:v>两格</x:v>
      </x:c>
      <x:c r="G322" s="38" t="str">
        <x:v>bz_van_321</x:v>
      </x:c>
      <x:c r="H322" s="38" t="str">
        <x:v>night_base, elem_火, elem_水, elem_冰, elem_暗, elem_龙, role_控制, role_治疗, role_经济, role_召唤铺场</x:v>
      </x:c>
      <x:c r="I322" s="38" t="n">
        <x:v>10</x:v>
      </x:c>
      <x:c r="J322" s="38" t="n">
        <x:v>40</x:v>
      </x:c>
      <x:c r="K322" s="38" t="n">
        <x:v>12</x:v>
      </x:c>
      <x:c r="L322" s="38" t="n">
        <x:v>0</x:v>
      </x:c>
      <x:c r="M322" s="38" t="n">
        <x:v>5</x:v>
      </x:c>
      <x:c r="N322" s="38" t="n">
        <x:v>2</x:v>
      </x:c>
      <x:c r="O322" s="38" t="str">
        <x:v>none</x:v>
      </x:c>
      <x:c r="P322" s="38" t="str">
        <x:v>12 形状12</x:v>
      </x:c>
      <x:c r="Q322" s="38" t="str">
        <x:v>Turbo</x:v>
      </x:c>
      <x:c r="R322" s="38" t="str">
        <x:v>item_gap derived_gap_profile；来源=Vanessa Query Gap 白银 08；攻击2格；商店关系保留来源节点后补足8店。</x:v>
      </x:c>
      <x:c r="S322" s="38" t="n">
        <x:v>5</x:v>
      </x:c>
      <x:c r="T322" s="38" t="n">
        <x:v>2</x:v>
      </x:c>
    </x:row>
    <x:row r="323">
      <x:c r="A323" s="38" t="str">
        <x:v>pal_322</x:v>
      </x:c>
      <x:c r="B323" s="38" t="str">
        <x:v>寒狮卫</x:v>
      </x:c>
      <x:c r="C323" s="38" t="str">
        <x:v>冰</x:v>
      </x:c>
      <x:c r="D323" s="133" t="str">
        <x:v>白银</x:v>
      </x:c>
      <x:c r="E323" s="38" t="str">
        <x:v>输出</x:v>
      </x:c>
      <x:c r="F323" s="38" t="str">
        <x:v>两格</x:v>
      </x:c>
      <x:c r="G323" s="38" t="str">
        <x:v>bz_van_322</x:v>
      </x:c>
      <x:c r="H323" s="38" t="str">
        <x:v>night_base, elem_火, elem_水, elem_雷, elem_冰, elem_地, elem_暗, elem_龙, role_控制, role_风系铺场</x:v>
      </x:c>
      <x:c r="I323" s="38" t="n">
        <x:v>10</x:v>
      </x:c>
      <x:c r="J323" s="38" t="n">
        <x:v>40</x:v>
      </x:c>
      <x:c r="K323" s="38" t="n">
        <x:v>20</x:v>
      </x:c>
      <x:c r="L323" s="38" t="n">
        <x:v>0</x:v>
      </x:c>
      <x:c r="M323" s="38" t="n">
        <x:v>3</x:v>
      </x:c>
      <x:c r="N323" s="38" t="n">
        <x:v>2</x:v>
      </x:c>
      <x:c r="O323" s="38" t="str">
        <x:v>mech_grow_atk_each_round</x:v>
      </x:c>
      <x:c r="P323" s="38" t="str">
        <x:v>09 形状09</x:v>
      </x:c>
      <x:c r="Q323" s="38" t="str">
        <x:v>Shiny</x:v>
      </x:c>
      <x:c r="R323" s="38" t="str">
        <x:v>item_gap derived_gap_profile；来源=Vanessa Query Gap 白银 09；攻击2格；商店关系保留来源节点后补足8店。</x:v>
      </x:c>
      <x:c r="S323" s="38" t="n">
        <x:v>3</x:v>
      </x:c>
      <x:c r="T323" s="38" t="n">
        <x:v>2</x:v>
      </x:c>
    </x:row>
    <x:row r="324">
      <x:c r="A324" s="38" t="str">
        <x:v>pal_323</x:v>
      </x:c>
      <x:c r="B324" s="38" t="str">
        <x:v>朱隼精</x:v>
      </x:c>
      <x:c r="C324" s="38" t="str">
        <x:v>火</x:v>
      </x:c>
      <x:c r="D324" s="133" t="str">
        <x:v>白银</x:v>
      </x:c>
      <x:c r="E324" s="38" t="str">
        <x:v>输出</x:v>
      </x:c>
      <x:c r="F324" s="38" t="str">
        <x:v>两格</x:v>
      </x:c>
      <x:c r="G324" s="38" t="str">
        <x:v>bz_van_323</x:v>
      </x:c>
      <x:c r="H324" s="38" t="str">
        <x:v>night_base, elem_火, elem_水, elem_冰, elem_无, role_治疗, role_经济, role_机动, elite_high, tier_pT1</x:v>
      </x:c>
      <x:c r="I324" s="38" t="n">
        <x:v>10</x:v>
      </x:c>
      <x:c r="J324" s="38" t="n">
        <x:v>40</x:v>
      </x:c>
      <x:c r="K324" s="38" t="n">
        <x:v>20</x:v>
      </x:c>
      <x:c r="L324" s="38" t="n">
        <x:v>0</x:v>
      </x:c>
      <x:c r="M324" s="38" t="n">
        <x:v>3</x:v>
      </x:c>
      <x:c r="N324" s="38" t="n">
        <x:v>2</x:v>
      </x:c>
      <x:c r="O324" s="38" t="str">
        <x:v>mech_fire_ignite_bonus</x:v>
      </x:c>
      <x:c r="P324" s="38" t="str">
        <x:v>11 形状11</x:v>
      </x:c>
      <x:c r="Q324" s="38" t="str">
        <x:v>Fiery</x:v>
      </x:c>
      <x:c r="R324" s="38" t="str">
        <x:v>item_gap derived_gap_profile；来源=Vanessa Query Gap 白银 10；攻击2格；商店关系保留来源节点后补足8店。</x:v>
      </x:c>
      <x:c r="S324" s="38" t="n">
        <x:v>3</x:v>
      </x:c>
      <x:c r="T324" s="38" t="n">
        <x:v>2</x:v>
      </x:c>
    </x:row>
    <x:row r="325">
      <x:c r="A325" s="38" t="str">
        <x:v>pal_324</x:v>
      </x:c>
      <x:c r="B325" s="38" t="str">
        <x:v>汐蛇妖</x:v>
      </x:c>
      <x:c r="C325" s="38" t="str">
        <x:v>水</x:v>
      </x:c>
      <x:c r="D325" s="133" t="str">
        <x:v>白银</x:v>
      </x:c>
      <x:c r="E325" s="38" t="str">
        <x:v>控制</x:v>
      </x:c>
      <x:c r="F325" s="38" t="str">
        <x:v>一格</x:v>
      </x:c>
      <x:c r="G325" s="38" t="str">
        <x:v>bz_van_324</x:v>
      </x:c>
      <x:c r="H325" s="38" t="str">
        <x:v>night_base, elem_火, elem_水, elem_草, elem_地, elem_暗, elem_龙, role_召唤, role_治疗, elite_high</x:v>
      </x:c>
      <x:c r="I325" s="38" t="n">
        <x:v>10</x:v>
      </x:c>
      <x:c r="J325" s="38" t="n">
        <x:v>38</x:v>
      </x:c>
      <x:c r="K325" s="38" t="n">
        <x:v>16</x:v>
      </x:c>
      <x:c r="L325" s="38" t="n">
        <x:v>0</x:v>
      </x:c>
      <x:c r="M325" s="38" t="n">
        <x:v>4</x:v>
      </x:c>
      <x:c r="N325" s="38" t="n">
        <x:v>2</x:v>
      </x:c>
      <x:c r="O325" s="38" t="str">
        <x:v>mech_counter_damage</x:v>
      </x:c>
      <x:c r="P325" s="38" t="str">
        <x:v>06 形状06</x:v>
      </x:c>
      <x:c r="Q325" s="38" t="str">
        <x:v>Icy</x:v>
      </x:c>
      <x:c r="R325" s="38" t="str">
        <x:v>item_gap derived_gap_profile；来源=Vanessa Query Gap 白银 11；攻击2格；商店关系保留来源节点后补足8店。</x:v>
      </x:c>
      <x:c r="S325" s="38" t="n">
        <x:v>4</x:v>
      </x:c>
      <x:c r="T325" s="38" t="n">
        <x:v>2</x:v>
      </x:c>
    </x:row>
    <x:row r="326">
      <x:c r="A326" s="38" t="str">
        <x:v>pal_325</x:v>
      </x:c>
      <x:c r="B326" s="38" t="str">
        <x:v>潮虎妖</x:v>
      </x:c>
      <x:c r="C326" s="38" t="str">
        <x:v>水、雷</x:v>
      </x:c>
      <x:c r="D326" s="133" t="str">
        <x:v>白银</x:v>
      </x:c>
      <x:c r="E326" s="38" t="str">
        <x:v>输出</x:v>
      </x:c>
      <x:c r="F326" s="38" t="str">
        <x:v>三格</x:v>
      </x:c>
      <x:c r="G326" s="38" t="str">
        <x:v>bz_van_325</x:v>
      </x:c>
      <x:c r="H326" s="38" t="str">
        <x:v>elem_雷, elem_地, role_坦克, role_治疗, elite_high, tier_pT2, role_重甲抗压, role_风系铺场</x:v>
      </x:c>
      <x:c r="I326" s="38" t="n">
        <x:v>8</x:v>
      </x:c>
      <x:c r="J326" s="38" t="n">
        <x:v>46</x:v>
      </x:c>
      <x:c r="K326" s="38" t="n">
        <x:v>18</x:v>
      </x:c>
      <x:c r="L326" s="38" t="n">
        <x:v>0</x:v>
      </x:c>
      <x:c r="M326" s="38" t="n">
        <x:v>2</x:v>
      </x:c>
      <x:c r="N326" s="38" t="n">
        <x:v>2</x:v>
      </x:c>
      <x:c r="O326" s="38" t="str">
        <x:v>mech_grow_atk_each_round</x:v>
      </x:c>
      <x:c r="P326" s="38" t="str">
        <x:v>05 形状05</x:v>
      </x:c>
      <x:c r="Q326" s="38" t="str">
        <x:v>Deadly</x:v>
      </x:c>
      <x:c r="R326" s="38" t="str">
        <x:v>item_gap derived_gap_profile；来源=Vanessa Query Gap 白银 12；攻击2格；商店关系保留来源节点后补足8店。</x:v>
      </x:c>
      <x:c r="S326" s="38" t="n">
        <x:v>2</x:v>
      </x:c>
      <x:c r="T326" s="38" t="n">
        <x:v>2</x:v>
      </x:c>
    </x:row>
    <x:row r="327">
      <x:c r="A327" s="38" t="str">
        <x:v>pal_326</x:v>
      </x:c>
      <x:c r="B327" s="38" t="str">
        <x:v>闪猿将</x:v>
      </x:c>
      <x:c r="C327" s="38" t="str">
        <x:v>雷</x:v>
      </x:c>
      <x:c r="D327" s="133" t="str">
        <x:v>白银</x:v>
      </x:c>
      <x:c r="E327" s="38" t="str">
        <x:v>机动</x:v>
      </x:c>
      <x:c r="F327" s="38" t="str">
        <x:v>一格</x:v>
      </x:c>
      <x:c r="G327" s="38" t="str">
        <x:v>bz_van_326</x:v>
      </x:c>
      <x:c r="H327" s="38" t="str">
        <x:v>night_base, elem_火, elem_水, elem_草, elem_雷, elem_地, elem_暗, role_召唤, role_输出, tier_pT1</x:v>
      </x:c>
      <x:c r="I327" s="38" t="n">
        <x:v>10</x:v>
      </x:c>
      <x:c r="J327" s="38" t="n">
        <x:v>34</x:v>
      </x:c>
      <x:c r="K327" s="38" t="n">
        <x:v>14</x:v>
      </x:c>
      <x:c r="L327" s="38" t="n">
        <x:v>0</x:v>
      </x:c>
      <x:c r="M327" s="38" t="n">
        <x:v>5</x:v>
      </x:c>
      <x:c r="N327" s="38" t="n">
        <x:v>2</x:v>
      </x:c>
      <x:c r="O327" s="38" t="str">
        <x:v>none</x:v>
      </x:c>
      <x:c r="P327" s="38" t="str">
        <x:v>08 形状08</x:v>
      </x:c>
      <x:c r="Q327" s="38" t="str">
        <x:v>Turbo</x:v>
      </x:c>
      <x:c r="R327" s="38" t="str">
        <x:v>item_gap derived_gap_profile；来源=Vanessa Query Gap 白银 13；攻击2格；商店关系保留来源节点后补足8店。</x:v>
      </x:c>
      <x:c r="S327" s="38" t="n">
        <x:v>5</x:v>
      </x:c>
      <x:c r="T327" s="38" t="n">
        <x:v>2</x:v>
      </x:c>
    </x:row>
    <x:row r="328">
      <x:c r="A328" s="38" t="str">
        <x:v>pal_327</x:v>
      </x:c>
      <x:c r="B328" s="38" t="str">
        <x:v>雷虎卫</x:v>
      </x:c>
      <x:c r="C328" s="38" t="str">
        <x:v>雷</x:v>
      </x:c>
      <x:c r="D328" s="133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night_base, elem_火, elem_水, elem_雷, elem_冰, elem_地, elem_无, role_控制, role_输出, tier_pT1</x:v>
      </x:c>
      <x:c r="I328" s="38" t="n">
        <x:v>10</x:v>
      </x:c>
      <x:c r="J328" s="38" t="n">
        <x:v>40</x:v>
      </x:c>
      <x:c r="K328" s="38" t="n">
        <x:v>20</x:v>
      </x:c>
      <x:c r="L328" s="38" t="n">
        <x:v>0</x:v>
      </x:c>
      <x:c r="M328" s="38" t="n">
        <x:v>3</x:v>
      </x:c>
      <x:c r="N328" s="38" t="n">
        <x:v>2</x:v>
      </x:c>
      <x:c r="O328" s="38" t="str">
        <x:v>mech_grow_atk_each_round</x:v>
      </x:c>
      <x:c r="P328" s="38" t="str">
        <x:v>07 形状07</x:v>
      </x:c>
      <x:c r="Q328" s="38" t="str">
        <x:v>Deadly</x:v>
      </x:c>
      <x:c r="R328" s="38" t="str">
        <x:v>item_gap derived_gap_profile；来源=Vanessa Query Gap 白银 14；攻击2格；商店关系保留来源节点后补足8店。</x:v>
      </x:c>
      <x:c r="S328" s="38" t="n">
        <x:v>3</x:v>
      </x:c>
      <x:c r="T328" s="38" t="n">
        <x:v>2</x:v>
      </x:c>
    </x:row>
    <x:row r="329">
      <x:c r="A329" s="38" t="str">
        <x:v>pal_328</x:v>
      </x:c>
      <x:c r="B329" s="38" t="str">
        <x:v>燎貂将</x:v>
      </x:c>
      <x:c r="C329" s="38" t="str">
        <x:v>火、水</x:v>
      </x:c>
      <x:c r="D329" s="133" t="str">
        <x:v>白银</x:v>
      </x:c>
      <x:c r="E329" s="38" t="str">
        <x:v>控制</x:v>
      </x:c>
      <x:c r="F329" s="38" t="str">
        <x:v>两格</x:v>
      </x:c>
      <x:c r="G329" s="38" t="str">
        <x:v>bz_van_328</x:v>
      </x:c>
      <x:c r="H329" s="38" t="str">
        <x:v>night_base, elem_火, elem_水, elem_冰, elem_暗, elem_龙, role_治疗, role_机动, elite_high, tier_pT2</x:v>
      </x:c>
      <x:c r="I329" s="38" t="n">
        <x:v>10</x:v>
      </x:c>
      <x:c r="J329" s="38" t="n">
        <x:v>44</x:v>
      </x:c>
      <x:c r="K329" s="38" t="n">
        <x:v>14</x:v>
      </x:c>
      <x:c r="L329" s="38" t="n">
        <x:v>0</x:v>
      </x:c>
      <x:c r="M329" s="38" t="n">
        <x:v>4</x:v>
      </x:c>
      <x:c r="N329" s="38" t="n">
        <x:v>2</x:v>
      </x:c>
      <x:c r="O329" s="38" t="str">
        <x:v>mech_fire_ignite_bonus</x:v>
      </x:c>
      <x:c r="P329" s="38" t="str">
        <x:v>10 形状10</x:v>
      </x:c>
      <x:c r="Q329" s="38" t="str">
        <x:v>Fiery</x:v>
      </x:c>
      <x:c r="R329" s="38" t="str">
        <x:v>item_gap derived_gap_profile；来源=Vanessa Query Gap 白银 15；攻击2格；商店关系保留来源节点后补足8店。</x:v>
      </x:c>
      <x:c r="S329" s="38" t="n">
        <x:v>4</x:v>
      </x:c>
      <x:c r="T329" s="38" t="n">
        <x:v>2</x:v>
      </x:c>
    </x:row>
    <x:row r="330">
      <x:c r="A330" s="38" t="str">
        <x:v>pal_329</x:v>
      </x:c>
      <x:c r="B330" s="38" t="str">
        <x:v>苔蝎将</x:v>
      </x:c>
      <x:c r="C330" s="38" t="str">
        <x:v>草</x:v>
      </x:c>
      <x:c r="D330" s="133" t="str">
        <x:v>白银</x:v>
      </x:c>
      <x:c r="E330" s="38" t="str">
        <x:v>控制</x:v>
      </x:c>
      <x:c r="F330" s="38" t="str">
        <x:v>一格</x:v>
      </x:c>
      <x:c r="G330" s="38" t="str">
        <x:v>bz_van_329</x:v>
      </x:c>
      <x:c r="H330" s="38" t="str">
        <x:v>night_base, elem_火, elem_水, elem_草, elem_无, role_召唤, role_治疗, elite_high, tier_pT1, role_重甲抗压</x:v>
      </x:c>
      <x:c r="I330" s="38" t="n">
        <x:v>10</x:v>
      </x:c>
      <x:c r="J330" s="38" t="n">
        <x:v>38</x:v>
      </x:c>
      <x:c r="K330" s="38" t="n">
        <x:v>16</x:v>
      </x:c>
      <x:c r="L330" s="38" t="n">
        <x:v>0</x:v>
      </x:c>
      <x:c r="M330" s="38" t="n">
        <x:v>4</x:v>
      </x:c>
      <x:c r="N330" s="38" t="n">
        <x:v>2</x:v>
      </x:c>
      <x:c r="O330" s="38" t="str">
        <x:v>mech_counter_damage</x:v>
      </x:c>
      <x:c r="P330" s="38" t="str">
        <x:v>09 形状09</x:v>
      </x:c>
      <x:c r="Q330" s="38" t="str">
        <x:v>Icy</x:v>
      </x:c>
      <x:c r="R330" s="38" t="str">
        <x:v>item_gap derived_gap_profile；来源=Vanessa Query Gap 白银 16；攻击2格；商店关系保留来源节点后补足8店。</x:v>
      </x:c>
      <x:c r="S330" s="38" t="n">
        <x:v>4</x:v>
      </x:c>
      <x:c r="T330" s="38" t="n">
        <x:v>2</x:v>
      </x:c>
    </x:row>
    <x:row r="331">
      <x:c r="A331" s="38" t="str">
        <x:v>pal_330</x:v>
      </x:c>
      <x:c r="B331" s="38" t="str">
        <x:v>霆雀精</x:v>
      </x:c>
      <x:c r="C331" s="38" t="str">
        <x:v>雷</x:v>
      </x:c>
      <x:c r="D331" s="133" t="str">
        <x:v>白银</x:v>
      </x:c>
      <x:c r="E331" s="38" t="str">
        <x:v>机动</x:v>
      </x:c>
      <x:c r="F331" s="38" t="str">
        <x:v>两格</x:v>
      </x:c>
      <x:c r="G331" s="38" t="str">
        <x:v>bz_van_330</x:v>
      </x:c>
      <x:c r="H331" s="38" t="str">
        <x:v>night_base, elem_火, elem_水, elem_雷, elem_冰, elem_地, elem_暗, role_控制, tier_pT3, role_风系铺场</x:v>
      </x:c>
      <x:c r="I331" s="38" t="n">
        <x:v>10</x:v>
      </x:c>
      <x:c r="J331" s="38" t="n">
        <x:v>40</x:v>
      </x:c>
      <x:c r="K331" s="38" t="n">
        <x:v>12</x:v>
      </x:c>
      <x:c r="L331" s="38" t="n">
        <x:v>0</x:v>
      </x:c>
      <x:c r="M331" s="38" t="n">
        <x:v>5</x:v>
      </x:c>
      <x:c r="N331" s="38" t="n">
        <x:v>2</x:v>
      </x:c>
      <x:c r="O331" s="38" t="str">
        <x:v>none</x:v>
      </x:c>
      <x:c r="P331" s="38" t="str">
        <x:v>12 形状12</x:v>
      </x:c>
      <x:c r="Q331" s="38" t="str">
        <x:v>Turbo</x:v>
      </x:c>
      <x:c r="R331" s="38" t="str">
        <x:v>item_gap derived_gap_profile；来源=Vanessa Query Gap 白银 17；攻击2格；商店关系保留来源节点后补足8店。</x:v>
      </x:c>
      <x:c r="S331" s="38" t="n">
        <x:v>5</x:v>
      </x:c>
      <x:c r="T331" s="38" t="n">
        <x:v>2</x:v>
      </x:c>
    </x:row>
    <x:row r="332">
      <x:c r="A332" s="38" t="str">
        <x:v>pal_331</x:v>
      </x:c>
      <x:c r="B332" s="38" t="str">
        <x:v>沧狐将</x:v>
      </x:c>
      <x:c r="C332" s="38" t="str">
        <x:v>水、雷</x:v>
      </x:c>
      <x:c r="D332" s="133" t="str">
        <x:v>白银</x:v>
      </x:c>
      <x:c r="E332" s="38" t="str">
        <x:v>机动</x:v>
      </x:c>
      <x:c r="F332" s="38" t="str">
        <x:v>一格</x:v>
      </x:c>
      <x:c r="G332" s="38" t="str">
        <x:v>bz_van_331</x:v>
      </x:c>
      <x:c r="H332" s="38" t="str">
        <x:v>night_base, elem_火, elem_水, elem_暗, elem_龙, role_召唤, role_坦克, role_治疗, role_经济, tier_pT3</x:v>
      </x:c>
      <x:c r="I332" s="38" t="n">
        <x:v>10</x:v>
      </x:c>
      <x:c r="J332" s="38" t="n">
        <x:v>34</x:v>
      </x:c>
      <x:c r="K332" s="38" t="n">
        <x:v>14</x:v>
      </x:c>
      <x:c r="L332" s="38" t="n">
        <x:v>0</x:v>
      </x:c>
      <x:c r="M332" s="38" t="n">
        <x:v>5</x:v>
      </x:c>
      <x:c r="N332" s="38" t="n">
        <x:v>2</x:v>
      </x:c>
      <x:c r="O332" s="38" t="str">
        <x:v>none</x:v>
      </x:c>
      <x:c r="P332" s="38" t="str">
        <x:v>11 形状11</x:v>
      </x:c>
      <x:c r="Q332" s="38" t="str">
        <x:v>Turbo</x:v>
      </x:c>
      <x:c r="R332" s="38" t="str">
        <x:v>item_gap derived_gap_profile；来源=Vanessa Query Gap 白银 18；攻击2格；商店关系保留来源节点后补足8店。</x:v>
      </x:c>
      <x:c r="S332" s="38" t="n">
        <x:v>5</x:v>
      </x:c>
      <x:c r="T332" s="38" t="n">
        <x:v>2</x:v>
      </x:c>
    </x:row>
    <x:row r="333">
      <x:c r="A333" s="38" t="str">
        <x:v>pal_332</x:v>
      </x:c>
      <x:c r="B333" s="38" t="str">
        <x:v>澜鳗妖</x:v>
      </x:c>
      <x:c r="C333" s="38" t="str">
        <x:v>水</x:v>
      </x:c>
      <x:c r="D333" s="133" t="str">
        <x:v>白银</x:v>
      </x:c>
      <x:c r="E333" s="38" t="str">
        <x:v>控制</x:v>
      </x:c>
      <x:c r="F333" s="38" t="str">
        <x:v>两格</x:v>
      </x:c>
      <x:c r="G333" s="38" t="str">
        <x:v>bz_van_332</x:v>
      </x:c>
      <x:c r="H333" s="38" t="str">
        <x:v>night_base, elem_火, elem_水, elem_冰, elem_暗, elem_龙, role_控制, role_治疗, elite_high, role_召唤铺场</x:v>
      </x:c>
      <x:c r="I333" s="38" t="n">
        <x:v>10</x:v>
      </x:c>
      <x:c r="J333" s="38" t="n">
        <x:v>44</x:v>
      </x:c>
      <x:c r="K333" s="38" t="n">
        <x:v>14</x:v>
      </x:c>
      <x:c r="L333" s="38" t="n">
        <x:v>0</x:v>
      </x:c>
      <x:c r="M333" s="38" t="n">
        <x:v>4</x:v>
      </x:c>
      <x:c r="N333" s="38" t="n">
        <x:v>2</x:v>
      </x:c>
      <x:c r="O333" s="38" t="str">
        <x:v>mech_counter_damage</x:v>
      </x:c>
      <x:c r="P333" s="38" t="str">
        <x:v>06 形状06</x:v>
      </x:c>
      <x:c r="Q333" s="38" t="str">
        <x:v>Icy</x:v>
      </x:c>
      <x:c r="R333" s="38" t="str">
        <x:v>item_gap derived_gap_profile；来源=Vanessa Query Gap 白银 19；攻击2格；商店关系保留来源节点后补足8店。</x:v>
      </x:c>
      <x:c r="S333" s="38" t="n">
        <x:v>4</x:v>
      </x:c>
      <x:c r="T333" s="38" t="n">
        <x:v>2</x:v>
      </x:c>
    </x:row>
    <x:row r="334">
      <x:c r="A334" s="38" t="str">
        <x:v>pal_333</x:v>
      </x:c>
      <x:c r="B334" s="38" t="str">
        <x:v>烬狐妖</x:v>
      </x:c>
      <x:c r="C334" s="38" t="str">
        <x:v>火、冰</x:v>
      </x:c>
      <x:c r="D334" s="133" t="str">
        <x:v>白银</x:v>
      </x:c>
      <x:c r="E334" s="38" t="str">
        <x:v>控制</x:v>
      </x:c>
      <x:c r="F334" s="38" t="str">
        <x:v>两格</x:v>
      </x:c>
      <x:c r="G334" s="38" t="str">
        <x:v>bz_van_333</x:v>
      </x:c>
      <x:c r="H334" s="38" t="str">
        <x:v>night_base, elem_火, elem_冰, elem_暗, elem_龙, role_坦克, role_机动, tier_pT1, role_抗压承伤, role_重甲抗压</x:v>
      </x:c>
      <x:c r="I334" s="38" t="n">
        <x:v>10</x:v>
      </x:c>
      <x:c r="J334" s="38" t="n">
        <x:v>44</x:v>
      </x:c>
      <x:c r="K334" s="38" t="n">
        <x:v>14</x:v>
      </x:c>
      <x:c r="L334" s="38" t="n">
        <x:v>0</x:v>
      </x:c>
      <x:c r="M334" s="38" t="n">
        <x:v>4</x:v>
      </x:c>
      <x:c r="N334" s="38" t="n">
        <x:v>2</x:v>
      </x:c>
      <x:c r="O334" s="38" t="str">
        <x:v>mech_fire_ignite_bonus</x:v>
      </x:c>
      <x:c r="P334" s="38" t="str">
        <x:v>10 形状10</x:v>
      </x:c>
      <x:c r="Q334" s="38" t="str">
        <x:v>Fiery</x:v>
      </x:c>
      <x:c r="R334" s="38" t="str">
        <x:v>item_gap derived_gap_profile；来源=Vanessa Query Gap 白银 20；攻击2格；商店关系保留来源节点后补足8店。</x:v>
      </x:c>
      <x:c r="S334" s="38" t="n">
        <x:v>4</x:v>
      </x:c>
      <x:c r="T334" s="38" t="n">
        <x:v>2</x:v>
      </x:c>
    </x:row>
    <x:row r="335">
      <x:c r="A335" s="38" t="str">
        <x:v>pal_334</x:v>
      </x:c>
      <x:c r="B335" s="38" t="str">
        <x:v>碧狐精</x:v>
      </x:c>
      <x:c r="C335" s="38" t="str">
        <x:v>水、龙</x:v>
      </x:c>
      <x:c r="D335" s="133" t="str">
        <x:v>白银</x:v>
      </x:c>
      <x:c r="E335" s="38" t="str">
        <x:v>机动</x:v>
      </x:c>
      <x:c r="F335" s="38" t="str">
        <x:v>两格</x:v>
      </x:c>
      <x:c r="G335" s="38" t="str">
        <x:v>bz_van_334</x:v>
      </x:c>
      <x:c r="H335" s="38" t="str">
        <x:v>night_base, elem_火, elem_水, elem_雷, elem_冰, elem_地, elem_暗, elem_龙, role_控制, role_治疗</x:v>
      </x:c>
      <x:c r="I335" s="38" t="n">
        <x:v>10</x:v>
      </x:c>
      <x:c r="J335" s="38" t="n">
        <x:v>40</x:v>
      </x:c>
      <x:c r="K335" s="38" t="n">
        <x:v>12</x:v>
      </x:c>
      <x:c r="L335" s="38" t="n">
        <x:v>0</x:v>
      </x:c>
      <x:c r="M335" s="38" t="n">
        <x:v>5</x:v>
      </x:c>
      <x:c r="N335" s="38" t="n">
        <x:v>2</x:v>
      </x:c>
      <x:c r="O335" s="38" t="str">
        <x:v>none</x:v>
      </x:c>
      <x:c r="P335" s="38" t="str">
        <x:v>07 形状07</x:v>
      </x:c>
      <x:c r="Q335" s="38" t="str">
        <x:v>Turbo</x:v>
      </x:c>
      <x:c r="R335" s="38" t="str">
        <x:v>item_gap derived_gap_profile；来源=Vanessa Query Gap 白银 21；攻击2格；商店关系保留来源节点后补足8店。</x:v>
      </x:c>
      <x:c r="S335" s="38" t="n">
        <x:v>5</x:v>
      </x:c>
      <x:c r="T335" s="38" t="n">
        <x:v>2</x:v>
      </x:c>
    </x:row>
    <x:row r="336">
      <x:c r="A336" s="38" t="str">
        <x:v>pal_335</x:v>
      </x:c>
      <x:c r="B336" s="38" t="str">
        <x:v>渊蛾卫</x:v>
      </x:c>
      <x:c r="C336" s="38" t="str">
        <x:v>水、雷</x:v>
      </x:c>
      <x:c r="D336" s="133" t="str">
        <x:v>白银</x:v>
      </x:c>
      <x:c r="E336" s="38" t="str">
        <x:v>召唤</x:v>
      </x:c>
      <x:c r="F336" s="38" t="str">
        <x:v>三格</x:v>
      </x:c>
      <x:c r="G336" s="38" t="str">
        <x:v>bz_van_335</x:v>
      </x:c>
      <x:c r="H336" s="38" t="str">
        <x:v>elem_草, elem_冰, role_召唤, role_控制, special_merchant, tier_pT1, role_抗压承伤, role_远点压制</x:v>
      </x:c>
      <x:c r="I336" s="38" t="n">
        <x:v>8</x:v>
      </x:c>
      <x:c r="J336" s="38" t="n">
        <x:v>54</x:v>
      </x:c>
      <x:c r="K336" s="38" t="n">
        <x:v>10</x:v>
      </x:c>
      <x:c r="L336" s="38" t="n">
        <x:v>0</x:v>
      </x:c>
      <x:c r="M336" s="38" t="n">
        <x:v>2</x:v>
      </x:c>
      <x:c r="N336" s="38" t="n">
        <x:v>2</x:v>
      </x:c>
      <x:c r="O336" s="38" t="str">
        <x:v>mech_grow_shield_each_round</x:v>
      </x:c>
      <x:c r="P336" s="38" t="str">
        <x:v>12 形状12</x:v>
      </x:c>
      <x:c r="Q336" s="38" t="str">
        <x:v>Deadly</x:v>
      </x:c>
      <x:c r="R336" s="38" t="str">
        <x:v>item_gap derived_gap_profile；来源=Vanessa Query Gap 白银 22；攻击2格；商店关系保留来源节点后补足8店。</x:v>
      </x:c>
      <x:c r="S336" s="38" t="n">
        <x:v>2</x:v>
      </x:c>
      <x:c r="T336" s="38" t="n">
        <x:v>2</x:v>
      </x:c>
    </x:row>
    <x:row r="337">
      <x:c r="A337" s="38" t="str">
        <x:v>pal_336</x:v>
      </x:c>
      <x:c r="B337" s="38" t="str">
        <x:v>潮狮妖</x:v>
      </x:c>
      <x:c r="C337" s="38" t="str">
        <x:v>水、雷</x:v>
      </x:c>
      <x:c r="D337" s="133" t="str">
        <x:v>白银</x:v>
      </x:c>
      <x:c r="E337" s="38" t="str">
        <x:v>输出</x:v>
      </x:c>
      <x:c r="F337" s="38" t="str">
        <x:v>两格</x:v>
      </x:c>
      <x:c r="G337" s="38" t="str">
        <x:v>bz_van_336</x:v>
      </x:c>
      <x:c r="H337" s="38" t="str">
        <x:v>night_base, elem_火, elem_水, elem_雷, elem_冰, elem_地, elem_暗, elem_龙, role_坦克, role_控制</x:v>
      </x:c>
      <x:c r="I337" s="38" t="n">
        <x:v>10</x:v>
      </x:c>
      <x:c r="J337" s="38" t="n">
        <x:v>40</x:v>
      </x:c>
      <x:c r="K337" s="38" t="n">
        <x:v>20</x:v>
      </x:c>
      <x:c r="L337" s="38" t="n">
        <x:v>0</x:v>
      </x:c>
      <x:c r="M337" s="38" t="n">
        <x:v>3</x:v>
      </x:c>
      <x:c r="N337" s="38" t="n">
        <x:v>2</x:v>
      </x:c>
      <x:c r="O337" s="38" t="str">
        <x:v>mech_grow_atk_each_round</x:v>
      </x:c>
      <x:c r="P337" s="38" t="str">
        <x:v>09 形状09</x:v>
      </x:c>
      <x:c r="Q337" s="38" t="str">
        <x:v>Deadly</x:v>
      </x:c>
      <x:c r="R337" s="38" t="str">
        <x:v>item_gap derived_gap_profile；来源=Vanessa Query Gap 白银 23；攻击2格；商店关系保留来源节点后补足8店。</x:v>
      </x:c>
      <x:c r="S337" s="38" t="n">
        <x:v>3</x:v>
      </x:c>
      <x:c r="T337" s="38" t="n">
        <x:v>2</x:v>
      </x:c>
    </x:row>
    <x:row r="338">
      <x:c r="A338" s="38" t="str">
        <x:v>pal_337</x:v>
      </x:c>
      <x:c r="B338" s="38" t="str">
        <x:v>夜狐将</x:v>
      </x:c>
      <x:c r="C338" s="38" t="str">
        <x:v>暗</x:v>
      </x:c>
      <x:c r="D338" s="133" t="str">
        <x:v>白银</x:v>
      </x:c>
      <x:c r="E338" s="38" t="str">
        <x:v>机动</x:v>
      </x:c>
      <x:c r="F338" s="38" t="str">
        <x:v>一格</x:v>
      </x:c>
      <x:c r="G338" s="38" t="str">
        <x:v>bz_van_337</x:v>
      </x:c>
      <x:c r="H338" s="38" t="str">
        <x:v>night_base, elem_火, elem_水, elem_草, elem_地, elem_暗, role_召唤, role_治疗, role_经济, tier_pT3</x:v>
      </x:c>
      <x:c r="I338" s="38" t="n">
        <x:v>10</x:v>
      </x:c>
      <x:c r="J338" s="38" t="n">
        <x:v>34</x:v>
      </x:c>
      <x:c r="K338" s="38" t="n">
        <x:v>14</x:v>
      </x:c>
      <x:c r="L338" s="38" t="n">
        <x:v>0</x:v>
      </x:c>
      <x:c r="M338" s="38" t="n">
        <x:v>5</x:v>
      </x:c>
      <x:c r="N338" s="38" t="n">
        <x:v>2</x:v>
      </x:c>
      <x:c r="O338" s="38" t="str">
        <x:v>none</x:v>
      </x:c>
      <x:c r="P338" s="38" t="str">
        <x:v>06 形状06</x:v>
      </x:c>
      <x:c r="Q338" s="38" t="str">
        <x:v>Turbo</x:v>
      </x:c>
      <x:c r="R338" s="38" t="str">
        <x:v>item_gap derived_gap_profile；来源=Vanessa Query Gap 白银 24；攻击2格；商店关系保留来源节点后补足8店。</x:v>
      </x:c>
      <x:c r="S338" s="38" t="n">
        <x:v>5</x:v>
      </x:c>
      <x:c r="T338" s="38" t="n">
        <x:v>2</x:v>
      </x:c>
    </x:row>
    <x:row r="339">
      <x:c r="A339" s="38" t="str">
        <x:v>pal_338</x:v>
      </x:c>
      <x:c r="B339" s="38" t="str">
        <x:v>寒蛇卫</x:v>
      </x:c>
      <x:c r="C339" s="38" t="str">
        <x:v>冰</x:v>
      </x:c>
      <x:c r="D339" s="133" t="str">
        <x:v>白银</x:v>
      </x:c>
      <x:c r="E339" s="38" t="str">
        <x:v>控制</x:v>
      </x:c>
      <x:c r="F339" s="38" t="str">
        <x:v>一格</x:v>
      </x:c>
      <x:c r="G339" s="38" t="str">
        <x:v>bz_van_338</x:v>
      </x:c>
      <x:c r="H339" s="38" t="str">
        <x:v>night_base, elem_火, elem_水, elem_草, elem_雷, elem_地, elem_无, role_召唤, role_召唤铺场, role_抗压承伤</x:v>
      </x:c>
      <x:c r="I339" s="38" t="n">
        <x:v>10</x:v>
      </x:c>
      <x:c r="J339" s="38" t="n">
        <x:v>38</x:v>
      </x:c>
      <x:c r="K339" s="38" t="n">
        <x:v>16</x:v>
      </x:c>
      <x:c r="L339" s="38" t="n">
        <x:v>0</x:v>
      </x:c>
      <x:c r="M339" s="38" t="n">
        <x:v>4</x:v>
      </x:c>
      <x:c r="N339" s="38" t="n">
        <x:v>2</x:v>
      </x:c>
      <x:c r="O339" s="38" t="str">
        <x:v>mech_counter_damage</x:v>
      </x:c>
      <x:c r="P339" s="38" t="str">
        <x:v>11 形状11</x:v>
      </x:c>
      <x:c r="Q339" s="38" t="str">
        <x:v>Icy</x:v>
      </x:c>
      <x:c r="R339" s="38" t="str">
        <x:v>item_gap derived_gap_profile；来源=Vanessa Query Gap 白银 25；攻击2格；商店关系保留来源节点后补足8店。</x:v>
      </x:c>
      <x:c r="S339" s="38" t="n">
        <x:v>4</x:v>
      </x:c>
      <x:c r="T339" s="38" t="n">
        <x:v>2</x:v>
      </x:c>
    </x:row>
    <x:row r="340">
      <x:c r="A340" s="38" t="str">
        <x:v>pal_339</x:v>
      </x:c>
      <x:c r="B340" s="38" t="str">
        <x:v>烬狮妖</x:v>
      </x:c>
      <x:c r="C340" s="38" t="str">
        <x:v>火</x:v>
      </x:c>
      <x:c r="D340" s="133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night_base, elem_火, elem_水, elem_草, elem_雷, elem_地, elem_暗, role_召唤, role_机动, role_风系铺场</x:v>
      </x:c>
      <x:c r="I340" s="38" t="n">
        <x:v>10</x:v>
      </x:c>
      <x:c r="J340" s="38" t="n">
        <x:v>34</x:v>
      </x:c>
      <x:c r="K340" s="38" t="n">
        <x:v>22</x:v>
      </x:c>
      <x:c r="L340" s="38" t="n">
        <x:v>0</x:v>
      </x:c>
      <x:c r="M340" s="38" t="n">
        <x:v>3</x:v>
      </x:c>
      <x:c r="N340" s="38" t="n">
        <x:v>2</x:v>
      </x:c>
      <x:c r="O340" s="38" t="str">
        <x:v>mech_fire_ignite_bonus</x:v>
      </x:c>
      <x:c r="P340" s="38" t="str">
        <x:v>08 形状08</x:v>
      </x:c>
      <x:c r="Q340" s="38" t="str">
        <x:v>Fiery</x:v>
      </x:c>
      <x:c r="R340" s="38" t="str">
        <x:v>item_gap derived_gap_profile；来源=Vanessa Query Gap 白银 26；攻击2格；商店关系保留来源节点后补足8店。</x:v>
      </x:c>
      <x:c r="S340" s="38" t="n">
        <x:v>3</x:v>
      </x:c>
      <x:c r="T340" s="38" t="n">
        <x:v>2</x:v>
      </x:c>
    </x:row>
    <x:row r="341">
      <x:c r="A341" s="38" t="str">
        <x:v>pal_340</x:v>
      </x:c>
      <x:c r="B341" s="38" t="str">
        <x:v>震貂将</x:v>
      </x:c>
      <x:c r="C341" s="38" t="str">
        <x:v>雷</x:v>
      </x:c>
      <x:c r="D341" s="133" t="str">
        <x:v>白银</x:v>
      </x:c>
      <x:c r="E341" s="38" t="str">
        <x:v>控制</x:v>
      </x:c>
      <x:c r="F341" s="38" t="str">
        <x:v>一格</x:v>
      </x:c>
      <x:c r="G341" s="38" t="str">
        <x:v>bz_van_340</x:v>
      </x:c>
      <x:c r="H341" s="38" t="str">
        <x:v>night_base, elem_火, elem_水, elem_暗, role_召唤, role_治疗, role_输出, elite_high, tier_pT1, tier_pT3</x:v>
      </x:c>
      <x:c r="I341" s="38" t="n">
        <x:v>10</x:v>
      </x:c>
      <x:c r="J341" s="38" t="n">
        <x:v>38</x:v>
      </x:c>
      <x:c r="K341" s="38" t="n">
        <x:v>16</x:v>
      </x:c>
      <x:c r="L341" s="38" t="n">
        <x:v>0</x:v>
      </x:c>
      <x:c r="M341" s="38" t="n">
        <x:v>4</x:v>
      </x:c>
      <x:c r="N341" s="38" t="n">
        <x:v>2</x:v>
      </x:c>
      <x:c r="O341" s="38" t="str">
        <x:v>mech_counter_damage</x:v>
      </x:c>
      <x:c r="P341" s="38" t="str">
        <x:v>05 形状05</x:v>
      </x:c>
      <x:c r="Q341" s="38" t="str">
        <x:v>Icy</x:v>
      </x:c>
      <x:c r="R341" s="38" t="str">
        <x:v>item_gap derived_gap_profile；来源=Vanessa Query Gap 白银 27；攻击2格；商店关系保留来源节点后补足8店。</x:v>
      </x:c>
      <x:c r="S341" s="38" t="n">
        <x:v>4</x:v>
      </x:c>
      <x:c r="T341" s="38" t="n">
        <x:v>2</x:v>
      </x:c>
    </x:row>
    <x:row r="342">
      <x:c r="A342" s="38" t="str">
        <x:v>pal_341</x:v>
      </x:c>
      <x:c r="B342" s="38" t="str">
        <x:v>闪燕卫</x:v>
      </x:c>
      <x:c r="C342" s="38" t="str">
        <x:v>雷</x:v>
      </x:c>
      <x:c r="D342" s="133" t="str">
        <x:v>白银</x:v>
      </x:c>
      <x:c r="E342" s="38" t="str">
        <x:v>机动</x:v>
      </x:c>
      <x:c r="F342" s="38" t="str">
        <x:v>两格</x:v>
      </x:c>
      <x:c r="G342" s="38" t="str">
        <x:v>bz_van_341</x:v>
      </x:c>
      <x:c r="H342" s="38" t="str">
        <x:v>night_base, elem_火, elem_水, elem_冰, elem_地, elem_无, role_坦克, role_控制, role_治疗, role_经济</x:v>
      </x:c>
      <x:c r="I342" s="38" t="n">
        <x:v>10</x:v>
      </x:c>
      <x:c r="J342" s="38" t="n">
        <x:v>40</x:v>
      </x:c>
      <x:c r="K342" s="38" t="n">
        <x:v>12</x:v>
      </x:c>
      <x:c r="L342" s="38" t="n">
        <x:v>0</x:v>
      </x:c>
      <x:c r="M342" s="38" t="n">
        <x:v>5</x:v>
      </x:c>
      <x:c r="N342" s="38" t="n">
        <x:v>2</x:v>
      </x:c>
      <x:c r="O342" s="38" t="str">
        <x:v>none</x:v>
      </x:c>
      <x:c r="P342" s="38" t="str">
        <x:v>10 形状10</x:v>
      </x:c>
      <x:c r="Q342" s="38" t="str">
        <x:v>Turbo</x:v>
      </x:c>
      <x:c r="R342" s="38" t="str">
        <x:v>item_gap derived_gap_profile；来源=Vanessa Query Gap 白银 28；攻击2格；商店关系保留来源节点后补足8店。</x:v>
      </x:c>
      <x:c r="S342" s="38" t="n">
        <x:v>5</x:v>
      </x:c>
      <x:c r="T342" s="38" t="n">
        <x:v>2</x:v>
      </x:c>
    </x:row>
    <x:row r="343">
      <x:c r="A343" s="38" t="str">
        <x:v>pal_342</x:v>
      </x:c>
      <x:c r="B343" s="38" t="str">
        <x:v>龙鲭精</x:v>
      </x:c>
      <x:c r="C343" s="38" t="str">
        <x:v>龙</x:v>
      </x:c>
      <x:c r="D343" s="133" t="str">
        <x:v>白银</x:v>
      </x:c>
      <x:c r="E343" s="38" t="str">
        <x:v>机动</x:v>
      </x:c>
      <x:c r="F343" s="38" t="str">
        <x:v>三格</x:v>
      </x:c>
      <x:c r="G343" s="38" t="str">
        <x:v>bz_van_342</x:v>
      </x:c>
      <x:c r="H343" s="38" t="str">
        <x:v>night_base, elem_火, elem_水, elem_草, elem_雷, elem_冰, elem_无, role_机动压制, role_远点压制, role_风系牵制</x:v>
      </x:c>
      <x:c r="I343" s="38" t="n">
        <x:v>10</x:v>
      </x:c>
      <x:c r="J343" s="38" t="n">
        <x:v>46</x:v>
      </x:c>
      <x:c r="K343" s="38" t="n">
        <x:v>10</x:v>
      </x:c>
      <x:c r="L343" s="38" t="n">
        <x:v>0</x:v>
      </x:c>
      <x:c r="M343" s="38" t="n">
        <x:v>5</x:v>
      </x:c>
      <x:c r="N343" s="38" t="n">
        <x:v>2</x:v>
      </x:c>
      <x:c r="O343" s="38" t="str">
        <x:v>none</x:v>
      </x:c>
      <x:c r="P343" s="38" t="str">
        <x:v>07 形状07</x:v>
      </x:c>
      <x:c r="Q343" s="38" t="str">
        <x:v>Deadly</x:v>
      </x:c>
      <x:c r="R343" s="38" t="str">
        <x:v>item_gap derived_gap_profile；来源=Vanessa Query Gap 白银 29；攻击2格；商店关系保留来源节点后补足8店。</x:v>
      </x:c>
      <x:c r="S343" s="38" t="n">
        <x:v>5</x:v>
      </x:c>
      <x:c r="T343" s="38" t="n">
        <x:v>2</x:v>
      </x:c>
    </x:row>
    <x:row r="344">
      <x:c r="A344" s="38" t="str">
        <x:v>pal_343</x:v>
      </x:c>
      <x:c r="B344" s="38" t="str">
        <x:v>青鳗精</x:v>
      </x:c>
      <x:c r="C344" s="38" t="str">
        <x:v>草</x:v>
      </x:c>
      <x:c r="D344" s="133" t="str">
        <x:v>白银</x:v>
      </x:c>
      <x:c r="E344" s="38" t="str">
        <x:v>控制</x:v>
      </x:c>
      <x:c r="F344" s="38" t="str">
        <x:v>一格</x:v>
      </x:c>
      <x:c r="G344" s="38" t="str">
        <x:v>bz_van_343</x:v>
      </x:c>
      <x:c r="H344" s="38" t="str">
        <x:v>night_base, elem_火, elem_水, elem_草, elem_雷, elem_地, elem_无, role_召唤, role_治疗, elite_high</x:v>
      </x:c>
      <x:c r="I344" s="38" t="n">
        <x:v>10</x:v>
      </x:c>
      <x:c r="J344" s="38" t="n">
        <x:v>38</x:v>
      </x:c>
      <x:c r="K344" s="38" t="n">
        <x:v>16</x:v>
      </x:c>
      <x:c r="L344" s="38" t="n">
        <x:v>0</x:v>
      </x:c>
      <x:c r="M344" s="38" t="n">
        <x:v>4</x:v>
      </x:c>
      <x:c r="N344" s="38" t="n">
        <x:v>2</x:v>
      </x:c>
      <x:c r="O344" s="38" t="str">
        <x:v>mech_counter_damage</x:v>
      </x:c>
      <x:c r="P344" s="38" t="str">
        <x:v>09 形状09</x:v>
      </x:c>
      <x:c r="Q344" s="38" t="str">
        <x:v>Icy</x:v>
      </x:c>
      <x:c r="R344" s="38" t="str">
        <x:v>item_gap derived_gap_profile；来源=Vanessa Query Gap 白银 30；攻击2格；商店关系保留来源节点后补足8店。</x:v>
      </x:c>
      <x:c r="S344" s="38" t="n">
        <x:v>4</x:v>
      </x:c>
      <x:c r="T344" s="38" t="n">
        <x:v>2</x:v>
      </x:c>
    </x:row>
    <x:row r="345">
      <x:c r="A345" s="38" t="str">
        <x:v>pal_344</x:v>
      </x:c>
      <x:c r="B345" s="38" t="str">
        <x:v>闪鲨妖</x:v>
      </x:c>
      <x:c r="C345" s="38" t="str">
        <x:v>雷、龙</x:v>
      </x:c>
      <x:c r="D345" s="133" t="str">
        <x:v>白银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night_base, elem_火, elem_水, elem_草, elem_雷, elem_地, elem_暗, role_召唤, role_输出, tier_pT3</x:v>
      </x:c>
      <x:c r="I345" s="38" t="n">
        <x:v>10</x:v>
      </x:c>
      <x:c r="J345" s="38" t="n">
        <x:v>34</x:v>
      </x:c>
      <x:c r="K345" s="38" t="n">
        <x:v>22</x:v>
      </x:c>
      <x:c r="L345" s="38" t="n">
        <x:v>0</x:v>
      </x:c>
      <x:c r="M345" s="38" t="n">
        <x:v>3</x:v>
      </x:c>
      <x:c r="N345" s="38" t="n">
        <x:v>2</x:v>
      </x:c>
      <x:c r="O345" s="38" t="str">
        <x:v>mech_grow_atk_each_round</x:v>
      </x:c>
      <x:c r="P345" s="38" t="str">
        <x:v>12 形状12</x:v>
      </x:c>
      <x:c r="Q345" s="38" t="str">
        <x:v>Deadly</x:v>
      </x:c>
      <x:c r="R345" s="38" t="str">
        <x:v>item_gap derived_gap_profile；来源=Vanessa Query Gap 白银 31；攻击2格；商店关系保留来源节点后补足8店。</x:v>
      </x:c>
      <x:c r="S345" s="38" t="n">
        <x:v>3</x:v>
      </x:c>
      <x:c r="T345" s="38" t="n">
        <x:v>2</x:v>
      </x:c>
    </x:row>
    <x:row r="346">
      <x:c r="A346" s="38" t="str">
        <x:v>pal_345</x:v>
      </x:c>
      <x:c r="B346" s="38" t="str">
        <x:v>震蝎将</x:v>
      </x:c>
      <x:c r="C346" s="38" t="str">
        <x:v>雷</x:v>
      </x:c>
      <x:c r="D346" s="133" t="str">
        <x:v>白银</x:v>
      </x:c>
      <x:c r="E346" s="38" t="str">
        <x:v>控制</x:v>
      </x:c>
      <x:c r="F346" s="38" t="str">
        <x:v>一格</x:v>
      </x:c>
      <x:c r="G346" s="38" t="str">
        <x:v>bz_van_345</x:v>
      </x:c>
      <x:c r="H346" s="38" t="str">
        <x:v>night_base, elem_火, elem_水, elem_草, elem_无, role_召唤, role_治疗, role_输出, elite_high, tier_pT1</x:v>
      </x:c>
      <x:c r="I346" s="38" t="n">
        <x:v>10</x:v>
      </x:c>
      <x:c r="J346" s="38" t="n">
        <x:v>38</x:v>
      </x:c>
      <x:c r="K346" s="38" t="n">
        <x:v>16</x:v>
      </x:c>
      <x:c r="L346" s="38" t="n">
        <x:v>0</x:v>
      </x:c>
      <x:c r="M346" s="38" t="n">
        <x:v>4</x:v>
      </x:c>
      <x:c r="N346" s="38" t="n">
        <x:v>2</x:v>
      </x:c>
      <x:c r="O346" s="38" t="str">
        <x:v>mech_counter_damage</x:v>
      </x:c>
      <x:c r="P346" s="38" t="str">
        <x:v>07 形状07</x:v>
      </x:c>
      <x:c r="Q346" s="38" t="str">
        <x:v>Icy</x:v>
      </x:c>
      <x:c r="R346" s="38" t="str">
        <x:v>item_gap derived_gap_profile；来源=Vanessa Query Gap 白银 32；攻击2格；商店关系保留来源节点后补足8店。</x:v>
      </x:c>
      <x:c r="S346" s="38" t="n">
        <x:v>4</x:v>
      </x:c>
      <x:c r="T346" s="38" t="n">
        <x:v>2</x:v>
      </x:c>
    </x:row>
    <x:row r="347">
      <x:c r="A347" s="38" t="str">
        <x:v>pal_346</x:v>
      </x:c>
      <x:c r="B347" s="38" t="str">
        <x:v>螭蚕精</x:v>
      </x:c>
      <x:c r="C347" s="38" t="str">
        <x:v>龙</x:v>
      </x:c>
      <x:c r="D347" s="133" t="str">
        <x:v>白银</x:v>
      </x:c>
      <x:c r="E347" s="38" t="str">
        <x:v>经济</x:v>
      </x:c>
      <x:c r="F347" s="38" t="str">
        <x:v>两格</x:v>
      </x:c>
      <x:c r="G347" s="38" t="str">
        <x:v>bz_van_346</x:v>
      </x:c>
      <x:c r="H347" s="38" t="str">
        <x:v>night_base, elem_火, elem_水, elem_雷, elem_冰, elem_地, elem_暗, elem_无, role_控制, role_风系铺场</x:v>
      </x:c>
      <x:c r="I347" s="38" t="n">
        <x:v>10</x:v>
      </x:c>
      <x:c r="J347" s="38" t="n">
        <x:v>40</x:v>
      </x:c>
      <x:c r="K347" s="38" t="n">
        <x:v>12</x:v>
      </x:c>
      <x:c r="L347" s="38" t="n">
        <x:v>0</x:v>
      </x:c>
      <x:c r="M347" s="38" t="n">
        <x:v>3</x:v>
      </x:c>
      <x:c r="N347" s="38" t="n">
        <x:v>2</x:v>
      </x:c>
      <x:c r="O347" s="38" t="str">
        <x:v>none</x:v>
      </x:c>
      <x:c r="P347" s="38" t="str">
        <x:v>10 形状10</x:v>
      </x:c>
      <x:c r="Q347" s="38" t="str">
        <x:v>Golden</x:v>
      </x:c>
      <x:c r="R347" s="38" t="str">
        <x:v>item_gap derived_gap_profile；来源=Vanessa Query Gap 白银 33；攻击2格；商店关系保留来源节点后补足8店。</x:v>
      </x:c>
      <x:c r="S347" s="38" t="n">
        <x:v>3</x:v>
      </x:c>
      <x:c r="T347" s="38" t="n">
        <x:v>2</x:v>
      </x:c>
    </x:row>
    <x:row r="348">
      <x:c r="A348" s="38" t="str">
        <x:v>pal_347</x:v>
      </x:c>
      <x:c r="B348" s="38" t="str">
        <x:v>碧犀卫</x:v>
      </x:c>
      <x:c r="C348" s="38" t="str">
        <x:v>水、地</x:v>
      </x:c>
      <x:c r="D348" s="133" t="str">
        <x:v>白银</x:v>
      </x:c>
      <x:c r="E348" s="38" t="str">
        <x:v>坦克</x:v>
      </x:c>
      <x:c r="F348" s="38" t="str">
        <x:v>一格</x:v>
      </x:c>
      <x:c r="G348" s="38" t="str">
        <x:v>bz_van_347</x:v>
      </x:c>
      <x:c r="H348" s="38" t="str">
        <x:v>night_base, elem_火, elem_暗, elem_龙, role_召唤, role_治疗, role_经济, special_merchant, elite_high, tier_pT2</x:v>
      </x:c>
      <x:c r="I348" s="38" t="n">
        <x:v>10</x:v>
      </x:c>
      <x:c r="J348" s="38" t="n">
        <x:v>48</x:v>
      </x:c>
      <x:c r="K348" s="38" t="n">
        <x:v>14</x:v>
      </x:c>
      <x:c r="L348" s="38" t="n">
        <x:v>10</x:v>
      </x:c>
      <x:c r="M348" s="38" t="n">
        <x:v>3</x:v>
      </x:c>
      <x:c r="N348" s="38" t="n">
        <x:v>2</x:v>
      </x:c>
      <x:c r="O348" s="38" t="str">
        <x:v>mech_armor_flat</x:v>
      </x:c>
      <x:c r="P348" s="38" t="str">
        <x:v>05 形状05</x:v>
      </x:c>
      <x:c r="Q348" s="38" t="str">
        <x:v>Icy</x:v>
      </x:c>
      <x:c r="R348" s="38" t="str">
        <x:v>item_gap derived_gap_profile；来源=Vanessa Query Gap 白银 34；攻击2格；商店关系保留来源节点后补足8店。</x:v>
      </x:c>
      <x:c r="S348" s="38" t="n">
        <x:v>3</x:v>
      </x:c>
      <x:c r="T348" s="38" t="n">
        <x:v>2</x:v>
      </x:c>
    </x:row>
    <x:row r="349">
      <x:c r="A349" s="38" t="str">
        <x:v>pal_348</x:v>
      </x:c>
      <x:c r="B349" s="38" t="str">
        <x:v>烬隼精</x:v>
      </x:c>
      <x:c r="C349" s="38" t="str">
        <x:v>火、雷</x:v>
      </x:c>
      <x:c r="D349" s="133" t="str">
        <x:v>白银</x:v>
      </x:c>
      <x:c r="E349" s="38" t="str">
        <x:v>输出</x:v>
      </x:c>
      <x:c r="F349" s="38" t="str">
        <x:v>两格</x:v>
      </x:c>
      <x:c r="G349" s="38" t="str">
        <x:v>bz_van_348</x:v>
      </x:c>
      <x:c r="H349" s="38" t="str">
        <x:v>night_base, elem_火, elem_水, elem_雷, elem_冰, elem_地, elem_无, role_坦克, role_控制, role_机动</x:v>
      </x:c>
      <x:c r="I349" s="38" t="n">
        <x:v>10</x:v>
      </x:c>
      <x:c r="J349" s="38" t="n">
        <x:v>40</x:v>
      </x:c>
      <x:c r="K349" s="38" t="n">
        <x:v>20</x:v>
      </x:c>
      <x:c r="L349" s="38" t="n">
        <x:v>0</x:v>
      </x:c>
      <x:c r="M349" s="38" t="n">
        <x:v>3</x:v>
      </x:c>
      <x:c r="N349" s="38" t="n">
        <x:v>2</x:v>
      </x:c>
      <x:c r="O349" s="38" t="str">
        <x:v>mech_fire_ignite_bonus</x:v>
      </x:c>
      <x:c r="P349" s="38" t="str">
        <x:v>08 形状08</x:v>
      </x:c>
      <x:c r="Q349" s="38" t="str">
        <x:v>Fiery</x:v>
      </x:c>
      <x:c r="R349" s="38" t="str">
        <x:v>item_gap derived_gap_profile；来源=Vanessa Query Gap 白银 35；攻击2格；商店关系保留来源节点后补足8店。</x:v>
      </x:c>
      <x:c r="S349" s="38" t="n">
        <x:v>3</x:v>
      </x:c>
      <x:c r="T349" s="38" t="n">
        <x:v>2</x:v>
      </x:c>
    </x:row>
    <x:row r="350">
      <x:c r="A350" s="38" t="str">
        <x:v>pal_349</x:v>
      </x:c>
      <x:c r="B350" s="38" t="str">
        <x:v>电牦妖</x:v>
      </x:c>
      <x:c r="C350" s="38" t="str">
        <x:v>雷、地</x:v>
      </x:c>
      <x:c r="D350" s="133" t="str">
        <x:v>白银</x:v>
      </x:c>
      <x:c r="E350" s="38" t="str">
        <x:v>坦克</x:v>
      </x:c>
      <x:c r="F350" s="38" t="str">
        <x:v>一格</x:v>
      </x:c>
      <x:c r="G350" s="38" t="str">
        <x:v>bz_van_349</x:v>
      </x:c>
      <x:c r="H350" s="38" t="str">
        <x:v>night_base, elem_火, elem_水, elem_草, elem_地, elem_暗, role_召唤, role_坦克, special_merchant</x:v>
      </x:c>
      <x:c r="I350" s="38" t="n">
        <x:v>9</x:v>
      </x:c>
      <x:c r="J350" s="38" t="n">
        <x:v>48</x:v>
      </x:c>
      <x:c r="K350" s="38" t="n">
        <x:v>14</x:v>
      </x:c>
      <x:c r="L350" s="38" t="n">
        <x:v>10</x:v>
      </x:c>
      <x:c r="M350" s="38" t="n">
        <x:v>3</x:v>
      </x:c>
      <x:c r="N350" s="38" t="n">
        <x:v>2</x:v>
      </x:c>
      <x:c r="O350" s="38" t="str">
        <x:v>mech_shield_regen</x:v>
      </x:c>
      <x:c r="P350" s="38" t="str">
        <x:v>11 形状11</x:v>
      </x:c>
      <x:c r="Q350" s="38" t="str">
        <x:v>Shielded</x:v>
      </x:c>
      <x:c r="R350" s="38" t="str">
        <x:v>item_gap derived_gap_profile；来源=Vanessa Query Gap 白银 36；攻击2格；商店关系保留来源节点后补足8店。</x:v>
      </x:c>
      <x:c r="S350" s="38" t="n">
        <x:v>3</x:v>
      </x:c>
      <x:c r="T350" s="38" t="n">
        <x:v>2</x:v>
      </x:c>
    </x:row>
    <x:row r="351">
      <x:c r="A351" s="38" t="str">
        <x:v>pal_350</x:v>
      </x:c>
      <x:c r="B351" s="38" t="str">
        <x:v>澜蝎卫</x:v>
      </x:c>
      <x:c r="C351" s="38" t="str">
        <x:v>水、龙</x:v>
      </x:c>
      <x:c r="D351" s="133" t="str">
        <x:v>白银</x:v>
      </x:c>
      <x:c r="E351" s="38" t="str">
        <x:v>控制</x:v>
      </x:c>
      <x:c r="F351" s="38" t="str">
        <x:v>一格</x:v>
      </x:c>
      <x:c r="G351" s="38" t="str">
        <x:v>bz_van_350</x:v>
      </x:c>
      <x:c r="H351" s="38" t="str">
        <x:v>night_base, elem_火, elem_水, elem_龙, elem_无, role_召唤, role_治疗, role_经济, elite_high, tier_pT2</x:v>
      </x:c>
      <x:c r="I351" s="38" t="n">
        <x:v>10</x:v>
      </x:c>
      <x:c r="J351" s="38" t="n">
        <x:v>38</x:v>
      </x:c>
      <x:c r="K351" s="38" t="n">
        <x:v>16</x:v>
      </x:c>
      <x:c r="L351" s="38" t="n">
        <x:v>0</x:v>
      </x:c>
      <x:c r="M351" s="38" t="n">
        <x:v>4</x:v>
      </x:c>
      <x:c r="N351" s="38" t="n">
        <x:v>2</x:v>
      </x:c>
      <x:c r="O351" s="38" t="str">
        <x:v>mech_counter_damage</x:v>
      </x:c>
      <x:c r="P351" s="38" t="str">
        <x:v>06 形状06</x:v>
      </x:c>
      <x:c r="Q351" s="38" t="str">
        <x:v>Icy</x:v>
      </x:c>
      <x:c r="R351" s="38" t="str">
        <x:v>item_gap derived_gap_profile；来源=Vanessa Query Gap 白银 37；攻击2格；商店关系保留来源节点后补足8店。</x:v>
      </x:c>
      <x:c r="S351" s="38" t="n">
        <x:v>4</x:v>
      </x:c>
      <x:c r="T351" s="38" t="n">
        <x:v>2</x:v>
      </x:c>
    </x:row>
    <x:row r="352">
      <x:c r="A352" s="38" t="str">
        <x:v>pal_351</x:v>
      </x:c>
      <x:c r="B352" s="38" t="str">
        <x:v>焰鲨精</x:v>
      </x:c>
      <x:c r="C352" s="38" t="str">
        <x:v>火、雷</x:v>
      </x:c>
      <x:c r="D352" s="133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night_base, elem_火, elem_水, elem_冰, elem_暗, role_控制, role_输出, role_机动, tier_pT1, tier_pT3</x:v>
      </x:c>
      <x:c r="I352" s="38" t="n">
        <x:v>10</x:v>
      </x:c>
      <x:c r="J352" s="38" t="n">
        <x:v>40</x:v>
      </x:c>
      <x:c r="K352" s="38" t="n">
        <x:v>20</x:v>
      </x:c>
      <x:c r="L352" s="38" t="n">
        <x:v>0</x:v>
      </x:c>
      <x:c r="M352" s="38" t="n">
        <x:v>3</x:v>
      </x:c>
      <x:c r="N352" s="38" t="n">
        <x:v>2</x:v>
      </x:c>
      <x:c r="O352" s="38" t="str">
        <x:v>mech_fire_ignite_bonus</x:v>
      </x:c>
      <x:c r="P352" s="38" t="str">
        <x:v>09 形状09</x:v>
      </x:c>
      <x:c r="Q352" s="38" t="str">
        <x:v>Fiery</x:v>
      </x:c>
      <x:c r="R352" s="38" t="str">
        <x:v>item_gap derived_gap_profile；来源=Vanessa Query Gap 白银 38；攻击2格；商店关系保留来源节点后补足8店。</x:v>
      </x:c>
      <x:c r="S352" s="38" t="n">
        <x:v>3</x:v>
      </x:c>
      <x:c r="T352" s="38" t="n">
        <x:v>2</x:v>
      </x:c>
    </x:row>
    <x:row r="353">
      <x:c r="A353" s="38" t="str">
        <x:v>pal_352</x:v>
      </x:c>
      <x:c r="B353" s="38" t="str">
        <x:v>麟蟾卫</x:v>
      </x:c>
      <x:c r="C353" s="38" t="str">
        <x:v>龙</x:v>
      </x:c>
      <x:c r="D353" s="133" t="str">
        <x:v>白银</x:v>
      </x:c>
      <x:c r="E353" s="38" t="str">
        <x:v>召唤</x:v>
      </x:c>
      <x:c r="F353" s="38" t="str">
        <x:v>两格</x:v>
      </x:c>
      <x:c r="G353" s="38" t="str">
        <x:v>bz_van_352</x:v>
      </x:c>
      <x:c r="H353" s="38" t="str">
        <x:v>night_base, elem_火, elem_水, elem_雷, elem_冰, elem_地, elem_暗, elem_无, role_控制, tier_pT2</x:v>
      </x:c>
      <x:c r="I353" s="38" t="n">
        <x:v>10</x:v>
      </x:c>
      <x:c r="J353" s="38" t="n">
        <x:v>48</x:v>
      </x:c>
      <x:c r="K353" s="38" t="n">
        <x:v>12</x:v>
      </x:c>
      <x:c r="L353" s="38" t="n">
        <x:v>0</x:v>
      </x:c>
      <x:c r="M353" s="38" t="n">
        <x:v>3</x:v>
      </x:c>
      <x:c r="N353" s="38" t="n">
        <x:v>2</x:v>
      </x:c>
      <x:c r="O353" s="38" t="str">
        <x:v>mech_grow_shield_each_round</x:v>
      </x:c>
      <x:c r="P353" s="38" t="str">
        <x:v>12 形状12</x:v>
      </x:c>
      <x:c r="Q353" s="38" t="str">
        <x:v>Deadly</x:v>
      </x:c>
      <x:c r="R353" s="38" t="str">
        <x:v>item_gap derived_gap_profile；来源=Vanessa Query Gap 白银 39；攻击2格；商店关系保留来源节点后补足8店。</x:v>
      </x:c>
      <x:c r="S353" s="38" t="n">
        <x:v>3</x:v>
      </x:c>
      <x:c r="T353" s="38" t="n">
        <x:v>2</x:v>
      </x:c>
    </x:row>
    <x:row r="354">
      <x:c r="A354" s="38" t="str">
        <x:v>pal_353</x:v>
      </x:c>
      <x:c r="B354" s="38" t="str">
        <x:v>汐雀王</x:v>
      </x:c>
      <x:c r="C354" s="38" t="str">
        <x:v>水</x:v>
      </x:c>
      <x:c r="D354" s="130" t="str">
        <x:v>黄金</x:v>
      </x:c>
      <x:c r="E354" s="38" t="str">
        <x:v>机动</x:v>
      </x:c>
      <x:c r="F354" s="38" t="str">
        <x:v>两格</x:v>
      </x:c>
      <x:c r="G354" s="38" t="str">
        <x:v>bz_van_353</x:v>
      </x:c>
      <x:c r="H354" s="38" t="str">
        <x:v>night_base, elem_火, elem_水, elem_冰, elem_龙, elem_无, role_控制, role_治疗, role_经济, role_召唤铺场</x:v>
      </x:c>
      <x:c r="I354" s="38" t="n">
        <x:v>10</x:v>
      </x:c>
      <x:c r="J354" s="38" t="n">
        <x:v>52</x:v>
      </x:c>
      <x:c r="K354" s="38" t="n">
        <x:v>18</x:v>
      </x:c>
      <x:c r="L354" s="38" t="n">
        <x:v>0</x:v>
      </x:c>
      <x:c r="M354" s="38" t="n">
        <x:v>5</x:v>
      </x:c>
      <x:c r="N354" s="38" t="n">
        <x:v>2</x:v>
      </x:c>
      <x:c r="O354" s="38" t="str">
        <x:v>none</x:v>
      </x:c>
      <x:c r="P354" s="38" t="str">
        <x:v>10 形状10</x:v>
      </x:c>
      <x:c r="Q354" s="38" t="str">
        <x:v>Turbo</x:v>
      </x:c>
      <x:c r="R354" s="38" t="str">
        <x:v>item_gap derived_gap_profile；来源=Vanessa Query Gap 黄金 01；攻击2格；商店关系保留来源节点后补足8店。</x:v>
      </x:c>
      <x:c r="S354" s="38" t="n">
        <x:v>5</x:v>
      </x:c>
      <x:c r="T354" s="38" t="n">
        <x:v>2</x:v>
      </x:c>
    </x:row>
    <x:row r="355">
      <x:c r="A355" s="38" t="str">
        <x:v>pal_354</x:v>
      </x:c>
      <x:c r="B355" s="38" t="str">
        <x:v>雷隼王</x:v>
      </x:c>
      <x:c r="C355" s="38" t="str">
        <x:v>雷</x:v>
      </x:c>
      <x:c r="D355" s="130" t="str">
        <x:v>黄金</x:v>
      </x:c>
      <x:c r="E355" s="38" t="str">
        <x:v>输出</x:v>
      </x:c>
      <x:c r="F355" s="38" t="str">
        <x:v>三格</x:v>
      </x:c>
      <x:c r="G355" s="38" t="str">
        <x:v>bz_van_354</x:v>
      </x:c>
      <x:c r="H355" s="38" t="str">
        <x:v>night_base, elem_火, elem_水, elem_草, elem_雷, elem_冰, elem_龙, elem_无, role_坦克, role_机动压制</x:v>
      </x:c>
      <x:c r="I355" s="38" t="n">
        <x:v>10</x:v>
      </x:c>
      <x:c r="J355" s="38" t="n">
        <x:v>58</x:v>
      </x:c>
      <x:c r="K355" s="38" t="n">
        <x:v>26</x:v>
      </x:c>
      <x:c r="L355" s="38" t="n">
        <x:v>0</x:v>
      </x:c>
      <x:c r="M355" s="38" t="n">
        <x:v>2</x:v>
      </x:c>
      <x:c r="N355" s="38" t="n">
        <x:v>3</x:v>
      </x:c>
      <x:c r="O355" s="38" t="str">
        <x:v>mech_grow_atk_each_round</x:v>
      </x:c>
      <x:c r="P355" s="38" t="str">
        <x:v>14 形状14</x:v>
      </x:c>
      <x:c r="Q355" s="38" t="str">
        <x:v>Deadly</x:v>
      </x:c>
      <x:c r="R355" s="38" t="str">
        <x:v>item_gap derived_gap_profile；来源=Vanessa Query Gap 黄金 02；攻击3格；商店关系保留来源节点后补足8店。</x:v>
      </x:c>
      <x:c r="S355" s="38" t="n">
        <x:v>2</x:v>
      </x:c>
      <x:c r="T355" s="38" t="n">
        <x:v>2</x:v>
      </x:c>
    </x:row>
    <x:row r="356">
      <x:c r="A356" s="38" t="str">
        <x:v>pal_355</x:v>
      </x:c>
      <x:c r="B356" s="38" t="str">
        <x:v>森蛙侯</x:v>
      </x:c>
      <x:c r="C356" s="38" t="str">
        <x:v>草、龙</x:v>
      </x:c>
      <x:c r="D356" s="130" t="str">
        <x:v>黄金</x:v>
      </x:c>
      <x:c r="E356" s="38" t="str">
        <x:v>控制</x:v>
      </x:c>
      <x:c r="F356" s="38" t="str">
        <x:v>一格</x:v>
      </x:c>
      <x:c r="G356" s="38" t="str">
        <x:v>bz_van_355</x:v>
      </x:c>
      <x:c r="H356" s="38" t="str">
        <x:v>night_base, elem_火, elem_水, elem_草, elem_雷, elem_地, elem_暗, elem_无, role_召唤, role_重甲抗压</x:v>
      </x:c>
      <x:c r="I356" s="38" t="n">
        <x:v>10</x:v>
      </x:c>
      <x:c r="J356" s="38" t="n">
        <x:v>50</x:v>
      </x:c>
      <x:c r="K356" s="38" t="n">
        <x:v>22</x:v>
      </x:c>
      <x:c r="L356" s="38" t="n">
        <x:v>0</x:v>
      </x:c>
      <x:c r="M356" s="38" t="n">
        <x:v>4</x:v>
      </x:c>
      <x:c r="N356" s="38" t="n">
        <x:v>2</x:v>
      </x:c>
      <x:c r="O356" s="38" t="str">
        <x:v>mech_counter_damage</x:v>
      </x:c>
      <x:c r="P356" s="38" t="str">
        <x:v>12 形状12</x:v>
      </x:c>
      <x:c r="Q356" s="38" t="str">
        <x:v>Toxic</x:v>
      </x:c>
      <x:c r="R356" s="38" t="str">
        <x:v>item_gap derived_gap_profile；来源=Vanessa Query Gap 黄金 03；攻击2格；商店关系保留来源节点后补足8店。</x:v>
      </x:c>
      <x:c r="S356" s="38" t="n">
        <x:v>4</x:v>
      </x:c>
      <x:c r="T356" s="38" t="n">
        <x:v>2</x:v>
      </x:c>
    </x:row>
    <x:row r="357">
      <x:c r="A357" s="38" t="str">
        <x:v>pal_356</x:v>
      </x:c>
      <x:c r="B357" s="38" t="str">
        <x:v>焰鲨侯</x:v>
      </x:c>
      <x:c r="C357" s="38" t="str">
        <x:v>火、雷</x:v>
      </x:c>
      <x:c r="D357" s="130" t="str">
        <x:v>黄金</x:v>
      </x:c>
      <x:c r="E357" s="38" t="str">
        <x:v>输出</x:v>
      </x:c>
      <x:c r="F357" s="38" t="str">
        <x:v>两格</x:v>
      </x:c>
      <x:c r="G357" s="38" t="str">
        <x:v>bz_van_356</x:v>
      </x:c>
      <x:c r="H357" s="38" t="str">
        <x:v>night_base, elem_火, elem_水, elem_雷, elem_冰, elem_地, elem_无, role_坦克, role_控制, role_机动</x:v>
      </x:c>
      <x:c r="I357" s="38" t="n">
        <x:v>10</x:v>
      </x:c>
      <x:c r="J357" s="38" t="n">
        <x:v>52</x:v>
      </x:c>
      <x:c r="K357" s="38" t="n">
        <x:v>28</x:v>
      </x:c>
      <x:c r="L357" s="38" t="n">
        <x:v>0</x:v>
      </x:c>
      <x:c r="M357" s="38" t="n">
        <x:v>3</x:v>
      </x:c>
      <x:c r="N357" s="38" t="n">
        <x:v>3</x:v>
      </x:c>
      <x:c r="O357" s="38" t="str">
        <x:v>mech_fire_ignite_bonus</x:v>
      </x:c>
      <x:c r="P357" s="38" t="str">
        <x:v>18 形状18</x:v>
      </x:c>
      <x:c r="Q357" s="38" t="str">
        <x:v>Fiery</x:v>
      </x:c>
      <x:c r="R357" s="38" t="str">
        <x:v>item_gap derived_gap_profile；来源=Vanessa Query Gap 黄金 04；攻击3格；商店关系保留来源节点后补足8店。</x:v>
      </x:c>
      <x:c r="S357" s="38" t="n">
        <x:v>3</x:v>
      </x:c>
      <x:c r="T357" s="38" t="n">
        <x:v>2</x:v>
      </x:c>
    </x:row>
    <x:row r="358">
      <x:c r="A358" s="38" t="str">
        <x:v>pal_357</x:v>
      </x:c>
      <x:c r="B358" s="38" t="str">
        <x:v>霆鹰尊</x:v>
      </x:c>
      <x:c r="C358" s="38" t="str">
        <x:v>雷</x:v>
      </x:c>
      <x:c r="D358" s="130" t="str">
        <x:v>黄金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night_base, elem_火, elem_水, elem_草, elem_雷, elem_冰, elem_龙, elem_无, role_机动, role_机动压制</x:v>
      </x:c>
      <x:c r="I358" s="38" t="n">
        <x:v>10</x:v>
      </x:c>
      <x:c r="J358" s="38" t="n">
        <x:v>58</x:v>
      </x:c>
      <x:c r="K358" s="38" t="n">
        <x:v>26</x:v>
      </x:c>
      <x:c r="L358" s="38" t="n">
        <x:v>0</x:v>
      </x:c>
      <x:c r="M358" s="38" t="n">
        <x:v>2</x:v>
      </x:c>
      <x:c r="N358" s="38" t="n">
        <x:v>3</x:v>
      </x:c>
      <x:c r="O358" s="38" t="str">
        <x:v>mech_grow_atk_each_round</x:v>
      </x:c>
      <x:c r="P358" s="38" t="str">
        <x:v>16 形状16</x:v>
      </x:c>
      <x:c r="Q358" s="38" t="str">
        <x:v>Deadly</x:v>
      </x:c>
      <x:c r="R358" s="38" t="str">
        <x:v>item_gap derived_gap_profile；来源=Vanessa Query Gap 黄金 05；攻击3格；商店关系保留来源节点后补足8店。</x:v>
      </x:c>
      <x:c r="S358" s="38" t="n">
        <x:v>2</x:v>
      </x:c>
      <x:c r="T358" s="38" t="n">
        <x:v>2</x:v>
      </x:c>
    </x:row>
    <x:row r="359">
      <x:c r="A359" s="38" t="str">
        <x:v>pal_358</x:v>
      </x:c>
      <x:c r="B359" s="38" t="str">
        <x:v>碧鹰尊</x:v>
      </x:c>
      <x:c r="C359" s="38" t="str">
        <x:v>水</x:v>
      </x:c>
      <x:c r="D359" s="130" t="str">
        <x:v>黄金</x:v>
      </x:c>
      <x:c r="E359" s="38" t="str">
        <x:v>输出</x:v>
      </x:c>
      <x:c r="F359" s="38" t="str">
        <x:v>三格</x:v>
      </x:c>
      <x:c r="G359" s="38" t="str">
        <x:v>bz_van_358</x:v>
      </x:c>
      <x:c r="H359" s="38" t="str">
        <x:v>night_base, elem_火, elem_水, elem_草, elem_雷, elem_冰, elem_地, elem_暗, elem_龙, role_机动压制</x:v>
      </x:c>
      <x:c r="I359" s="38" t="n">
        <x:v>10</x:v>
      </x:c>
      <x:c r="J359" s="38" t="n">
        <x:v>58</x:v>
      </x:c>
      <x:c r="K359" s="38" t="n">
        <x:v>26</x:v>
      </x:c>
      <x:c r="L359" s="38" t="n">
        <x:v>0</x:v>
      </x:c>
      <x:c r="M359" s="38" t="n">
        <x:v>2</x:v>
      </x:c>
      <x:c r="N359" s="38" t="n">
        <x:v>3</x:v>
      </x:c>
      <x:c r="O359" s="38" t="str">
        <x:v>mech_grow_atk_each_round</x:v>
      </x:c>
      <x:c r="P359" s="38" t="str">
        <x:v>15 形状15</x:v>
      </x:c>
      <x:c r="Q359" s="38" t="str">
        <x:v>Shiny</x:v>
      </x:c>
      <x:c r="R359" s="38" t="str">
        <x:v>item_gap derived_gap_profile；来源=Vanessa Query Gap 黄金 06；攻击3格；商店关系保留来源节点后补足8店。</x:v>
      </x:c>
      <x:c r="S359" s="38" t="n">
        <x:v>2</x:v>
      </x:c>
      <x:c r="T359" s="38" t="n">
        <x:v>2</x:v>
      </x:c>
    </x:row>
    <x:row r="360">
      <x:c r="A360" s="38" t="str">
        <x:v>pal_359</x:v>
      </x:c>
      <x:c r="B360" s="38" t="str">
        <x:v>汐獒君</x:v>
      </x:c>
      <x:c r="C360" s="38" t="str">
        <x:v>水、雷</x:v>
      </x:c>
      <x:c r="D360" s="130" t="str">
        <x:v>黄金</x:v>
      </x:c>
      <x:c r="E360" s="38" t="str">
        <x:v>坦克</x:v>
      </x:c>
      <x:c r="F360" s="38" t="str">
        <x:v>两格</x:v>
      </x:c>
      <x:c r="G360" s="38" t="str">
        <x:v>bz_van_359</x:v>
      </x:c>
      <x:c r="H360" s="38" t="str">
        <x:v>night_base, elem_火, elem_水, elem_冰, elem_暗, elem_龙, role_控制, special_merchant, tier_pT3, role_召唤铺场</x:v>
      </x:c>
      <x:c r="I360" s="38" t="n">
        <x:v>10</x:v>
      </x:c>
      <x:c r="J360" s="38" t="n">
        <x:v>66</x:v>
      </x:c>
      <x:c r="K360" s="38" t="n">
        <x:v>18</x:v>
      </x:c>
      <x:c r="L360" s="38" t="n">
        <x:v>14</x:v>
      </x:c>
      <x:c r="M360" s="38" t="n">
        <x:v>3</x:v>
      </x:c>
      <x:c r="N360" s="38" t="n">
        <x:v>2</x:v>
      </x:c>
      <x:c r="O360" s="38" t="str">
        <x:v>mech_shield_flat</x:v>
      </x:c>
      <x:c r="P360" s="38" t="str">
        <x:v>08 形状08</x:v>
      </x:c>
      <x:c r="Q360" s="38" t="str">
        <x:v>Turbo</x:v>
      </x:c>
      <x:c r="R360" s="38" t="str">
        <x:v>item_gap derived_gap_profile；来源=Vanessa Query Gap 黄金 07；攻击2格；商店关系保留来源节点后补足8店。</x:v>
      </x:c>
      <x:c r="S360" s="38" t="n">
        <x:v>3</x:v>
      </x:c>
      <x:c r="T360" s="38" t="n">
        <x:v>2</x:v>
      </x:c>
    </x:row>
    <x:row r="361">
      <x:c r="A361" s="38" t="str">
        <x:v>pal_360</x:v>
      </x:c>
      <x:c r="B361" s="38" t="str">
        <x:v>潮蟒君</x:v>
      </x:c>
      <x:c r="C361" s="38" t="str">
        <x:v>水、雷</x:v>
      </x:c>
      <x:c r="D361" s="130" t="str">
        <x:v>黄金</x:v>
      </x:c>
      <x:c r="E361" s="38" t="str">
        <x:v>控制</x:v>
      </x:c>
      <x:c r="F361" s="38" t="str">
        <x:v>三格</x:v>
      </x:c>
      <x:c r="G361" s="38" t="str">
        <x:v>bz_van_360</x:v>
      </x:c>
      <x:c r="H361" s="38" t="str">
        <x:v>night_base, elem_火, elem_水, elem_草, elem_冰, elem_龙, elem_无, role_治疗, elite_high, tier_pT2</x:v>
      </x:c>
      <x:c r="I361" s="38" t="n">
        <x:v>10</x:v>
      </x:c>
      <x:c r="J361" s="38" t="n">
        <x:v>62</x:v>
      </x:c>
      <x:c r="K361" s="38" t="n">
        <x:v>18</x:v>
      </x:c>
      <x:c r="L361" s="38" t="n">
        <x:v>0</x:v>
      </x:c>
      <x:c r="M361" s="38" t="n">
        <x:v>4</x:v>
      </x:c>
      <x:c r="N361" s="38" t="n">
        <x:v>2</x:v>
      </x:c>
      <x:c r="O361" s="38" t="str">
        <x:v>mech_counter_damage</x:v>
      </x:c>
      <x:c r="P361" s="38" t="str">
        <x:v>07 形状07</x:v>
      </x:c>
      <x:c r="Q361" s="38" t="str">
        <x:v>Icy</x:v>
      </x:c>
      <x:c r="R361" s="38" t="str">
        <x:v>item_gap derived_gap_profile；来源=Vanessa Query Gap 黄金 08；攻击2格；商店关系保留来源节点后补足8店。</x:v>
      </x:c>
      <x:c r="S361" s="38" t="n">
        <x:v>4</x:v>
      </x:c>
      <x:c r="T361" s="38" t="n">
        <x:v>2</x:v>
      </x:c>
    </x:row>
    <x:row r="362">
      <x:c r="A362" s="38" t="str">
        <x:v>pal_361</x:v>
      </x:c>
      <x:c r="B362" s="38" t="str">
        <x:v>燎蛙王</x:v>
      </x:c>
      <x:c r="C362" s="38" t="str">
        <x:v>火、水</x:v>
      </x:c>
      <x:c r="D362" s="130" t="str">
        <x:v>黄金</x:v>
      </x:c>
      <x:c r="E362" s="38" t="str">
        <x:v>控制</x:v>
      </x:c>
      <x:c r="F362" s="38" t="str">
        <x:v>三格</x:v>
      </x:c>
      <x:c r="G362" s="38" t="str">
        <x:v>bz_van_361</x:v>
      </x:c>
      <x:c r="H362" s="38" t="str">
        <x:v>night_base, elem_火, elem_水, elem_草, elem_冰, elem_暗, elem_龙, role_治疗, role_机动, elite_high</x:v>
      </x:c>
      <x:c r="I362" s="38" t="n">
        <x:v>10</x:v>
      </x:c>
      <x:c r="J362" s="38" t="n">
        <x:v>62</x:v>
      </x:c>
      <x:c r="K362" s="38" t="n">
        <x:v>18</x:v>
      </x:c>
      <x:c r="L362" s="38" t="n">
        <x:v>0</x:v>
      </x:c>
      <x:c r="M362" s="38" t="n">
        <x:v>4</x:v>
      </x:c>
      <x:c r="N362" s="38" t="n">
        <x:v>2</x:v>
      </x:c>
      <x:c r="O362" s="38" t="str">
        <x:v>mech_fire_ignite_bonus</x:v>
      </x:c>
      <x:c r="P362" s="38" t="str">
        <x:v>10 形状10</x:v>
      </x:c>
      <x:c r="Q362" s="38" t="str">
        <x:v>Fiery</x:v>
      </x:c>
      <x:c r="R362" s="38" t="str">
        <x:v>item_gap derived_gap_profile；来源=Vanessa Query Gap 黄金 09；攻击2格；商店关系保留来源节点后补足8店。</x:v>
      </x:c>
      <x:c r="S362" s="38" t="n">
        <x:v>4</x:v>
      </x:c>
      <x:c r="T362" s="38" t="n">
        <x:v>2</x:v>
      </x:c>
    </x:row>
    <x:row r="363">
      <x:c r="A363" s="38" t="str">
        <x:v>pal_362</x:v>
      </x:c>
      <x:c r="B363" s="38" t="str">
        <x:v>沙雀尊</x:v>
      </x:c>
      <x:c r="C363" s="38" t="str">
        <x:v>地</x:v>
      </x:c>
      <x:c r="D363" s="130" t="str">
        <x:v>黄金</x:v>
      </x:c>
      <x:c r="E363" s="38" t="str">
        <x:v>机动</x:v>
      </x:c>
      <x:c r="F363" s="38" t="str">
        <x:v>两格</x:v>
      </x:c>
      <x:c r="G363" s="38" t="str">
        <x:v>bz_van_362</x:v>
      </x:c>
      <x:c r="H363" s="38" t="str">
        <x:v>night_base, elem_火, elem_水, elem_雷, elem_冰, elem_地, elem_暗, role_控制, role_治疗, role_经济</x:v>
      </x:c>
      <x:c r="I363" s="38" t="n">
        <x:v>10</x:v>
      </x:c>
      <x:c r="J363" s="38" t="n">
        <x:v>52</x:v>
      </x:c>
      <x:c r="K363" s="38" t="n">
        <x:v>18</x:v>
      </x:c>
      <x:c r="L363" s="38" t="n">
        <x:v>0</x:v>
      </x:c>
      <x:c r="M363" s="38" t="n">
        <x:v>5</x:v>
      </x:c>
      <x:c r="N363" s="38" t="n">
        <x:v>2</x:v>
      </x:c>
      <x:c r="O363" s="38" t="str">
        <x:v>none</x:v>
      </x:c>
      <x:c r="P363" s="38" t="str">
        <x:v>08 形状08</x:v>
      </x:c>
      <x:c r="Q363" s="38" t="str">
        <x:v>Turbo</x:v>
      </x:c>
      <x:c r="R363" s="38" t="str">
        <x:v>item_gap derived_gap_profile；来源=Vanessa Query Gap 黄金 10；攻击2格；商店关系保留来源节点后补足8店。</x:v>
      </x:c>
      <x:c r="S363" s="38" t="n">
        <x:v>5</x:v>
      </x:c>
      <x:c r="T363" s="38" t="n">
        <x:v>2</x:v>
      </x:c>
    </x:row>
    <x:row r="364">
      <x:c r="A364" s="38" t="str">
        <x:v>pal_363</x:v>
      </x:c>
      <x:c r="B364" s="38" t="str">
        <x:v>震鹰侯</x:v>
      </x:c>
      <x:c r="C364" s="38" t="str">
        <x:v>雷</x:v>
      </x:c>
      <x:c r="D364" s="130" t="str">
        <x:v>黄金</x:v>
      </x:c>
      <x:c r="E364" s="38" t="str">
        <x:v>输出</x:v>
      </x:c>
      <x:c r="F364" s="38" t="str">
        <x:v>两格</x:v>
      </x:c>
      <x:c r="G364" s="38" t="str">
        <x:v>bz_van_363</x:v>
      </x:c>
      <x:c r="H364" s="38" t="str">
        <x:v>night_base, elem_火, elem_水, elem_雷, elem_冰, elem_地, elem_龙, elem_无, role_坦克, role_控制</x:v>
      </x:c>
      <x:c r="I364" s="38" t="n">
        <x:v>10</x:v>
      </x:c>
      <x:c r="J364" s="38" t="n">
        <x:v>52</x:v>
      </x:c>
      <x:c r="K364" s="38" t="n">
        <x:v>28</x:v>
      </x:c>
      <x:c r="L364" s="38" t="n">
        <x:v>0</x:v>
      </x:c>
      <x:c r="M364" s="38" t="n">
        <x:v>3</x:v>
      </x:c>
      <x:c r="N364" s="38" t="n">
        <x:v>3</x:v>
      </x:c>
      <x:c r="O364" s="38" t="str">
        <x:v>mech_grow_atk_each_round</x:v>
      </x:c>
      <x:c r="P364" s="38" t="str">
        <x:v>15 形状15</x:v>
      </x:c>
      <x:c r="Q364" s="38" t="str">
        <x:v>Deadly</x:v>
      </x:c>
      <x:c r="R364" s="38" t="str">
        <x:v>item_gap derived_gap_profile；来源=Vanessa Query Gap 黄金 11；攻击3格；商店关系保留来源节点后补足8店。</x:v>
      </x:c>
      <x:c r="S364" s="38" t="n">
        <x:v>3</x:v>
      </x:c>
      <x:c r="T364" s="38" t="n">
        <x:v>2</x:v>
      </x:c>
    </x:row>
    <x:row r="365">
      <x:c r="A365" s="38" t="str">
        <x:v>pal_364</x:v>
      </x:c>
      <x:c r="B365" s="38" t="str">
        <x:v>炎鹰侯</x:v>
      </x:c>
      <x:c r="C365" s="38" t="str">
        <x:v>火</x:v>
      </x:c>
      <x:c r="D365" s="130" t="str">
        <x:v>黄金</x:v>
      </x:c>
      <x:c r="E365" s="38" t="str">
        <x:v>输出</x:v>
      </x:c>
      <x:c r="F365" s="38" t="str">
        <x:v>两格</x:v>
      </x:c>
      <x:c r="G365" s="38" t="str">
        <x:v>bz_van_364</x:v>
      </x:c>
      <x:c r="H365" s="38" t="str">
        <x:v>night_base, elem_火, elem_水, elem_雷, elem_冰, elem_地, elem_龙, elem_无, role_控制, role_机动</x:v>
      </x:c>
      <x:c r="I365" s="38" t="n">
        <x:v>10</x:v>
      </x:c>
      <x:c r="J365" s="38" t="n">
        <x:v>52</x:v>
      </x:c>
      <x:c r="K365" s="38" t="n">
        <x:v>28</x:v>
      </x:c>
      <x:c r="L365" s="38" t="n">
        <x:v>0</x:v>
      </x:c>
      <x:c r="M365" s="38" t="n">
        <x:v>3</x:v>
      </x:c>
      <x:c r="N365" s="38" t="n">
        <x:v>3</x:v>
      </x:c>
      <x:c r="O365" s="38" t="str">
        <x:v>mech_fire_ignite_bonus</x:v>
      </x:c>
      <x:c r="P365" s="38" t="str">
        <x:v>16 形状16</x:v>
      </x:c>
      <x:c r="Q365" s="38" t="str">
        <x:v>Fiery</x:v>
      </x:c>
      <x:c r="R365" s="38" t="str">
        <x:v>item_gap derived_gap_profile；来源=Vanessa Query Gap 黄金 12；攻击3格；商店关系保留来源节点后补足8店。</x:v>
      </x:c>
      <x:c r="S365" s="38" t="n">
        <x:v>3</x:v>
      </x:c>
      <x:c r="T365" s="38" t="n">
        <x:v>2</x:v>
      </x:c>
    </x:row>
    <x:row r="366">
      <x:c r="A366" s="38" t="str">
        <x:v>pal_365</x:v>
      </x:c>
      <x:c r="B366" s="38" t="str">
        <x:v>沧蜂王</x:v>
      </x:c>
      <x:c r="C366" s="38" t="str">
        <x:v>水、雷</x:v>
      </x:c>
      <x:c r="D366" s="130" t="str">
        <x:v>黄金</x:v>
      </x:c>
      <x:c r="E366" s="38" t="str">
        <x:v>机动</x:v>
      </x:c>
      <x:c r="F366" s="38" t="str">
        <x:v>两格</x:v>
      </x:c>
      <x:c r="G366" s="38" t="str">
        <x:v>bz_van_365</x:v>
      </x:c>
      <x:c r="H366" s="38" t="str">
        <x:v>night_base, elem_火, elem_水, elem_冰, elem_地, elem_暗, elem_龙, role_控制, role_治疗, role_风系牵制</x:v>
      </x:c>
      <x:c r="I366" s="38" t="n">
        <x:v>10</x:v>
      </x:c>
      <x:c r="J366" s="38" t="n">
        <x:v>52</x:v>
      </x:c>
      <x:c r="K366" s="38" t="n">
        <x:v>18</x:v>
      </x:c>
      <x:c r="L366" s="38" t="n">
        <x:v>0</x:v>
      </x:c>
      <x:c r="M366" s="38" t="n">
        <x:v>5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Turbo</x:v>
      </x:c>
      <x:c r="R366" s="38" t="str">
        <x:v>item_gap derived_gap_profile；来源=Vanessa Query Gap 黄金 13；攻击2格；商店关系保留来源节点后补足8店。</x:v>
      </x:c>
      <x:c r="S366" s="38" t="n">
        <x:v>5</x:v>
      </x:c>
      <x:c r="T366" s="38" t="n">
        <x:v>2</x:v>
      </x:c>
    </x:row>
    <x:row r="367">
      <x:c r="A367" s="38" t="str">
        <x:v>pal_366</x:v>
      </x:c>
      <x:c r="B367" s="38" t="str">
        <x:v>赤蝎君</x:v>
      </x:c>
      <x:c r="C367" s="38" t="str">
        <x:v>火、冰</x:v>
      </x:c>
      <x:c r="D367" s="130" t="str">
        <x:v>黄金</x:v>
      </x:c>
      <x:c r="E367" s="38" t="str">
        <x:v>控制</x:v>
      </x:c>
      <x:c r="F367" s="38" t="str">
        <x:v>三格</x:v>
      </x:c>
      <x:c r="G367" s="38" t="str">
        <x:v>bz_van_366</x:v>
      </x:c>
      <x:c r="H367" s="38" t="str">
        <x:v>night_base, elem_火, elem_水, elem_冰, elem_龙, elem_无, role_机动, tier_pT2, role_抗压承伤, role_重甲抗压</x:v>
      </x:c>
      <x:c r="I367" s="38" t="n">
        <x:v>10</x:v>
      </x:c>
      <x:c r="J367" s="38" t="n">
        <x:v>62</x:v>
      </x:c>
      <x:c r="K367" s="38" t="n">
        <x:v>18</x:v>
      </x:c>
      <x:c r="L367" s="38" t="n">
        <x:v>0</x:v>
      </x:c>
      <x:c r="M367" s="38" t="n">
        <x:v>4</x:v>
      </x:c>
      <x:c r="N367" s="38" t="n">
        <x:v>2</x:v>
      </x:c>
      <x:c r="O367" s="38" t="str">
        <x:v>mech_fire_ignite_bonus</x:v>
      </x:c>
      <x:c r="P367" s="38" t="str">
        <x:v>12 形状12</x:v>
      </x:c>
      <x:c r="Q367" s="38" t="str">
        <x:v>Fiery</x:v>
      </x:c>
      <x:c r="R367" s="38" t="str">
        <x:v>item_gap derived_gap_profile；来源=Vanessa Query Gap 黄金 14；攻击2格；商店关系保留来源节点后补足8店。</x:v>
      </x:c>
      <x:c r="S367" s="38" t="n">
        <x:v>4</x:v>
      </x:c>
      <x:c r="T367" s="38" t="n">
        <x:v>2</x:v>
      </x:c>
    </x:row>
    <x:row r="368">
      <x:c r="A368" s="38" t="str">
        <x:v>pal_367</x:v>
      </x:c>
      <x:c r="B368" s="38" t="str">
        <x:v>青隼君</x:v>
      </x:c>
      <x:c r="C368" s="38" t="str">
        <x:v>草</x:v>
      </x:c>
      <x:c r="D368" s="130" t="str">
        <x:v>黄金</x:v>
      </x:c>
      <x:c r="E368" s="38" t="str">
        <x:v>输出</x:v>
      </x:c>
      <x:c r="F368" s="38" t="str">
        <x:v>两格</x:v>
      </x:c>
      <x:c r="G368" s="38" t="str">
        <x:v>bz_van_367</x:v>
      </x:c>
      <x:c r="H368" s="38" t="str">
        <x:v>night_base, elem_火, elem_水, elem_雷, elem_冰, elem_地, elem_龙, elem_无, role_控制, role_机动</x:v>
      </x:c>
      <x:c r="I368" s="38" t="n">
        <x:v>10</x:v>
      </x:c>
      <x:c r="J368" s="38" t="n">
        <x:v>52</x:v>
      </x:c>
      <x:c r="K368" s="38" t="n">
        <x:v>28</x:v>
      </x:c>
      <x:c r="L368" s="38" t="n">
        <x:v>0</x:v>
      </x:c>
      <x:c r="M368" s="38" t="n">
        <x:v>3</x:v>
      </x:c>
      <x:c r="N368" s="38" t="n">
        <x:v>3</x:v>
      </x:c>
      <x:c r="O368" s="38" t="str">
        <x:v>mech_grow_atk_each_round</x:v>
      </x:c>
      <x:c r="P368" s="38" t="str">
        <x:v>14 形状14</x:v>
      </x:c>
      <x:c r="Q368" s="38" t="str">
        <x:v>Deadly</x:v>
      </x:c>
      <x:c r="R368" s="38" t="str">
        <x:v>item_gap derived_gap_profile；来源=Vanessa Query Gap 黄金 15；攻击3格；商店关系保留来源节点后补足8店。</x:v>
      </x:c>
      <x:c r="S368" s="38" t="n">
        <x:v>3</x:v>
      </x:c>
      <x:c r="T368" s="38" t="n">
        <x:v>2</x:v>
      </x:c>
    </x:row>
    <x:row r="369">
      <x:c r="A369" s="38" t="str">
        <x:v>pal_368</x:v>
      </x:c>
      <x:c r="B369" s="38" t="str">
        <x:v>鸣鳗君</x:v>
      </x:c>
      <x:c r="C369" s="38" t="str">
        <x:v>雷</x:v>
      </x:c>
      <x:c r="D369" s="130" t="str">
        <x:v>黄金</x:v>
      </x:c>
      <x:c r="E369" s="38" t="str">
        <x:v>控制</x:v>
      </x:c>
      <x:c r="F369" s="38" t="str">
        <x:v>两格</x:v>
      </x:c>
      <x:c r="G369" s="38" t="str">
        <x:v>bz_van_368</x:v>
      </x:c>
      <x:c r="H369" s="38" t="str">
        <x:v>night_base, elem_火, elem_水, elem_冰, elem_暗, role_控制, role_治疗, role_输出, elite_high, role_召唤铺场</x:v>
      </x:c>
      <x:c r="I369" s="38" t="n">
        <x:v>10</x:v>
      </x:c>
      <x:c r="J369" s="38" t="n">
        <x:v>56</x:v>
      </x:c>
      <x:c r="K369" s="38" t="n">
        <x:v>20</x:v>
      </x:c>
      <x:c r="L369" s="38" t="n">
        <x:v>0</x:v>
      </x:c>
      <x:c r="M369" s="38" t="n">
        <x:v>4</x:v>
      </x:c>
      <x:c r="N369" s="38" t="n">
        <x:v>2</x:v>
      </x:c>
      <x:c r="O369" s="38" t="str">
        <x:v>mech_counter_damage</x:v>
      </x:c>
      <x:c r="P369" s="38" t="str">
        <x:v>10 形状10</x:v>
      </x:c>
      <x:c r="Q369" s="38" t="str">
        <x:v>Icy</x:v>
      </x:c>
      <x:c r="R369" s="38" t="str">
        <x:v>item_gap derived_gap_profile；来源=Vanessa Query Gap 黄金 16；攻击2格；商店关系保留来源节点后补足8店。</x:v>
      </x:c>
      <x:c r="S369" s="38" t="n">
        <x:v>4</x:v>
      </x:c>
      <x:c r="T369" s="38" t="n">
        <x:v>2</x:v>
      </x:c>
    </x:row>
    <x:row r="370">
      <x:c r="A370" s="38" t="str">
        <x:v>pal_369</x:v>
      </x:c>
      <x:c r="B370" s="38" t="str">
        <x:v>雪蝎圣</x:v>
      </x:c>
      <x:c r="C370" s="38" t="str">
        <x:v>冰、水</x:v>
      </x:c>
      <x:c r="D370" s="136" t="str">
        <x:v>钻石</x:v>
      </x:c>
      <x:c r="E370" s="38" t="str">
        <x:v>控制</x:v>
      </x:c>
      <x:c r="F370" s="38" t="str">
        <x:v>三格</x:v>
      </x:c>
      <x:c r="G370" s="38" t="str">
        <x:v>bz_van_369</x:v>
      </x:c>
      <x:c r="H370" s="38" t="str">
        <x:v>elem_火, elem_水, elem_草, elem_雷, elem_冰, elem_地, elem_暗, elem_龙, role_机动压制, role_抗压承伤</x:v>
      </x:c>
      <x:c r="I370" s="38" t="n">
        <x:v>10</x:v>
      </x:c>
      <x:c r="J370" s="38" t="n">
        <x:v>74</x:v>
      </x:c>
      <x:c r="K370" s="38" t="n">
        <x:v>24</x:v>
      </x:c>
      <x:c r="L370" s="38" t="n">
        <x:v>0</x:v>
      </x:c>
      <x:c r="M370" s="38" t="n">
        <x:v>4</x:v>
      </x:c>
      <x:c r="N370" s="38" t="n">
        <x:v>2</x:v>
      </x:c>
      <x:c r="O370" s="38" t="str">
        <x:v>mech_counter_damage</x:v>
      </x:c>
      <x:c r="P370" s="38" t="str">
        <x:v>06 形状06</x:v>
      </x:c>
      <x:c r="Q370" s="38" t="str">
        <x:v>Icy</x:v>
      </x:c>
      <x:c r="R370" s="38" t="str">
        <x:v>item_gap derived_gap_profile；来源=Vanessa Query Gap 钻石 01；攻击2格；商店关系保留来源节点后补足8店。</x:v>
      </x:c>
      <x:c r="S370" s="38" t="n">
        <x:v>4</x:v>
      </x:c>
      <x:c r="T370" s="38" t="n">
        <x:v>3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fd6995cd20e436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4" hidden="0" customWidth="1"/>
    <x:col min="8" max="8" width="10" hidden="0" customWidth="1"/>
    <x:col min="9" max="9" width="52" hidden="0" customWidth="1"/>
  </x:cols>
  <x:sheetData>
    <x:row r="1" ht="32" customHeight="1">
      <x:c r="A1" s="108" t="str">
        <x:v>shop_store_id</x:v>
      </x:c>
      <x:c r="B1" s="108" t="str">
        <x:v>name</x:v>
      </x:c>
      <x:c r="C1" s="108" t="str">
        <x:v>store_type</x:v>
      </x:c>
      <x:c r="D1" s="108" t="str">
        <x:v>tags</x:v>
      </x:c>
      <x:c r="E1" s="108" t="str">
        <x:v>default_slots</x:v>
      </x:c>
      <x:c r="F1" s="108" t="str">
        <x:v>unlock_day</x:v>
      </x:c>
      <x:c r="G1" s="108" t="str">
        <x:v>price_rule</x:v>
      </x:c>
      <x:c r="H1" s="108" t="str">
        <x:v>status</x:v>
      </x:c>
      <x:c r="I1" s="108" t="str">
        <x:v>note</x:v>
      </x:c>
    </x:row>
    <x:row r="2">
      <x:c r="A2" s="38" t="str">
        <x:v>night_base</x:v>
      </x:c>
      <x:c r="B2" s="38" t="str">
        <x:v>寅将军</x:v>
      </x:c>
      <x:c r="C2" s="38" t="str">
        <x:v>训练商店</x:v>
      </x:c>
      <x:c r="D2" s="38" t="str">
        <x:v>技能宠、品质</x:v>
      </x:c>
      <x:c r="E2" s="38" t="n">
        <x:v>10</x:v>
      </x:c>
      <x:c r="F2" s="38" t="n">
        <x:v>1</x:v>
      </x:c>
      <x:c r="G2" s="38" t="str">
        <x:v>按宠物品质</x:v>
      </x:c>
      <x:c r="H2" s="38" t="str">
        <x:v>正式</x:v>
      </x:c>
      <x:c r="I2" s="38" t="str">
        <x:v>映射来源节点 Goldie、Adira；候选宠物 362 只。</x:v>
      </x:c>
    </x:row>
    <x:row r="3">
      <x:c r="A3" s="38" t="str">
        <x:v>elem_火</x:v>
      </x:c>
      <x:c r="B3" s="38" t="str">
        <x:v>熊山君</x:v>
      </x:c>
      <x:c r="C3" s="38" t="str">
        <x:v>训练商店</x:v>
      </x:c>
      <x:c r="D3" s="38" t="str">
        <x:v>技能宠、品质</x:v>
      </x:c>
      <x:c r="E3" s="38" t="n">
        <x:v>10</x:v>
      </x:c>
      <x:c r="F3" s="38" t="n">
        <x:v>1</x:v>
      </x:c>
      <x:c r="G3" s="38" t="str">
        <x:v>按宠物品质</x:v>
      </x:c>
      <x:c r="H3" s="38" t="str">
        <x:v>正式</x:v>
      </x:c>
      <x:c r="I3" s="38" t="str">
        <x:v>映射来源节点 Jay Jay、Argenta；候选宠物 321 只。</x:v>
      </x:c>
    </x:row>
    <x:row r="4">
      <x:c r="A4" s="38" t="str">
        <x:v>elem_水</x:v>
      </x:c>
      <x:c r="B4" s="38" t="str">
        <x:v>特处士</x:v>
      </x:c>
      <x:c r="C4" s="38" t="str">
        <x:v>训练商店</x:v>
      </x:c>
      <x:c r="D4" s="38" t="str">
        <x:v>技能宠、品质</x:v>
      </x:c>
      <x:c r="E4" s="38" t="n">
        <x:v>10</x:v>
      </x:c>
      <x:c r="F4" s="38" t="n">
        <x:v>1</x:v>
      </x:c>
      <x:c r="G4" s="38" t="str">
        <x:v>按宠物品质</x:v>
      </x:c>
      <x:c r="H4" s="38" t="str">
        <x:v>正式</x:v>
      </x:c>
      <x:c r="I4" s="38" t="str">
        <x:v>映射来源节点 Luxe、Nufu；候选宠物 358 只。</x:v>
      </x:c>
    </x:row>
    <x:row r="5">
      <x:c r="A5" s="38" t="str">
        <x:v>elem_草</x:v>
      </x:c>
      <x:c r="B5" s="38" t="str">
        <x:v>刘伯钦</x:v>
      </x:c>
      <x:c r="C5" s="38" t="str">
        <x:v>训练商店</x:v>
      </x:c>
      <x:c r="D5" s="38" t="str">
        <x:v>一格、两格、三格、技能宠</x:v>
      </x:c>
      <x:c r="E5" s="38" t="n">
        <x:v>10</x:v>
      </x:c>
      <x:c r="F5" s="38" t="n">
        <x:v>1</x:v>
      </x:c>
      <x:c r="G5" s="38" t="str">
        <x:v>按宠物品质</x:v>
      </x:c>
      <x:c r="H5" s="38" t="str">
        <x:v>正式</x:v>
      </x:c>
      <x:c r="I5" s="38" t="str">
        <x:v>映射来源节点 Midsworth、Old Zane；候选宠物 148 只。</x:v>
      </x:c>
    </x:row>
    <x:row r="6">
      <x:c r="A6" s="38" t="str">
        <x:v>elem_雷</x:v>
      </x:c>
      <x:c r="B6" s="38" t="str">
        <x:v>孙悟空</x:v>
      </x:c>
      <x:c r="C6" s="38" t="str">
        <x:v>训练商店</x:v>
      </x:c>
      <x:c r="D6" s="38" t="str">
        <x:v>技能宠、品质</x:v>
      </x:c>
      <x:c r="E6" s="38" t="n">
        <x:v>10</x:v>
      </x:c>
      <x:c r="F6" s="38" t="n">
        <x:v>1</x:v>
      </x:c>
      <x:c r="G6" s="38" t="str">
        <x:v>按宠物品质</x:v>
      </x:c>
      <x:c r="H6" s="38" t="str">
        <x:v>正式</x:v>
      </x:c>
      <x:c r="I6" s="38" t="str">
        <x:v>映射来源节点 Serafina、Orlin；候选宠物 231 只。</x:v>
      </x:c>
    </x:row>
    <x:row r="7">
      <x:c r="A7" s="38" t="str">
        <x:v>elem_冰</x:v>
      </x:c>
      <x:c r="B7" s="38" t="str">
        <x:v>小白龙</x:v>
      </x:c>
      <x:c r="C7" s="38" t="str">
        <x:v>训练商店</x:v>
      </x:c>
      <x:c r="D7" s="38" t="str">
        <x:v>一格、两格、三格、输出、技能宠</x:v>
      </x:c>
      <x:c r="E7" s="38" t="n">
        <x:v>10</x:v>
      </x:c>
      <x:c r="F7" s="38" t="n">
        <x:v>1</x:v>
      </x:c>
      <x:c r="G7" s="38" t="str">
        <x:v>按宠物品质</x:v>
      </x:c>
      <x:c r="H7" s="38" t="str">
        <x:v>正式</x:v>
      </x:c>
      <x:c r="I7" s="38" t="str">
        <x:v>映射来源节点 Barkun、Vermir；候选宠物 180 只。</x:v>
      </x:c>
    </x:row>
    <x:row r="8">
      <x:c r="A8" s="38" t="str">
        <x:v>elem_地</x:v>
      </x:c>
      <x:c r="B8" s="38" t="str">
        <x:v>金池长老</x:v>
      </x:c>
      <x:c r="C8" s="38" t="str">
        <x:v>商品商店</x:v>
      </x:c>
      <x:c r="D8" s="38" t="str">
        <x:v>一格、两格、三格</x:v>
      </x:c>
      <x:c r="E8" s="38" t="n">
        <x:v>10</x:v>
      </x:c>
      <x:c r="F8" s="38" t="n">
        <x:v>2</x:v>
      </x:c>
      <x:c r="G8" s="38" t="str">
        <x:v>按宠物品质</x:v>
      </x:c>
      <x:c r="H8" s="38" t="str">
        <x:v>正式</x:v>
      </x:c>
      <x:c r="I8" s="38" t="str">
        <x:v>映射来源节点 Quixel、Mr. Morland；候选宠物 153 只。</x:v>
      </x:c>
    </x:row>
    <x:row r="9">
      <x:c r="A9" s="38" t="str">
        <x:v>elem_暗</x:v>
      </x:c>
      <x:c r="B9" s="38" t="str">
        <x:v>黑熊精</x:v>
      </x:c>
      <x:c r="C9" s="38" t="str">
        <x:v>商品商店</x:v>
      </x:c>
      <x:c r="D9" s="38" t="str">
        <x:v>输出</x:v>
      </x:c>
      <x:c r="E9" s="38" t="n">
        <x:v>10</x:v>
      </x:c>
      <x:c r="F9" s="38" t="n">
        <x:v>2</x:v>
      </x:c>
      <x:c r="G9" s="38" t="str">
        <x:v>按宠物品质</x:v>
      </x:c>
      <x:c r="H9" s="38" t="str">
        <x:v>正式</x:v>
      </x:c>
      <x:c r="I9" s="38" t="str">
        <x:v>映射来源节点 Kina、The Antiquarian；候选宠物 148 只。</x:v>
      </x:c>
    </x:row>
    <x:row r="10">
      <x:c r="A10" s="38" t="str">
        <x:v>elem_龙</x:v>
      </x:c>
      <x:c r="B10" s="38" t="str">
        <x:v>凌虚子</x:v>
      </x:c>
      <x:c r="C10" s="38" t="str">
        <x:v>商品商店</x:v>
      </x:c>
      <x:c r="D10" s="38" t="str">
        <x:v>水系</x:v>
      </x:c>
      <x:c r="E10" s="38" t="n">
        <x:v>10</x:v>
      </x:c>
      <x:c r="F10" s="38" t="n">
        <x:v>2</x:v>
      </x:c>
      <x:c r="G10" s="38" t="str">
        <x:v>按宠物品质</x:v>
      </x:c>
      <x:c r="H10" s="38" t="str">
        <x:v>正式</x:v>
      </x:c>
      <x:c r="I10" s="38" t="str">
        <x:v>映射来源节点 Nautica、Valpak；候选宠物 139 只。</x:v>
      </x:c>
    </x:row>
    <x:row r="11">
      <x:c r="A11" s="38" t="str">
        <x:v>elem_无</x:v>
      </x:c>
      <x:c r="B11" s="38" t="str">
        <x:v>苍狼精</x:v>
      </x:c>
      <x:c r="C11" s="38" t="str">
        <x:v>商品商店</x:v>
      </x:c>
      <x:c r="D11" s="38" t="str">
        <x:v>输出</x:v>
      </x:c>
      <x:c r="E11" s="38" t="n">
        <x:v>10</x:v>
      </x:c>
      <x:c r="F11" s="38" t="n">
        <x:v>2</x:v>
      </x:c>
      <x:c r="G11" s="38" t="str">
        <x:v>按宠物品质</x:v>
      </x:c>
      <x:c r="H11" s="38" t="str">
        <x:v>正式</x:v>
      </x:c>
      <x:c r="I11" s="38" t="str">
        <x:v>映射来源节点 Aila、Prospero；候选宠物 136 只。</x:v>
      </x:c>
    </x:row>
    <x:row r="12">
      <x:c r="A12" s="38" t="str">
        <x:v>role_召唤</x:v>
      </x:c>
      <x:c r="B12" s="38" t="str">
        <x:v>猪八戒</x:v>
      </x:c>
      <x:c r="C12" s="38" t="str">
        <x:v>训练商店</x:v>
      </x:c>
      <x:c r="D12" s="38" t="str">
        <x:v>一格、输出、技能宠</x:v>
      </x:c>
      <x:c r="E12" s="38" t="n">
        <x:v>10</x:v>
      </x:c>
      <x:c r="F12" s="38" t="n">
        <x:v>2</x:v>
      </x:c>
      <x:c r="G12" s="38" t="str">
        <x:v>按宠物品质</x:v>
      </x:c>
      <x:c r="H12" s="38" t="str">
        <x:v>正式</x:v>
      </x:c>
      <x:c r="I12" s="38" t="str">
        <x:v>映射来源节点 Ande、Ryukon；候选宠物 152 只。</x:v>
      </x:c>
    </x:row>
    <x:row r="13">
      <x:c r="A13" s="38" t="str">
        <x:v>role_坦克</x:v>
      </x:c>
      <x:c r="B13" s="38" t="str">
        <x:v>黄风怪</x:v>
      </x:c>
      <x:c r="C13" s="38" t="str">
        <x:v>训练商店</x:v>
      </x:c>
      <x:c r="D13" s="38" t="str">
        <x:v>技能宠</x:v>
      </x:c>
      <x:c r="E13" s="38" t="n">
        <x:v>10</x:v>
      </x:c>
      <x:c r="F13" s="38" t="n">
        <x:v>2</x:v>
      </x:c>
      <x:c r="G13" s="38" t="str">
        <x:v>按宠物品质</x:v>
      </x:c>
      <x:c r="H13" s="38" t="str">
        <x:v>正式</x:v>
      </x:c>
      <x:c r="I13" s="38" t="str">
        <x:v>映射来源节点 Colt、Bjorn；候选宠物 67 只。</x:v>
      </x:c>
    </x:row>
    <x:row r="14">
      <x:c r="A14" s="38" t="str">
        <x:v>role_控制</x:v>
      </x:c>
      <x:c r="B14" s="38" t="str">
        <x:v>灵吉菩萨</x:v>
      </x:c>
      <x:c r="C14" s="38" t="str">
        <x:v>训练商店</x:v>
      </x:c>
      <x:c r="D14" s="38" t="str">
        <x:v>两格、技能宠</x:v>
      </x:c>
      <x:c r="E14" s="38" t="n">
        <x:v>10</x:v>
      </x:c>
      <x:c r="F14" s="38" t="n">
        <x:v>3</x:v>
      </x:c>
      <x:c r="G14" s="38" t="str">
        <x:v>按宠物品质</x:v>
      </x:c>
      <x:c r="H14" s="38" t="str">
        <x:v>正式</x:v>
      </x:c>
      <x:c r="I14" s="38" t="str">
        <x:v>映射来源节点 Mittel、Malafang；候选宠物 133 只。</x:v>
      </x:c>
    </x:row>
    <x:row r="15">
      <x:c r="A15" s="38" t="str">
        <x:v>role_治疗</x:v>
      </x:c>
      <x:c r="B15" s="38" t="str">
        <x:v>沙悟净</x:v>
      </x:c>
      <x:c r="C15" s="38" t="str">
        <x:v>训练商店</x:v>
      </x:c>
      <x:c r="D15" s="38" t="str">
        <x:v>技能宠</x:v>
      </x:c>
      <x:c r="E15" s="38" t="n">
        <x:v>10</x:v>
      </x:c>
      <x:c r="F15" s="38" t="n">
        <x:v>3</x:v>
      </x:c>
      <x:c r="G15" s="38" t="str">
        <x:v>按宠物品质</x:v>
      </x:c>
      <x:c r="H15" s="38" t="str">
        <x:v>正式</x:v>
      </x:c>
      <x:c r="I15" s="38" t="str">
        <x:v>映射来源节点 Tok's Clocks、Professor Riggle；候选宠物 114 只。</x:v>
      </x:c>
    </x:row>
    <x:row r="16">
      <x:c r="A16" s="38" t="str">
        <x:v>role_输出</x:v>
      </x:c>
      <x:c r="B16" s="38" t="str">
        <x:v>沙僧</x:v>
      </x:c>
      <x:c r="C16" s="38" t="str">
        <x:v>训练商店</x:v>
      </x:c>
      <x:c r="D16" s="38" t="str">
        <x:v>输出、技能宠</x:v>
      </x:c>
      <x:c r="E16" s="38" t="n">
        <x:v>10</x:v>
      </x:c>
      <x:c r="F16" s="38" t="n">
        <x:v>3</x:v>
      </x:c>
      <x:c r="G16" s="38" t="str">
        <x:v>按宠物品质</x:v>
      </x:c>
      <x:c r="H16" s="38" t="str">
        <x:v>正式</x:v>
      </x:c>
      <x:c r="I16" s="38" t="str">
        <x:v>映射来源节点 Aimbot、Slohmor Lumbra；候选宠物 63 只。</x:v>
      </x:c>
    </x:row>
    <x:row r="17">
      <x:c r="A17" s="38" t="str">
        <x:v>role_经济</x:v>
      </x:c>
      <x:c r="B17" s="38" t="str">
        <x:v>黎山老母</x:v>
      </x:c>
      <x:c r="C17" s="38" t="str">
        <x:v>训练商店</x:v>
      </x:c>
      <x:c r="D17" s="38" t="str">
        <x:v>技能宠</x:v>
      </x:c>
      <x:c r="E17" s="38" t="n">
        <x:v>10</x:v>
      </x:c>
      <x:c r="F17" s="38" t="n">
        <x:v>3</x:v>
      </x:c>
      <x:c r="G17" s="38" t="str">
        <x:v>按宠物品质</x:v>
      </x:c>
      <x:c r="H17" s="38" t="str">
        <x:v>正式</x:v>
      </x:c>
      <x:c r="I17" s="38" t="str">
        <x:v>映射来源节点 Chronos、Zara；候选宠物 89 只。</x:v>
      </x:c>
    </x:row>
    <x:row r="18">
      <x:c r="A18" s="38" t="str">
        <x:v>role_机动</x:v>
      </x:c>
      <x:c r="B18" s="38" t="str">
        <x:v>观音</x:v>
      </x:c>
      <x:c r="C18" s="38" t="str">
        <x:v>商品商店</x:v>
      </x:c>
      <x:c r="D18" s="38" t="str">
        <x:v>综合</x:v>
      </x:c>
      <x:c r="E18" s="38" t="n">
        <x:v>10</x:v>
      </x:c>
      <x:c r="F18" s="38" t="n">
        <x:v>3</x:v>
      </x:c>
      <x:c r="G18" s="38" t="str">
        <x:v>按宠物品质</x:v>
      </x:c>
      <x:c r="H18" s="38" t="str">
        <x:v>正式</x:v>
      </x:c>
      <x:c r="I18" s="38" t="str">
        <x:v>映射来源节点 Hef、Vanessa；候选宠物 63 只。</x:v>
      </x:c>
    </x:row>
    <x:row r="19">
      <x:c r="A19" s="38" t="str">
        <x:v>special_merchant</x:v>
      </x:c>
      <x:c r="B19" s="38" t="str">
        <x:v>普贤</x:v>
      </x:c>
      <x:c r="C19" s="38" t="str">
        <x:v>训练商店</x:v>
      </x:c>
      <x:c r="D19" s="38" t="str">
        <x:v>水系、坦克、技能宠</x:v>
      </x:c>
      <x:c r="E19" s="38" t="n">
        <x:v>10</x:v>
      </x:c>
      <x:c r="F19" s="38" t="n">
        <x:v>3</x:v>
      </x:c>
      <x:c r="G19" s="38" t="str">
        <x:v>按宠物品质</x:v>
      </x:c>
      <x:c r="H19" s="38" t="str">
        <x:v>正式</x:v>
      </x:c>
      <x:c r="I19" s="38" t="str">
        <x:v>映射来源节点 Kev's Armory、C4；候选宠物 48 只。</x:v>
      </x:c>
    </x:row>
    <x:row r="20">
      <x:c r="A20" s="38" t="str">
        <x:v>elite_high</x:v>
      </x:c>
      <x:c r="B20" s="38" t="str">
        <x:v>文殊</x:v>
      </x:c>
      <x:c r="C20" s="38" t="str">
        <x:v>训练商店</x:v>
      </x:c>
      <x:c r="D20" s="38" t="str">
        <x:v>水系、坦克、技能宠</x:v>
      </x:c>
      <x:c r="E20" s="38" t="n">
        <x:v>10</x:v>
      </x:c>
      <x:c r="F20" s="38" t="n">
        <x:v>4</x:v>
      </x:c>
      <x:c r="G20" s="38" t="str">
        <x:v>按宠物品质</x:v>
      </x:c>
      <x:c r="H20" s="38" t="str">
        <x:v>正式</x:v>
      </x:c>
      <x:c r="I20" s="38" t="str">
        <x:v>映射来源节点 Cobweb、Regenald；候选宠物 62 只。</x:v>
      </x:c>
    </x:row>
    <x:row r="21">
      <x:c r="A21" s="38" t="str">
        <x:v>tier_pT1</x:v>
      </x:c>
      <x:c r="B21" s="38" t="str">
        <x:v>镇元大仙</x:v>
      </x:c>
      <x:c r="C21" s="38" t="str">
        <x:v>商品商店</x:v>
      </x:c>
      <x:c r="D21" s="38" t="str">
        <x:v>综合</x:v>
      </x:c>
      <x:c r="E21" s="38" t="n">
        <x:v>10</x:v>
      </x:c>
      <x:c r="F21" s="38" t="n">
        <x:v>4</x:v>
      </x:c>
      <x:c r="G21" s="38" t="str">
        <x:v>按宠物品质</x:v>
      </x:c>
      <x:c r="H21" s="38" t="str">
        <x:v>正式</x:v>
      </x:c>
      <x:c r="I21" s="38" t="str">
        <x:v>映射来源节点 The Tester、Gastro；候选宠物 51 只。</x:v>
      </x:c>
    </x:row>
    <x:row r="22">
      <x:c r="A22" s="38" t="str">
        <x:v>tier_pT2</x:v>
      </x:c>
      <x:c r="B22" s="38" t="str">
        <x:v>观音菩萨</x:v>
      </x:c>
      <x:c r="C22" s="38" t="str">
        <x:v>训练商店</x:v>
      </x:c>
      <x:c r="D22" s="38" t="str">
        <x:v>坦克、技能宠</x:v>
      </x:c>
      <x:c r="E22" s="38" t="n">
        <x:v>10</x:v>
      </x:c>
      <x:c r="F22" s="38" t="n">
        <x:v>4</x:v>
      </x:c>
      <x:c r="G22" s="38" t="str">
        <x:v>按宠物品质</x:v>
      </x:c>
      <x:c r="H22" s="38" t="str">
        <x:v>正式</x:v>
      </x:c>
      <x:c r="I22" s="38" t="str">
        <x:v>映射来源节点 Dryad、Fortis；候选宠物 63 只。</x:v>
      </x:c>
    </x:row>
    <x:row r="23">
      <x:c r="A23" s="38" t="str">
        <x:v>tier_pT3</x:v>
      </x:c>
      <x:c r="B23" s="38" t="str">
        <x:v>白骨精</x:v>
      </x:c>
      <x:c r="C23" s="38" t="str">
        <x:v>商品商店</x:v>
      </x:c>
      <x:c r="D23" s="38" t="str">
        <x:v>综合</x:v>
      </x:c>
      <x:c r="E23" s="38" t="n">
        <x:v>10</x:v>
      </x:c>
      <x:c r="F23" s="38" t="n">
        <x:v>4</x:v>
      </x:c>
      <x:c r="G23" s="38" t="str">
        <x:v>按宠物品质</x:v>
      </x:c>
      <x:c r="H23" s="38" t="str">
        <x:v>正式</x:v>
      </x:c>
      <x:c r="I23" s="38" t="str">
        <x:v>映射来源节点 Gaseo；候选宠物 35 只。</x:v>
      </x:c>
    </x:row>
    <x:row r="24">
      <x:c r="A24" s="38" t="str">
        <x:v>role_召唤铺场</x:v>
      </x:c>
      <x:c r="B24" s="38" t="str">
        <x:v>黄袍怪</x:v>
      </x:c>
      <x:c r="C24" s="38" t="str">
        <x:v>商品商店</x:v>
      </x:c>
      <x:c r="D24" s="38" t="str">
        <x:v>综合</x:v>
      </x:c>
      <x:c r="E24" s="38" t="n">
        <x:v>10</x:v>
      </x:c>
      <x:c r="F24" s="38" t="n">
        <x:v>4</x:v>
      </x:c>
      <x:c r="G24" s="38" t="str">
        <x:v>按宠物品质</x:v>
      </x:c>
      <x:c r="H24" s="38" t="str">
        <x:v>正式</x:v>
      </x:c>
      <x:c r="I24" s="38" t="str">
        <x:v>映射来源节点 Orion；候选宠物 44 只。</x:v>
      </x:c>
    </x:row>
    <x:row r="25">
      <x:c r="A25" s="38" t="str">
        <x:v>role_机动压制</x:v>
      </x:c>
      <x:c r="B25" s="38" t="str">
        <x:v>百花羞</x:v>
      </x:c>
      <x:c r="C25" s="38" t="str">
        <x:v>商品商店</x:v>
      </x:c>
      <x:c r="D25" s="38" t="str">
        <x:v>三格</x:v>
      </x:c>
      <x:c r="E25" s="38" t="n">
        <x:v>10</x:v>
      </x:c>
      <x:c r="F25" s="38" t="n">
        <x:v>4</x:v>
      </x:c>
      <x:c r="G25" s="38" t="str">
        <x:v>按宠物品质</x:v>
      </x:c>
      <x:c r="H25" s="38" t="str">
        <x:v>正式</x:v>
      </x:c>
      <x:c r="I25" s="38" t="str">
        <x:v>映射来源节点 Pol；候选宠物 39 只。</x:v>
      </x:c>
    </x:row>
    <x:row r="26">
      <x:c r="A26" s="38" t="str">
        <x:v>role_抗压承伤</x:v>
      </x:c>
      <x:c r="B26" s="38" t="str">
        <x:v>宝象国国王</x:v>
      </x:c>
      <x:c r="C26" s="38" t="str">
        <x:v>商品商店</x:v>
      </x:c>
      <x:c r="D26" s="38" t="str">
        <x:v>综合</x:v>
      </x:c>
      <x:c r="E26" s="38" t="n">
        <x:v>10</x:v>
      </x:c>
      <x:c r="F26" s="38" t="n">
        <x:v>5</x:v>
      </x:c>
      <x:c r="G26" s="38" t="str">
        <x:v>按宠物品质</x:v>
      </x:c>
      <x:c r="H26" s="38" t="str">
        <x:v>正式</x:v>
      </x:c>
      <x:c r="I26" s="38" t="str">
        <x:v>映射来源节点 Freiya；候选宠物 26 只。</x:v>
      </x:c>
    </x:row>
    <x:row r="27">
      <x:c r="A27" s="38" t="str">
        <x:v>role_重甲抗压</x:v>
      </x:c>
      <x:c r="B27" s="38" t="str">
        <x:v>金角大王</x:v>
      </x:c>
      <x:c r="C27" s="38" t="str">
        <x:v>商品商店</x:v>
      </x:c>
      <x:c r="D27" s="38" t="str">
        <x:v>综合</x:v>
      </x:c>
      <x:c r="E27" s="38" t="n">
        <x:v>10</x:v>
      </x:c>
      <x:c r="F27" s="38" t="n">
        <x:v>5</x:v>
      </x:c>
      <x:c r="G27" s="38" t="str">
        <x:v>按宠物品质</x:v>
      </x:c>
      <x:c r="H27" s="38" t="str">
        <x:v>正式</x:v>
      </x:c>
      <x:c r="I27" s="38" t="str">
        <x:v>映射来源节点 Knightshade；候选宠物 36 只。</x:v>
      </x:c>
    </x:row>
    <x:row r="28">
      <x:c r="A28" s="38" t="str">
        <x:v>role_远点压制</x:v>
      </x:c>
      <x:c r="B28" s="38" t="str">
        <x:v>银角大王</x:v>
      </x:c>
      <x:c r="C28" s="38" t="str">
        <x:v>商品商店</x:v>
      </x:c>
      <x:c r="D28" s="38" t="str">
        <x:v>综合</x:v>
      </x:c>
      <x:c r="E28" s="38" t="n">
        <x:v>10</x:v>
      </x:c>
      <x:c r="F28" s="38" t="n">
        <x:v>5</x:v>
      </x:c>
      <x:c r="G28" s="38" t="str">
        <x:v>按宠物品质</x:v>
      </x:c>
      <x:c r="H28" s="38" t="str">
        <x:v>正式</x:v>
      </x:c>
      <x:c r="I28" s="38" t="str">
        <x:v>映射来源节点 Pinfeather；候选宠物 36 只。</x:v>
      </x:c>
    </x:row>
    <x:row r="29">
      <x:c r="A29" s="38" t="str">
        <x:v>role_风系铺场</x:v>
      </x:c>
      <x:c r="B29" s="38" t="str">
        <x:v>九尾狐</x:v>
      </x:c>
      <x:c r="C29" s="38" t="str">
        <x:v>商品商店</x:v>
      </x:c>
      <x:c r="D29" s="38" t="str">
        <x:v>品质</x:v>
      </x:c>
      <x:c r="E29" s="38" t="n">
        <x:v>10</x:v>
      </x:c>
      <x:c r="F29" s="38" t="n">
        <x:v>5</x:v>
      </x:c>
      <x:c r="G29" s="38" t="str">
        <x:v>按宠物品质</x:v>
      </x:c>
      <x:c r="H29" s="38" t="str">
        <x:v>正式</x:v>
      </x:c>
      <x:c r="I29" s="38" t="str">
        <x:v>映射来源节点 Silvia；候选宠物 48 只。</x:v>
      </x:c>
    </x:row>
    <x:row r="30">
      <x:c r="A30" s="38" t="str">
        <x:v>role_风系牵制</x:v>
      </x:c>
      <x:c r="B30" s="38" t="str">
        <x:v>狐阿七</x:v>
      </x:c>
      <x:c r="C30" s="38" t="str">
        <x:v>商品商店</x:v>
      </x:c>
      <x:c r="D30" s="38" t="str">
        <x:v>综合</x:v>
      </x:c>
      <x:c r="E30" s="38" t="n">
        <x:v>10</x:v>
      </x:c>
      <x:c r="F30" s="38" t="n">
        <x:v>5</x:v>
      </x:c>
      <x:c r="G30" s="38" t="str">
        <x:v>按宠物品质</x:v>
      </x:c>
      <x:c r="H30" s="38" t="str">
        <x:v>正式</x:v>
      </x:c>
      <x:c r="I30" s="38" t="str">
        <x:v>映射来源节点 Aero；候选宠物 24 只。</x:v>
      </x:c>
    </x:row>
    <x:row r="31">
      <x:c r="A31" s="38" t="str">
        <x:v>role_火系压制</x:v>
      </x:c>
      <x:c r="B31" s="38" t="str">
        <x:v>狮猁王</x:v>
      </x:c>
      <x:c r="C31" s="38" t="str">
        <x:v>商品商店</x:v>
      </x:c>
      <x:c r="D31" s="38" t="str">
        <x:v>水系</x:v>
      </x:c>
      <x:c r="E31" s="38" t="n">
        <x:v>10</x:v>
      </x:c>
      <x:c r="F31" s="38" t="n">
        <x:v>5</x:v>
      </x:c>
      <x:c r="G31" s="38" t="str">
        <x:v>按宠物品质</x:v>
      </x:c>
      <x:c r="H31" s="38" t="str">
        <x:v>正式</x:v>
      </x:c>
      <x:c r="I31" s="38" t="str">
        <x:v>映射来源节点 Herma；候选宠物 23 只。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e3456ee5a12c4b71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108" t="str">
        <x:v>pet_id</x:v>
      </x:c>
      <x:c r="B1" s="108" t="str">
        <x:v>unlock_day</x:v>
      </x:c>
      <x:c r="C1" s="108" t="str">
        <x:v>tier_pool</x:v>
      </x:c>
      <x:c r="D1" s="108" t="str">
        <x:v>shop_weight</x:v>
      </x:c>
      <x:c r="E1" s="108" t="str">
        <x:v>reward_weight</x:v>
      </x:c>
      <x:c r="F1" s="108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Restorative；前30店交叉数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Turbo；前30店交叉数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Turbo；前30店交叉数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Turbo；前30店交叉数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Deadly；前30店交叉数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Shielded；前30店交叉数 9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Deadly；前30店交叉数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Turbo；前30店交叉数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Deadly；前30店交叉数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Deadly；前30店交叉数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Toxic；前30店交叉数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Fiery；前30店交叉数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Icy；前30店交叉数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Fiery；前30店交叉数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Deadly；前30店交叉数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Deadly；前30店交叉数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Fiery；前30店交叉数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Turbo；前30店交叉数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Deadly；前30店交叉数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Turbo；前30店交叉数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Turbo；前30店交叉数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Turbo；前30店交叉数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Toxic；前30店交叉数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Fiery；前30店交叉数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Golden；前30店交叉数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Icy；前30店交叉数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Turbo；前30店交叉数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Restorative；前30店交叉数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Shielded；前30店交叉数 9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Shielded；前30店交叉数 10</x:v>
      </x:c>
    </x:row>
    <x:row r="32">
      <x:c r="A32" s="38" t="str">
        <x:v>pal_031</x:v>
      </x:c>
      <x:c r="B32" s="38" t="n">
        <x:v>2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Icy；前30店交叉数 8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Turbo；前30店交叉数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Icy；前30店交叉数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Deadly；前30店交叉数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Turbo；前30店交叉数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Fiery；前30店交叉数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Icy；前30店交叉数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Turbo；前30店交叉数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Turbo；前30店交叉数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Turbo；前30店交叉数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Icy；前30店交叉数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Deadly；前30店交叉数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Icy；前30店交叉数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Fiery；前30店交叉数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Turbo；前30店交叉数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Icy；前30店交叉数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Turbo；前30店交叉数 10</x:v>
      </x:c>
    </x:row>
    <x:row r="49">
      <x:c r="A49" s="38" t="str">
        <x:v>pal_048</x:v>
      </x:c>
      <x:c r="B49" s="38" t="n">
        <x:v>2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Deadly；前30店交叉数 8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Turbo；前30店交叉数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Deadly；前30店交叉数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Icy；前30店交叉数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Deadly；前30店交叉数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Deadly；前30店交叉数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Obsidian；前30店交叉数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Turbo；前30店交叉数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Deadly；前30店交叉数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Icy；前30店交叉数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Icy；前30店交叉数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Icy；前30店交叉数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Fiery；前30店交叉数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Icy；前30店交叉数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Turbo；前30店交叉数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Toxic；前30店交叉数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Turbo；前30店交叉数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Icy；前30店交叉数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Deadly；前30店交叉数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Deadly；前30店交叉数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Icy；前30店交叉数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Deadly；前30店交叉数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Restorative；前30店交叉数 9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Fiery；前30店交叉数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Fiery；前30店交叉数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Golden；前30店交叉数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Fiery；前30店交叉数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Deadly；前30店交叉数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Icy；前30店交叉数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Fiery；前30店交叉数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Deadly；前30店交叉数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Shielded；前30店交叉数 9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Icy；前30店交叉数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Fiery；前30店交叉数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Golden；前30店交叉数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Turbo；前30店交叉数 9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Fiery；前30店交叉数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Deadly；前30店交叉数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Turbo；前30店交叉数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Turbo；前30店交叉数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Deadly；前30店交叉数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Fiery；前30店交叉数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Turbo；前30店交叉数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Deadly；前30店交叉数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Fiery；前30店交叉数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Toxic；前30店交叉数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Deadly；前30店交叉数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Deadly；前30店交叉数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Deadly；前30店交叉数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Deadly；前30店交叉数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Turbo；前30店交叉数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Toxic；前30店交叉数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Shielded；前30店交叉数 9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Icy；前30店交叉数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Turbo；前30店交叉数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Restorative；前30店交叉数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Turbo；前30店交叉数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Deadly；前30店交叉数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Toxic；前30店交叉数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Radiant；前30店交叉数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Deadly；前30店交叉数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Icy；前30店交叉数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Deadly；前30店交叉数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Deadly；前30店交叉数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Fiery；前30店交叉数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Deadly；前30店交叉数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Icy；前30店交叉数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Turbo；前30店交叉数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Deadly；前30店交叉数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Icy；前30店交叉数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Turbo；前30店交叉数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Turbo；前30店交叉数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Restorative；前30店交叉数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Deadly；前30店交叉数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Restorative；前30店交叉数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Deadly；前30店交叉数 10</x:v>
      </x:c>
    </x:row>
    <x:row r="125">
      <x:c r="A125" s="38" t="str">
        <x:v>pal_124</x:v>
      </x:c>
      <x:c r="B125" s="38" t="n">
        <x:v>1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Deadly；前30店交叉数 8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Deadly；前30店交叉数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Turbo；前30店交叉数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Fiery；前30店交叉数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Icy；前30店交叉数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Icy；前30店交叉数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Turbo；前30店交叉数 9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Deadly；前30店交叉数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Fiery；前30店交叉数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Deadly；前30店交叉数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Turbo；前30店交叉数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Fiery；前30店交叉数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Turbo；前30店交叉数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Icy；前30店交叉数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Fiery；前30店交叉数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Turbo；前30店交叉数 8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Golden；前30店交叉数 8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Restorative；前30店交叉数 8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Deadly；前30店交叉数 8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Shielded；前30店交叉数 8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Turbo；前30店交叉数 8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Deadly；前30店交叉数 8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Turbo；前30店交叉数 8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Deadly；前30店交叉数 8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Deadly；前30店交叉数 8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Turbo；前30店交叉数 8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Turbo；前30店交叉数 8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Deadly；前30店交叉数 8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Icy；前30店交叉数 8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Turbo；前30店交叉数 8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Fiery；前30店交叉数 8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Deadly；前30店交叉数 8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Turbo；前30店交叉数 8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Fiery；前30店交叉数 8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Turbo；前30店交叉数 8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Icy；前30店交叉数 8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Icy；前30店交叉数 8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Deadly；前30店交叉数 8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Deadly；前30店交叉数 8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Shielded；前30店交叉数 8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Fiery；前30店交叉数 8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Turbo；前30店交叉数 8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Fiery；前30店交叉数 8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Restorative；前30店交叉数 8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Restorative；前30店交叉数 8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Fiery；前30店交叉数 8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Toxic；前30店交叉数 8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Fiery；前30店交叉数 8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Toxic；前30店交叉数 8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Fiery；前30店交叉数 8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Fiery；前30店交叉数 8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Deadly；前30店交叉数 8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Deadly；前30店交叉数 8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Deadly；前30店交叉数 8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Deadly；前30店交叉数 8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Deadly；前30店交叉数 8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Turbo；前30店交叉数 8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Restorative；前30店交叉数 8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Radiant；前30店交叉数 8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Shielded；前30店交叉数 8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Deadly；前30店交叉数 8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Fiery；前30店交叉数 8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Deadly；前30店交叉数 8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Deadly；前30店交叉数 8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Shielded；前30店交叉数 8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Fiery；前30店交叉数 8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Turbo；前30店交叉数 8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Fiery；前30店交叉数 8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Fiery；前30店交叉数 8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Deadly；前30店交叉数 8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Deadly；前30店交叉数 8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Fiery；前30店交叉数 8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Icy；前30店交叉数 8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Icy；前30店交叉数 8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Fiery；前30店交叉数 8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Toxic；前30店交叉数 8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Fiery；前30店交叉数 8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Restorative；前30店交叉数 8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Toxic；前30店交叉数 8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Shielded；前30店交叉数 8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Deadly；前30店交叉数 8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Deadly；前30店交叉数 8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Icy；前30店交叉数 8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Toxic；前30店交叉数 8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Icy；前30店交叉数 8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Golden；前30店交叉数 8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Deadly；前30店交叉数 8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Turbo；前30店交叉数 8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Restorative；前30店交叉数 8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Deadly；前30店交叉数 8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Deadly；前30店交叉数 8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Turbo；前30店交叉数 8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Turbo；前30店交叉数 8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Golden；前30店交叉数 8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Fiery；前30店交叉数 8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Deadly；前30店交叉数 8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Turbo；前30店交叉数 8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Deadly；前30店交叉数 8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Turbo；前30店交叉数 8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Fiery；前30店交叉数 8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Icy；前30店交叉数 8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Deadly；前30店交叉数 8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Turbo；前30店交叉数 8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Icy；前30店交叉数 8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Icy；前30店交叉数 8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Deadly；前30店交叉数 8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Deadly；前30店交叉数 8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Toxic；前30店交叉数 8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Deadly；前30店交叉数 8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Turbo；前30店交叉数 8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Icy；前30店交叉数 8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Fiery；前30店交叉数 8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Shiny；前30店交叉数 8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Icy；前30店交叉数 8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Shielded；前30店交叉数 8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Turbo；前30店交叉数 8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Mossy；前30店交叉数 8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Obsidian；前30店交叉数 8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Deadly；前30店交叉数 8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Deadly；前30店交叉数 8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Icy；前30店交叉数 8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Icy；前30店交叉数 8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Fiery；前30店交叉数 8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Restorative；前30店交叉数 8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Shielded；前30店交叉数 8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Deadly；前30店交叉数 8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Icy；前30店交叉数 8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Turbo；前30店交叉数 8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Fiery；前30店交叉数 8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Icy；前30店交叉数 8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Fiery；前30店交叉数 8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Icy；前30店交叉数 8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Turbo；前30店交叉数 8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Deadly；前30店交叉数 8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Icy；前30店交叉数 8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Turbo；前30店交叉数 8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Deadly；前30店交叉数 8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Icy；前30店交叉数 8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Shielded；前30店交叉数 8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Heavy；前30店交叉数 8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Deadly；前30店交叉数 8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Icy；前30店交叉数 8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Deadly；前30店交叉数 8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Turbo；前30店交叉数 8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Shielded；前30店交叉数 8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Fiery；前30店交叉数 8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Toxic；前30店交叉数 8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Toxic；前30店交叉数 8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Toxic；前30店交叉数 8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Fiery；前30店交叉数 8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Toxic；前30店交叉数 8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Toxic；前30店交叉数 8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Fiery；前30店交叉数 8</x:v>
      </x:c>
    </x:row>
    <x:row r="278">
      <x:c r="A278" s="38" t="str">
        <x:v>pal_277</x:v>
      </x:c>
      <x:c r="B278" s="38" t="n">
        <x:v>1</x:v>
      </x:c>
      <x:c r="C278" s="38" t="str">
        <x:v>pT1</x:v>
      </x:c>
      <x:c r="D278" s="38" t="n">
        <x:v>100</x:v>
      </x:c>
      <x:c r="E278" s="38" t="n">
        <x:v>60</x:v>
      </x:c>
      <x:c r="F278" s="38" t="str">
        <x:v>来源对象 bz_van_277；主附魔 Restorative；前30店交叉数 10</x:v>
      </x:c>
    </x:row>
    <x:row r="279">
      <x:c r="A279" s="38" t="str">
        <x:v>pal_278</x:v>
      </x:c>
      <x:c r="B279" s="38" t="n">
        <x:v>1</x:v>
      </x:c>
      <x:c r="C279" s="38" t="str">
        <x:v>pT1</x:v>
      </x:c>
      <x:c r="D279" s="38" t="n">
        <x:v>100</x:v>
      </x:c>
      <x:c r="E279" s="38" t="n">
        <x:v>60</x:v>
      </x:c>
      <x:c r="F279" s="38" t="str">
        <x:v>来源对象 bz_van_278；主附魔 Shielded；前30店交叉数 9</x:v>
      </x:c>
    </x:row>
    <x:row r="280">
      <x:c r="A280" s="38" t="str">
        <x:v>pal_279</x:v>
      </x:c>
      <x:c r="B280" s="38" t="n">
        <x:v>1</x:v>
      </x:c>
      <x:c r="C280" s="38" t="str">
        <x:v>pT1</x:v>
      </x:c>
      <x:c r="D280" s="38" t="n">
        <x:v>100</x:v>
      </x:c>
      <x:c r="E280" s="38" t="n">
        <x:v>60</x:v>
      </x:c>
      <x:c r="F280" s="38" t="str">
        <x:v>来源对象 bz_van_279；主附魔 Deadly；前30店交叉数 10</x:v>
      </x:c>
    </x:row>
    <x:row r="281">
      <x:c r="A281" s="38" t="str">
        <x:v>pal_280</x:v>
      </x:c>
      <x:c r="B281" s="38" t="n">
        <x:v>1</x:v>
      </x:c>
      <x:c r="C281" s="38" t="str">
        <x:v>pT1</x:v>
      </x:c>
      <x:c r="D281" s="38" t="n">
        <x:v>100</x:v>
      </x:c>
      <x:c r="E281" s="38" t="n">
        <x:v>60</x:v>
      </x:c>
      <x:c r="F281" s="38" t="str">
        <x:v>来源对象 bz_van_280；主附魔 Turbo；前30店交叉数 10</x:v>
      </x:c>
    </x:row>
    <x:row r="282">
      <x:c r="A282" s="38" t="str">
        <x:v>pal_281</x:v>
      </x:c>
      <x:c r="B282" s="38" t="n">
        <x:v>1</x:v>
      </x:c>
      <x:c r="C282" s="38" t="str">
        <x:v>pT1</x:v>
      </x:c>
      <x:c r="D282" s="38" t="n">
        <x:v>100</x:v>
      </x:c>
      <x:c r="E282" s="38" t="n">
        <x:v>60</x:v>
      </x:c>
      <x:c r="F282" s="38" t="str">
        <x:v>来源对象 bz_van_281；主附魔 Deadly；前30店交叉数 10</x:v>
      </x:c>
    </x:row>
    <x:row r="283">
      <x:c r="A283" s="38" t="str">
        <x:v>pal_282</x:v>
      </x:c>
      <x:c r="B283" s="38" t="n">
        <x:v>1</x:v>
      </x:c>
      <x:c r="C283" s="38" t="str">
        <x:v>pT1</x:v>
      </x:c>
      <x:c r="D283" s="38" t="n">
        <x:v>100</x:v>
      </x:c>
      <x:c r="E283" s="38" t="n">
        <x:v>60</x:v>
      </x:c>
      <x:c r="F283" s="38" t="str">
        <x:v>来源对象 bz_van_282；主附魔 Icy；前30店交叉数 10</x:v>
      </x:c>
    </x:row>
    <x:row r="284">
      <x:c r="A284" s="38" t="str">
        <x:v>pal_283</x:v>
      </x:c>
      <x:c r="B284" s="38" t="n">
        <x:v>1</x:v>
      </x:c>
      <x:c r="C284" s="38" t="str">
        <x:v>pT1</x:v>
      </x:c>
      <x:c r="D284" s="38" t="n">
        <x:v>100</x:v>
      </x:c>
      <x:c r="E284" s="38" t="n">
        <x:v>60</x:v>
      </x:c>
      <x:c r="F284" s="38" t="str">
        <x:v>来源对象 bz_van_283；主附魔 Deadly；前30店交叉数 10</x:v>
      </x:c>
    </x:row>
    <x:row r="285">
      <x:c r="A285" s="38" t="str">
        <x:v>pal_284</x:v>
      </x:c>
      <x:c r="B285" s="38" t="n">
        <x:v>1</x:v>
      </x:c>
      <x:c r="C285" s="38" t="str">
        <x:v>pT1</x:v>
      </x:c>
      <x:c r="D285" s="38" t="n">
        <x:v>100</x:v>
      </x:c>
      <x:c r="E285" s="38" t="n">
        <x:v>60</x:v>
      </x:c>
      <x:c r="F285" s="38" t="str">
        <x:v>来源对象 bz_van_284；主附魔 Fiery；前30店交叉数 10</x:v>
      </x:c>
    </x:row>
    <x:row r="286">
      <x:c r="A286" s="38" t="str">
        <x:v>pal_285</x:v>
      </x:c>
      <x:c r="B286" s="38" t="n">
        <x:v>1</x:v>
      </x:c>
      <x:c r="C286" s="38" t="str">
        <x:v>pT1</x:v>
      </x:c>
      <x:c r="D286" s="38" t="n">
        <x:v>100</x:v>
      </x:c>
      <x:c r="E286" s="38" t="n">
        <x:v>60</x:v>
      </x:c>
      <x:c r="F286" s="38" t="str">
        <x:v>来源对象 bz_van_285；主附魔 Toxic；前30店交叉数 10</x:v>
      </x:c>
    </x:row>
    <x:row r="287">
      <x:c r="A287" s="38" t="str">
        <x:v>pal_286</x:v>
      </x:c>
      <x:c r="B287" s="38" t="n">
        <x:v>1</x:v>
      </x:c>
      <x:c r="C287" s="38" t="str">
        <x:v>pT1</x:v>
      </x:c>
      <x:c r="D287" s="38" t="n">
        <x:v>100</x:v>
      </x:c>
      <x:c r="E287" s="38" t="n">
        <x:v>60</x:v>
      </x:c>
      <x:c r="F287" s="38" t="str">
        <x:v>来源对象 bz_van_286；主附魔 Deadly；前30店交叉数 10</x:v>
      </x:c>
    </x:row>
    <x:row r="288">
      <x:c r="A288" s="38" t="str">
        <x:v>pal_287</x:v>
      </x:c>
      <x:c r="B288" s="38" t="n">
        <x:v>1</x:v>
      </x:c>
      <x:c r="C288" s="38" t="str">
        <x:v>pT1</x:v>
      </x:c>
      <x:c r="D288" s="38" t="n">
        <x:v>100</x:v>
      </x:c>
      <x:c r="E288" s="38" t="n">
        <x:v>60</x:v>
      </x:c>
      <x:c r="F288" s="38" t="str">
        <x:v>来源对象 bz_van_287；主附魔 Turbo；前30店交叉数 10</x:v>
      </x:c>
    </x:row>
    <x:row r="289">
      <x:c r="A289" s="38" t="str">
        <x:v>pal_288</x:v>
      </x:c>
      <x:c r="B289" s="38" t="n">
        <x:v>1</x:v>
      </x:c>
      <x:c r="C289" s="38" t="str">
        <x:v>pT1</x:v>
      </x:c>
      <x:c r="D289" s="38" t="n">
        <x:v>100</x:v>
      </x:c>
      <x:c r="E289" s="38" t="n">
        <x:v>60</x:v>
      </x:c>
      <x:c r="F289" s="38" t="str">
        <x:v>来源对象 bz_van_288；主附魔 Restorative；前30店交叉数 10</x:v>
      </x:c>
    </x:row>
    <x:row r="290">
      <x:c r="A290" s="38" t="str">
        <x:v>pal_289</x:v>
      </x:c>
      <x:c r="B290" s="38" t="n">
        <x:v>1</x:v>
      </x:c>
      <x:c r="C290" s="38" t="str">
        <x:v>pT1</x:v>
      </x:c>
      <x:c r="D290" s="38" t="n">
        <x:v>100</x:v>
      </x:c>
      <x:c r="E290" s="38" t="n">
        <x:v>60</x:v>
      </x:c>
      <x:c r="F290" s="38" t="str">
        <x:v>来源对象 bz_van_289；主附魔 Shielded；前30店交叉数 9</x:v>
      </x:c>
    </x:row>
    <x:row r="291">
      <x:c r="A291" s="38" t="str">
        <x:v>pal_290</x:v>
      </x:c>
      <x:c r="B291" s="38" t="n">
        <x:v>1</x:v>
      </x:c>
      <x:c r="C291" s="38" t="str">
        <x:v>pT1</x:v>
      </x:c>
      <x:c r="D291" s="38" t="n">
        <x:v>100</x:v>
      </x:c>
      <x:c r="E291" s="38" t="n">
        <x:v>60</x:v>
      </x:c>
      <x:c r="F291" s="38" t="str">
        <x:v>来源对象 bz_van_290；主附魔 Shielded；前30店交叉数 10</x:v>
      </x:c>
    </x:row>
    <x:row r="292">
      <x:c r="A292" s="38" t="str">
        <x:v>pal_291</x:v>
      </x:c>
      <x:c r="B292" s="38" t="n">
        <x:v>1</x:v>
      </x:c>
      <x:c r="C292" s="38" t="str">
        <x:v>pT1</x:v>
      </x:c>
      <x:c r="D292" s="38" t="n">
        <x:v>100</x:v>
      </x:c>
      <x:c r="E292" s="38" t="n">
        <x:v>60</x:v>
      </x:c>
      <x:c r="F292" s="38" t="str">
        <x:v>来源对象 bz_van_291；主附魔 Deadly；前30店交叉数 10</x:v>
      </x:c>
    </x:row>
    <x:row r="293">
      <x:c r="A293" s="38" t="str">
        <x:v>pal_292</x:v>
      </x:c>
      <x:c r="B293" s="38" t="n">
        <x:v>1</x:v>
      </x:c>
      <x:c r="C293" s="38" t="str">
        <x:v>pT1</x:v>
      </x:c>
      <x:c r="D293" s="38" t="n">
        <x:v>100</x:v>
      </x:c>
      <x:c r="E293" s="38" t="n">
        <x:v>60</x:v>
      </x:c>
      <x:c r="F293" s="38" t="str">
        <x:v>来源对象 bz_van_292；主附魔 Deadly；前30店交叉数 10</x:v>
      </x:c>
    </x:row>
    <x:row r="294">
      <x:c r="A294" s="38" t="str">
        <x:v>pal_293</x:v>
      </x:c>
      <x:c r="B294" s="38" t="n">
        <x:v>1</x:v>
      </x:c>
      <x:c r="C294" s="38" t="str">
        <x:v>pT1</x:v>
      </x:c>
      <x:c r="D294" s="38" t="n">
        <x:v>100</x:v>
      </x:c>
      <x:c r="E294" s="38" t="n">
        <x:v>60</x:v>
      </x:c>
      <x:c r="F294" s="38" t="str">
        <x:v>来源对象 bz_van_293；主附魔 Icy；前30店交叉数 10</x:v>
      </x:c>
    </x:row>
    <x:row r="295">
      <x:c r="A295" s="38" t="str">
        <x:v>pal_294</x:v>
      </x:c>
      <x:c r="B295" s="38" t="n">
        <x:v>1</x:v>
      </x:c>
      <x:c r="C295" s="38" t="str">
        <x:v>pT1</x:v>
      </x:c>
      <x:c r="D295" s="38" t="n">
        <x:v>100</x:v>
      </x:c>
      <x:c r="E295" s="38" t="n">
        <x:v>60</x:v>
      </x:c>
      <x:c r="F295" s="38" t="str">
        <x:v>来源对象 bz_van_294；主附魔 Turbo；前30店交叉数 10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Turbo；前30店交叉数 10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Deadly；前30店交叉数 10</x:v>
      </x:c>
    </x:row>
    <x:row r="298">
      <x:c r="A298" s="38" t="str">
        <x:v>pal_297</x:v>
      </x:c>
      <x:c r="B298" s="38" t="n">
        <x:v>1</x:v>
      </x:c>
      <x:c r="C298" s="38" t="str">
        <x:v>pT1</x:v>
      </x:c>
      <x:c r="D298" s="38" t="n">
        <x:v>100</x:v>
      </x:c>
      <x:c r="E298" s="38" t="n">
        <x:v>60</x:v>
      </x:c>
      <x:c r="F298" s="38" t="str">
        <x:v>来源对象 bz_van_297；主附魔 Icy；前30店交叉数 10</x:v>
      </x:c>
    </x:row>
    <x:row r="299">
      <x:c r="A299" s="38" t="str">
        <x:v>pal_298</x:v>
      </x:c>
      <x:c r="B299" s="38" t="n">
        <x:v>1</x:v>
      </x:c>
      <x:c r="C299" s="38" t="str">
        <x:v>pT1</x:v>
      </x:c>
      <x:c r="D299" s="38" t="n">
        <x:v>100</x:v>
      </x:c>
      <x:c r="E299" s="38" t="n">
        <x:v>60</x:v>
      </x:c>
      <x:c r="F299" s="38" t="str">
        <x:v>来源对象 bz_van_298；主附魔 Deadly；前30店交叉数 10</x:v>
      </x:c>
    </x:row>
    <x:row r="300">
      <x:c r="A300" s="38" t="str">
        <x:v>pal_299</x:v>
      </x:c>
      <x:c r="B300" s="38" t="n">
        <x:v>1</x:v>
      </x:c>
      <x:c r="C300" s="38" t="str">
        <x:v>pT1</x:v>
      </x:c>
      <x:c r="D300" s="38" t="n">
        <x:v>100</x:v>
      </x:c>
      <x:c r="E300" s="38" t="n">
        <x:v>60</x:v>
      </x:c>
      <x:c r="F300" s="38" t="str">
        <x:v>来源对象 bz_van_299；主附魔 Deadly；前30店交叉数 10</x:v>
      </x:c>
    </x:row>
    <x:row r="301">
      <x:c r="A301" s="38" t="str">
        <x:v>pal_300</x:v>
      </x:c>
      <x:c r="B301" s="38" t="n">
        <x:v>1</x:v>
      </x:c>
      <x:c r="C301" s="38" t="str">
        <x:v>pT1</x:v>
      </x:c>
      <x:c r="D301" s="38" t="n">
        <x:v>100</x:v>
      </x:c>
      <x:c r="E301" s="38" t="n">
        <x:v>60</x:v>
      </x:c>
      <x:c r="F301" s="38" t="str">
        <x:v>来源对象 bz_van_300；主附魔 Deadly；前30店交叉数 10</x:v>
      </x:c>
    </x:row>
    <x:row r="302">
      <x:c r="A302" s="38" t="str">
        <x:v>pal_301</x:v>
      </x:c>
      <x:c r="B302" s="38" t="n">
        <x:v>1</x:v>
      </x:c>
      <x:c r="C302" s="38" t="str">
        <x:v>pT1</x:v>
      </x:c>
      <x:c r="D302" s="38" t="n">
        <x:v>100</x:v>
      </x:c>
      <x:c r="E302" s="38" t="n">
        <x:v>60</x:v>
      </x:c>
      <x:c r="F302" s="38" t="str">
        <x:v>来源对象 bz_van_301；主附魔 Icy；前30店交叉数 10</x:v>
      </x:c>
    </x:row>
    <x:row r="303">
      <x:c r="A303" s="38" t="str">
        <x:v>pal_302</x:v>
      </x:c>
      <x:c r="B303" s="38" t="n">
        <x:v>1</x:v>
      </x:c>
      <x:c r="C303" s="38" t="str">
        <x:v>pT1</x:v>
      </x:c>
      <x:c r="D303" s="38" t="n">
        <x:v>100</x:v>
      </x:c>
      <x:c r="E303" s="38" t="n">
        <x:v>60</x:v>
      </x:c>
      <x:c r="F303" s="38" t="str">
        <x:v>来源对象 bz_van_302；主附魔 Toxic；前30店交叉数 10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Deadly；前30店交叉数 10</x:v>
      </x:c>
    </x:row>
    <x:row r="305">
      <x:c r="A305" s="38" t="str">
        <x:v>pal_304</x:v>
      </x:c>
      <x:c r="B305" s="38" t="n">
        <x:v>1</x:v>
      </x:c>
      <x:c r="C305" s="38" t="str">
        <x:v>pT1</x:v>
      </x:c>
      <x:c r="D305" s="38" t="n">
        <x:v>100</x:v>
      </x:c>
      <x:c r="E305" s="38" t="n">
        <x:v>60</x:v>
      </x:c>
      <x:c r="F305" s="38" t="str">
        <x:v>来源对象 bz_van_304；主附魔 Deadly；前30店交叉数 10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Restorative；前30店交叉数 9</x:v>
      </x:c>
    </x:row>
    <x:row r="307">
      <x:c r="A307" s="38" t="str">
        <x:v>pal_306</x:v>
      </x:c>
      <x:c r="B307" s="38" t="n">
        <x:v>1</x:v>
      </x:c>
      <x:c r="C307" s="38" t="str">
        <x:v>pT1</x:v>
      </x:c>
      <x:c r="D307" s="38" t="n">
        <x:v>100</x:v>
      </x:c>
      <x:c r="E307" s="38" t="n">
        <x:v>60</x:v>
      </x:c>
      <x:c r="F307" s="38" t="str">
        <x:v>来源对象 bz_van_306；主附魔 Fiery；前30店交叉数 10</x:v>
      </x:c>
    </x:row>
    <x:row r="308">
      <x:c r="A308" s="38" t="str">
        <x:v>pal_307</x:v>
      </x:c>
      <x:c r="B308" s="38" t="n">
        <x:v>1</x:v>
      </x:c>
      <x:c r="C308" s="38" t="str">
        <x:v>pT1</x:v>
      </x:c>
      <x:c r="D308" s="38" t="n">
        <x:v>100</x:v>
      </x:c>
      <x:c r="E308" s="38" t="n">
        <x:v>60</x:v>
      </x:c>
      <x:c r="F308" s="38" t="str">
        <x:v>来源对象 bz_van_307；主附魔 Fiery；前30店交叉数 10</x:v>
      </x:c>
    </x:row>
    <x:row r="309">
      <x:c r="A309" s="38" t="str">
        <x:v>pal_308</x:v>
      </x:c>
      <x:c r="B309" s="38" t="n">
        <x:v>1</x:v>
      </x:c>
      <x:c r="C309" s="38" t="str">
        <x:v>pT1</x:v>
      </x:c>
      <x:c r="D309" s="38" t="n">
        <x:v>100</x:v>
      </x:c>
      <x:c r="E309" s="38" t="n">
        <x:v>60</x:v>
      </x:c>
      <x:c r="F309" s="38" t="str">
        <x:v>来源对象 bz_van_308；主附魔 Deadly；前30店交叉数 10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Deadly；前30店交叉数 10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Shielded；前30店交叉数 9</x:v>
      </x:c>
    </x:row>
    <x:row r="312">
      <x:c r="A312" s="38" t="str">
        <x:v>pal_311</x:v>
      </x:c>
      <x:c r="B312" s="38" t="n">
        <x:v>1</x:v>
      </x:c>
      <x:c r="C312" s="38" t="str">
        <x:v>pT1</x:v>
      </x:c>
      <x:c r="D312" s="38" t="n">
        <x:v>100</x:v>
      </x:c>
      <x:c r="E312" s="38" t="n">
        <x:v>60</x:v>
      </x:c>
      <x:c r="F312" s="38" t="str">
        <x:v>来源对象 bz_van_311；主附魔 Fiery；前30店交叉数 10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Deadly；前30店交叉数 10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Turbo；前30店交叉数 10</x:v>
      </x:c>
    </x:row>
    <x:row r="315">
      <x:c r="A315" s="38" t="str">
        <x:v>pal_314</x:v>
      </x:c>
      <x:c r="B315" s="38" t="n">
        <x:v>2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Turbo；前30店交叉数 10</x:v>
      </x:c>
    </x:row>
    <x:row r="316">
      <x:c r="A316" s="38" t="str">
        <x:v>pal_315</x:v>
      </x:c>
      <x:c r="B316" s="38" t="n">
        <x:v>2</x:v>
      </x:c>
      <x:c r="C316" s="38" t="str">
        <x:v>pT2</x:v>
      </x:c>
      <x:c r="D316" s="38" t="n">
        <x:v>85</x:v>
      </x:c>
      <x:c r="E316" s="38" t="n">
        <x:v>50</x:v>
      </x:c>
      <x:c r="F316" s="38" t="str">
        <x:v>来源对象 bz_van_315；主附魔 Turbo；前30店交叉数 10</x:v>
      </x:c>
    </x:row>
    <x:row r="317">
      <x:c r="A317" s="38" t="str">
        <x:v>pal_316</x:v>
      </x:c>
      <x:c r="B317" s="38" t="n">
        <x:v>2</x:v>
      </x:c>
      <x:c r="C317" s="38" t="str">
        <x:v>pT2</x:v>
      </x:c>
      <x:c r="D317" s="38" t="n">
        <x:v>85</x:v>
      </x:c>
      <x:c r="E317" s="38" t="n">
        <x:v>50</x:v>
      </x:c>
      <x:c r="F317" s="38" t="str">
        <x:v>来源对象 bz_van_316；主附魔 Deadly；前30店交叉数 10</x:v>
      </x:c>
    </x:row>
    <x:row r="318">
      <x:c r="A318" s="38" t="str">
        <x:v>pal_317</x:v>
      </x:c>
      <x:c r="B318" s="38" t="n">
        <x:v>2</x:v>
      </x:c>
      <x:c r="C318" s="38" t="str">
        <x:v>pT2</x:v>
      </x:c>
      <x:c r="D318" s="38" t="n">
        <x:v>85</x:v>
      </x:c>
      <x:c r="E318" s="38" t="n">
        <x:v>50</x:v>
      </x:c>
      <x:c r="F318" s="38" t="str">
        <x:v>来源对象 bz_van_317；主附魔 Fiery；前30店交叉数 10</x:v>
      </x:c>
    </x:row>
    <x:row r="319">
      <x:c r="A319" s="38" t="str">
        <x:v>pal_318</x:v>
      </x:c>
      <x:c r="B319" s="38" t="n">
        <x:v>2</x:v>
      </x:c>
      <x:c r="C319" s="38" t="str">
        <x:v>pT2</x:v>
      </x:c>
      <x:c r="D319" s="38" t="n">
        <x:v>85</x:v>
      </x:c>
      <x:c r="E319" s="38" t="n">
        <x:v>50</x:v>
      </x:c>
      <x:c r="F319" s="38" t="str">
        <x:v>来源对象 bz_van_318；主附魔 Deadly；前30店交叉数 10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Deadly；前30店交叉数 10</x:v>
      </x:c>
    </x:row>
    <x:row r="321">
      <x:c r="A321" s="38" t="str">
        <x:v>pal_320</x:v>
      </x:c>
      <x:c r="B321" s="38" t="n">
        <x:v>2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Turbo；前30店交叉数 10</x:v>
      </x:c>
    </x:row>
    <x:row r="322">
      <x:c r="A322" s="38" t="str">
        <x:v>pal_321</x:v>
      </x:c>
      <x:c r="B322" s="38" t="n">
        <x:v>2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Turbo；前30店交叉数 10</x:v>
      </x:c>
    </x:row>
    <x:row r="323">
      <x:c r="A323" s="38" t="str">
        <x:v>pal_322</x:v>
      </x:c>
      <x:c r="B323" s="38" t="n">
        <x:v>2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Shiny；前30店交叉数 10</x:v>
      </x:c>
    </x:row>
    <x:row r="324">
      <x:c r="A324" s="38" t="str">
        <x:v>pal_323</x:v>
      </x:c>
      <x:c r="B324" s="38" t="n">
        <x:v>2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Fiery；前30店交叉数 10</x:v>
      </x:c>
    </x:row>
    <x:row r="325">
      <x:c r="A325" s="38" t="str">
        <x:v>pal_324</x:v>
      </x:c>
      <x:c r="B325" s="38" t="n">
        <x:v>2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Icy；前30店交叉数 10</x:v>
      </x:c>
    </x:row>
    <x:row r="326">
      <x:c r="A326" s="38" t="str">
        <x:v>pal_325</x:v>
      </x:c>
      <x:c r="B326" s="38" t="n">
        <x:v>2</x:v>
      </x:c>
      <x:c r="C326" s="38" t="str">
        <x:v>pT2</x:v>
      </x:c>
      <x:c r="D326" s="38" t="n">
        <x:v>85</x:v>
      </x:c>
      <x:c r="E326" s="38" t="n">
        <x:v>50</x:v>
      </x:c>
      <x:c r="F326" s="38" t="str">
        <x:v>来源对象 bz_van_325；主附魔 Deadly；前30店交叉数 8</x:v>
      </x:c>
    </x:row>
    <x:row r="327">
      <x:c r="A327" s="38" t="str">
        <x:v>pal_326</x:v>
      </x:c>
      <x:c r="B327" s="38" t="n">
        <x:v>2</x:v>
      </x:c>
      <x:c r="C327" s="38" t="str">
        <x:v>pT2</x:v>
      </x:c>
      <x:c r="D327" s="38" t="n">
        <x:v>85</x:v>
      </x:c>
      <x:c r="E327" s="38" t="n">
        <x:v>50</x:v>
      </x:c>
      <x:c r="F327" s="38" t="str">
        <x:v>来源对象 bz_van_326；主附魔 Turbo；前30店交叉数 10</x:v>
      </x:c>
    </x:row>
    <x:row r="328">
      <x:c r="A328" s="38" t="str">
        <x:v>pal_327</x:v>
      </x:c>
      <x:c r="B328" s="38" t="n">
        <x:v>2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Deadly；前30店交叉数 10</x:v>
      </x:c>
    </x:row>
    <x:row r="329">
      <x:c r="A329" s="38" t="str">
        <x:v>pal_328</x:v>
      </x:c>
      <x:c r="B329" s="38" t="n">
        <x:v>2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Fiery；前30店交叉数 10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Icy；前30店交叉数 10</x:v>
      </x:c>
    </x:row>
    <x:row r="331">
      <x:c r="A331" s="38" t="str">
        <x:v>pal_330</x:v>
      </x:c>
      <x:c r="B331" s="38" t="n">
        <x:v>2</x:v>
      </x:c>
      <x:c r="C331" s="38" t="str">
        <x:v>pT2</x:v>
      </x:c>
      <x:c r="D331" s="38" t="n">
        <x:v>85</x:v>
      </x:c>
      <x:c r="E331" s="38" t="n">
        <x:v>50</x:v>
      </x:c>
      <x:c r="F331" s="38" t="str">
        <x:v>来源对象 bz_van_330；主附魔 Turbo；前30店交叉数 10</x:v>
      </x:c>
    </x:row>
    <x:row r="332">
      <x:c r="A332" s="38" t="str">
        <x:v>pal_331</x:v>
      </x:c>
      <x:c r="B332" s="38" t="n">
        <x:v>2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Turbo；前30店交叉数 10</x:v>
      </x:c>
    </x:row>
    <x:row r="333">
      <x:c r="A333" s="38" t="str">
        <x:v>pal_332</x:v>
      </x:c>
      <x:c r="B333" s="38" t="n">
        <x:v>2</x:v>
      </x:c>
      <x:c r="C333" s="38" t="str">
        <x:v>pT2</x:v>
      </x:c>
      <x:c r="D333" s="38" t="n">
        <x:v>85</x:v>
      </x:c>
      <x:c r="E333" s="38" t="n">
        <x:v>50</x:v>
      </x:c>
      <x:c r="F333" s="38" t="str">
        <x:v>来源对象 bz_van_332；主附魔 Icy；前30店交叉数 10</x:v>
      </x:c>
    </x:row>
    <x:row r="334">
      <x:c r="A334" s="38" t="str">
        <x:v>pal_333</x:v>
      </x:c>
      <x:c r="B334" s="38" t="n">
        <x:v>2</x:v>
      </x:c>
      <x:c r="C334" s="38" t="str">
        <x:v>pT2</x:v>
      </x:c>
      <x:c r="D334" s="38" t="n">
        <x:v>85</x:v>
      </x:c>
      <x:c r="E334" s="38" t="n">
        <x:v>50</x:v>
      </x:c>
      <x:c r="F334" s="38" t="str">
        <x:v>来源对象 bz_van_333；主附魔 Fiery；前30店交叉数 10</x:v>
      </x:c>
    </x:row>
    <x:row r="335">
      <x:c r="A335" s="38" t="str">
        <x:v>pal_334</x:v>
      </x:c>
      <x:c r="B335" s="38" t="n">
        <x:v>2</x:v>
      </x:c>
      <x:c r="C335" s="38" t="str">
        <x:v>pT2</x:v>
      </x:c>
      <x:c r="D335" s="38" t="n">
        <x:v>85</x:v>
      </x:c>
      <x:c r="E335" s="38" t="n">
        <x:v>50</x:v>
      </x:c>
      <x:c r="F335" s="38" t="str">
        <x:v>来源对象 bz_van_334；主附魔 Turbo；前30店交叉数 10</x:v>
      </x:c>
    </x:row>
    <x:row r="336">
      <x:c r="A336" s="38" t="str">
        <x:v>pal_335</x:v>
      </x:c>
      <x:c r="B336" s="38" t="n">
        <x:v>2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Deadly；前30店交叉数 8</x:v>
      </x:c>
    </x:row>
    <x:row r="337">
      <x:c r="A337" s="38" t="str">
        <x:v>pal_336</x:v>
      </x:c>
      <x:c r="B337" s="38" t="n">
        <x:v>2</x:v>
      </x:c>
      <x:c r="C337" s="38" t="str">
        <x:v>pT2</x:v>
      </x:c>
      <x:c r="D337" s="38" t="n">
        <x:v>85</x:v>
      </x:c>
      <x:c r="E337" s="38" t="n">
        <x:v>50</x:v>
      </x:c>
      <x:c r="F337" s="38" t="str">
        <x:v>来源对象 bz_van_336；主附魔 Deadly；前30店交叉数 10</x:v>
      </x:c>
    </x:row>
    <x:row r="338">
      <x:c r="A338" s="38" t="str">
        <x:v>pal_337</x:v>
      </x:c>
      <x:c r="B338" s="38" t="n">
        <x:v>2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Turbo；前30店交叉数 10</x:v>
      </x:c>
    </x:row>
    <x:row r="339">
      <x:c r="A339" s="38" t="str">
        <x:v>pal_338</x:v>
      </x:c>
      <x:c r="B339" s="38" t="n">
        <x:v>2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Icy；前30店交叉数 10</x:v>
      </x:c>
    </x:row>
    <x:row r="340">
      <x:c r="A340" s="38" t="str">
        <x:v>pal_339</x:v>
      </x:c>
      <x:c r="B340" s="38" t="n">
        <x:v>2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Fiery；前30店交叉数 10</x:v>
      </x:c>
    </x:row>
    <x:row r="341">
      <x:c r="A341" s="38" t="str">
        <x:v>pal_340</x:v>
      </x:c>
      <x:c r="B341" s="38" t="n">
        <x:v>2</x:v>
      </x:c>
      <x:c r="C341" s="38" t="str">
        <x:v>pT2</x:v>
      </x:c>
      <x:c r="D341" s="38" t="n">
        <x:v>85</x:v>
      </x:c>
      <x:c r="E341" s="38" t="n">
        <x:v>50</x:v>
      </x:c>
      <x:c r="F341" s="38" t="str">
        <x:v>来源对象 bz_van_340；主附魔 Icy；前30店交叉数 10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Turbo；前30店交叉数 10</x:v>
      </x:c>
    </x:row>
    <x:row r="343">
      <x:c r="A343" s="38" t="str">
        <x:v>pal_342</x:v>
      </x:c>
      <x:c r="B343" s="38" t="n">
        <x:v>2</x:v>
      </x:c>
      <x:c r="C343" s="38" t="str">
        <x:v>pT2</x:v>
      </x:c>
      <x:c r="D343" s="38" t="n">
        <x:v>85</x:v>
      </x:c>
      <x:c r="E343" s="38" t="n">
        <x:v>50</x:v>
      </x:c>
      <x:c r="F343" s="38" t="str">
        <x:v>来源对象 bz_van_342；主附魔 Deadly；前30店交叉数 10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Icy；前30店交叉数 10</x:v>
      </x:c>
    </x:row>
    <x:row r="345">
      <x:c r="A345" s="38" t="str">
        <x:v>pal_344</x:v>
      </x:c>
      <x:c r="B345" s="38" t="n">
        <x:v>2</x:v>
      </x:c>
      <x:c r="C345" s="38" t="str">
        <x:v>pT2</x:v>
      </x:c>
      <x:c r="D345" s="38" t="n">
        <x:v>85</x:v>
      </x:c>
      <x:c r="E345" s="38" t="n">
        <x:v>50</x:v>
      </x:c>
      <x:c r="F345" s="38" t="str">
        <x:v>来源对象 bz_van_344；主附魔 Deadly；前30店交叉数 10</x:v>
      </x:c>
    </x:row>
    <x:row r="346">
      <x:c r="A346" s="38" t="str">
        <x:v>pal_345</x:v>
      </x:c>
      <x:c r="B346" s="38" t="n">
        <x:v>2</x:v>
      </x:c>
      <x:c r="C346" s="38" t="str">
        <x:v>pT2</x:v>
      </x:c>
      <x:c r="D346" s="38" t="n">
        <x:v>85</x:v>
      </x:c>
      <x:c r="E346" s="38" t="n">
        <x:v>50</x:v>
      </x:c>
      <x:c r="F346" s="38" t="str">
        <x:v>来源对象 bz_van_345；主附魔 Icy；前30店交叉数 10</x:v>
      </x:c>
    </x:row>
    <x:row r="347">
      <x:c r="A347" s="38" t="str">
        <x:v>pal_346</x:v>
      </x:c>
      <x:c r="B347" s="38" t="n">
        <x:v>2</x:v>
      </x:c>
      <x:c r="C347" s="38" t="str">
        <x:v>pT2</x:v>
      </x:c>
      <x:c r="D347" s="38" t="n">
        <x:v>85</x:v>
      </x:c>
      <x:c r="E347" s="38" t="n">
        <x:v>50</x:v>
      </x:c>
      <x:c r="F347" s="38" t="str">
        <x:v>来源对象 bz_van_346；主附魔 Golden；前30店交叉数 10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Icy；前30店交叉数 10</x:v>
      </x:c>
    </x:row>
    <x:row r="349">
      <x:c r="A349" s="38" t="str">
        <x:v>pal_348</x:v>
      </x:c>
      <x:c r="B349" s="38" t="n">
        <x:v>2</x:v>
      </x:c>
      <x:c r="C349" s="38" t="str">
        <x:v>pT2</x:v>
      </x:c>
      <x:c r="D349" s="38" t="n">
        <x:v>85</x:v>
      </x:c>
      <x:c r="E349" s="38" t="n">
        <x:v>50</x:v>
      </x:c>
      <x:c r="F349" s="38" t="str">
        <x:v>来源对象 bz_van_348；主附魔 Fiery；前30店交叉数 10</x:v>
      </x:c>
    </x:row>
    <x:row r="350">
      <x:c r="A350" s="38" t="str">
        <x:v>pal_349</x:v>
      </x:c>
      <x:c r="B350" s="38" t="n">
        <x:v>2</x:v>
      </x:c>
      <x:c r="C350" s="38" t="str">
        <x:v>pT2</x:v>
      </x:c>
      <x:c r="D350" s="38" t="n">
        <x:v>85</x:v>
      </x:c>
      <x:c r="E350" s="38" t="n">
        <x:v>50</x:v>
      </x:c>
      <x:c r="F350" s="38" t="str">
        <x:v>来源对象 bz_van_349；主附魔 Shielded；前30店交叉数 9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Icy；前30店交叉数 10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Fiery；前30店交叉数 10</x:v>
      </x:c>
    </x:row>
    <x:row r="353">
      <x:c r="A353" s="38" t="str">
        <x:v>pal_352</x:v>
      </x:c>
      <x:c r="B353" s="38" t="n">
        <x:v>2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Deadly；前30店交叉数 10</x:v>
      </x:c>
    </x:row>
    <x:row r="354">
      <x:c r="A354" s="38" t="str">
        <x:v>pal_353</x:v>
      </x:c>
      <x:c r="B354" s="38" t="n">
        <x:v>4</x:v>
      </x:c>
      <x:c r="C354" s="38" t="str">
        <x:v>pT3</x:v>
      </x:c>
      <x:c r="D354" s="38" t="n">
        <x:v>65</x:v>
      </x:c>
      <x:c r="E354" s="38" t="n">
        <x:v>40</x:v>
      </x:c>
      <x:c r="F354" s="38" t="str">
        <x:v>来源对象 bz_van_353；主附魔 Turbo；前30店交叉数 10</x:v>
      </x:c>
    </x:row>
    <x:row r="355">
      <x:c r="A355" s="38" t="str">
        <x:v>pal_354</x:v>
      </x:c>
      <x:c r="B355" s="38" t="n">
        <x:v>4</x:v>
      </x:c>
      <x:c r="C355" s="38" t="str">
        <x:v>pT3</x:v>
      </x:c>
      <x:c r="D355" s="38" t="n">
        <x:v>65</x:v>
      </x:c>
      <x:c r="E355" s="38" t="n">
        <x:v>40</x:v>
      </x:c>
      <x:c r="F355" s="38" t="str">
        <x:v>来源对象 bz_van_354；主附魔 Deadly；前30店交叉数 10</x:v>
      </x:c>
    </x:row>
    <x:row r="356">
      <x:c r="A356" s="38" t="str">
        <x:v>pal_355</x:v>
      </x:c>
      <x:c r="B356" s="38" t="n">
        <x:v>4</x:v>
      </x:c>
      <x:c r="C356" s="38" t="str">
        <x:v>pT3</x:v>
      </x:c>
      <x:c r="D356" s="38" t="n">
        <x:v>65</x:v>
      </x:c>
      <x:c r="E356" s="38" t="n">
        <x:v>40</x:v>
      </x:c>
      <x:c r="F356" s="38" t="str">
        <x:v>来源对象 bz_van_355；主附魔 Toxic；前30店交叉数 10</x:v>
      </x:c>
    </x:row>
    <x:row r="357">
      <x:c r="A357" s="38" t="str">
        <x:v>pal_356</x:v>
      </x:c>
      <x:c r="B357" s="38" t="n">
        <x:v>4</x:v>
      </x:c>
      <x:c r="C357" s="38" t="str">
        <x:v>pT3</x:v>
      </x:c>
      <x:c r="D357" s="38" t="n">
        <x:v>65</x:v>
      </x:c>
      <x:c r="E357" s="38" t="n">
        <x:v>40</x:v>
      </x:c>
      <x:c r="F357" s="38" t="str">
        <x:v>来源对象 bz_van_356；主附魔 Fiery；前30店交叉数 10</x:v>
      </x:c>
    </x:row>
    <x:row r="358">
      <x:c r="A358" s="38" t="str">
        <x:v>pal_357</x:v>
      </x:c>
      <x:c r="B358" s="38" t="n">
        <x:v>4</x:v>
      </x:c>
      <x:c r="C358" s="38" t="str">
        <x:v>pT3</x:v>
      </x:c>
      <x:c r="D358" s="38" t="n">
        <x:v>65</x:v>
      </x:c>
      <x:c r="E358" s="38" t="n">
        <x:v>40</x:v>
      </x:c>
      <x:c r="F358" s="38" t="str">
        <x:v>来源对象 bz_van_357；主附魔 Deadly；前30店交叉数 10</x:v>
      </x:c>
    </x:row>
    <x:row r="359">
      <x:c r="A359" s="38" t="str">
        <x:v>pal_358</x:v>
      </x:c>
      <x:c r="B359" s="38" t="n">
        <x:v>4</x:v>
      </x:c>
      <x:c r="C359" s="38" t="str">
        <x:v>pT3</x:v>
      </x:c>
      <x:c r="D359" s="38" t="n">
        <x:v>65</x:v>
      </x:c>
      <x:c r="E359" s="38" t="n">
        <x:v>40</x:v>
      </x:c>
      <x:c r="F359" s="38" t="str">
        <x:v>来源对象 bz_van_358；主附魔 Shiny；前30店交叉数 10</x:v>
      </x:c>
    </x:row>
    <x:row r="360">
      <x:c r="A360" s="38" t="str">
        <x:v>pal_359</x:v>
      </x:c>
      <x:c r="B360" s="38" t="n">
        <x:v>4</x:v>
      </x:c>
      <x:c r="C360" s="38" t="str">
        <x:v>pT3</x:v>
      </x:c>
      <x:c r="D360" s="38" t="n">
        <x:v>65</x:v>
      </x:c>
      <x:c r="E360" s="38" t="n">
        <x:v>40</x:v>
      </x:c>
      <x:c r="F360" s="38" t="str">
        <x:v>来源对象 bz_van_359；主附魔 Turbo；前30店交叉数 10</x:v>
      </x:c>
    </x:row>
    <x:row r="361">
      <x:c r="A361" s="38" t="str">
        <x:v>pal_360</x:v>
      </x:c>
      <x:c r="B361" s="38" t="n">
        <x:v>4</x:v>
      </x:c>
      <x:c r="C361" s="38" t="str">
        <x:v>pT3</x:v>
      </x:c>
      <x:c r="D361" s="38" t="n">
        <x:v>65</x:v>
      </x:c>
      <x:c r="E361" s="38" t="n">
        <x:v>40</x:v>
      </x:c>
      <x:c r="F361" s="38" t="str">
        <x:v>来源对象 bz_van_360；主附魔 Icy；前30店交叉数 10</x:v>
      </x:c>
    </x:row>
    <x:row r="362">
      <x:c r="A362" s="38" t="str">
        <x:v>pal_361</x:v>
      </x:c>
      <x:c r="B362" s="38" t="n">
        <x:v>4</x:v>
      </x:c>
      <x:c r="C362" s="38" t="str">
        <x:v>pT3</x:v>
      </x:c>
      <x:c r="D362" s="38" t="n">
        <x:v>65</x:v>
      </x:c>
      <x:c r="E362" s="38" t="n">
        <x:v>40</x:v>
      </x:c>
      <x:c r="F362" s="38" t="str">
        <x:v>来源对象 bz_van_361；主附魔 Fiery；前30店交叉数 10</x:v>
      </x:c>
    </x:row>
    <x:row r="363">
      <x:c r="A363" s="38" t="str">
        <x:v>pal_362</x:v>
      </x:c>
      <x:c r="B363" s="38" t="n">
        <x:v>4</x:v>
      </x:c>
      <x:c r="C363" s="38" t="str">
        <x:v>pT3</x:v>
      </x:c>
      <x:c r="D363" s="38" t="n">
        <x:v>65</x:v>
      </x:c>
      <x:c r="E363" s="38" t="n">
        <x:v>40</x:v>
      </x:c>
      <x:c r="F363" s="38" t="str">
        <x:v>来源对象 bz_van_362；主附魔 Turbo；前30店交叉数 10</x:v>
      </x:c>
    </x:row>
    <x:row r="364">
      <x:c r="A364" s="38" t="str">
        <x:v>pal_363</x:v>
      </x:c>
      <x:c r="B364" s="38" t="n">
        <x:v>4</x:v>
      </x:c>
      <x:c r="C364" s="38" t="str">
        <x:v>pT3</x:v>
      </x:c>
      <x:c r="D364" s="38" t="n">
        <x:v>65</x:v>
      </x:c>
      <x:c r="E364" s="38" t="n">
        <x:v>40</x:v>
      </x:c>
      <x:c r="F364" s="38" t="str">
        <x:v>来源对象 bz_van_363；主附魔 Deadly；前30店交叉数 10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Fiery；前30店交叉数 10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Turbo；前30店交叉数 10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Fiery；前30店交叉数 10</x:v>
      </x:c>
    </x:row>
    <x:row r="368">
      <x:c r="A368" s="38" t="str">
        <x:v>pal_367</x:v>
      </x:c>
      <x:c r="B368" s="38" t="n">
        <x:v>4</x:v>
      </x:c>
      <x:c r="C368" s="38" t="str">
        <x:v>pT3</x:v>
      </x:c>
      <x:c r="D368" s="38" t="n">
        <x:v>65</x:v>
      </x:c>
      <x:c r="E368" s="38" t="n">
        <x:v>40</x:v>
      </x:c>
      <x:c r="F368" s="38" t="str">
        <x:v>来源对象 bz_van_367；主附魔 Deadly；前30店交叉数 10</x:v>
      </x:c>
    </x:row>
    <x:row r="369">
      <x:c r="A369" s="38" t="str">
        <x:v>pal_368</x:v>
      </x:c>
      <x:c r="B369" s="38" t="n">
        <x:v>4</x:v>
      </x:c>
      <x:c r="C369" s="38" t="str">
        <x:v>pT3</x:v>
      </x:c>
      <x:c r="D369" s="38" t="n">
        <x:v>65</x:v>
      </x:c>
      <x:c r="E369" s="38" t="n">
        <x:v>40</x:v>
      </x:c>
      <x:c r="F369" s="38" t="str">
        <x:v>来源对象 bz_van_368；主附魔 Icy；前30店交叉数 10</x:v>
      </x:c>
    </x:row>
    <x:row r="370">
      <x:c r="A370" s="38" t="str">
        <x:v>pal_369</x:v>
      </x:c>
      <x:c r="B370" s="38" t="n">
        <x:v>6</x:v>
      </x:c>
      <x:c r="C370" s="38" t="str">
        <x:v>pT4</x:v>
      </x:c>
      <x:c r="D370" s="38" t="n">
        <x:v>40</x:v>
      </x:c>
      <x:c r="E370" s="38" t="n">
        <x:v>25</x:v>
      </x:c>
      <x:c r="F370" s="38" t="str">
        <x:v>来源对象 bz_van_369；主附魔 Icy；前30店交叉数 10</x:v>
      </x:c>
    </x:row>
  </x:sheetData>
  <x:pageMargins left="0.7" right="0.7" top="0.75" bottom="0.75" header="0.3" footer="0.3"/>
  <x:tableParts count="1">
    <x:tablePart xmlns:r="http://schemas.openxmlformats.org/officeDocument/2006/relationships" r:id="Re973d6565cb34306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任意元素命中</x:v>
      </x:c>
      <x:c r="H46" s="3" t="str">
        <x:v>distance=1</x:v>
      </x:c>
      <x:c r="I46" s="3" t="str">
        <x:v>命中后推开/拉动目标。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待接入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城堡扣线</x:v>
      </x:c>
      <x:c r="D56" s="3" t="str">
        <x:v>波次/失败</x:v>
      </x:c>
      <x:c r="E56" s="3" t="str">
        <x:v>波次/怪物</x:v>
      </x:c>
      <x:c r="F56" s="3" t="str">
        <x:v>battle_fail</x:v>
      </x:c>
      <x:c r="G56" s="3" t="str">
        <x:v>战斗失败或怪物越线</x:v>
      </x:c>
      <x:c r="H56" s="3" t="str">
        <x:v>castle_hp=-1</x:v>
      </x:c>
      <x:c r="I56" s="3" t="str">
        <x:v>扣城堡线。</x:v>
      </x:c>
      <x:c r="J56" s="3" t="str">
        <x:v>城堡受到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可接入</x:v>
      </x:c>
      <x:c r="O56" s="3" t="str">
        <x:v>0</x:v>
      </x:c>
      <x:c r="P56" s="3" t="str">
        <x:v>1</x:v>
      </x:c>
      <x:c r="Q56" s="3" t="str">
        <x:v>1</x:v>
      </x:c>
      <x:c r="R56" s="3" t="str">
        <x:v>1</x:v>
      </x:c>
      <x:c r="S56" s="3" t="str">
        <x:v>10回合失败核心。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</x:v>
      </x:c>
      <x:c r="D57" s="3" t="str">
        <x:v>波次/失败</x:v>
      </x:c>
      <x:c r="E57" s="3" t="str">
        <x:v>波次/事件</x:v>
      </x:c>
      <x:c r="F57" s="3" t="str">
        <x:v>battle_fail</x:v>
      </x:c>
      <x:c r="G57" s="3" t="str">
        <x:v>战斗失败</x:v>
      </x:c>
      <x:c r="H57" s="3" t="str">
        <x:v>income_pct=0.8</x:v>
      </x:c>
      <x:c r="I57" s="3" t="str">
        <x:v>后续经济收益降低。</x:v>
      </x:c>
      <x:c r="J57" s="3" t="str">
        <x:v>失败导致经济收益降低。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待接入</x:v>
      </x:c>
      <x:c r="O57" s="3" t="str">
        <x:v>0</x:v>
      </x:c>
      <x:c r="P57" s="3" t="str">
        <x:v>0</x:v>
      </x:c>
      <x:c r="Q57" s="3" t="str">
        <x:v>1</x:v>
      </x:c>
      <x:c r="R57" s="3" t="str">
        <x:v>1</x:v>
      </x:c>
      <x:c r="S57" s="3" t="str">
        <x:v>和大巴扎节奏相关。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</x:row>
    <x:row r="64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</x:row>
    <x:row r="65">
      <x:c r="A65" s="6" t="str">
        <x:v>#csv</x:v>
      </x:c>
      <x:c r="B65" s="6" t="str">
        <x:v>28_quality_growth.csv</x:v>
      </x:c>
      <x:c r="C65" s="6" t="str">
        <x:v>品质成长数值。</x:v>
      </x:c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  <x:c r="R65" s="6"/>
      <x:c r="S65" s="6"/>
    </x:row>
    <x:row r="66">
      <x:c r="A66" s="5" t="str">
        <x:v>quality</x:v>
      </x:c>
      <x:c r="B66" s="5" t="str">
        <x:v>label</x:v>
      </x:c>
      <x:c r="C66" s="5" t="str">
        <x:v>shape_size</x:v>
      </x:c>
      <x:c r="D66" s="5" t="str">
        <x:v>hp_bonus</x:v>
      </x:c>
      <x:c r="E66" s="5" t="str">
        <x:v>atk_bonus</x:v>
      </x:c>
      <x:c r="F66" s="5" t="str">
        <x:v>mechanic</x:v>
      </x:c>
      <x:c r="G66" s="5" t="str">
        <x:v>description</x:v>
      </x:c>
      <x:c r="H66" s="5"/>
      <x:c r="I66" s="5"/>
      <x:c r="J66" s="5"/>
      <x:c r="K66" s="5"/>
      <x:c r="L66" s="5"/>
      <x:c r="M66" s="5"/>
      <x:c r="N66" s="5"/>
      <x:c r="O66" s="5"/>
      <x:c r="P66" s="5"/>
      <x:c r="Q66" s="5"/>
      <x:c r="R66" s="5"/>
      <x:c r="S66" s="5"/>
    </x:row>
    <x:row r="67">
      <x:c r="A67" s="3" t="str">
        <x:v>bronze</x:v>
      </x:c>
      <x:c r="B67" s="3" t="str">
        <x:v>青铜</x:v>
      </x:c>
      <x:c r="C67" s="3" t="str">
        <x:v>1</x:v>
      </x:c>
      <x:c r="D67" s="3" t="str">
        <x:v>0</x:v>
      </x:c>
      <x:c r="E67" s="3" t="str">
        <x:v>0</x:v>
      </x:c>
      <x:c r="F67" s="3" t="str">
        <x:v>基础</x:v>
      </x:c>
      <x:c r="G67" s="3" t="str">
        <x:v>只有基础生命、攻击和 3 个行动形状。</x:v>
      </x:c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</x:row>
    <x:row r="68">
      <x:c r="A68" s="3" t="str">
        <x:v>bronze</x:v>
      </x:c>
      <x:c r="B68" s="3" t="str">
        <x:v>青铜</x:v>
      </x:c>
      <x:c r="C68" s="3" t="str">
        <x:v>2</x:v>
      </x:c>
      <x:c r="D68" s="3" t="str">
        <x:v>0</x:v>
      </x:c>
      <x:c r="E68" s="3" t="str">
        <x:v>0</x:v>
      </x:c>
      <x:c r="F68" s="3" t="str">
        <x:v>基础</x:v>
      </x:c>
      <x:c r="G68" s="3" t="str">
        <x:v>只有基础生命、攻击和 3 个行动形状。</x:v>
      </x:c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</x:row>
    <x:row r="69">
      <x:c r="A69" s="3" t="str">
        <x:v>bronze</x:v>
      </x:c>
      <x:c r="B69" s="3" t="str">
        <x:v>青铜</x:v>
      </x:c>
      <x:c r="C69" s="3" t="str">
        <x:v>3</x:v>
      </x:c>
      <x:c r="D69" s="3" t="str">
        <x:v>0</x:v>
      </x:c>
      <x:c r="E69" s="3" t="str">
        <x:v>0</x:v>
      </x:c>
      <x:c r="F69" s="3" t="str">
        <x:v>基础</x:v>
      </x:c>
      <x:c r="G69" s="3" t="str">
        <x:v>只有基础生命、攻击和 3 个行动形状。</x:v>
      </x:c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</x:row>
    <x:row r="70">
      <x:c r="A70" s="3" t="str">
        <x:v>silver</x:v>
      </x:c>
      <x:c r="B70" s="3" t="str">
        <x:v>白银</x:v>
      </x:c>
      <x:c r="C70" s="3" t="str">
        <x:v>1</x:v>
      </x:c>
      <x:c r="D70" s="3" t="str">
        <x:v>4</x:v>
      </x:c>
      <x:c r="E70" s="3" t="str">
        <x:v>1</x:v>
      </x:c>
      <x:c r="F70" s="3" t="str">
        <x:v>白银 Buff</x:v>
      </x:c>
      <x:c r="G70" s="3" t="str">
        <x:v>获得小幅数值成长，并获得 1 个自动触发的白银 Buff。</x:v>
      </x:c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</x:row>
    <x:row r="71">
      <x:c r="A71" s="3" t="inlineStr">
        <x:is>
          <x:t xml:space="preserve">silver</x:t>
        </x:is>
      </x:c>
      <x:c r="B71" s="3" t="inlineStr">
        <x:is>
          <x:t xml:space="preserve">白银</x:t>
        </x:is>
      </x:c>
      <x:c r="C71" s="3" t="inlineStr">
        <x:is>
          <x:t xml:space="preserve">2</x:t>
        </x:is>
      </x:c>
      <x:c r="D71" s="3" t="inlineStr">
        <x:is>
          <x:t xml:space="preserve">5</x:t>
        </x:is>
      </x:c>
      <x:c r="E71" s="3" t="inlineStr">
        <x:is>
          <x:t xml:space="preserve">1</x:t>
        </x:is>
      </x:c>
      <x:c r="F71" s="3" t="inlineStr">
        <x:is>
          <x:t xml:space="preserve">白银 Buff</x:t>
        </x:is>
      </x:c>
      <x:c r="G71" s="3" t="inlineStr">
        <x:is>
          <x:t xml:space="preserve">获得小幅数值成长，并获得 1 个自动触发的白银 Buff。</x:t>
        </x:is>
      </x:c>
      <x:c r="H71" s="3" t="n"/>
      <x:c r="I71" s="3" t="n"/>
      <x:c r="J71" s="3" t="n"/>
      <x:c r="K71" s="3" t="n"/>
      <x:c r="L71" s="3" t="n"/>
      <x:c r="M71" s="3" t="n"/>
      <x:c r="N71" s="3" t="n"/>
      <x:c r="O71" s="3" t="n"/>
      <x:c r="P71" s="3" t="n"/>
      <x:c r="Q71" s="3" t="n"/>
      <x:c r="R71" s="3" t="n"/>
      <x:c r="S71" s="3" t="n"/>
    </x:row>
    <x:row r="72">
      <x:c r="A72" s="3" t="inlineStr">
        <x:is>
          <x:t xml:space="preserve">silver</x:t>
        </x:is>
      </x:c>
      <x:c r="B72" s="3" t="inlineStr">
        <x:is>
          <x:t xml:space="preserve">白银</x:t>
        </x:is>
      </x:c>
      <x:c r="C72" s="3" t="inlineStr">
        <x:is>
          <x:t xml:space="preserve">3</x:t>
        </x:is>
      </x:c>
      <x:c r="D72" s="3" t="inlineStr">
        <x:is>
          <x:t xml:space="preserve">6</x:t>
        </x:is>
      </x:c>
      <x:c r="E72" s="3" t="inlineStr">
        <x:is>
          <x:t xml:space="preserve">1</x:t>
        </x:is>
      </x:c>
      <x:c r="F72" s="3" t="inlineStr">
        <x:is>
          <x:t xml:space="preserve">白银 Buff</x:t>
        </x:is>
      </x:c>
      <x:c r="G72" s="3" t="inlineStr">
        <x:is>
          <x:t xml:space="preserve">获得小幅数值成长，并获得 1 个自动触发的白银 Buff。</x:t>
        </x:is>
      </x:c>
      <x:c r="H72" s="3" t="n"/>
      <x:c r="I72" s="3" t="n"/>
      <x:c r="J72" s="3" t="n"/>
      <x:c r="K72" s="3" t="n"/>
      <x:c r="L72" s="3" t="n"/>
      <x:c r="M72" s="3" t="n"/>
      <x:c r="N72" s="3" t="n"/>
      <x:c r="O72" s="3" t="n"/>
      <x:c r="P72" s="3" t="n"/>
      <x:c r="Q72" s="3" t="n"/>
      <x:c r="R72" s="3" t="n"/>
      <x:c r="S72" s="3" t="n"/>
    </x:row>
    <x:row r="73">
      <x:c r="A73" s="3" t="inlineStr">
        <x:is>
          <x:t xml:space="preserve">gold</x:t>
        </x:is>
      </x:c>
      <x:c r="B73" s="3" t="inlineStr">
        <x:is>
          <x:t xml:space="preserve">黄金</x:t>
        </x:is>
      </x:c>
      <x:c r="C73" s="3" t="inlineStr">
        <x:is>
          <x:t xml:space="preserve">1</x:t>
        </x:is>
      </x:c>
      <x:c r="D73" s="3" t="inlineStr">
        <x:is>
          <x:t xml:space="preserve">8</x:t>
        </x:is>
      </x:c>
      <x:c r="E73" s="3" t="inlineStr">
        <x:is>
          <x:t xml:space="preserve">2</x:t>
        </x:is>
      </x:c>
      <x:c r="F73" s="3" t="inlineStr">
        <x:is>
          <x:t xml:space="preserve">黄金升级</x:t>
        </x:is>
      </x:c>
      <x:c r="G73" s="3" t="inlineStr">
        <x:is>
          <x:t xml:space="preserve">获得中幅数值成长，并获得 1 个黄金升级。黄金升级主要围绕形状强化。</x:t>
        </x:is>
      </x:c>
      <x:c r="H73" s="3" t="n"/>
      <x:c r="I73" s="3" t="n"/>
      <x:c r="J73" s="3" t="n"/>
      <x:c r="K73" s="3" t="n"/>
      <x:c r="L73" s="3" t="n"/>
      <x:c r="M73" s="3" t="n"/>
      <x:c r="N73" s="3" t="n"/>
      <x:c r="O73" s="3" t="n"/>
      <x:c r="P73" s="3" t="n"/>
      <x:c r="Q73" s="3" t="n"/>
      <x:c r="R73" s="3" t="n"/>
      <x:c r="S73" s="3" t="n"/>
    </x:row>
    <x:row r="74">
      <x:c r="A74" s="3" t="inlineStr">
        <x:is>
          <x:t xml:space="preserve">gold</x:t>
        </x:is>
      </x:c>
      <x:c r="B74" s="3" t="inlineStr">
        <x:is>
          <x:t xml:space="preserve">黄金</x:t>
        </x:is>
      </x:c>
      <x:c r="C74" s="3" t="inlineStr">
        <x:is>
          <x:t xml:space="preserve">2</x:t>
        </x:is>
      </x:c>
      <x:c r="D74" s="3" t="inlineStr">
        <x:is>
          <x:t xml:space="preserve">10</x:t>
        </x:is>
      </x:c>
      <x:c r="E74" s="3" t="inlineStr">
        <x:is>
          <x:t xml:space="preserve">2</x:t>
        </x:is>
      </x:c>
      <x:c r="F74" s="3" t="inlineStr">
        <x:is>
          <x:t xml:space="preserve">黄金升级</x:t>
        </x:is>
      </x:c>
      <x:c r="G74" s="3" t="inlineStr">
        <x:is>
          <x:t xml:space="preserve">获得中幅数值成长，并获得 1 个黄金升级。黄金升级主要围绕形状强化。</x:t>
        </x:is>
      </x:c>
      <x:c r="H74" s="3" t="n"/>
      <x:c r="I74" s="3" t="n"/>
      <x:c r="J74" s="3" t="n"/>
      <x:c r="K74" s="3" t="n"/>
      <x:c r="L74" s="3" t="n"/>
      <x:c r="M74" s="3" t="n"/>
      <x:c r="N74" s="3" t="n"/>
      <x:c r="O74" s="3" t="n"/>
      <x:c r="P74" s="3" t="n"/>
      <x:c r="Q74" s="3" t="n"/>
      <x:c r="R74" s="3" t="n"/>
      <x:c r="S74" s="3" t="n"/>
    </x:row>
    <x:row r="75">
      <x:c r="A75" s="3" t="inlineStr">
        <x:is>
          <x:t xml:space="preserve">gold</x:t>
        </x:is>
      </x:c>
      <x:c r="B75" s="3" t="inlineStr">
        <x:is>
          <x:t xml:space="preserve">黄金</x:t>
        </x:is>
      </x:c>
      <x:c r="C75" s="3" t="inlineStr">
        <x:is>
          <x:t xml:space="preserve">3</x:t>
        </x:is>
      </x:c>
      <x:c r="D75" s="3" t="inlineStr">
        <x:is>
          <x:t xml:space="preserve">12</x:t>
        </x:is>
      </x:c>
      <x:c r="E75" s="3" t="inlineStr">
        <x:is>
          <x:t xml:space="preserve">2</x:t>
        </x:is>
      </x:c>
      <x:c r="F75" s="3" t="inlineStr">
        <x:is>
          <x:t xml:space="preserve">黄金升级</x:t>
        </x:is>
      </x:c>
      <x:c r="G75" s="3" t="inlineStr">
        <x:is>
          <x:t xml:space="preserve">获得中幅数值成长，并获得 1 个黄金升级。黄金升级主要围绕形状强化。</x:t>
        </x:is>
      </x:c>
      <x:c r="H75" s="3" t="n"/>
      <x:c r="I75" s="3" t="n"/>
      <x:c r="J75" s="3" t="n"/>
      <x:c r="K75" s="3" t="n"/>
      <x:c r="L75" s="3" t="n"/>
      <x:c r="M75" s="3" t="n"/>
      <x:c r="N75" s="3" t="n"/>
      <x:c r="O75" s="3" t="n"/>
      <x:c r="P75" s="3" t="n"/>
      <x:c r="Q75" s="3" t="n"/>
      <x:c r="R75" s="3" t="n"/>
      <x:c r="S75" s="3" t="n"/>
    </x:row>
    <x:row r="76">
      <x:c r="A76" s="3" t="inlineStr">
        <x:is>
          <x:t xml:space="preserve">diamond</x:t>
        </x:is>
      </x:c>
      <x:c r="B76" s="3" t="inlineStr">
        <x:is>
          <x:t xml:space="preserve">钻石</x:t>
        </x:is>
      </x:c>
      <x:c r="C76" s="3" t="inlineStr">
        <x:is>
          <x:t xml:space="preserve">1</x:t>
        </x:is>
      </x:c>
      <x:c r="D76" s="3" t="inlineStr">
        <x:is>
          <x:t xml:space="preserve">12</x:t>
        </x:is>
      </x:c>
      <x:c r="E76" s="3" t="inlineStr">
        <x:is>
          <x:t xml:space="preserve">3</x:t>
        </x:is>
      </x:c>
      <x:c r="F76" s="3" t="inlineStr">
        <x:is>
          <x:t xml:space="preserve">钻石质变</x:t>
        </x:is>
      </x:c>
      <x:c r="G76" s="3" t="inlineStr">
        <x:is>
          <x:t xml:space="preserve">获得高幅数值成长，并获得 1 个钻石质变。钻石主要改变形状、结算或棋盘。</x:t>
        </x:is>
      </x:c>
      <x:c r="H76" s="3" t="n"/>
      <x:c r="I76" s="3" t="n"/>
      <x:c r="J76" s="3" t="n"/>
      <x:c r="K76" s="3" t="n"/>
      <x:c r="L76" s="3" t="n"/>
      <x:c r="M76" s="3" t="n"/>
      <x:c r="N76" s="3" t="n"/>
      <x:c r="O76" s="3" t="n"/>
      <x:c r="P76" s="3" t="n"/>
      <x:c r="Q76" s="3" t="n"/>
      <x:c r="R76" s="3" t="n"/>
      <x:c r="S76" s="3" t="n"/>
    </x:row>
    <x:row r="77">
      <x:c r="A77" s="3" t="inlineStr">
        <x:is>
          <x:t xml:space="preserve">diamond</x:t>
        </x:is>
      </x:c>
      <x:c r="B77" s="3" t="inlineStr">
        <x:is>
          <x:t xml:space="preserve">钻石</x:t>
        </x:is>
      </x:c>
      <x:c r="C77" s="3" t="inlineStr">
        <x:is>
          <x:t xml:space="preserve">2</x:t>
        </x:is>
      </x:c>
      <x:c r="D77" s="3" t="inlineStr">
        <x:is>
          <x:t xml:space="preserve">15</x:t>
        </x:is>
      </x:c>
      <x:c r="E77" s="3" t="inlineStr">
        <x:is>
          <x:t xml:space="preserve">3</x:t>
        </x:is>
      </x:c>
      <x:c r="F77" s="3" t="inlineStr">
        <x:is>
          <x:t xml:space="preserve">钻石质变</x:t>
        </x:is>
      </x:c>
      <x:c r="G77" s="3" t="inlineStr">
        <x:is>
          <x:t xml:space="preserve">获得高幅数值成长，并获得 1 个钻石质变。钻石主要改变形状、结算或棋盘。</x:t>
        </x:is>
      </x:c>
      <x:c r="H77" s="3" t="n"/>
      <x:c r="I77" s="3" t="n"/>
      <x:c r="J77" s="3" t="n"/>
      <x:c r="K77" s="3" t="n"/>
      <x:c r="L77" s="3" t="n"/>
      <x:c r="M77" s="3" t="n"/>
      <x:c r="N77" s="3" t="n"/>
      <x:c r="O77" s="3" t="n"/>
      <x:c r="P77" s="3" t="n"/>
      <x:c r="Q77" s="3" t="n"/>
      <x:c r="R77" s="3" t="n"/>
      <x:c r="S77" s="3" t="n"/>
    </x:row>
    <x:row r="78">
      <x:c r="A78" s="3" t="inlineStr">
        <x:is>
          <x:t xml:space="preserve">diamond</x:t>
        </x:is>
      </x:c>
      <x:c r="B78" s="3" t="inlineStr">
        <x:is>
          <x:t xml:space="preserve">钻石</x:t>
        </x:is>
      </x:c>
      <x:c r="C78" s="3" t="inlineStr">
        <x:is>
          <x:t xml:space="preserve">3</x:t>
        </x:is>
      </x:c>
      <x:c r="D78" s="3" t="inlineStr">
        <x:is>
          <x:t xml:space="preserve">18</x:t>
        </x:is>
      </x:c>
      <x:c r="E78" s="3" t="inlineStr">
        <x:is>
          <x:t xml:space="preserve">3</x:t>
        </x:is>
      </x:c>
      <x:c r="F78" s="3" t="inlineStr">
        <x:is>
          <x:t xml:space="preserve">钻石质变</x:t>
        </x:is>
      </x:c>
      <x:c r="G78" s="3" t="inlineStr">
        <x:is>
          <x:t xml:space="preserve">获得高幅数值成长，并获得 1 个钻石质变。钻石主要改变形状、结算或棋盘。</x:t>
        </x:is>
      </x:c>
      <x:c r="H78" s="3" t="n"/>
      <x:c r="I78" s="3" t="n"/>
      <x:c r="J78" s="3" t="n"/>
      <x:c r="K78" s="3" t="n"/>
      <x:c r="L78" s="3" t="n"/>
      <x:c r="M78" s="3" t="n"/>
      <x:c r="N78" s="3" t="n"/>
      <x:c r="O78" s="3" t="n"/>
      <x:c r="P78" s="3" t="n"/>
      <x:c r="Q78" s="3" t="n"/>
      <x:c r="R78" s="3" t="n"/>
      <x:c r="S78" s="3" t="n"/>
    </x:row>
    <x:row r="79">
      <x:c r="A79" s="3" t="n"/>
      <x:c r="B79" s="3" t="n"/>
      <x:c r="C79" s="3" t="n"/>
      <x:c r="D79" s="3" t="n"/>
      <x:c r="E79" s="3" t="n"/>
      <x:c r="F79" s="3" t="n"/>
      <x:c r="G79" s="3" t="n"/>
      <x:c r="H79" s="3" t="n"/>
      <x:c r="I79" s="3" t="n"/>
      <x:c r="J79" s="3" t="n"/>
      <x:c r="K79" s="3" t="n"/>
      <x:c r="L79" s="3" t="n"/>
      <x:c r="M79" s="3" t="n"/>
      <x:c r="N79" s="3" t="n"/>
      <x:c r="O79" s="3" t="n"/>
      <x:c r="P79" s="3" t="n"/>
      <x:c r="Q79" s="3" t="n"/>
      <x:c r="R79" s="3" t="n"/>
      <x:c r="S79" s="3" t="n"/>
    </x:row>
    <x:row r="80">
      <x:c r="A80" s="6" t="inlineStr">
        <x:is>
          <x:t xml:space="preserve">#csv</x:t>
        </x:is>
      </x:c>
      <x:c r="B80" s="6" t="inlineStr">
        <x:is>
          <x:t xml:space="preserve">29_quality_upgrades.csv</x:t>
        </x:is>
      </x:c>
      <x:c r="C80" s="6" t="inlineStr">
        <x:is>
          <x:t xml:space="preserve">品质升级质变。</x:t>
        </x:is>
      </x:c>
      <x:c r="D80" s="6" t="n"/>
      <x:c r="E80" s="6" t="n"/>
      <x:c r="F80" s="6" t="n"/>
      <x:c r="G80" s="6" t="n"/>
      <x:c r="H80" s="6" t="n"/>
      <x:c r="I80" s="6" t="n"/>
      <x:c r="J80" s="6" t="n"/>
      <x:c r="K80" s="6" t="n"/>
      <x:c r="L80" s="6" t="n"/>
      <x:c r="M80" s="6" t="n"/>
      <x:c r="N80" s="6" t="n"/>
      <x:c r="O80" s="6" t="n"/>
      <x:c r="P80" s="6" t="n"/>
      <x:c r="Q80" s="6" t="n"/>
      <x:c r="R80" s="6" t="n"/>
      <x:c r="S80" s="6" t="n"/>
    </x:row>
    <x:row r="81">
      <x:c r="A81" s="5" t="inlineStr">
        <x:is>
          <x:t xml:space="preserve">upgrade_id</x:t>
        </x:is>
      </x:c>
      <x:c r="B81" s="5" t="inlineStr">
        <x:is>
          <x:t xml:space="preserve">name</x:t>
        </x:is>
      </x:c>
      <x:c r="C81" s="5" t="inlineStr">
        <x:is>
          <x:t xml:space="preserve">quality</x:t>
        </x:is>
      </x:c>
      <x:c r="D81" s="5" t="inlineStr">
        <x:is>
          <x:t xml:space="preserve">category</x:t>
        </x:is>
      </x:c>
      <x:c r="E81" s="5" t="inlineStr">
        <x:is>
          <x:t xml:space="preserve">operation_level</x:t>
        </x:is>
      </x:c>
      <x:c r="F81" s="5" t="inlineStr">
        <x:is>
          <x:t xml:space="preserve">allowed_shape_sizes</x:t>
        </x:is>
      </x:c>
      <x:c r="G81" s="5" t="inlineStr">
        <x:is>
          <x:t xml:space="preserve">effect</x:t>
        </x:is>
      </x:c>
      <x:c r="H81" s="5" t="inlineStr">
        <x:is>
          <x:t xml:space="preserve">design_note</x:t>
        </x:is>
      </x:c>
      <x:c r="I81" s="5" t="inlineStr">
        <x:is>
          <x:t xml:space="preserve">runtime_status</x:t>
        </x:is>
      </x:c>
      <x:c r="J81" s="5" t="n"/>
      <x:c r="K81" s="5" t="n"/>
      <x:c r="L81" s="5" t="n"/>
      <x:c r="M81" s="5" t="n"/>
      <x:c r="N81" s="5" t="n"/>
      <x:c r="O81" s="5" t="n"/>
      <x:c r="P81" s="5" t="n"/>
      <x:c r="Q81" s="5" t="n"/>
      <x:c r="R81" s="5" t="n"/>
      <x:c r="S81" s="5" t="n"/>
    </x:row>
    <x:row r="82">
      <x:c r="A82" s="3" t="inlineStr">
        <x:is>
          <x:t xml:space="preserve">S01</x:t>
        </x:is>
      </x:c>
      <x:c r="B82" s="3" t="inlineStr">
        <x:is>
          <x:t xml:space="preserve">护体</x:t>
        </x:is>
      </x:c>
      <x:c r="C82" s="3" t="inlineStr">
        <x:is>
          <x:t xml:space="preserve">silver</x:t>
        </x:is>
      </x:c>
      <x:c r="D82" s="3" t="inlineStr">
        <x:is>
          <x:t xml:space="preserve">passive</x:t>
        </x:is>
      </x:c>
      <x:c r="E82" s="3" t="inlineStr">
        <x:is>
          <x:t xml:space="preserve">none</x:t>
        </x:is>
      </x:c>
      <x:c r="F82" s="3" t="inlineStr">
        <x:is>
          <x:t xml:space="preserve">1|2|3</x:t>
        </x:is>
      </x:c>
      <x:c r="G82" s="3" t="inlineStr">
        <x:is>
          <x:t xml:space="preserve">回合开始时，获得 15 点护盾。</x:t>
        </x:is>
      </x:c>
      <x:c r="H82" s="3" t="inlineStr">
        <x:is>
          <x:t xml:space="preserve"/>
        </x:is>
      </x:c>
      <x:c r="I82" s="3" t="inlineStr">
        <x:is>
          <x:t xml:space="preserve">implemented</x:t>
        </x:is>
      </x:c>
      <x:c r="J82" s="3" t="n"/>
      <x:c r="K82" s="3" t="n"/>
      <x:c r="L82" s="3" t="n"/>
      <x:c r="M82" s="3" t="n"/>
      <x:c r="N82" s="3" t="n"/>
      <x:c r="O82" s="3" t="n"/>
      <x:c r="P82" s="3" t="n"/>
      <x:c r="Q82" s="3" t="n"/>
      <x:c r="R82" s="3" t="n"/>
      <x:c r="S82" s="3" t="n"/>
    </x:row>
    <x:row r="83">
      <x:c r="A83" s="3" t="inlineStr">
        <x:is>
          <x:t xml:space="preserve">S02</x:t>
        </x:is>
      </x:c>
      <x:c r="B83" s="3" t="inlineStr">
        <x:is>
          <x:t xml:space="preserve">自愈</x:t>
        </x:is>
      </x:c>
      <x:c r="C83" s="3" t="inlineStr">
        <x:is>
          <x:t xml:space="preserve">silver</x:t>
        </x:is>
      </x:c>
      <x:c r="D83" s="3" t="inlineStr">
        <x:is>
          <x:t xml:space="preserve">passive</x:t>
        </x:is>
      </x:c>
      <x:c r="E83" s="3" t="inlineStr">
        <x:is>
          <x:t xml:space="preserve">none</x:t>
        </x:is>
      </x:c>
      <x:c r="F83" s="3" t="inlineStr">
        <x:is>
          <x:t xml:space="preserve">1|2|3</x:t>
        </x:is>
      </x:c>
      <x:c r="G83" s="3" t="inlineStr">
        <x:is>
          <x:t xml:space="preserve">回合开始时，恢复自身 20 点生命值。</x:t>
        </x:is>
      </x:c>
      <x:c r="H83" s="3" t="inlineStr">
        <x:is>
          <x:t xml:space="preserve"/>
        </x:is>
      </x:c>
      <x:c r="I83" s="3" t="inlineStr">
        <x:is>
          <x:t xml:space="preserve">implemented</x:t>
        </x:is>
      </x:c>
      <x:c r="J83" s="3" t="n"/>
      <x:c r="K83" s="3" t="n"/>
      <x:c r="L83" s="3" t="n"/>
      <x:c r="M83" s="3" t="n"/>
      <x:c r="N83" s="3" t="n"/>
      <x:c r="O83" s="3" t="n"/>
      <x:c r="P83" s="3" t="n"/>
      <x:c r="Q83" s="3" t="n"/>
      <x:c r="R83" s="3" t="n"/>
      <x:c r="S83" s="3" t="n"/>
    </x:row>
    <x:row r="84">
      <x:c r="A84" s="3" t="inlineStr">
        <x:is>
          <x:t xml:space="preserve">S03</x:t>
        </x:is>
      </x:c>
      <x:c r="B84" s="3" t="inlineStr">
        <x:is>
          <x:t xml:space="preserve">壮体</x:t>
        </x:is>
      </x:c>
      <x:c r="C84" s="3" t="inlineStr">
        <x:is>
          <x:t xml:space="preserve">silver</x:t>
        </x:is>
      </x:c>
      <x:c r="D84" s="3" t="inlineStr">
        <x:is>
          <x:t xml:space="preserve">passive</x:t>
        </x:is>
      </x:c>
      <x:c r="E84" s="3" t="inlineStr">
        <x:is>
          <x:t xml:space="preserve">none</x:t>
        </x:is>
      </x:c>
      <x:c r="F84" s="3" t="inlineStr">
        <x:is>
          <x:t xml:space="preserve">1|2|3</x:t>
        </x:is>
      </x:c>
      <x:c r="G84" s="3" t="inlineStr">
        <x:is>
          <x:t xml:space="preserve">回合开始时，最大生命值翻倍，但最大生命值最多不超过 30。</x:t>
        </x:is>
      </x:c>
      <x:c r="H84" s="3" t="inlineStr">
        <x:is>
          <x:t xml:space="preserve"/>
        </x:is>
      </x:c>
      <x:c r="I84" s="3" t="inlineStr">
        <x:is>
          <x:t xml:space="preserve">implemented</x:t>
        </x:is>
      </x:c>
      <x:c r="J84" s="3" t="n"/>
      <x:c r="K84" s="3" t="n"/>
      <x:c r="L84" s="3" t="n"/>
      <x:c r="M84" s="3" t="n"/>
      <x:c r="N84" s="3" t="n"/>
      <x:c r="O84" s="3" t="n"/>
      <x:c r="P84" s="3" t="n"/>
      <x:c r="Q84" s="3" t="n"/>
      <x:c r="R84" s="3" t="n"/>
      <x:c r="S84" s="3" t="n"/>
    </x:row>
    <x:row r="85">
      <x:c r="A85" s="3" t="inlineStr">
        <x:is>
          <x:t xml:space="preserve">S04</x:t>
        </x:is>
      </x:c>
      <x:c r="B85" s="3" t="inlineStr">
        <x:is>
          <x:t xml:space="preserve">元素回响</x:t>
        </x:is>
      </x:c>
      <x:c r="C85" s="3" t="inlineStr">
        <x:is>
          <x:t xml:space="preserve">silver</x:t>
        </x:is>
      </x:c>
      <x:c r="D85" s="3" t="inlineStr">
        <x:is>
          <x:t xml:space="preserve">passive</x:t>
        </x:is>
      </x:c>
      <x:c r="E85" s="3" t="inlineStr">
        <x:is>
          <x:t xml:space="preserve">none</x:t>
        </x:is>
      </x:c>
      <x:c r="F85" s="3" t="inlineStr">
        <x:is>
          <x:t xml:space="preserve">1|2|3</x:t>
        </x:is>
      </x:c>
      <x:c r="G85" s="3" t="inlineStr">
        <x:is>
          <x:t xml:space="preserve">造成元素伤害时，该元素伤害重复结算 1 次。</x:t>
        </x:is>
      </x:c>
      <x:c r="H85" s="3" t="inlineStr">
        <x:is>
          <x:t xml:space="preserve"/>
        </x:is>
      </x:c>
      <x:c r="I85" s="3" t="inlineStr">
        <x:is>
          <x:t xml:space="preserve">implemented</x:t>
        </x:is>
      </x:c>
      <x:c r="J85" s="3" t="n"/>
      <x:c r="K85" s="3" t="n"/>
      <x:c r="L85" s="3" t="n"/>
      <x:c r="M85" s="3" t="n"/>
      <x:c r="N85" s="3" t="n"/>
      <x:c r="O85" s="3" t="n"/>
      <x:c r="P85" s="3" t="n"/>
      <x:c r="Q85" s="3" t="n"/>
      <x:c r="R85" s="3" t="n"/>
      <x:c r="S85" s="3" t="n"/>
    </x:row>
    <x:row r="86">
      <x:c r="A86" s="3" t="inlineStr">
        <x:is>
          <x:t xml:space="preserve">S05</x:t>
        </x:is>
      </x:c>
      <x:c r="B86" s="3" t="inlineStr">
        <x:is>
          <x:t xml:space="preserve">收尾暴击</x:t>
        </x:is>
      </x:c>
      <x:c r="C86" s="3" t="inlineStr">
        <x:is>
          <x:t xml:space="preserve">silver</x:t>
        </x:is>
      </x:c>
      <x:c r="D86" s="3" t="inlineStr">
        <x:is>
          <x:t xml:space="preserve">passive</x:t>
        </x:is>
      </x:c>
      <x:c r="E86" s="3" t="inlineStr">
        <x:is>
          <x:t xml:space="preserve">none</x:t>
        </x:is>
      </x:c>
      <x:c r="F86" s="3" t="inlineStr">
        <x:is>
          <x:t xml:space="preserve">2|3</x:t>
        </x:is>
      </x:c>
      <x:c r="G86" s="3" t="inlineStr">
        <x:is>
          <x:t xml:space="preserve">本次行动的最后一击必定暴击。</x:t>
        </x:is>
      </x:c>
      <x:c r="H86" s="3" t="inlineStr">
        <x:is>
          <x:t xml:space="preserve">更适合二格、三格、多段结算角色。</x:t>
        </x:is>
      </x:c>
      <x:c r="I86" s="3" t="inlineStr">
        <x:is>
          <x:t xml:space="preserve">implemented</x:t>
        </x:is>
      </x:c>
      <x:c r="J86" s="3" t="n"/>
      <x:c r="K86" s="3" t="n"/>
      <x:c r="L86" s="3" t="n"/>
      <x:c r="M86" s="3" t="n"/>
      <x:c r="N86" s="3" t="n"/>
      <x:c r="O86" s="3" t="n"/>
      <x:c r="P86" s="3" t="n"/>
      <x:c r="Q86" s="3" t="n"/>
      <x:c r="R86" s="3" t="n"/>
      <x:c r="S86" s="3" t="n"/>
    </x:row>
    <x:row r="87">
      <x:c r="A87" s="3" t="inlineStr">
        <x:is>
          <x:t xml:space="preserve">S06</x:t>
        </x:is>
      </x:c>
      <x:c r="B87" s="3" t="inlineStr">
        <x:is>
          <x:t xml:space="preserve">连击倍增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2|3</x:t>
        </x:is>
      </x:c>
      <x:c r="G87" s="3" t="inlineStr">
        <x:is>
          <x:t xml:space="preserve">第一击伤害减半，之后每一击都是前一击的 2 倍。</x:t>
        </x:is>
      </x:c>
      <x:c r="H87" s="3" t="inlineStr">
        <x:is>
          <x:t xml:space="preserve"/>
        </x:is>
      </x:c>
      <x:c r="I87" s="3" t="inlineStr">
        <x:is>
          <x:t xml:space="preserve">implemented</x:t>
        </x:is>
      </x:c>
      <x:c r="J87" s="3" t="n"/>
      <x:c r="K87" s="3" t="n"/>
      <x:c r="L87" s="3" t="n"/>
      <x:c r="M87" s="3" t="n"/>
      <x:c r="N87" s="3" t="n"/>
      <x:c r="O87" s="3" t="n"/>
      <x:c r="P87" s="3" t="n"/>
      <x:c r="Q87" s="3" t="n"/>
      <x:c r="R87" s="3" t="n"/>
      <x:c r="S87" s="3" t="n"/>
    </x:row>
    <x:row r="88">
      <x:c r="A88" s="3" t="inlineStr">
        <x:is>
          <x:t xml:space="preserve">S07</x:t>
        </x:is>
      </x:c>
      <x:c r="B88" s="3" t="inlineStr">
        <x:is>
          <x:t xml:space="preserve">越战越勇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每击杀 5 个怪，永久 +1 攻击力。</x:t>
        </x:is>
      </x:c>
      <x:c r="H88" s="3" t="inlineStr">
        <x:is>
          <x:t xml:space="preserve"/>
        </x:is>
      </x:c>
      <x:c r="I88" s="3" t="inlineStr">
        <x:is>
          <x:t xml:space="preserve">implemented</x:t>
        </x:is>
      </x:c>
      <x:c r="J88" s="3" t="n"/>
      <x:c r="K88" s="3" t="n"/>
      <x:c r="L88" s="3" t="n"/>
      <x:c r="M88" s="3" t="n"/>
      <x:c r="N88" s="3" t="n"/>
      <x:c r="O88" s="3" t="n"/>
      <x:c r="P88" s="3" t="n"/>
      <x:c r="Q88" s="3" t="n"/>
      <x:c r="R88" s="3" t="n"/>
      <x:c r="S88" s="3" t="n"/>
    </x:row>
    <x:row r="89">
      <x:c r="A89" s="3" t="inlineStr">
        <x:is>
          <x:t xml:space="preserve">S08</x:t>
        </x:is>
      </x:c>
      <x:c r="B89" s="3" t="inlineStr">
        <x:is>
          <x:t xml:space="preserve">本命爆发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如果自身携带和自己相同的元素，元素爆发翻倍。</x:t>
        </x:is>
      </x:c>
      <x:c r="H89" s="3" t="inlineStr">
        <x:is>
          <x:t xml:space="preserve"/>
        </x:is>
      </x:c>
      <x:c r="I89" s="3" t="inlineStr">
        <x:is>
          <x:t xml:space="preserve">implemented</x:t>
        </x:is>
      </x:c>
      <x:c r="J89" s="3" t="n"/>
      <x:c r="K89" s="3" t="n"/>
      <x:c r="L89" s="3" t="n"/>
      <x:c r="M89" s="3" t="n"/>
      <x:c r="N89" s="3" t="n"/>
      <x:c r="O89" s="3" t="n"/>
      <x:c r="P89" s="3" t="n"/>
      <x:c r="Q89" s="3" t="n"/>
      <x:c r="R89" s="3" t="n"/>
      <x:c r="S89" s="3" t="n"/>
    </x:row>
    <x:row r="90">
      <x:c r="A90" s="3" t="inlineStr">
        <x:is>
          <x:t xml:space="preserve">G01</x:t>
        </x:is>
      </x:c>
      <x:c r="B90" s="3" t="inlineStr">
        <x:is>
          <x:t xml:space="preserve">攻守切换</x:t>
        </x:is>
      </x:c>
      <x:c r="C90" s="3" t="inlineStr">
        <x:is>
          <x:t xml:space="preserve">gold</x:t>
        </x:is>
      </x:c>
      <x:c r="D90" s="3" t="inlineStr">
        <x:is>
          <x:t xml:space="preserve">dualMode</x:t>
        </x:is>
      </x:c>
      <x:c r="E90" s="3" t="inlineStr">
        <x:is>
          <x:t xml:space="preserve">low</x:t>
        </x:is>
      </x:c>
      <x:c r="F90" s="3" t="inlineStr">
        <x:is>
          <x:t xml:space="preserve">1|2|3</x:t>
        </x:is>
      </x:c>
      <x:c r="G90" s="3" t="inlineStr">
        <x:is>
          <x:t xml:space="preserve">每回合可在攻/守之间切换。攻形态伤害 +2；守形态回合开始获得 8 护盾。</x:t>
        </x:is>
      </x:c>
      <x:c r="H90" s="3" t="inlineStr">
        <x:is>
          <x:t xml:space="preserve"/>
        </x:is>
      </x:c>
      <x:c r="I90" s="3" t="inlineStr">
        <x:is>
          <x:t xml:space="preserve">implemented</x:t>
        </x:is>
      </x:c>
      <x:c r="J90" s="3" t="n"/>
      <x:c r="K90" s="3" t="n"/>
      <x:c r="L90" s="3" t="n"/>
      <x:c r="M90" s="3" t="n"/>
      <x:c r="N90" s="3" t="n"/>
      <x:c r="O90" s="3" t="n"/>
      <x:c r="P90" s="3" t="n"/>
      <x:c r="Q90" s="3" t="n"/>
      <x:c r="R90" s="3" t="n"/>
      <x:c r="S90" s="3" t="n"/>
    </x:row>
    <x:row r="91">
      <x:c r="A91" s="3" t="inlineStr">
        <x:is>
          <x:t xml:space="preserve">G02</x:t>
        </x:is>
      </x:c>
      <x:c r="B91" s="3" t="inlineStr">
        <x:is>
          <x:t xml:space="preserve">稳爆切换</x:t>
        </x:is>
      </x:c>
      <x:c r="C91" s="3" t="inlineStr">
        <x:is>
          <x:t xml:space="preserve">gold</x:t>
        </x:is>
      </x:c>
      <x:c r="D91" s="3" t="inlineStr">
        <x:is>
          <x:t xml:space="preserve">dualMode</x:t>
        </x:is>
      </x:c>
      <x:c r="E91" s="3" t="inlineStr">
        <x:is>
          <x:t xml:space="preserve">low</x:t>
        </x:is>
      </x:c>
      <x:c r="F91" s="3" t="inlineStr">
        <x:is>
          <x:t xml:space="preserve">1|2|3</x:t>
        </x:is>
      </x:c>
      <x:c r="G91" s="3" t="inlineStr">
        <x:is>
          <x:t xml:space="preserve">可在稳定/爆发之间切换。稳定形态攻击 +1；爆发形态本回合第一次命中伤害 +4。</x:t>
        </x:is>
      </x:c>
      <x:c r="H91" s="3" t="inlineStr">
        <x:is>
          <x:t xml:space="preserve"/>
        </x:is>
      </x:c>
      <x:c r="I91" s="3" t="inlineStr">
        <x:is>
          <x:t xml:space="preserve">implemented</x:t>
        </x:is>
      </x:c>
      <x:c r="J91" s="3" t="n"/>
      <x:c r="K91" s="3" t="n"/>
      <x:c r="L91" s="3" t="n"/>
      <x:c r="M91" s="3" t="n"/>
      <x:c r="N91" s="3" t="n"/>
      <x:c r="O91" s="3" t="n"/>
      <x:c r="P91" s="3" t="n"/>
      <x:c r="Q91" s="3" t="n"/>
      <x:c r="R91" s="3" t="n"/>
      <x:c r="S91" s="3" t="n"/>
    </x:row>
    <x:row r="92">
      <x:c r="A92" s="3" t="inlineStr">
        <x:is>
          <x:t xml:space="preserve">G03</x:t>
        </x:is>
      </x:c>
      <x:c r="B92" s="3" t="inlineStr">
        <x:is>
          <x:t xml:space="preserve">金色核心格</x:t>
        </x:is>
      </x:c>
      <x:c r="C92" s="3" t="inlineStr">
        <x:is>
          <x:t xml:space="preserve">gold</x:t>
        </x:is>
      </x:c>
      <x:c r="D92" s="3" t="inlineStr">
        <x:is>
          <x:t xml:space="preserve">empoweredCell</x:t>
        </x:is>
      </x:c>
      <x:c r="E92" s="3" t="inlineStr">
        <x:is>
          <x:t xml:space="preserve">none</x:t>
        </x:is>
      </x:c>
      <x:c r="F92" s="3" t="inlineStr">
        <x:is>
          <x:t xml:space="preserve">1|2|3</x:t>
        </x:is>
      </x:c>
      <x:c r="G92" s="3" t="inlineStr">
        <x:is>
          <x:t xml:space="preserve">每个行动形状中有 1 个金色核心格，核心格命中敌人时伤害 +3。</x:t>
        </x:is>
      </x:c>
      <x:c r="H92" s="3" t="inlineStr">
        <x:is>
          <x:t xml:space="preserve"/>
        </x:is>
      </x:c>
      <x:c r="I92" s="3" t="inlineStr">
        <x:is>
          <x:t xml:space="preserve">implemented</x:t>
        </x:is>
      </x:c>
      <x:c r="J92" s="3" t="n"/>
      <x:c r="K92" s="3" t="n"/>
      <x:c r="L92" s="3" t="n"/>
      <x:c r="M92" s="3" t="n"/>
      <x:c r="N92" s="3" t="n"/>
      <x:c r="O92" s="3" t="n"/>
      <x:c r="P92" s="3" t="n"/>
      <x:c r="Q92" s="3" t="n"/>
      <x:c r="R92" s="3" t="n"/>
      <x:c r="S92" s="3" t="n"/>
    </x:row>
    <x:row r="93">
      <x:c r="A93" s="3" t="inlineStr">
        <x:is>
          <x:t xml:space="preserve">G04</x:t>
        </x:is>
      </x:c>
      <x:c r="B93" s="3" t="inlineStr">
        <x:is>
          <x:t xml:space="preserve">守护核心格</x:t>
        </x:is>
      </x:c>
      <x:c r="C93" s="3" t="inlineStr">
        <x:is>
          <x:t xml:space="preserve">gold</x:t>
        </x:is>
      </x:c>
      <x:c r="D93" s="3" t="inlineStr">
        <x:is>
          <x:t xml:space="preserve">empoweredCell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核心格覆盖友方时，该友方获得 8 护盾。</x:t>
        </x:is>
      </x:c>
      <x:c r="H93" s="3" t="inlineStr">
        <x:is>
          <x:t xml:space="preserve"/>
        </x:is>
      </x:c>
      <x:c r="I93" s="3" t="inlineStr">
        <x:is>
          <x:t xml:space="preserve">implemented</x:t>
        </x:is>
      </x:c>
      <x:c r="J93" s="3" t="n"/>
      <x:c r="K93" s="3" t="n"/>
      <x:c r="L93" s="3" t="n"/>
      <x:c r="M93" s="3" t="n"/>
      <x:c r="N93" s="3" t="n"/>
      <x:c r="O93" s="3" t="n"/>
      <x:c r="P93" s="3" t="n"/>
      <x:c r="Q93" s="3" t="n"/>
      <x:c r="R93" s="3" t="n"/>
      <x:c r="S93" s="3" t="n"/>
    </x:row>
    <x:row r="94">
      <x:c r="A94" s="3" t="inlineStr">
        <x:is>
          <x:t xml:space="preserve">G05</x:t>
        </x:is>
      </x:c>
      <x:c r="B94" s="3" t="inlineStr">
        <x:is>
          <x:t xml:space="preserve">回春核心格</x:t>
        </x:is>
      </x:c>
      <x:c r="C94" s="3" t="inlineStr">
        <x:is>
          <x:t xml:space="preserve">gold</x:t>
        </x:is>
      </x:c>
      <x:c r="D94" s="3" t="inlineStr">
        <x:is>
          <x:t xml:space="preserve">empoweredCell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核心格覆盖友方时，恢复 6 生命。</x:t>
        </x:is>
      </x:c>
      <x:c r="H94" s="3" t="inlineStr">
        <x:is>
          <x:t xml:space="preserve"/>
        </x:is>
      </x:c>
      <x:c r="I94" s="3" t="inlineStr">
        <x:is>
          <x:t xml:space="preserve">implemented</x:t>
        </x:is>
      </x:c>
      <x:c r="J94" s="3" t="n"/>
      <x:c r="K94" s="3" t="n"/>
      <x:c r="L94" s="3" t="n"/>
      <x:c r="M94" s="3" t="n"/>
      <x:c r="N94" s="3" t="n"/>
      <x:c r="O94" s="3" t="n"/>
      <x:c r="P94" s="3" t="n"/>
      <x:c r="Q94" s="3" t="n"/>
      <x:c r="R94" s="3" t="n"/>
      <x:c r="S94" s="3" t="n"/>
    </x:row>
    <x:row r="95">
      <x:c r="A95" s="3" t="inlineStr">
        <x:is>
          <x:t xml:space="preserve">G06</x:t>
        </x:is>
      </x:c>
      <x:c r="B95" s="3" t="inlineStr">
        <x:is>
          <x:t xml:space="preserve">破敌核心格</x:t>
        </x:is>
      </x:c>
      <x:c r="C95" s="3" t="inlineStr">
        <x:is>
          <x:t xml:space="preserve">gold</x:t>
        </x:is>
      </x:c>
      <x:c r="D95" s="3" t="inlineStr">
        <x:is>
          <x:t xml:space="preserve">empoweredCell</x:t>
        </x:is>
      </x:c>
      <x:c r="E95" s="3" t="inlineStr">
        <x:is>
          <x:t xml:space="preserve">none</x:t>
        </x:is>
      </x:c>
      <x:c r="F95" s="3" t="inlineStr">
        <x:is>
          <x:t xml:space="preserve">1|2|3</x:t>
        </x:is>
      </x:c>
      <x:c r="G95" s="3" t="inlineStr">
        <x:is>
          <x:t xml:space="preserve">核心格命中敌人时，额外造成 2 点破甲伤害。</x:t>
        </x:is>
      </x:c>
      <x:c r="H95" s="3" t="inlineStr">
        <x:is>
          <x:t xml:space="preserve"/>
        </x:is>
      </x:c>
      <x:c r="I95" s="3" t="inlineStr">
        <x:is>
          <x:t xml:space="preserve">implemented</x:t>
        </x:is>
      </x:c>
      <x:c r="J95" s="3" t="n"/>
      <x:c r="K95" s="3" t="n"/>
      <x:c r="L95" s="3" t="n"/>
      <x:c r="M95" s="3" t="n"/>
      <x:c r="N95" s="3" t="n"/>
      <x:c r="O95" s="3" t="n"/>
      <x:c r="P95" s="3" t="n"/>
      <x:c r="Q95" s="3" t="n"/>
      <x:c r="R95" s="3" t="n"/>
      <x:c r="S95" s="3" t="n"/>
    </x:row>
    <x:row r="96">
      <x:c r="A96" s="3" t="inlineStr">
        <x:is>
          <x:t xml:space="preserve">G07</x:t>
        </x:is>
      </x:c>
      <x:c r="B96" s="3" t="inlineStr">
        <x:is>
          <x:t xml:space="preserve">正向强化</x:t>
        </x:is>
      </x:c>
      <x:c r="C96" s="3" t="inlineStr">
        <x:is>
          <x:t xml:space="preserve">gold</x:t>
        </x:is>
      </x:c>
      <x:c r="D96" s="3" t="inlineStr">
        <x:is>
          <x:t xml:space="preserve">directionBonus</x:t>
        </x:is>
      </x:c>
      <x:c r="E96" s="3" t="inlineStr">
        <x:is>
          <x:t xml:space="preserve">none</x:t>
        </x:is>
      </x:c>
      <x:c r="F96" s="3" t="inlineStr">
        <x:is>
          <x:t xml:space="preserve">1|2|3</x:t>
        </x:is>
      </x:c>
      <x:c r="G96" s="3" t="inlineStr">
        <x:is>
          <x:t xml:space="preserve">形状朝向正前方的最远格伤害 +3。</x:t>
        </x:is>
      </x:c>
      <x:c r="H96" s="3" t="inlineStr">
        <x:is>
          <x:t xml:space="preserve"/>
        </x:is>
      </x:c>
      <x:c r="I96" s="3" t="inlineStr">
        <x:is>
          <x:t xml:space="preserve">implemented</x:t>
        </x:is>
      </x:c>
      <x:c r="J96" s="3" t="n"/>
      <x:c r="K96" s="3" t="n"/>
      <x:c r="L96" s="3" t="n"/>
      <x:c r="M96" s="3" t="n"/>
      <x:c r="N96" s="3" t="n"/>
      <x:c r="O96" s="3" t="n"/>
      <x:c r="P96" s="3" t="n"/>
      <x:c r="Q96" s="3" t="n"/>
      <x:c r="R96" s="3" t="n"/>
      <x:c r="S96" s="3" t="n"/>
    </x:row>
    <x:row r="97">
      <x:c r="A97" s="3" t="inlineStr">
        <x:is>
          <x:t xml:space="preserve">G08</x:t>
        </x:is>
      </x:c>
      <x:c r="B97" s="3" t="inlineStr">
        <x:is>
          <x:t xml:space="preserve">背向守势</x:t>
        </x:is>
      </x:c>
      <x:c r="C97" s="3" t="inlineStr">
        <x:is>
          <x:t xml:space="preserve">gold</x:t>
        </x:is>
      </x:c>
      <x:c r="D97" s="3" t="inlineStr">
        <x:is>
          <x:t xml:space="preserve">directionBonus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形状背后的格子若覆盖友方，该友方获得 10 护盾。</x:t>
        </x:is>
      </x:c>
      <x:c r="H97" s="3" t="inlineStr">
        <x:is>
          <x:t xml:space="preserve"/>
        </x:is>
      </x:c>
      <x:c r="I97" s="3" t="inlineStr">
        <x:is>
          <x:t xml:space="preserve">implemented</x:t>
        </x:is>
      </x:c>
      <x:c r="J97" s="3" t="n"/>
      <x:c r="K97" s="3" t="n"/>
      <x:c r="L97" s="3" t="n"/>
      <x:c r="M97" s="3" t="n"/>
      <x:c r="N97" s="3" t="n"/>
      <x:c r="O97" s="3" t="n"/>
      <x:c r="P97" s="3" t="n"/>
      <x:c r="Q97" s="3" t="n"/>
      <x:c r="R97" s="3" t="n"/>
      <x:c r="S97" s="3" t="n"/>
    </x:row>
    <x:row r="98">
      <x:c r="A98" s="3" t="inlineStr">
        <x:is>
          <x:t xml:space="preserve">G09</x:t>
        </x:is>
      </x:c>
      <x:c r="B98" s="3" t="inlineStr">
        <x:is>
          <x:t xml:space="preserve">左右借势</x:t>
        </x:is>
      </x:c>
      <x:c r="C98" s="3" t="inlineStr">
        <x:is>
          <x:t xml:space="preserve">gold</x:t>
        </x:is>
      </x:c>
      <x:c r="D98" s="3" t="inlineStr">
        <x:is>
          <x:t xml:space="preserve">directionBonus</x:t>
        </x:is>
      </x:c>
      <x:c r="E98" s="3" t="inlineStr">
        <x:is>
          <x:t xml:space="preserve">none</x:t>
        </x:is>
      </x:c>
      <x:c r="F98" s="3" t="inlineStr">
        <x:is>
          <x:t xml:space="preserve">2|3</x:t>
        </x:is>
      </x:c>
      <x:c r="G98" s="3" t="inlineStr">
        <x:is>
          <x:t xml:space="preserve">形状左右两侧格命中敌人时，各额外造成 1 点伤害。</x:t>
        </x:is>
      </x:c>
      <x:c r="H98" s="3" t="inlineStr">
        <x:is>
          <x:t xml:space="preserve"/>
        </x:is>
      </x:c>
      <x:c r="I98" s="3" t="inlineStr">
        <x:is>
          <x:t xml:space="preserve">implemented</x:t>
        </x:is>
      </x:c>
      <x:c r="J98" s="3" t="n"/>
      <x:c r="K98" s="3" t="n"/>
      <x:c r="L98" s="3" t="n"/>
      <x:c r="M98" s="3" t="n"/>
      <x:c r="N98" s="3" t="n"/>
      <x:c r="O98" s="3" t="n"/>
      <x:c r="P98" s="3" t="n"/>
      <x:c r="Q98" s="3" t="n"/>
      <x:c r="R98" s="3" t="n"/>
      <x:c r="S98" s="3" t="n"/>
    </x:row>
    <x:row r="99">
      <x:c r="A99" s="3" t="inlineStr">
        <x:is>
          <x:t xml:space="preserve">G10</x:t>
        </x:is>
      </x:c>
      <x:c r="B99" s="3" t="inlineStr">
        <x:is>
          <x:t xml:space="preserve">终点重击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形状最远端格子命中敌人时，伤害 +4。</x:t>
        </x:is>
      </x:c>
      <x:c r="H99" s="3" t="inlineStr">
        <x:is>
          <x:t xml:space="preserve"/>
        </x:is>
      </x:c>
      <x:c r="I99" s="3" t="inlineStr">
        <x:is>
          <x:t xml:space="preserve">implemented</x:t>
        </x:is>
      </x:c>
      <x:c r="J99" s="3" t="n"/>
      <x:c r="K99" s="3" t="n"/>
      <x:c r="L99" s="3" t="n"/>
      <x:c r="M99" s="3" t="n"/>
      <x:c r="N99" s="3" t="n"/>
      <x:c r="O99" s="3" t="n"/>
      <x:c r="P99" s="3" t="n"/>
      <x:c r="Q99" s="3" t="n"/>
      <x:c r="R99" s="3" t="n"/>
      <x:c r="S99" s="3" t="n"/>
    </x:row>
    <x:row r="100">
      <x:c r="A100" s="3" t="inlineStr">
        <x:is>
          <x:t xml:space="preserve">G11</x:t>
        </x:is>
      </x:c>
      <x:c r="B100" s="3" t="inlineStr">
        <x:is>
          <x:t xml:space="preserve">单挑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</x:t>
        </x:is>
      </x:c>
      <x:c r="G100" s="3" t="inlineStr">
        <x:is>
          <x:t xml:space="preserve">如果本次形状只命中 1 个敌人，伤害 +5。</x:t>
        </x:is>
      </x:c>
      <x:c r="H100" s="3" t="inlineStr">
        <x:is>
          <x:t xml:space="preserve"/>
        </x:is>
      </x:c>
      <x:c r="I100" s="3" t="inlineStr">
        <x:is>
          <x:t xml:space="preserve">implemented</x:t>
        </x:is>
      </x:c>
      <x:c r="J100" s="3" t="n"/>
      <x:c r="K100" s="3" t="n"/>
      <x:c r="L100" s="3" t="n"/>
      <x:c r="M100" s="3" t="n"/>
      <x:c r="N100" s="3" t="n"/>
      <x:c r="O100" s="3" t="n"/>
      <x:c r="P100" s="3" t="n"/>
      <x:c r="Q100" s="3" t="n"/>
      <x:c r="R100" s="3" t="n"/>
      <x:c r="S100" s="3" t="n"/>
    </x:row>
    <x:row r="101">
      <x:c r="A101" s="3" t="inlineStr">
        <x:is>
          <x:t xml:space="preserve">G12</x:t>
        </x:is>
      </x:c>
      <x:c r="B101" s="3" t="inlineStr">
        <x:is>
          <x:t xml:space="preserve">点穴</x:t>
        </x:is>
      </x:c>
      <x:c r="C101" s="3" t="inlineStr">
        <x:is>
          <x:t xml:space="preserve">gold</x:t>
        </x:is>
      </x:c>
      <x:c r="D101" s="3" t="inlineStr">
        <x:is>
          <x:t xml:space="preserve">empoweredCell</x:t>
        </x:is>
      </x:c>
      <x:c r="E101" s="3" t="inlineStr">
        <x:is>
          <x:t xml:space="preserve">none</x:t>
        </x:is>
      </x:c>
      <x:c r="F101" s="3" t="inlineStr">
        <x:is>
          <x:t xml:space="preserve">1</x:t>
        </x:is>
      </x:c>
      <x:c r="G101" s="3" t="inlineStr">
        <x:is>
          <x:t xml:space="preserve">命中敌人后，使该敌人下次受到伤害 +3。</x:t>
        </x:is>
      </x:c>
      <x:c r="H101" s="3" t="inlineStr">
        <x:is>
          <x:t xml:space="preserve"/>
        </x:is>
      </x:c>
      <x:c r="I101" s="3" t="inlineStr">
        <x:is>
          <x:t xml:space="preserve">implemented</x:t>
        </x:is>
      </x:c>
      <x:c r="J101" s="3" t="n"/>
      <x:c r="K101" s="3" t="n"/>
      <x:c r="L101" s="3" t="n"/>
      <x:c r="M101" s="3" t="n"/>
      <x:c r="N101" s="3" t="n"/>
      <x:c r="O101" s="3" t="n"/>
      <x:c r="P101" s="3" t="n"/>
      <x:c r="Q101" s="3" t="n"/>
      <x:c r="R101" s="3" t="n"/>
      <x:c r="S101" s="3" t="n"/>
    </x:row>
    <x:row r="102">
      <x:c r="A102" s="3" t="inlineStr">
        <x:is>
          <x:t xml:space="preserve">G13</x:t>
        </x:is>
      </x:c>
      <x:c r="B102" s="3" t="inlineStr">
        <x:is>
          <x:t xml:space="preserve">隔山打牛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</x:t>
        </x:is>
      </x:c>
      <x:c r="G102" s="3" t="inlineStr">
        <x:is>
          <x:t xml:space="preserve">隔点形状命中时，伤害 +4。</x:t>
        </x:is>
      </x:c>
      <x:c r="H102" s="3" t="inlineStr">
        <x:is>
          <x:t xml:space="preserve"/>
        </x:is>
      </x:c>
      <x:c r="I102" s="3" t="inlineStr">
        <x:is>
          <x:t xml:space="preserve">implemented</x:t>
        </x:is>
      </x:c>
      <x:c r="J102" s="3" t="n"/>
      <x:c r="K102" s="3" t="n"/>
      <x:c r="L102" s="3" t="n"/>
      <x:c r="M102" s="3" t="n"/>
      <x:c r="N102" s="3" t="n"/>
      <x:c r="O102" s="3" t="n"/>
      <x:c r="P102" s="3" t="n"/>
      <x:c r="Q102" s="3" t="n"/>
      <x:c r="R102" s="3" t="n"/>
      <x:c r="S102" s="3" t="n"/>
    </x:row>
    <x:row r="103">
      <x:c r="A103" s="3" t="inlineStr">
        <x:is>
          <x:t xml:space="preserve">G14</x:t>
        </x:is>
      </x:c>
      <x:c r="B103" s="3" t="inlineStr">
        <x:is>
          <x:t xml:space="preserve">破绽一击</x:t>
        </x:is>
      </x:c>
      <x:c r="C103" s="3" t="inlineStr">
        <x:is>
          <x:t xml:space="preserve">gold</x:t>
        </x:is>
      </x:c>
      <x:c r="D103" s="3" t="inlineStr">
        <x:is>
          <x:t xml:space="preserve">dualMode</x:t>
        </x:is>
      </x:c>
      <x:c r="E103" s="3" t="inlineStr">
        <x:is>
          <x:t xml:space="preserve">low</x:t>
        </x:is>
      </x:c>
      <x:c r="F103" s="3" t="inlineStr">
        <x:is>
          <x:t xml:space="preserve">1</x:t>
        </x:is>
      </x:c>
      <x:c r="G103" s="3" t="inlineStr">
        <x:is>
          <x:t xml:space="preserve">可切换稳击/重击。稳击伤害 +2；重击伤害 +6，但本回合只能结算这一个形状格。</x:t>
        </x:is>
      </x:c>
      <x:c r="H103" s="3" t="inlineStr">
        <x:is>
          <x:t xml:space="preserve"/>
        </x:is>
      </x:c>
      <x:c r="I103" s="3" t="inlineStr">
        <x:is>
          <x:t xml:space="preserve">implemented</x:t>
        </x:is>
      </x:c>
      <x:c r="J103" s="3" t="n"/>
      <x:c r="K103" s="3" t="n"/>
      <x:c r="L103" s="3" t="n"/>
      <x:c r="M103" s="3" t="n"/>
      <x:c r="N103" s="3" t="n"/>
      <x:c r="O103" s="3" t="n"/>
      <x:c r="P103" s="3" t="n"/>
      <x:c r="Q103" s="3" t="n"/>
      <x:c r="R103" s="3" t="n"/>
      <x:c r="S103" s="3" t="n"/>
    </x:row>
    <x:row r="104">
      <x:c r="A104" s="3" t="inlineStr">
        <x:is>
          <x:t xml:space="preserve">G15</x:t>
        </x:is>
      </x:c>
      <x:c r="B104" s="3" t="inlineStr">
        <x:is>
          <x:t xml:space="preserve">斩首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</x:t>
        </x:is>
      </x:c>
      <x:c r="G104" s="3" t="inlineStr">
        <x:is>
          <x:t xml:space="preserve">如果目标生命值不高于 8，额外造成 8 点伤害。</x:t>
        </x:is>
      </x:c>
      <x:c r="H104" s="3" t="inlineStr">
        <x:is>
          <x:t xml:space="preserve"/>
        </x:is>
      </x:c>
      <x:c r="I104" s="3" t="inlineStr">
        <x:is>
          <x:t xml:space="preserve">implemented</x:t>
        </x:is>
      </x:c>
      <x:c r="J104" s="3" t="n"/>
      <x:c r="K104" s="3" t="n"/>
      <x:c r="L104" s="3" t="n"/>
      <x:c r="M104" s="3" t="n"/>
      <x:c r="N104" s="3" t="n"/>
      <x:c r="O104" s="3" t="n"/>
      <x:c r="P104" s="3" t="n"/>
      <x:c r="Q104" s="3" t="n"/>
      <x:c r="R104" s="3" t="n"/>
      <x:c r="S104" s="3" t="n"/>
    </x:row>
    <x:row r="105">
      <x:c r="A105" s="3" t="inlineStr">
        <x:is>
          <x:t xml:space="preserve">G16</x:t>
        </x:is>
      </x:c>
      <x:c r="B105" s="3" t="inlineStr">
        <x:is>
          <x:t xml:space="preserve">追魂点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若该格击杀敌人，对最近敌人追加 3 点伤害。</x:t>
        </x:is>
      </x:c>
      <x:c r="H105" s="3" t="inlineStr">
        <x:is>
          <x:t xml:space="preserve"/>
        </x:is>
      </x:c>
      <x:c r="I105" s="3" t="inlineStr">
        <x:is>
          <x:t xml:space="preserve">implemented</x:t>
        </x:is>
      </x:c>
      <x:c r="J105" s="3" t="n"/>
      <x:c r="K105" s="3" t="n"/>
      <x:c r="L105" s="3" t="n"/>
      <x:c r="M105" s="3" t="n"/>
      <x:c r="N105" s="3" t="n"/>
      <x:c r="O105" s="3" t="n"/>
      <x:c r="P105" s="3" t="n"/>
      <x:c r="Q105" s="3" t="n"/>
      <x:c r="R105" s="3" t="n"/>
      <x:c r="S105" s="3" t="n"/>
    </x:row>
    <x:row r="106">
      <x:c r="A106" s="3" t="inlineStr">
        <x:is>
          <x:t xml:space="preserve">G17</x:t>
        </x:is>
      </x:c>
      <x:c r="B106" s="3" t="inlineStr">
        <x:is>
          <x:t xml:space="preserve">精准印记</x:t>
        </x:is>
      </x:c>
      <x:c r="C106" s="3" t="inlineStr">
        <x:is>
          <x:t xml:space="preserve">gold</x:t>
        </x:is>
      </x:c>
      <x:c r="D106" s="3" t="inlineStr">
        <x:is>
          <x:t xml:space="preserve">manualMark</x:t>
        </x:is>
      </x:c>
      <x:c r="E106" s="3" t="inlineStr">
        <x:is>
          <x:t xml:space="preserve">medium</x:t>
        </x:is>
      </x:c>
      <x:c r="F106" s="3" t="inlineStr">
        <x:is>
          <x:t xml:space="preserve">1</x:t>
        </x:is>
      </x:c>
      <x:c r="G106" s="3" t="inlineStr">
        <x:is>
          <x:t xml:space="preserve">每回合可选择自己 1 个作用格，使其获得印记。该格本回合伤害 +5。</x:t>
        </x:is>
      </x:c>
      <x:c r="H106" s="3" t="inlineStr">
        <x:is>
          <x:t xml:space="preserve">手动选格，数量要少。只给一格英雄比较安全。</x:t>
        </x:is>
      </x:c>
      <x:c r="I106" s="3" t="inlineStr">
        <x:is>
          <x:t xml:space="preserve">implemented</x:t>
        </x:is>
      </x:c>
      <x:c r="J106" s="3" t="n"/>
      <x:c r="K106" s="3" t="n"/>
      <x:c r="L106" s="3" t="n"/>
      <x:c r="M106" s="3" t="n"/>
      <x:c r="N106" s="3" t="n"/>
      <x:c r="O106" s="3" t="n"/>
      <x:c r="P106" s="3" t="n"/>
      <x:c r="Q106" s="3" t="n"/>
      <x:c r="R106" s="3" t="n"/>
      <x:c r="S106" s="3" t="n"/>
    </x:row>
    <x:row r="107">
      <x:c r="A107" s="3" t="inlineStr">
        <x:is>
          <x:t xml:space="preserve">G18</x:t>
        </x:is>
      </x:c>
      <x:c r="B107" s="3" t="inlineStr">
        <x:is>
          <x:t xml:space="preserve">双点连击</x:t>
        </x:is>
      </x:c>
      <x:c r="C107" s="3" t="inlineStr">
        <x:is>
          <x:t xml:space="preserve">gold</x:t>
        </x:is>
      </x:c>
      <x:c r="D107" s="3" t="inlineStr">
        <x:is>
          <x:t xml:space="preserve">empoweredCell</x:t>
        </x:is>
      </x:c>
      <x:c r="E107" s="3" t="inlineStr">
        <x:is>
          <x:t xml:space="preserve">none</x:t>
        </x:is>
      </x:c>
      <x:c r="F107" s="3" t="inlineStr">
        <x:is>
          <x:t xml:space="preserve">2</x:t>
        </x:is>
      </x:c>
      <x:c r="G107" s="3" t="inlineStr">
        <x:is>
          <x:t xml:space="preserve">如果两个作用格都命中敌人，第二个命中的敌人伤害 +4。</x:t>
        </x:is>
      </x:c>
      <x:c r="H107" s="3" t="inlineStr">
        <x:is>
          <x:t xml:space="preserve"/>
        </x:is>
      </x:c>
      <x:c r="I107" s="3" t="inlineStr">
        <x:is>
          <x:t xml:space="preserve">implemented</x:t>
        </x:is>
      </x:c>
      <x:c r="J107" s="3" t="n"/>
      <x:c r="K107" s="3" t="n"/>
      <x:c r="L107" s="3" t="n"/>
      <x:c r="M107" s="3" t="n"/>
      <x:c r="N107" s="3" t="n"/>
      <x:c r="O107" s="3" t="n"/>
      <x:c r="P107" s="3" t="n"/>
      <x:c r="Q107" s="3" t="n"/>
      <x:c r="R107" s="3" t="n"/>
      <x:c r="S107" s="3" t="n"/>
    </x:row>
    <x:row r="108">
      <x:c r="A108" s="3" t="inlineStr">
        <x:is>
          <x:t xml:space="preserve">G19</x:t>
        </x:is>
      </x:c>
      <x:c r="B108" s="3" t="inlineStr">
        <x:is>
          <x:t xml:space="preserve">前后夹击</x:t>
        </x:is>
      </x:c>
      <x:c r="C108" s="3" t="inlineStr">
        <x:is>
          <x:t xml:space="preserve">gold</x:t>
        </x:is>
      </x:c>
      <x:c r="D108" s="3" t="inlineStr">
        <x:is>
          <x:t xml:space="preserve">directionBonus</x:t>
        </x:is>
      </x:c>
      <x:c r="E108" s="3" t="inlineStr">
        <x:is>
          <x:t xml:space="preserve">none</x:t>
        </x:is>
      </x:c>
      <x:c r="F108" s="3" t="inlineStr">
        <x:is>
          <x:t xml:space="preserve">2</x:t>
        </x:is>
      </x:c>
      <x:c r="G108" s="3" t="inlineStr">
        <x:is>
          <x:t xml:space="preserve">前后两个格子都命中敌人时，两个敌人各额外受到 2 点伤害。</x:t>
        </x:is>
      </x:c>
      <x:c r="H108" s="3" t="inlineStr">
        <x:is>
          <x:t xml:space="preserve"/>
        </x:is>
      </x:c>
      <x:c r="I108" s="3" t="inlineStr">
        <x:is>
          <x:t xml:space="preserve">implemented</x:t>
        </x:is>
      </x:c>
      <x:c r="J108" s="3" t="n"/>
      <x:c r="K108" s="3" t="n"/>
      <x:c r="L108" s="3" t="n"/>
      <x:c r="M108" s="3" t="n"/>
      <x:c r="N108" s="3" t="n"/>
      <x:c r="O108" s="3" t="n"/>
      <x:c r="P108" s="3" t="n"/>
      <x:c r="Q108" s="3" t="n"/>
      <x:c r="R108" s="3" t="n"/>
      <x:c r="S108" s="3" t="n"/>
    </x:row>
    <x:row r="109">
      <x:c r="A109" s="3" t="inlineStr">
        <x:is>
          <x:t xml:space="preserve">G20</x:t>
        </x:is>
      </x:c>
      <x:c r="B109" s="3" t="inlineStr">
        <x:is>
          <x:t xml:space="preserve">对角穿心</x:t>
        </x:is>
      </x:c>
      <x:c r="C109" s="3" t="inlineStr">
        <x:is>
          <x:t xml:space="preserve">gold</x:t>
        </x:is>
      </x:c>
      <x:c r="D109" s="3" t="inlineStr">
        <x:is>
          <x:t xml:space="preserve">directionBonus</x:t>
        </x:is>
      </x:c>
      <x:c r="E109" s="3" t="inlineStr">
        <x:is>
          <x:t xml:space="preserve">none</x:t>
        </x:is>
      </x:c>
      <x:c r="F109" s="3" t="inlineStr">
        <x:is>
          <x:t xml:space="preserve">2</x:t>
        </x:is>
      </x:c>
      <x:c r="G109" s="3" t="inlineStr">
        <x:is>
          <x:t xml:space="preserve">对角两格命中时，较远的目标伤害 +4。</x:t>
        </x:is>
      </x:c>
      <x:c r="H109" s="3" t="inlineStr">
        <x:is>
          <x:t xml:space="preserve"/>
        </x:is>
      </x:c>
      <x:c r="I109" s="3" t="inlineStr">
        <x:is>
          <x:t xml:space="preserve">implemented</x:t>
        </x:is>
      </x:c>
      <x:c r="J109" s="3" t="n"/>
      <x:c r="K109" s="3" t="n"/>
      <x:c r="L109" s="3" t="n"/>
      <x:c r="M109" s="3" t="n"/>
      <x:c r="N109" s="3" t="n"/>
      <x:c r="O109" s="3" t="n"/>
      <x:c r="P109" s="3" t="n"/>
      <x:c r="Q109" s="3" t="n"/>
      <x:c r="R109" s="3" t="n"/>
      <x:c r="S109" s="3" t="n"/>
    </x:row>
    <x:row r="110">
      <x:c r="A110" s="3" t="inlineStr">
        <x:is>
          <x:t xml:space="preserve">G21</x:t>
        </x:is>
      </x:c>
      <x:c r="B110" s="3" t="inlineStr">
        <x:is>
          <x:t xml:space="preserve">一攻一守</x:t>
        </x:is>
      </x:c>
      <x:c r="C110" s="3" t="inlineStr">
        <x:is>
          <x:t xml:space="preserve">gold</x:t>
        </x:is>
      </x:c>
      <x:c r="D110" s="3" t="inlineStr">
        <x:is>
          <x:t xml:space="preserve">dualMode</x:t>
        </x:is>
      </x:c>
      <x:c r="E110" s="3" t="inlineStr">
        <x:is>
          <x:t xml:space="preserve">low</x:t>
        </x:is>
      </x:c>
      <x:c r="F110" s="3" t="inlineStr">
        <x:is>
          <x:t xml:space="preserve">2</x:t>
        </x:is>
      </x:c>
      <x:c r="G110" s="3" t="inlineStr">
        <x:is>
          <x:t xml:space="preserve">两格中靠前格伤害 +2；靠后格若覆盖友方，则该友方获得 8 护盾。</x:t>
        </x:is>
      </x:c>
      <x:c r="H110" s="3" t="inlineStr">
        <x:is>
          <x:t xml:space="preserve"/>
        </x:is>
      </x:c>
      <x:c r="I110" s="3" t="inlineStr">
        <x:is>
          <x:t xml:space="preserve">implemented</x:t>
        </x:is>
      </x:c>
      <x:c r="J110" s="3" t="n"/>
      <x:c r="K110" s="3" t="n"/>
      <x:c r="L110" s="3" t="n"/>
      <x:c r="M110" s="3" t="n"/>
      <x:c r="N110" s="3" t="n"/>
      <x:c r="O110" s="3" t="n"/>
      <x:c r="P110" s="3" t="n"/>
      <x:c r="Q110" s="3" t="n"/>
      <x:c r="R110" s="3" t="n"/>
      <x:c r="S110" s="3" t="n"/>
    </x:row>
    <x:row r="111">
      <x:c r="A111" s="3" t="inlineStr">
        <x:is>
          <x:t xml:space="preserve">G22</x:t>
        </x:is>
      </x:c>
      <x:c r="B111" s="3" t="inlineStr">
        <x:is>
          <x:t xml:space="preserve">双印择一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2</x:t>
        </x:is>
      </x:c>
      <x:c r="G111" s="3" t="inlineStr">
        <x:is>
          <x:t xml:space="preserve">每回合可在两个作用格中选择 1 格加金印。命中敌人伤害 +4；覆盖友方护盾 +8。</x:t>
        </x:is>
      </x:c>
      <x:c r="H111" s="3" t="inlineStr">
        <x:is>
          <x:t xml:space="preserve">二格英雄可少量使用，不能泛滥。</x:t>
        </x:is>
      </x:c>
      <x:c r="I111" s="3" t="inlineStr">
        <x:is>
          <x:t xml:space="preserve">implemented</x:t>
        </x:is>
      </x:c>
      <x:c r="J111" s="3" t="n"/>
      <x:c r="K111" s="3" t="n"/>
      <x:c r="L111" s="3" t="n"/>
      <x:c r="M111" s="3" t="n"/>
      <x:c r="N111" s="3" t="n"/>
      <x:c r="O111" s="3" t="n"/>
      <x:c r="P111" s="3" t="n"/>
      <x:c r="Q111" s="3" t="n"/>
      <x:c r="R111" s="3" t="n"/>
      <x:c r="S111" s="3" t="n"/>
    </x:row>
    <x:row r="112">
      <x:c r="A112" s="3" t="inlineStr">
        <x:is>
          <x:t xml:space="preserve">G23</x:t>
        </x:is>
      </x:c>
      <x:c r="B112" s="3" t="inlineStr">
        <x:is>
          <x:t xml:space="preserve">连环标记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第一个命中的敌人被标记，第二个命中的敌人伤害 +3。</x:t>
        </x:is>
      </x:c>
      <x:c r="H112" s="3" t="inlineStr">
        <x:is>
          <x:t xml:space="preserve"/>
        </x:is>
      </x:c>
      <x:c r="I112" s="3" t="inlineStr">
        <x:is>
          <x:t xml:space="preserve">implemented</x:t>
        </x:is>
      </x:c>
      <x:c r="J112" s="3" t="n"/>
      <x:c r="K112" s="3" t="n"/>
      <x:c r="L112" s="3" t="n"/>
      <x:c r="M112" s="3" t="n"/>
      <x:c r="N112" s="3" t="n"/>
      <x:c r="O112" s="3" t="n"/>
      <x:c r="P112" s="3" t="n"/>
      <x:c r="Q112" s="3" t="n"/>
      <x:c r="R112" s="3" t="n"/>
      <x:c r="S112" s="3" t="n"/>
    </x:row>
    <x:row r="113">
      <x:c r="A113" s="3" t="inlineStr">
        <x:is>
          <x:t xml:space="preserve">G24</x:t>
        </x:is>
      </x:c>
      <x:c r="B113" s="3" t="inlineStr">
        <x:is>
          <x:t xml:space="preserve">双锋</x:t>
        </x:is>
      </x:c>
      <x:c r="C113" s="3" t="inlineStr">
        <x:is>
          <x:t xml:space="preserve">gold</x:t>
        </x:is>
      </x:c>
      <x:c r="D113" s="3" t="inlineStr">
        <x:is>
          <x:t xml:space="preserve">dualMode</x:t>
        </x:is>
      </x:c>
      <x:c r="E113" s="3" t="inlineStr">
        <x:is>
          <x:t xml:space="preserve">low</x:t>
        </x:is>
      </x:c>
      <x:c r="F113" s="3" t="inlineStr">
        <x:is>
          <x:t xml:space="preserve">2</x:t>
        </x:is>
      </x:c>
      <x:c r="G113" s="3" t="inlineStr">
        <x:is>
          <x:t xml:space="preserve">可切换同伤/主副。同伤为两个格子各 +1 伤害；主副为第一个格子 +4，第二个格子不加成。</x:t>
        </x:is>
      </x:c>
      <x:c r="H113" s="3" t="inlineStr">
        <x:is>
          <x:t xml:space="preserve"/>
        </x:is>
      </x:c>
      <x:c r="I113" s="3" t="inlineStr">
        <x:is>
          <x:t xml:space="preserve">implemented</x:t>
        </x:is>
      </x:c>
      <x:c r="J113" s="3" t="n"/>
      <x:c r="K113" s="3" t="n"/>
      <x:c r="L113" s="3" t="n"/>
      <x:c r="M113" s="3" t="n"/>
      <x:c r="N113" s="3" t="n"/>
      <x:c r="O113" s="3" t="n"/>
      <x:c r="P113" s="3" t="n"/>
      <x:c r="Q113" s="3" t="n"/>
      <x:c r="R113" s="3" t="n"/>
      <x:c r="S113" s="3" t="n"/>
    </x:row>
    <x:row r="114">
      <x:c r="A114" s="3" t="inlineStr">
        <x:is>
          <x:t xml:space="preserve">G25</x:t>
        </x:is>
      </x:c>
      <x:c r="B114" s="3" t="inlineStr">
        <x:is>
          <x:t xml:space="preserve">三格核心</x:t>
        </x:is>
      </x:c>
      <x:c r="C114" s="3" t="inlineStr">
        <x:is>
          <x:t xml:space="preserve">gold</x:t>
        </x:is>
      </x:c>
      <x:c r="D114" s="3" t="inlineStr">
        <x:is>
          <x:t xml:space="preserve">empoweredCell</x:t>
        </x:is>
      </x:c>
      <x:c r="E114" s="3" t="inlineStr">
        <x:is>
          <x:t xml:space="preserve">none</x:t>
        </x:is>
      </x:c>
      <x:c r="F114" s="3" t="inlineStr">
        <x:is>
          <x:t xml:space="preserve">3</x:t>
        </x:is>
      </x:c>
      <x:c r="G114" s="3" t="inlineStr">
        <x:is>
          <x:t xml:space="preserve">三格形状中固定 1 个核心格，核心格伤害 +3。</x:t>
        </x:is>
      </x:c>
      <x:c r="H114" s="3" t="inlineStr">
        <x:is>
          <x:t xml:space="preserve"/>
        </x:is>
      </x:c>
      <x:c r="I114" s="3" t="inlineStr">
        <x:is>
          <x:t xml:space="preserve">implemented</x:t>
        </x:is>
      </x:c>
      <x:c r="J114" s="3" t="n"/>
      <x:c r="K114" s="3" t="n"/>
      <x:c r="L114" s="3" t="n"/>
      <x:c r="M114" s="3" t="n"/>
      <x:c r="N114" s="3" t="n"/>
      <x:c r="O114" s="3" t="n"/>
      <x:c r="P114" s="3" t="n"/>
      <x:c r="Q114" s="3" t="n"/>
      <x:c r="R114" s="3" t="n"/>
      <x:c r="S114" s="3" t="n"/>
    </x:row>
    <x:row r="115">
      <x:c r="A115" s="3" t="inlineStr">
        <x:is>
          <x:t xml:space="preserve">G26</x:t>
        </x:is>
      </x:c>
      <x:c r="B115" s="3" t="inlineStr">
        <x:is>
          <x:t xml:space="preserve">横扫压制</x:t>
        </x:is>
      </x:c>
      <x:c r="C115" s="3" t="inlineStr">
        <x:is>
          <x:t xml:space="preserve">gold</x:t>
        </x:is>
      </x:c>
      <x:c r="D115" s="3" t="inlineStr">
        <x:is>
          <x:t xml:space="preserve">empoweredCell</x:t>
        </x:is>
      </x:c>
      <x:c r="E115" s="3" t="inlineStr">
        <x:is>
          <x:t xml:space="preserve">none</x:t>
        </x:is>
      </x:c>
      <x:c r="F115" s="3" t="inlineStr">
        <x:is>
          <x:t xml:space="preserve">3</x:t>
        </x:is>
      </x:c>
      <x:c r="G115" s="3" t="inlineStr">
        <x:is>
          <x:t xml:space="preserve">横扫三格命中 2 个以上敌人时，每个敌人额外受到 1 点伤害。</x:t>
        </x:is>
      </x:c>
      <x:c r="H115" s="3" t="inlineStr">
        <x:is>
          <x:t xml:space="preserve"/>
        </x:is>
      </x:c>
      <x:c r="I115" s="3" t="inlineStr">
        <x:is>
          <x:t xml:space="preserve">implemented</x:t>
        </x:is>
      </x:c>
      <x:c r="J115" s="3" t="n"/>
      <x:c r="K115" s="3" t="n"/>
      <x:c r="L115" s="3" t="n"/>
      <x:c r="M115" s="3" t="n"/>
      <x:c r="N115" s="3" t="n"/>
      <x:c r="O115" s="3" t="n"/>
      <x:c r="P115" s="3" t="n"/>
      <x:c r="Q115" s="3" t="n"/>
      <x:c r="R115" s="3" t="n"/>
      <x:c r="S115" s="3" t="n"/>
    </x:row>
    <x:row r="116">
      <x:c r="A116" s="3" t="inlineStr">
        <x:is>
          <x:t xml:space="preserve">G27</x:t>
        </x:is>
      </x:c>
      <x:c r="B116" s="3" t="inlineStr">
        <x:is>
          <x:t xml:space="preserve">竖线贯通</x:t>
        </x:is>
      </x:c>
      <x:c r="C116" s="3" t="inlineStr">
        <x:is>
          <x:t xml:space="preserve">gold</x:t>
        </x:is>
      </x:c>
      <x:c r="D116" s="3" t="inlineStr">
        <x:is>
          <x:t xml:space="preserve">directionBonus</x:t>
        </x:is>
      </x:c>
      <x:c r="E116" s="3" t="inlineStr">
        <x:is>
          <x:t xml:space="preserve">none</x:t>
        </x:is>
      </x:c>
      <x:c r="F116" s="3" t="inlineStr">
        <x:is>
          <x:t xml:space="preserve">3</x:t>
        </x:is>
      </x:c>
      <x:c r="G116" s="3" t="inlineStr">
        <x:is>
          <x:t xml:space="preserve">直线三格从近到远结算，第三格伤害 +3。</x:t>
        </x:is>
      </x:c>
      <x:c r="H116" s="3" t="inlineStr">
        <x:is>
          <x:t xml:space="preserve"/>
        </x:is>
      </x:c>
      <x:c r="I116" s="3" t="inlineStr">
        <x:is>
          <x:t xml:space="preserve">implemented</x:t>
        </x:is>
      </x:c>
      <x:c r="J116" s="3" t="n"/>
      <x:c r="K116" s="3" t="n"/>
      <x:c r="L116" s="3" t="n"/>
      <x:c r="M116" s="3" t="n"/>
      <x:c r="N116" s="3" t="n"/>
      <x:c r="O116" s="3" t="n"/>
      <x:c r="P116" s="3" t="n"/>
      <x:c r="Q116" s="3" t="n"/>
      <x:c r="R116" s="3" t="n"/>
      <x:c r="S116" s="3" t="n"/>
    </x:row>
    <x:row r="117">
      <x:c r="A117" s="3" t="inlineStr">
        <x:is>
          <x:t xml:space="preserve">G28</x:t>
        </x:is>
      </x:c>
      <x:c r="B117" s="3" t="inlineStr">
        <x:is>
          <x:t xml:space="preserve">三点成阵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3</x:t>
        </x:is>
      </x:c>
      <x:c r="G117" s="3" t="inlineStr">
        <x:is>
          <x:t xml:space="preserve">三个作用格都覆盖到单位时，敌人受伤 +2，友方获得 5 护盾。</x:t>
        </x:is>
      </x:c>
      <x:c r="H117" s="3" t="inlineStr">
        <x:is>
          <x:t xml:space="preserve"/>
        </x:is>
      </x:c>
      <x:c r="I117" s="3" t="inlineStr">
        <x:is>
          <x:t xml:space="preserve">implemented</x:t>
        </x:is>
      </x:c>
      <x:c r="J117" s="3" t="n"/>
      <x:c r="K117" s="3" t="n"/>
      <x:c r="L117" s="3" t="n"/>
      <x:c r="M117" s="3" t="n"/>
      <x:c r="N117" s="3" t="n"/>
      <x:c r="O117" s="3" t="n"/>
      <x:c r="P117" s="3" t="n"/>
      <x:c r="Q117" s="3" t="n"/>
      <x:c r="R117" s="3" t="n"/>
      <x:c r="S117" s="3" t="n"/>
    </x:row>
    <x:row r="118">
      <x:c r="A118" s="3" t="inlineStr">
        <x:is>
          <x:t xml:space="preserve">G29</x:t>
        </x:is>
      </x:c>
      <x:c r="B118" s="3" t="inlineStr">
        <x:is>
          <x:t xml:space="preserve">首尾呼应</x:t>
        </x:is>
      </x:c>
      <x:c r="C118" s="3" t="inlineStr">
        <x:is>
          <x:t xml:space="preserve">gold</x:t>
        </x:is>
      </x:c>
      <x:c r="D118" s="3" t="inlineStr">
        <x:is>
          <x:t xml:space="preserve">directionBonus</x:t>
        </x:is>
      </x:c>
      <x:c r="E118" s="3" t="inlineStr">
        <x:is>
          <x:t xml:space="preserve">none</x:t>
        </x:is>
      </x:c>
      <x:c r="F118" s="3" t="inlineStr">
        <x:is>
          <x:t xml:space="preserve">3</x:t>
        </x:is>
      </x:c>
      <x:c r="G118" s="3" t="inlineStr">
        <x:is>
          <x:t xml:space="preserve">形状第一格和最远格同时命中时，最远格伤害 +4。</x:t>
        </x:is>
      </x:c>
      <x:c r="H118" s="3" t="inlineStr">
        <x:is>
          <x:t xml:space="preserve"/>
        </x:is>
      </x:c>
      <x:c r="I118" s="3" t="inlineStr">
        <x:is>
          <x:t xml:space="preserve">implemented</x:t>
        </x:is>
      </x:c>
      <x:c r="J118" s="3" t="n"/>
      <x:c r="K118" s="3" t="n"/>
      <x:c r="L118" s="3" t="n"/>
      <x:c r="M118" s="3" t="n"/>
      <x:c r="N118" s="3" t="n"/>
      <x:c r="O118" s="3" t="n"/>
      <x:c r="P118" s="3" t="n"/>
      <x:c r="Q118" s="3" t="n"/>
      <x:c r="R118" s="3" t="n"/>
      <x:c r="S118" s="3" t="n"/>
    </x:row>
    <x:row r="119">
      <x:c r="A119" s="3" t="inlineStr">
        <x:is>
          <x:t xml:space="preserve">G30</x:t>
        </x:is>
      </x:c>
      <x:c r="B119" s="3" t="inlineStr">
        <x:is>
          <x:t xml:space="preserve">三选一金印</x:t>
        </x:is>
      </x:c>
      <x:c r="C119" s="3" t="inlineStr">
        <x:is>
          <x:t xml:space="preserve">gold</x:t>
        </x:is>
      </x:c>
      <x:c r="D119" s="3" t="inlineStr">
        <x:is>
          <x:t xml:space="preserve">manualMark</x:t>
        </x:is>
      </x:c>
      <x:c r="E119" s="3" t="inlineStr">
        <x:is>
          <x:t xml:space="preserve">medium</x:t>
        </x:is>
      </x:c>
      <x:c r="F119" s="3" t="inlineStr">
        <x:is>
          <x:t xml:space="preserve">3</x:t>
        </x:is>
      </x:c>
      <x:c r="G119" s="3" t="inlineStr">
        <x:is>
          <x:t xml:space="preserve">每回合可从三个作用格中选 1 个加金印。该格伤害 +3。</x:t>
        </x:is>
      </x:c>
      <x:c r="H119" s="3" t="inlineStr">
        <x:is>
          <x:t xml:space="preserve">三格本身覆盖大，所以手动强化数值要比一格、二格低。</x:t>
        </x:is>
      </x:c>
      <x:c r="I119" s="3" t="inlineStr">
        <x:is>
          <x:t xml:space="preserve">implemented</x:t>
        </x:is>
      </x:c>
      <x:c r="J119" s="3" t="n"/>
      <x:c r="K119" s="3" t="n"/>
      <x:c r="L119" s="3" t="n"/>
      <x:c r="M119" s="3" t="n"/>
      <x:c r="N119" s="3" t="n"/>
      <x:c r="O119" s="3" t="n"/>
      <x:c r="P119" s="3" t="n"/>
      <x:c r="Q119" s="3" t="n"/>
      <x:c r="R119" s="3" t="n"/>
      <x:c r="S119" s="3" t="n"/>
    </x:row>
    <x:row r="120">
      <x:c r="A120" s="3" t="inlineStr">
        <x:is>
          <x:t xml:space="preserve">D01</x:t>
        </x:is>
      </x:c>
      <x:c r="B120" s="3" t="inlineStr">
        <x:is>
          <x:t xml:space="preserve">末端延伸</x:t>
        </x:is>
      </x:c>
      <x:c r="C120" s="3" t="inlineStr">
        <x:is>
          <x:t xml:space="preserve">diamond</x:t>
        </x:is>
      </x:c>
      <x:c r="D120" s="3" t="inlineStr">
        <x:is>
          <x:t xml:space="preserve">shapeMutation</x:t>
        </x:is>
      </x:c>
      <x:c r="E120" s="3" t="inlineStr">
        <x:is>
          <x:t xml:space="preserve">none</x:t>
        </x:is>
      </x:c>
      <x:c r="F120" s="3" t="inlineStr">
        <x:is>
          <x:t xml:space="preserve">1|2|3</x:t>
        </x:is>
      </x:c>
      <x:c r="G120" s="3" t="inlineStr">
        <x:is>
          <x:t xml:space="preserve">形状最远端额外延伸 1 格。</x:t>
        </x:is>
      </x:c>
      <x:c r="H120" s="3" t="inlineStr">
        <x:is>
          <x:t xml:space="preserve"/>
        </x:is>
      </x:c>
      <x:c r="I120" s="3" t="inlineStr">
        <x:is>
          <x:t xml:space="preserve">implemented</x:t>
        </x:is>
      </x:c>
      <x:c r="J120" s="3" t="n"/>
      <x:c r="K120" s="3" t="n"/>
      <x:c r="L120" s="3" t="n"/>
      <x:c r="M120" s="3" t="n"/>
      <x:c r="N120" s="3" t="n"/>
      <x:c r="O120" s="3" t="n"/>
      <x:c r="P120" s="3" t="n"/>
      <x:c r="Q120" s="3" t="n"/>
      <x:c r="R120" s="3" t="n"/>
      <x:c r="S120" s="3" t="n"/>
    </x:row>
    <x:row r="121">
      <x:c r="A121" s="3" t="inlineStr">
        <x:is>
          <x:t xml:space="preserve">D02</x:t>
        </x:is>
      </x:c>
      <x:c r="B121" s="3" t="inlineStr">
        <x:is>
          <x:t xml:space="preserve">起点回扫</x:t>
        </x:is>
      </x:c>
      <x:c r="C121" s="3" t="inlineStr">
        <x:is>
          <x:t xml:space="preserve">diamond</x:t>
        </x:is>
      </x:c>
      <x:c r="D121" s="3" t="inlineStr">
        <x:is>
          <x:t xml:space="preserve">shapeMutation</x:t>
        </x:is>
      </x:c>
      <x:c r="E121" s="3" t="inlineStr">
        <x:is>
          <x:t xml:space="preserve">none</x:t>
        </x:is>
      </x:c>
      <x:c r="F121" s="3" t="inlineStr">
        <x:is>
          <x:t xml:space="preserve">2|3</x:t>
        </x:is>
      </x:c>
      <x:c r="G121" s="3" t="inlineStr">
        <x:is>
          <x:t xml:space="preserve">形状结算后，反方向再结算 1 次，反向伤害 -2。</x:t>
        </x:is>
      </x:c>
      <x:c r="H121" s="3" t="inlineStr">
        <x:is>
          <x:t xml:space="preserve"/>
        </x:is>
      </x:c>
      <x:c r="I121" s="3" t="inlineStr">
        <x:is>
          <x:t xml:space="preserve">implemented</x:t>
        </x:is>
      </x:c>
      <x:c r="J121" s="3" t="n"/>
      <x:c r="K121" s="3" t="n"/>
      <x:c r="L121" s="3" t="n"/>
      <x:c r="M121" s="3" t="n"/>
      <x:c r="N121" s="3" t="n"/>
      <x:c r="O121" s="3" t="n"/>
      <x:c r="P121" s="3" t="n"/>
      <x:c r="Q121" s="3" t="n"/>
      <x:c r="R121" s="3" t="n"/>
      <x:c r="S121" s="3" t="n"/>
    </x:row>
    <x:row r="122">
      <x:c r="A122" s="3" t="inlineStr">
        <x:is>
          <x:t xml:space="preserve">D03</x:t>
        </x:is>
      </x:c>
      <x:c r="B122" s="3" t="inlineStr">
        <x:is>
          <x:t xml:space="preserve">镜像形状</x:t>
        </x:is>
      </x:c>
      <x:c r="C122" s="3" t="inlineStr">
        <x:is>
          <x:t xml:space="preserve">diamond</x:t>
        </x:is>
      </x:c>
      <x:c r="D122" s="3" t="inlineStr">
        <x:is>
          <x:t xml:space="preserve">shapeMutation</x:t>
        </x:is>
      </x:c>
      <x:c r="E122" s="3" t="inlineStr">
        <x:is>
          <x:t xml:space="preserve">none</x:t>
        </x:is>
      </x:c>
      <x:c r="F122" s="3" t="inlineStr">
        <x:is>
          <x:t xml:space="preserve">1|2</x:t>
        </x:is>
      </x:c>
      <x:c r="G122" s="3" t="inlineStr">
        <x:is>
          <x:t xml:space="preserve">当前形状会向相反方向复制 1 次。</x:t>
        </x:is>
      </x:c>
      <x:c r="H122" s="3" t="inlineStr">
        <x:is>
          <x:t xml:space="preserve">不建议给三格，容易爆表。</x:t>
        </x:is>
      </x:c>
      <x:c r="I122" s="3" t="inlineStr">
        <x:is>
          <x:t xml:space="preserve">implemented</x:t>
        </x:is>
      </x:c>
      <x:c r="J122" s="3" t="n"/>
      <x:c r="K122" s="3" t="n"/>
      <x:c r="L122" s="3" t="n"/>
      <x:c r="M122" s="3" t="n"/>
      <x:c r="N122" s="3" t="n"/>
      <x:c r="O122" s="3" t="n"/>
      <x:c r="P122" s="3" t="n"/>
      <x:c r="Q122" s="3" t="n"/>
      <x:c r="R122" s="3" t="n"/>
      <x:c r="S122" s="3" t="n"/>
    </x:row>
    <x:row r="123">
      <x:c r="A123" s="3" t="inlineStr">
        <x:is>
          <x:t xml:space="preserve">D04</x:t>
        </x:is>
      </x:c>
      <x:c r="B123" s="3" t="inlineStr">
        <x:is>
          <x:t xml:space="preserve">斜向复制</x:t>
        </x:is>
      </x:c>
      <x:c r="C123" s="3" t="inlineStr">
        <x:is>
          <x:t xml:space="preserve">diamond</x:t>
        </x:is>
      </x:c>
      <x:c r="D123" s="3" t="inlineStr">
        <x:is>
          <x:t xml:space="preserve">shapeMutation</x:t>
        </x:is>
      </x:c>
      <x:c r="E123" s="3" t="inlineStr">
        <x:is>
          <x:t xml:space="preserve">none</x:t>
        </x:is>
      </x:c>
      <x:c r="F123" s="3" t="inlineStr">
        <x:is>
          <x:t xml:space="preserve">1|2</x:t>
        </x:is>
      </x:c>
      <x:c r="G123" s="3" t="inlineStr">
        <x:is>
          <x:t xml:space="preserve">当前形状命中后，在斜向相邻位置额外生成 1 个作用格。</x:t>
        </x:is>
      </x:c>
      <x:c r="H123" s="3" t="inlineStr">
        <x:is>
          <x:t xml:space="preserve"/>
        </x:is>
      </x:c>
      <x:c r="I123" s="3" t="inlineStr">
        <x:is>
          <x:t xml:space="preserve">implemented</x:t>
        </x:is>
      </x:c>
      <x:c r="J123" s="3" t="n"/>
      <x:c r="K123" s="3" t="n"/>
      <x:c r="L123" s="3" t="n"/>
      <x:c r="M123" s="3" t="n"/>
      <x:c r="N123" s="3" t="n"/>
      <x:c r="O123" s="3" t="n"/>
      <x:c r="P123" s="3" t="n"/>
      <x:c r="Q123" s="3" t="n"/>
      <x:c r="R123" s="3" t="n"/>
      <x:c r="S123" s="3" t="n"/>
    </x:row>
    <x:row r="124">
      <x:c r="A124" s="3" t="inlineStr">
        <x:is>
          <x:t xml:space="preserve">D05</x:t>
        </x:is>
      </x:c>
      <x:c r="B124" s="3" t="inlineStr">
        <x:is>
          <x:t xml:space="preserve">核心扩散</x:t>
        </x:is>
      </x:c>
      <x:c r="C124" s="3" t="inlineStr">
        <x:is>
          <x:t xml:space="preserve">diamond</x:t>
        </x:is>
      </x:c>
      <x:c r="D124" s="3" t="inlineStr">
        <x:is>
          <x:t xml:space="preserve">shapeMutation</x:t>
        </x:is>
      </x:c>
      <x:c r="E124" s="3" t="inlineStr">
        <x:is>
          <x:t xml:space="preserve">none</x:t>
        </x:is>
      </x:c>
      <x:c r="F124" s="3" t="inlineStr">
        <x:is>
          <x:t xml:space="preserve">1</x:t>
        </x:is>
      </x:c>
      <x:c r="G124" s="3" t="inlineStr">
        <x:is>
          <x:t xml:space="preserve">命中目标后，对目标上下左右各造成 1 点溅射伤害。</x:t>
        </x:is>
      </x:c>
      <x:c r="H124" s="3" t="inlineStr">
        <x:is>
          <x:t xml:space="preserve"/>
        </x:is>
      </x:c>
      <x:c r="I124" s="3" t="inlineStr">
        <x:is>
          <x:t xml:space="preserve">implemented</x:t>
        </x:is>
      </x:c>
      <x:c r="J124" s="3" t="n"/>
      <x:c r="K124" s="3" t="n"/>
      <x:c r="L124" s="3" t="n"/>
      <x:c r="M124" s="3" t="n"/>
      <x:c r="N124" s="3" t="n"/>
      <x:c r="O124" s="3" t="n"/>
      <x:c r="P124" s="3" t="n"/>
      <x:c r="Q124" s="3" t="n"/>
      <x:c r="R124" s="3" t="n"/>
      <x:c r="S124" s="3" t="n"/>
    </x:row>
    <x:row r="125">
      <x:c r="A125" s="3" t="inlineStr">
        <x:is>
          <x:t xml:space="preserve">D06</x:t>
        </x:is>
      </x:c>
      <x:c r="B125" s="3" t="inlineStr">
        <x:is>
          <x:t xml:space="preserve">双端开花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2</x:t>
        </x:is>
      </x:c>
      <x:c r="G125" s="3" t="inlineStr">
        <x:is>
          <x:t xml:space="preserve">两个作用格的外侧各额外延伸 1 格，但额外格伤害 -2。</x:t>
        </x:is>
      </x:c>
      <x:c r="H125" s="3" t="inlineStr">
        <x:is>
          <x:t xml:space="preserve"/>
        </x:is>
      </x:c>
      <x:c r="I125" s="3" t="inlineStr">
        <x:is>
          <x:t xml:space="preserve">implemented</x:t>
        </x:is>
      </x:c>
      <x:c r="J125" s="3" t="n"/>
      <x:c r="K125" s="3" t="n"/>
      <x:c r="L125" s="3" t="n"/>
      <x:c r="M125" s="3" t="n"/>
      <x:c r="N125" s="3" t="n"/>
      <x:c r="O125" s="3" t="n"/>
      <x:c r="P125" s="3" t="n"/>
      <x:c r="Q125" s="3" t="n"/>
      <x:c r="R125" s="3" t="n"/>
      <x:c r="S125" s="3" t="n"/>
    </x:row>
    <x:row r="126">
      <x:c r="A126" s="3" t="inlineStr">
        <x:is>
          <x:t xml:space="preserve">D07</x:t>
        </x:is>
      </x:c>
      <x:c r="B126" s="3" t="inlineStr">
        <x:is>
          <x:t xml:space="preserve">三格收束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3</x:t>
        </x:is>
      </x:c>
      <x:c r="G126" s="3" t="inlineStr">
        <x:is>
          <x:t xml:space="preserve">三格形状如果只命中 1 个敌人，该敌人额外受到 6 点伤害。</x:t>
        </x:is>
      </x:c>
      <x:c r="H126" s="3" t="inlineStr">
        <x:is>
          <x:t xml:space="preserve"/>
        </x:is>
      </x:c>
      <x:c r="I126" s="3" t="inlineStr">
        <x:is>
          <x:t xml:space="preserve">implemented</x:t>
        </x:is>
      </x:c>
      <x:c r="J126" s="3" t="n"/>
      <x:c r="K126" s="3" t="n"/>
      <x:c r="L126" s="3" t="n"/>
      <x:c r="M126" s="3" t="n"/>
      <x:c r="N126" s="3" t="n"/>
      <x:c r="O126" s="3" t="n"/>
      <x:c r="P126" s="3" t="n"/>
      <x:c r="Q126" s="3" t="n"/>
      <x:c r="R126" s="3" t="n"/>
      <x:c r="S126" s="3" t="n"/>
    </x:row>
    <x:row r="127">
      <x:c r="A127" s="3" t="inlineStr">
        <x:is>
          <x:t xml:space="preserve">D08</x:t>
        </x:is>
      </x:c>
      <x:c r="B127" s="3" t="inlineStr">
        <x:is>
          <x:t xml:space="preserve">三格外放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3</x:t>
        </x:is>
      </x:c>
      <x:c r="G127" s="3" t="inlineStr">
        <x:is>
          <x:t xml:space="preserve">三格形状命中 2 个以上敌人时，额外对每个目标造成 2 点伤害。</x:t>
        </x:is>
      </x:c>
      <x:c r="H127" s="3" t="inlineStr">
        <x:is>
          <x:t xml:space="preserve"/>
        </x:is>
      </x:c>
      <x:c r="I127" s="3" t="inlineStr">
        <x:is>
          <x:t xml:space="preserve">implemented</x:t>
        </x:is>
      </x:c>
      <x:c r="J127" s="3" t="n"/>
      <x:c r="K127" s="3" t="n"/>
      <x:c r="L127" s="3" t="n"/>
      <x:c r="M127" s="3" t="n"/>
      <x:c r="N127" s="3" t="n"/>
      <x:c r="O127" s="3" t="n"/>
      <x:c r="P127" s="3" t="n"/>
      <x:c r="Q127" s="3" t="n"/>
      <x:c r="R127" s="3" t="n"/>
      <x:c r="S127" s="3" t="n"/>
    </x:row>
    <x:row r="128">
      <x:c r="A128" s="3" t="inlineStr">
        <x:is>
          <x:t xml:space="preserve">D09</x:t>
        </x:is>
      </x:c>
      <x:c r="B128" s="3" t="inlineStr">
        <x:is>
          <x:t xml:space="preserve">角形补点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3</x:t>
        </x:is>
      </x:c>
      <x:c r="G128" s="3" t="inlineStr">
        <x:is>
          <x:t xml:space="preserve">L 型三格的缺角位置额外生成 1 个作用格，伤害 -2。</x:t>
        </x:is>
      </x:c>
      <x:c r="H128" s="3" t="inlineStr">
        <x:is>
          <x:t xml:space="preserve"/>
        </x:is>
      </x:c>
      <x:c r="I128" s="3" t="inlineStr">
        <x:is>
          <x:t xml:space="preserve">implemented</x:t>
        </x:is>
      </x:c>
      <x:c r="J128" s="3" t="n"/>
      <x:c r="K128" s="3" t="n"/>
      <x:c r="L128" s="3" t="n"/>
      <x:c r="M128" s="3" t="n"/>
      <x:c r="N128" s="3" t="n"/>
      <x:c r="O128" s="3" t="n"/>
      <x:c r="P128" s="3" t="n"/>
      <x:c r="Q128" s="3" t="n"/>
      <x:c r="R128" s="3" t="n"/>
      <x:c r="S128" s="3" t="n"/>
    </x:row>
    <x:row r="129">
      <x:c r="A129" s="3" t="inlineStr">
        <x:is>
          <x:t xml:space="preserve">D10</x:t>
        </x:is>
      </x:c>
      <x:c r="B129" s="3" t="inlineStr">
        <x:is>
          <x:t xml:space="preserve">直线贯穿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3</x:t>
        </x:is>
      </x:c>
      <x:c r="G129" s="3" t="inlineStr">
        <x:is>
          <x:t xml:space="preserve">直线形状末端再贯穿 1 格，额外格伤害 -1。</x:t>
        </x:is>
      </x:c>
      <x:c r="H129" s="3" t="inlineStr">
        <x:is>
          <x:t xml:space="preserve"/>
        </x:is>
      </x:c>
      <x:c r="I129" s="3" t="inlineStr">
        <x:is>
          <x:t xml:space="preserve">implemented</x:t>
        </x:is>
      </x:c>
      <x:c r="J129" s="3" t="n"/>
      <x:c r="K129" s="3" t="n"/>
      <x:c r="L129" s="3" t="n"/>
      <x:c r="M129" s="3" t="n"/>
      <x:c r="N129" s="3" t="n"/>
      <x:c r="O129" s="3" t="n"/>
      <x:c r="P129" s="3" t="n"/>
      <x:c r="Q129" s="3" t="n"/>
      <x:c r="R129" s="3" t="n"/>
      <x:c r="S129" s="3" t="n"/>
    </x:row>
    <x:row r="130">
      <x:c r="A130" s="3" t="inlineStr">
        <x:is>
          <x:t xml:space="preserve">D11</x:t>
        </x:is>
      </x:c>
      <x:c r="B130" s="3" t="inlineStr">
        <x:is>
          <x:t xml:space="preserve">抢先结算</x:t>
        </x:is>
      </x:c>
      <x:c r="C130" s="3" t="inlineStr">
        <x:is>
          <x:t xml:space="preserve">diamond</x:t>
        </x:is>
      </x:c>
      <x:c r="D130" s="3" t="inlineStr">
        <x:is>
          <x:t xml:space="preserve">settlementMutation</x:t>
        </x:is>
      </x:c>
      <x:c r="E130" s="3" t="inlineStr">
        <x:is>
          <x:t xml:space="preserve">none</x:t>
        </x:is>
      </x:c>
      <x:c r="F130" s="3" t="inlineStr">
        <x:is>
          <x:t xml:space="preserve">1|2|3</x:t>
        </x:is>
      </x:c>
      <x:c r="G130" s="3" t="inlineStr">
        <x:is>
          <x:t xml:space="preserve">该角色总是最先结算。</x:t>
        </x:is>
      </x:c>
      <x:c r="H130" s="3" t="inlineStr">
        <x:is>
          <x:t xml:space="preserve"/>
        </x:is>
      </x:c>
      <x:c r="I130" s="3" t="inlineStr">
        <x:is>
          <x:t xml:space="preserve">implemented</x:t>
        </x:is>
      </x:c>
      <x:c r="J130" s="3" t="n"/>
      <x:c r="K130" s="3" t="n"/>
      <x:c r="L130" s="3" t="n"/>
      <x:c r="M130" s="3" t="n"/>
      <x:c r="N130" s="3" t="n"/>
      <x:c r="O130" s="3" t="n"/>
      <x:c r="P130" s="3" t="n"/>
      <x:c r="Q130" s="3" t="n"/>
      <x:c r="R130" s="3" t="n"/>
      <x:c r="S130" s="3" t="n"/>
    </x:row>
    <x:row r="131">
      <x:c r="A131" s="3" t="inlineStr">
        <x:is>
          <x:t xml:space="preserve">D12</x:t>
        </x:is>
      </x:c>
      <x:c r="B131" s="3" t="inlineStr">
        <x:is>
          <x:t xml:space="preserve">压轴结算</x:t>
        </x:is>
      </x:c>
      <x:c r="C131" s="3" t="inlineStr">
        <x:is>
          <x:t xml:space="preserve">diamond</x:t>
        </x:is>
      </x:c>
      <x:c r="D131" s="3" t="inlineStr">
        <x:is>
          <x:t xml:space="preserve">settlementMutation</x:t>
        </x:is>
      </x:c>
      <x:c r="E131" s="3" t="inlineStr">
        <x:is>
          <x:t xml:space="preserve">none</x:t>
        </x:is>
      </x:c>
      <x:c r="F131" s="3" t="inlineStr">
        <x:is>
          <x:t xml:space="preserve">1|2|3</x:t>
        </x:is>
      </x:c>
      <x:c r="G131" s="3" t="inlineStr">
        <x:is>
          <x:t xml:space="preserve">该角色总是最后结算，最后一击伤害 +5。</x:t>
        </x:is>
      </x:c>
      <x:c r="H131" s="3" t="inlineStr">
        <x:is>
          <x:t xml:space="preserve"/>
        </x:is>
      </x:c>
      <x:c r="I131" s="3" t="inlineStr">
        <x:is>
          <x:t xml:space="preserve">implemented</x:t>
        </x:is>
      </x:c>
      <x:c r="J131" s="3" t="n"/>
      <x:c r="K131" s="3" t="n"/>
      <x:c r="L131" s="3" t="n"/>
      <x:c r="M131" s="3" t="n"/>
      <x:c r="N131" s="3" t="n"/>
      <x:c r="O131" s="3" t="n"/>
      <x:c r="P131" s="3" t="n"/>
      <x:c r="Q131" s="3" t="n"/>
      <x:c r="R131" s="3" t="n"/>
      <x:c r="S131" s="3" t="n"/>
    </x:row>
    <x:row r="132">
      <x:c r="A132" s="3" t="inlineStr">
        <x:is>
          <x:t xml:space="preserve">D13</x:t>
        </x:is>
      </x:c>
      <x:c r="B132" s="3" t="inlineStr">
        <x:is>
          <x:t xml:space="preserve">残血追击</x:t>
        </x:is>
      </x:c>
      <x:c r="C132" s="3" t="inlineStr">
        <x:is>
          <x:t xml:space="preserve">diamond</x:t>
        </x:is>
      </x:c>
      <x:c r="D132" s="3" t="inlineStr">
        <x:is>
          <x:t xml:space="preserve">settlementMutation</x:t>
        </x:is>
      </x:c>
      <x:c r="E132" s="3" t="inlineStr">
        <x:is>
          <x:t xml:space="preserve">none</x:t>
        </x:is>
      </x:c>
      <x:c r="F132" s="3" t="inlineStr">
        <x:is>
          <x:t xml:space="preserve">1|2|3</x:t>
        </x:is>
      </x:c>
      <x:c r="G132" s="3" t="inlineStr">
        <x:is>
          <x:t xml:space="preserve">若本次结算后有敌人生命不高于 5，对其追加 5 点伤害。</x:t>
        </x:is>
      </x:c>
      <x:c r="H132" s="3" t="inlineStr">
        <x:is>
          <x:t xml:space="preserve"/>
        </x:is>
      </x:c>
      <x:c r="I132" s="3" t="inlineStr">
        <x:is>
          <x:t xml:space="preserve">implemented</x:t>
        </x:is>
      </x:c>
      <x:c r="J132" s="3" t="n"/>
      <x:c r="K132" s="3" t="n"/>
      <x:c r="L132" s="3" t="n"/>
      <x:c r="M132" s="3" t="n"/>
      <x:c r="N132" s="3" t="n"/>
      <x:c r="O132" s="3" t="n"/>
      <x:c r="P132" s="3" t="n"/>
      <x:c r="Q132" s="3" t="n"/>
      <x:c r="R132" s="3" t="n"/>
      <x:c r="S132" s="3" t="n"/>
    </x:row>
    <x:row r="133">
      <x:c r="A133" s="3" t="inlineStr">
        <x:is>
          <x:t xml:space="preserve">D14</x:t>
        </x:is>
      </x:c>
      <x:c r="B133" s="3" t="inlineStr">
        <x:is>
          <x:t xml:space="preserve">击杀连锁</x:t>
        </x:is>
      </x:c>
      <x:c r="C133" s="3" t="inlineStr">
        <x:is>
          <x:t xml:space="preserve">diamond</x:t>
        </x:is>
      </x:c>
      <x:c r="D133" s="3" t="inlineStr">
        <x:is>
          <x:t xml:space="preserve">settlementMutation</x:t>
        </x:is>
      </x:c>
      <x:c r="E133" s="3" t="inlineStr">
        <x:is>
          <x:t xml:space="preserve">none</x:t>
        </x:is>
      </x:c>
      <x:c r="F133" s="3" t="inlineStr">
        <x:is>
          <x:t xml:space="preserve">1|2</x:t>
        </x:is>
      </x:c>
      <x:c r="G133" s="3" t="inlineStr">
        <x:is>
          <x:t xml:space="preserve">击杀敌人后，对最近敌人追加 4 点伤害。</x:t>
        </x:is>
      </x:c>
      <x:c r="H133" s="3" t="inlineStr">
        <x:is>
          <x:t xml:space="preserve"/>
        </x:is>
      </x:c>
      <x:c r="I133" s="3" t="inlineStr">
        <x:is>
          <x:t xml:space="preserve">implemented</x:t>
        </x:is>
      </x:c>
      <x:c r="J133" s="3" t="n"/>
      <x:c r="K133" s="3" t="n"/>
      <x:c r="L133" s="3" t="n"/>
      <x:c r="M133" s="3" t="n"/>
      <x:c r="N133" s="3" t="n"/>
      <x:c r="O133" s="3" t="n"/>
      <x:c r="P133" s="3" t="n"/>
      <x:c r="Q133" s="3" t="n"/>
      <x:c r="R133" s="3" t="n"/>
      <x:c r="S133" s="3" t="n"/>
    </x:row>
    <x:row r="134">
      <x:c r="A134" s="3" t="inlineStr">
        <x:is>
          <x:t xml:space="preserve">D15</x:t>
        </x:is>
      </x:c>
      <x:c r="B134" s="3" t="inlineStr">
        <x:is>
          <x:t xml:space="preserve">破阵启动</x:t>
        </x:is>
      </x:c>
      <x:c r="C134" s="3" t="inlineStr">
        <x:is>
          <x:t xml:space="preserve">diamond</x:t>
        </x:is>
      </x:c>
      <x:c r="D134" s="3" t="inlineStr">
        <x:is>
          <x:t xml:space="preserve">settlementMutation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若本次命中 3 个单位，立即额外结算一次核心格。</x:t>
        </x:is>
      </x:c>
      <x:c r="H134" s="3" t="inlineStr">
        <x:is>
          <x:t xml:space="preserve"/>
        </x:is>
      </x:c>
      <x:c r="I134" s="3" t="inlineStr">
        <x:is>
          <x:t xml:space="preserve">implemented</x:t>
        </x:is>
      </x:c>
      <x:c r="J134" s="3" t="n"/>
      <x:c r="K134" s="3" t="n"/>
      <x:c r="L134" s="3" t="n"/>
      <x:c r="M134" s="3" t="n"/>
      <x:c r="N134" s="3" t="n"/>
      <x:c r="O134" s="3" t="n"/>
      <x:c r="P134" s="3" t="n"/>
      <x:c r="Q134" s="3" t="n"/>
      <x:c r="R134" s="3" t="n"/>
      <x:c r="S134" s="3" t="n"/>
    </x:row>
    <x:row r="135">
      <x:c r="A135" s="3" t="inlineStr">
        <x:is>
          <x:t xml:space="preserve">D16</x:t>
        </x:is>
      </x:c>
      <x:c r="B135" s="3" t="inlineStr">
        <x:is>
          <x:t xml:space="preserve">反复敲打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</x:t>
        </x:is>
      </x:c>
      <x:c r="G135" s="3" t="inlineStr">
        <x:is>
          <x:t xml:space="preserve">如果只命中 1 个敌人，同一格重复结算 1 次。</x:t>
        </x:is>
      </x:c>
      <x:c r="H135" s="3" t="inlineStr">
        <x:is>
          <x:t xml:space="preserve"/>
        </x:is>
      </x:c>
      <x:c r="I135" s="3" t="inlineStr">
        <x:is>
          <x:t xml:space="preserve">implemented</x:t>
        </x:is>
      </x:c>
      <x:c r="J135" s="3" t="n"/>
      <x:c r="K135" s="3" t="n"/>
      <x:c r="L135" s="3" t="n"/>
      <x:c r="M135" s="3" t="n"/>
      <x:c r="N135" s="3" t="n"/>
      <x:c r="O135" s="3" t="n"/>
      <x:c r="P135" s="3" t="n"/>
      <x:c r="Q135" s="3" t="n"/>
      <x:c r="R135" s="3" t="n"/>
      <x:c r="S135" s="3" t="n"/>
    </x:row>
    <x:row r="136">
      <x:c r="A136" s="3" t="inlineStr">
        <x:is>
          <x:t xml:space="preserve">D17</x:t>
        </x:is>
      </x:c>
      <x:c r="B136" s="3" t="inlineStr">
        <x:is>
          <x:t xml:space="preserve">二段行动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本角色先结算一半伤害，所有友方结算后再结算剩余伤害。</x:t>
        </x:is>
      </x:c>
      <x:c r="H136" s="3" t="inlineStr">
        <x:is>
          <x:t xml:space="preserve">有一定理解成本，建议少量使用。</x:t>
        </x:is>
      </x:c>
      <x:c r="I136" s="3" t="inlineStr">
        <x:is>
          <x:t xml:space="preserve">implemented</x:t>
        </x:is>
      </x:c>
      <x:c r="J136" s="3" t="n"/>
      <x:c r="K136" s="3" t="n"/>
      <x:c r="L136" s="3" t="n"/>
      <x:c r="M136" s="3" t="n"/>
      <x:c r="N136" s="3" t="n"/>
      <x:c r="O136" s="3" t="n"/>
      <x:c r="P136" s="3" t="n"/>
      <x:c r="Q136" s="3" t="n"/>
      <x:c r="R136" s="3" t="n"/>
      <x:c r="S136" s="3" t="n"/>
    </x:row>
    <x:row r="137">
      <x:c r="A137" s="3" t="inlineStr">
        <x:is>
          <x:t xml:space="preserve">D18</x:t>
        </x:is>
      </x:c>
      <x:c r="B137" s="3" t="inlineStr">
        <x:is>
          <x:t xml:space="preserve">元素先爆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如果本次触发元素爆发，该元素爆发提前到本角色普通伤害前结算。</x:t>
        </x:is>
      </x:c>
      <x:c r="H137" s="3" t="inlineStr">
        <x:is>
          <x:t xml:space="preserve"/>
        </x:is>
      </x:c>
      <x:c r="I137" s="3" t="inlineStr">
        <x:is>
          <x:t xml:space="preserve">implemented</x:t>
        </x:is>
      </x:c>
      <x:c r="J137" s="3" t="n"/>
      <x:c r="K137" s="3" t="n"/>
      <x:c r="L137" s="3" t="n"/>
      <x:c r="M137" s="3" t="n"/>
      <x:c r="N137" s="3" t="n"/>
      <x:c r="O137" s="3" t="n"/>
      <x:c r="P137" s="3" t="n"/>
      <x:c r="Q137" s="3" t="n"/>
      <x:c r="R137" s="3" t="n"/>
      <x:c r="S137" s="3" t="n"/>
    </x:row>
    <x:row r="138">
      <x:c r="A138" s="3" t="inlineStr">
        <x:is>
          <x:t xml:space="preserve">D19</x:t>
        </x:is>
      </x:c>
      <x:c r="B138" s="3" t="inlineStr">
        <x:is>
          <x:t xml:space="preserve">收割顺序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1|2|3</x:t>
        </x:is>
      </x:c>
      <x:c r="G138" s="3" t="inlineStr">
        <x:is>
          <x:t xml:space="preserve">结算时优先攻击生命最低的目标。</x:t>
        </x:is>
      </x:c>
      <x:c r="H138" s="3" t="inlineStr">
        <x:is>
          <x:t xml:space="preserve">会改变默认结算逻辑，建议只给少数角色。</x:t>
        </x:is>
      </x:c>
      <x:c r="I138" s="3" t="inlineStr">
        <x:is>
          <x:t xml:space="preserve">implemented</x:t>
        </x:is>
      </x:c>
      <x:c r="J138" s="3" t="n"/>
      <x:c r="K138" s="3" t="n"/>
      <x:c r="L138" s="3" t="n"/>
      <x:c r="M138" s="3" t="n"/>
      <x:c r="N138" s="3" t="n"/>
      <x:c r="O138" s="3" t="n"/>
      <x:c r="P138" s="3" t="n"/>
      <x:c r="Q138" s="3" t="n"/>
      <x:c r="R138" s="3" t="n"/>
      <x:c r="S138" s="3" t="n"/>
    </x:row>
    <x:row r="139">
      <x:c r="A139" s="3" t="inlineStr">
        <x:is>
          <x:t xml:space="preserve">D20</x:t>
        </x:is>
      </x:c>
      <x:c r="B139" s="3" t="inlineStr">
        <x:is>
          <x:t xml:space="preserve">反向结算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2|3</x:t>
        </x:is>
      </x:c>
      <x:c r="G139" s="3" t="inlineStr">
        <x:is>
          <x:t xml:space="preserve">形状从最远格开始结算，而不是从近格开始结算。</x:t>
        </x:is>
      </x:c>
      <x:c r="H139" s="3" t="inlineStr">
        <x:is>
          <x:t xml:space="preserve"/>
        </x:is>
      </x:c>
      <x:c r="I139" s="3" t="inlineStr">
        <x:is>
          <x:t xml:space="preserve">implemented</x:t>
        </x:is>
      </x:c>
      <x:c r="J139" s="3" t="n"/>
      <x:c r="K139" s="3" t="n"/>
      <x:c r="L139" s="3" t="n"/>
      <x:c r="M139" s="3" t="n"/>
      <x:c r="N139" s="3" t="n"/>
      <x:c r="O139" s="3" t="n"/>
      <x:c r="P139" s="3" t="n"/>
      <x:c r="Q139" s="3" t="n"/>
      <x:c r="R139" s="3" t="n"/>
      <x:c r="S139" s="3" t="n"/>
    </x:row>
    <x:row r="140">
      <x:c r="A140" s="3" t="inlineStr">
        <x:is>
          <x:t xml:space="preserve">D21</x:t>
        </x:is>
      </x:c>
      <x:c r="B140" s="3" t="inlineStr">
        <x:is>
          <x:t xml:space="preserve">火痕</x:t>
        </x:is>
      </x:c>
      <x:c r="C140" s="3" t="inlineStr">
        <x:is>
          <x:t xml:space="preserve">diamond</x:t>
        </x:is>
      </x:c>
      <x:c r="D140" s="3" t="inlineStr">
        <x:is>
          <x:t xml:space="preserve">boardTrace</x:t>
        </x:is>
      </x:c>
      <x:c r="E140" s="3" t="inlineStr">
        <x:is>
          <x:t xml:space="preserve">none</x:t>
        </x:is>
      </x:c>
      <x:c r="F140" s="3" t="inlineStr">
        <x:is>
          <x:t xml:space="preserve">1|2|3</x:t>
        </x:is>
      </x:c>
      <x:c r="G140" s="3" t="inlineStr">
        <x:is>
          <x:t xml:space="preserve">形状覆盖过的空格留下火痕 1 回合，敌人站上受到 3 点火伤害。</x:t>
        </x:is>
      </x:c>
      <x:c r="H140" s="3" t="inlineStr">
        <x:is>
          <x:t xml:space="preserve"/>
        </x:is>
      </x:c>
      <x:c r="I140" s="3" t="inlineStr">
        <x:is>
          <x:t xml:space="preserve">implemented</x:t>
        </x:is>
      </x:c>
      <x:c r="J140" s="3" t="n"/>
      <x:c r="K140" s="3" t="n"/>
      <x:c r="L140" s="3" t="n"/>
      <x:c r="M140" s="3" t="n"/>
      <x:c r="N140" s="3" t="n"/>
      <x:c r="O140" s="3" t="n"/>
      <x:c r="P140" s="3" t="n"/>
      <x:c r="Q140" s="3" t="n"/>
      <x:c r="R140" s="3" t="n"/>
      <x:c r="S140" s="3" t="n"/>
    </x:row>
    <x:row r="141">
      <x:c r="A141" s="3" t="inlineStr">
        <x:is>
          <x:t xml:space="preserve">D22</x:t>
        </x:is>
      </x:c>
      <x:c r="B141" s="3" t="inlineStr">
        <x:is>
          <x:t xml:space="preserve">水痕</x:t>
        </x:is>
      </x:c>
      <x:c r="C141" s="3" t="inlineStr">
        <x:is>
          <x:t xml:space="preserve">diamond</x:t>
        </x:is>
      </x:c>
      <x:c r="D141" s="3" t="inlineStr">
        <x:is>
          <x:t xml:space="preserve">boardTrace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覆盖格留下水痕 1 回合，友方站上恢复 5 生命。</x:t>
        </x:is>
      </x:c>
      <x:c r="H141" s="3" t="inlineStr">
        <x:is>
          <x:t xml:space="preserve"/>
        </x:is>
      </x:c>
      <x:c r="I141" s="3" t="inlineStr">
        <x:is>
          <x:t xml:space="preserve">implemented</x:t>
        </x:is>
      </x:c>
      <x:c r="J141" s="3" t="n"/>
      <x:c r="K141" s="3" t="n"/>
      <x:c r="L141" s="3" t="n"/>
      <x:c r="M141" s="3" t="n"/>
      <x:c r="N141" s="3" t="n"/>
      <x:c r="O141" s="3" t="n"/>
      <x:c r="P141" s="3" t="n"/>
      <x:c r="Q141" s="3" t="n"/>
      <x:c r="R141" s="3" t="n"/>
      <x:c r="S141" s="3" t="n"/>
    </x:row>
    <x:row r="142">
      <x:c r="A142" s="3" t="inlineStr">
        <x:is>
          <x:t xml:space="preserve">D23</x:t>
        </x:is>
      </x:c>
      <x:c r="B142" s="3" t="inlineStr">
        <x:is>
          <x:t xml:space="preserve">风痕</x:t>
        </x:is>
      </x:c>
      <x:c r="C142" s="3" t="inlineStr">
        <x:is>
          <x:t xml:space="preserve">diamond</x:t>
        </x:is>
      </x:c>
      <x:c r="D142" s="3" t="inlineStr">
        <x:is>
          <x:t xml:space="preserve">boardTrace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覆盖格留下风痕 1 回合，友方站上时下次伤害 +2。</x:t>
        </x:is>
      </x:c>
      <x:c r="H142" s="3" t="inlineStr">
        <x:is>
          <x:t xml:space="preserve"/>
        </x:is>
      </x:c>
      <x:c r="I142" s="3" t="inlineStr">
        <x:is>
          <x:t xml:space="preserve">implemented</x:t>
        </x:is>
      </x:c>
      <x:c r="J142" s="3" t="n"/>
      <x:c r="K142" s="3" t="n"/>
      <x:c r="L142" s="3" t="n"/>
      <x:c r="M142" s="3" t="n"/>
      <x:c r="N142" s="3" t="n"/>
      <x:c r="O142" s="3" t="n"/>
      <x:c r="P142" s="3" t="n"/>
      <x:c r="Q142" s="3" t="n"/>
      <x:c r="R142" s="3" t="n"/>
      <x:c r="S142" s="3" t="n"/>
    </x:row>
    <x:row r="143">
      <x:c r="A143" s="3" t="inlineStr">
        <x:is>
          <x:t xml:space="preserve">D24</x:t>
        </x:is>
      </x:c>
      <x:c r="B143" s="3" t="inlineStr">
        <x:is>
          <x:t xml:space="preserve">土痕</x:t>
        </x:is>
      </x:c>
      <x:c r="C143" s="3" t="inlineStr">
        <x:is>
          <x:t xml:space="preserve">diamond</x:t>
        </x:is>
      </x:c>
      <x:c r="D143" s="3" t="inlineStr">
        <x:is>
          <x:t xml:space="preserve">boardTrace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覆盖格留下土痕 1 回合，友方站上获得 8 护盾。</x:t>
        </x:is>
      </x:c>
      <x:c r="H143" s="3" t="inlineStr">
        <x:is>
          <x:t xml:space="preserve"/>
        </x:is>
      </x:c>
      <x:c r="I143" s="3" t="inlineStr">
        <x:is>
          <x:t xml:space="preserve">implemented</x:t>
        </x:is>
      </x:c>
      <x:c r="J143" s="3" t="n"/>
      <x:c r="K143" s="3" t="n"/>
      <x:c r="L143" s="3" t="n"/>
      <x:c r="M143" s="3" t="n"/>
      <x:c r="N143" s="3" t="n"/>
      <x:c r="O143" s="3" t="n"/>
      <x:c r="P143" s="3" t="n"/>
      <x:c r="Q143" s="3" t="n"/>
      <x:c r="R143" s="3" t="n"/>
      <x:c r="S143" s="3" t="n"/>
    </x:row>
    <x:row r="144">
      <x:c r="A144" s="3" t="inlineStr">
        <x:is>
          <x:t xml:space="preserve">D25</x:t>
        </x:is>
      </x:c>
      <x:c r="B144" s="3" t="inlineStr">
        <x:is>
          <x:t xml:space="preserve">金痕</x:t>
        </x:is>
      </x:c>
      <x:c r="C144" s="3" t="inlineStr">
        <x:is>
          <x:t xml:space="preserve">diamond</x:t>
        </x:is>
      </x:c>
      <x:c r="D144" s="3" t="inlineStr">
        <x:is>
          <x:t xml:space="preserve">boardTrace</x:t>
        </x:is>
      </x:c>
      <x:c r="E144" s="3" t="inlineStr">
        <x:is>
          <x:t xml:space="preserve">none</x:t>
        </x:is>
      </x:c>
      <x:c r="F144" s="3" t="inlineStr">
        <x:is>
          <x:t xml:space="preserve">1|2|3</x:t>
        </x:is>
      </x:c>
      <x:c r="G144" s="3" t="inlineStr">
        <x:is>
          <x:t xml:space="preserve">覆盖格留下金痕 1 回合，下一次命中该格敌人的攻击伤害 +2。</x:t>
        </x:is>
      </x:c>
      <x:c r="H144" s="3" t="inlineStr">
        <x:is>
          <x:t xml:space="preserve"/>
        </x:is>
      </x:c>
      <x:c r="I144" s="3" t="inlineStr">
        <x:is>
          <x:t xml:space="preserve">implemented</x:t>
        </x:is>
      </x:c>
      <x:c r="J144" s="3" t="n"/>
      <x:c r="K144" s="3" t="n"/>
      <x:c r="L144" s="3" t="n"/>
      <x:c r="M144" s="3" t="n"/>
      <x:c r="N144" s="3" t="n"/>
      <x:c r="O144" s="3" t="n"/>
      <x:c r="P144" s="3" t="n"/>
      <x:c r="Q144" s="3" t="n"/>
      <x:c r="R144" s="3" t="n"/>
      <x:c r="S144" s="3" t="n"/>
    </x:row>
    <x:row r="145">
      <x:c r="A145" s="3" t="inlineStr">
        <x:is>
          <x:t xml:space="preserve">D26</x:t>
        </x:is>
      </x:c>
      <x:c r="B145" s="3" t="inlineStr">
        <x:is>
          <x:t xml:space="preserve">木痕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覆盖格留下木痕 1 回合，回合开始时恢复站在上面的友方 4 生命。</x:t>
        </x:is>
      </x:c>
      <x:c r="H145" s="3" t="inlineStr">
        <x:is>
          <x:t xml:space="preserve"/>
        </x:is>
      </x:c>
      <x:c r="I145" s="3" t="inlineStr">
        <x:is>
          <x:t xml:space="preserve">implemented</x:t>
        </x:is>
      </x:c>
      <x:c r="J145" s="3" t="n"/>
      <x:c r="K145" s="3" t="n"/>
      <x:c r="L145" s="3" t="n"/>
      <x:c r="M145" s="3" t="n"/>
      <x:c r="N145" s="3" t="n"/>
      <x:c r="O145" s="3" t="n"/>
      <x:c r="P145" s="3" t="n"/>
      <x:c r="Q145" s="3" t="n"/>
      <x:c r="R145" s="3" t="n"/>
      <x:c r="S145" s="3" t="n"/>
    </x:row>
    <x:row r="146">
      <x:c r="A146" s="3" t="inlineStr">
        <x:is>
          <x:t xml:space="preserve">D27</x:t>
        </x:is>
      </x:c>
      <x:c r="B146" s="3" t="inlineStr">
        <x:is>
          <x:t xml:space="preserve">佛光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覆盖格留下佛光 1 回合，友方站上恢复 6 生命，敌人站上无效果。</x:t>
        </x:is>
      </x:c>
      <x:c r="H146" s="3" t="inlineStr">
        <x:is>
          <x:t xml:space="preserve"/>
        </x:is>
      </x:c>
      <x:c r="I146" s="3" t="inlineStr">
        <x:is>
          <x:t xml:space="preserve">implemented</x:t>
        </x:is>
      </x:c>
      <x:c r="J146" s="3" t="n"/>
      <x:c r="K146" s="3" t="n"/>
      <x:c r="L146" s="3" t="n"/>
      <x:c r="M146" s="3" t="n"/>
      <x:c r="N146" s="3" t="n"/>
      <x:c r="O146" s="3" t="n"/>
      <x:c r="P146" s="3" t="n"/>
      <x:c r="Q146" s="3" t="n"/>
      <x:c r="R146" s="3" t="n"/>
      <x:c r="S146" s="3" t="n"/>
    </x:row>
    <x:row r="147">
      <x:c r="A147" s="3" t="inlineStr">
        <x:is>
          <x:t xml:space="preserve">D28</x:t>
        </x:is>
      </x:c>
      <x:c r="B147" s="3" t="inlineStr">
        <x:is>
          <x:t xml:space="preserve">流沙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覆盖格留下流沙 1 回合，敌人站上受到 2 点伤害，并使其下次受伤 +2。</x:t>
        </x:is>
      </x:c>
      <x:c r="H147" s="3" t="inlineStr">
        <x:is>
          <x:t xml:space="preserve"/>
        </x:is>
      </x:c>
      <x:c r="I147" s="3" t="inlineStr">
        <x:is>
          <x:t xml:space="preserve">implemented</x:t>
        </x:is>
      </x:c>
      <x:c r="J147" s="3" t="n"/>
      <x:c r="K147" s="3" t="n"/>
      <x:c r="L147" s="3" t="n"/>
      <x:c r="M147" s="3" t="n"/>
      <x:c r="N147" s="3" t="n"/>
      <x:c r="O147" s="3" t="n"/>
      <x:c r="P147" s="3" t="n"/>
      <x:c r="Q147" s="3" t="n"/>
      <x:c r="R147" s="3" t="n"/>
      <x:c r="S147" s="3" t="n"/>
    </x:row>
    <x:row r="148">
      <x:c r="A148" s="3" t="inlineStr">
        <x:is>
          <x:t xml:space="preserve">D29</x:t>
        </x:is>
      </x:c>
      <x:c r="B148" s="3" t="inlineStr">
        <x:is>
          <x:t xml:space="preserve">妖印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覆盖格留下妖印 1 回合，敌人站上后被标记，下次受到伤害 +4。</x:t>
        </x:is>
      </x:c>
      <x:c r="H148" s="3" t="inlineStr">
        <x:is>
          <x:t xml:space="preserve"/>
        </x:is>
      </x:c>
      <x:c r="I148" s="3" t="inlineStr">
        <x:is>
          <x:t xml:space="preserve">implemented</x:t>
        </x:is>
      </x:c>
      <x:c r="J148" s="3" t="n"/>
      <x:c r="K148" s="3" t="n"/>
      <x:c r="L148" s="3" t="n"/>
      <x:c r="M148" s="3" t="n"/>
      <x:c r="N148" s="3" t="n"/>
      <x:c r="O148" s="3" t="n"/>
      <x:c r="P148" s="3" t="n"/>
      <x:c r="Q148" s="3" t="n"/>
      <x:c r="R148" s="3" t="n"/>
      <x:c r="S148" s="3" t="n"/>
    </x:row>
    <x:row r="149">
      <x:c r="A149" s="3" t="inlineStr">
        <x:is>
          <x:t xml:space="preserve">D30</x:t>
        </x:is>
      </x:c>
      <x:c r="B149" s="3" t="inlineStr">
        <x:is>
          <x:t xml:space="preserve">纸符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核心格留下纸符 1 回合，下一次经过该格的作用形状额外结算 1 次。</x:t>
        </x:is>
      </x:c>
      <x:c r="H149" s="3" t="inlineStr">
        <x:is>
          <x:t xml:space="preserve">最有纸上西游特色，但强度较高，建议稀有。</x:t>
        </x:is>
      </x:c>
      <x:c r="I149" s="3" t="inlineStr">
        <x:is>
          <x:t xml:space="preserve">implemented</x:t>
        </x:is>
      </x:c>
      <x:c r="J149" s="3" t="n"/>
      <x:c r="K149" s="3" t="n"/>
      <x:c r="L149" s="3" t="n"/>
      <x:c r="M149" s="3" t="n"/>
      <x:c r="N149" s="3" t="n"/>
      <x:c r="O149" s="3" t="n"/>
      <x:c r="P149" s="3" t="n"/>
      <x:c r="Q149" s="3" t="n"/>
      <x:c r="R149" s="3" t="n"/>
      <x:c r="S149" s="3" t="n"/>
    </x:row>
    <x:row r="150">
      <x:c r="A150" s="9" t="str">
        <x:v>#csv</x:v>
      </x:c>
      <x:c r="B150" s="9" t="str">
        <x:v>31_battle_rules.csv</x:v>
      </x:c>
      <x:c r="C150" s="9" t="str">
        <x:v>正式双人战斗可调规则：宠物重置次数补充间隔和开局次数。</x:v>
      </x:c>
      <x:c r="D150" s="9"/>
      <x:c r="E150" s="9"/>
      <x:c r="F150" s="9"/>
      <x:c r="G150" s="9"/>
      <x:c r="H150" s="9"/>
      <x:c r="I150" s="9"/>
      <x:c r="J150" s="9"/>
      <x:c r="K150" s="9"/>
      <x:c r="L150" s="9"/>
      <x:c r="M150" s="9"/>
      <x:c r="N150" s="9"/>
      <x:c r="O150" s="9"/>
      <x:c r="P150" s="9"/>
      <x:c r="Q150" s="9"/>
      <x:c r="R150" s="9"/>
      <x:c r="S150" s="9"/>
    </x:row>
    <x:row r="151">
      <x:c r="A151" s="14" t="str">
        <x:v>rule_id</x:v>
      </x:c>
      <x:c r="B151" s="14" t="str">
        <x:v>value</x:v>
      </x:c>
      <x:c r="C151" s="14" t="str">
        <x:v>unit</x:v>
      </x:c>
      <x:c r="D151" s="14" t="str">
        <x:v>description</x:v>
      </x:c>
      <x:c r="E151" s="14" t="str">
        <x:v>status</x:v>
      </x:c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6" t="str">
        <x:v>pet_reset_charge_interval</x:v>
      </x:c>
      <x:c r="B152" s="16" t="n">
        <x:v>5</x:v>
      </x:c>
      <x:c r="C152" s="16" t="str">
        <x:v>rounds</x:v>
      </x:c>
      <x:c r="D152" s="16" t="str">
        <x:v>正式双人战斗每5回合为双方各增加1次宠物重置次数；进入第5和第10回合时补充。</x:v>
      </x:c>
      <x:c r="E152" s="16" t="str">
        <x:v>正式</x:v>
      </x:c>
    </x:row>
    <x:row r="153">
      <x:c r="A153" s="16" t="str">
        <x:v>pet_reset_initial_charges</x:v>
      </x:c>
      <x:c r="B153" s="16" t="n">
        <x:v>0</x:v>
      </x:c>
      <x:c r="C153" s="16" t="str">
        <x:v>count</x:v>
      </x:c>
      <x:c r="D153" s="16" t="str">
        <x:v>正式双人战斗开局不赠送宠物重置次数。</x:v>
      </x:c>
      <x:c r="E153" s="16" t="str">
        <x:v>正式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30" customWidth="1"/>
    <x:col min="2" max="2" width="31" customWidth="1"/>
    <x:col min="3" max="3" width="36" customWidth="1"/>
    <x:col min="4" max="4" width="36" customWidth="1"/>
    <x:col min="5" max="5" width="16" customWidth="1"/>
    <x:col min="6" max="6" width="36" customWidth="1"/>
    <x:col min="7" max="7" width="32" customWidth="1"/>
    <x:col min="8" max="8" width="15" customWidth="1"/>
    <x:col min="9" max="9" width="1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16" hidden="0" customWidth="1"/>
    <x:col min="12" max="12" width="54" hidden="0" customWidth="1"/>
    <x:col min="13" max="13" width="16" hidden="0" customWidth="1"/>
    <x:col min="14" max="14" width="12" hidden="0" customWidth="1"/>
    <x:col min="15" max="15" width="14" hidden="0" customWidth="1"/>
    <x:col min="16" max="16" width="48" hidden="0" customWidth="1"/>
    <x:col min="17" max="17" width="72" hidden="0" customWidth="1"/>
    <x:col min="18" max="18" width="72" hidden="0" customWidth="1"/>
  </x:cols>
  <x:sheetData>
    <x:row r="1" ht="32" customHeight="1">
      <x:c r="A1" s="108" t="str">
        <x:v>object_id</x:v>
      </x:c>
      <x:c r="B1" s="108" t="str">
        <x:v>object_no</x:v>
      </x:c>
      <x:c r="C1" s="108" t="str">
        <x:v>source_type</x:v>
      </x:c>
      <x:c r="D1" s="108" t="str">
        <x:v>source_status</x:v>
      </x:c>
      <x:c r="E1" s="108" t="str">
        <x:v>source_slug</x:v>
      </x:c>
      <x:c r="F1" s="108" t="str">
        <x:v>source_name</x:v>
      </x:c>
      <x:c r="G1" s="108" t="str">
        <x:v>source_tier</x:v>
      </x:c>
      <x:c r="H1" s="108" t="str">
        <x:v>source_size</x:v>
      </x:c>
      <x:c r="I1" s="108" t="str">
        <x:v>source_tags</x:v>
      </x:c>
      <x:c r="J1" s="108" t="str">
        <x:v>source_relation_count</x:v>
      </x:c>
      <x:c r="K1" s="108" t="str">
        <x:v>local_shop_count</x:v>
      </x:c>
      <x:c r="L1" s="108" t="str">
        <x:v>local_shop_ids</x:v>
      </x:c>
      <x:c r="M1" s="108" t="str">
        <x:v>primary_enchant</x:v>
      </x:c>
      <x:c r="N1" s="108" t="str">
        <x:v>pet_id</x:v>
      </x:c>
      <x:c r="O1" s="108" t="str">
        <x:v>pet_name</x:v>
      </x:c>
      <x:c r="P1" s="108" t="str">
        <x:v>source_url</x:v>
      </x:c>
      <x:c r="Q1" s="108" t="str">
        <x:v>source_effect</x:v>
      </x:c>
      <x:c r="R1" s="108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n">
        <x:v>10</x:v>
      </x:c>
      <x:c r="L2" s="38" t="str">
        <x:v>night_base, elem_火, elem_水, elem_草, elem_地, elem_暗, elem_龙, elem_无, role_召唤, role_火系压制</x:v>
      </x:c>
      <x:c r="M2" s="38" t="str">
        <x:v>Restorative</x:v>
      </x:c>
      <x:c r="N2" s="38" t="str">
        <x:v>pal_001</x:v>
      </x:c>
      <x:c r="O2" s="38" t="str">
        <x:v>棉角羊</x:v>
      </x:c>
      <x:c r="P2" s="38" t="str">
        <x:v>https://bazaar-builds.net/db/items/ambergris.html</x:v>
      </x:c>
      <x:c r="Q2" s="38" t="str">
        <x:v>heal equal to 1 / 2 / 3 / 4 times this item's value when you buy another aquatic item, this gains 1 / 2 / 3 / 4 value.</x:v>
      </x:c>
      <x:c r="R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n">
        <x:v>10</x:v>
      </x:c>
      <x:c r="L3" s="38" t="str">
        <x:v>night_base, elem_火, elem_水, elem_冰, elem_龙, elem_无, role_控制, role_治疗, role_经济, role_召唤铺场</x:v>
      </x:c>
      <x:c r="M3" s="38" t="str">
        <x:v>Turbo</x:v>
      </x:c>
      <x:c r="N3" s="38" t="str">
        <x:v>pal_002</x:v>
      </x:c>
      <x:c r="O3" s="38" t="str">
        <x:v>灰尾狸</x:v>
      </x:c>
      <x:c r="P3" s="38" t="str">
        <x:v>https://bazaar-builds.net/db/items/anchor.html</x:v>
      </x:c>
      <x:c r="Q3" s="38" t="str">
        <x:v>deal damage equal to 20 → 30% of an enemy's max health when you use an adjacent item, this is hasted for 2 seconds.</x:v>
      </x:c>
      <x:c r="R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n">
        <x:v>10</x:v>
      </x:c>
      <x:c r="L4" s="38" t="str">
        <x:v>night_base, elem_火, elem_水, elem_冰, elem_地, elem_无, role_坦克, role_控制, role_治疗, role_经济</x:v>
      </x:c>
      <x:c r="M4" s="38" t="str">
        <x:v>Turbo</x:v>
      </x:c>
      <x:c r="N4" s="38" t="str">
        <x:v>pal_003</x:v>
      </x:c>
      <x:c r="O4" s="38" t="str">
        <x:v>芦花鸡</x:v>
      </x:c>
      <x:c r="P4" s="38" t="str">
        <x:v>https://bazaar-builds.net/db/items/arbalest.html</x:v>
      </x:c>
      <x:c r="Q4" s="38" t="str">
        <x:v>deal 100 damage when you haste, this gains 50 / 75 / 100 damage for the fight.</x:v>
      </x:c>
      <x:c r="R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n">
        <x:v>10</x:v>
      </x:c>
      <x:c r="L5" s="38" t="str">
        <x:v>night_base, elem_火, elem_水, elem_冰, elem_地, elem_暗, role_控制, role_治疗, role_经济, role_召唤铺场</x:v>
      </x:c>
      <x:c r="M5" s="38" t="str">
        <x:v>Turbo</x:v>
      </x:c>
      <x:c r="N5" s="38" t="str">
        <x:v>pal_004</x:v>
      </x:c>
      <x:c r="O5" s="38" t="str">
        <x:v>青藤鼠</x:v>
      </x:c>
      <x:c r="P5" s="38" t="str">
        <x:v>https://bazaar-builds.net/db/items/astrolabe.html</x:v>
      </x:c>
      <x:c r="Q5" s="38" t="str">
        <x:v>haste 2 / 3 / 4 items for 1 second when you use another non-weapon item, charge this 1 second.</x:v>
      </x:c>
      <x:c r="R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n">
        <x:v>10</x:v>
      </x:c>
      <x:c r="L6" s="38" t="str">
        <x:v>night_base, elem_火, elem_水, elem_草, elem_雷, elem_冰, elem_龙, elem_无, role_坦克, role_机动压制</x:v>
      </x:c>
      <x:c r="M6" s="38" t="str">
        <x:v>Deadly</x:v>
      </x:c>
      <x:c r="N6" s="38" t="str">
        <x:v>pal_005</x:v>
      </x:c>
      <x:c r="O6" s="38" t="str">
        <x:v>赤尾狐</x:v>
      </x:c>
      <x:c r="P6" s="38" t="str">
        <x:v>https://bazaar-builds.net/db/items/ballista.html</x:v>
      </x:c>
      <x:c r="Q6" s="38" t="str">
        <x:v>deal 150 → 300 damage when you use another ammo item, this gains 1 multicast for the fight.</x:v>
      </x:c>
      <x:c r="R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n">
        <x:v>9</x:v>
      </x:c>
      <x:c r="L7" s="38" t="str">
        <x:v>night_base, elem_火, elem_水, elem_雷, elem_冰, elem_地, elem_暗, role_控制, special_merchant</x:v>
      </x:c>
      <x:c r="M7" s="38" t="str">
        <x:v>Shielded</x:v>
      </x:c>
      <x:c r="N7" s="38" t="str">
        <x:v>pal_006</x:v>
      </x:c>
      <x:c r="O7" s="38" t="str">
        <x:v>碧水鸭</x:v>
      </x:c>
      <x:c r="P7" s="38" t="str">
        <x:v>https://bazaar-builds.net/db/items/barrel.html</x:v>
      </x:c>
      <x:c r="Q7" s="38" t="str">
        <x:v>shield 20 when you use an adjacent item, this gains 10 / 20 / 30 / 40 shield for the fight.</x:v>
      </x:c>
      <x:c r="R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n">
        <x:v>10</x:v>
      </x:c>
      <x:c r="L8" s="38" t="str">
        <x:v>night_base, elem_火, elem_水, elem_草, elem_雷, elem_地, elem_龙, elem_无, role_召唤, role_风系铺场</x:v>
      </x:c>
      <x:c r="M8" s="38" t="str">
        <x:v>Deadly</x:v>
      </x:c>
      <x:c r="N8" s="38" t="str">
        <x:v>pal_007</x:v>
      </x:c>
      <x:c r="O8" s="38" t="str">
        <x:v>雷须猫</x:v>
      </x:c>
      <x:c r="P8" s="38" t="str">
        <x:v>https://bazaar-builds.net/db/items/bayonet.html</x:v>
      </x:c>
      <x:c r="Q8" s="38" t="str">
        <x:v>when you use the weapon to the left of this, deal 10 / 20 / 40 / 80 damage.</x:v>
      </x:c>
      <x:c r="R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n">
        <x:v>10</x:v>
      </x:c>
      <x:c r="L9" s="38" t="str">
        <x:v>night_base, elem_火, elem_水, elem_冰, elem_地, elem_暗, elem_龙, role_控制, role_治疗, role_经济</x:v>
      </x:c>
      <x:c r="M9" s="38" t="str">
        <x:v>Turbo</x:v>
      </x:c>
      <x:c r="N9" s="38" t="str">
        <x:v>pal_008</x:v>
      </x:c>
      <x:c r="O9" s="38" t="str">
        <x:v>藤甲猿</x:v>
      </x:c>
      <x:c r="P9" s="38" t="str">
        <x:v>https://bazaar-builds.net/db/items/beach-ball.html</x:v>
      </x:c>
      <x:c r="Q9" s="38" t="str">
        <x:v>haste 2 / 3 / 4 / 5 aquatic or toy item(s) for 2 seconds</x:v>
      </x:c>
      <x:c r="R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n">
        <x:v>10</x:v>
      </x:c>
      <x:c r="L10" s="38" t="str">
        <x:v>night_base, elem_火, elem_水, elem_草, elem_雷, elem_地, elem_龙, elem_无, role_召唤, role_风系铺场</x:v>
      </x:c>
      <x:c r="M10" s="38" t="str">
        <x:v>Deadly</x:v>
      </x:c>
      <x:c r="N10" s="38" t="str">
        <x:v>pal_009</x:v>
      </x:c>
      <x:c r="O10" s="38" t="str">
        <x:v>火角鹿</x:v>
      </x:c>
      <x:c r="P10" s="38" t="str">
        <x:v>https://bazaar-builds.net/db/items/bilge-worm.html</x:v>
      </x:c>
      <x:c r="Q10" s="38" t="str">
        <x:v>when your enemy uses their leftmost item, deal 10 / 20 / 40 / 80 damage.</x:v>
      </x:c>
      <x:c r="R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n">
        <x:v>10</x:v>
      </x:c>
      <x:c r="L11" s="38" t="str">
        <x:v>night_base, elem_火, elem_水, elem_冰, elem_龙, elem_无, role_控制, tier_pT1, role_远点压制, role_风系牵制</x:v>
      </x:c>
      <x:c r="M11" s="38" t="str">
        <x:v>Deadly</x:v>
      </x:c>
      <x:c r="N11" s="38" t="str">
        <x:v>pal_010</x:v>
      </x:c>
      <x:c r="O11" s="38" t="str">
        <x:v>霜羽鹭</x:v>
      </x:c>
      <x:c r="P11" s="38" t="str">
        <x:v>https://bazaar-builds.net/db/items/bladed-hoverboard.html</x:v>
      </x:c>
      <x:c r="Q11" s="38" t="str">
        <x:v>when you use an adjacent item, deal 20 / 40 / 60 damage and it starts flying.</x:v>
      </x:c>
      <x:c r="R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n">
        <x:v>10</x:v>
      </x:c>
      <x:c r="L12" s="38" t="str">
        <x:v>night_base, elem_火, elem_水, elem_草, elem_雷, elem_地, elem_暗, elem_无, role_召唤, role_重甲抗压</x:v>
      </x:c>
      <x:c r="M12" s="38" t="str">
        <x:v>Toxic</x:v>
      </x:c>
      <x:c r="N12" s="38" t="str">
        <x:v>pal_011</x:v>
      </x:c>
      <x:c r="O12" s="38" t="str">
        <x:v>冰背獭</x:v>
      </x:c>
      <x:c r="P12" s="38" t="str">
        <x:v>https://bazaar-builds.net/db/items/blowgun.html</x:v>
      </x:c>
      <x:c r="Q12" s="38" t="str">
        <x:v>deal 2 damage poison equal to this item's damage</x:v>
      </x:c>
      <x:c r="R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n">
        <x:v>10</x:v>
      </x:c>
      <x:c r="L13" s="38" t="str">
        <x:v>night_base, elem_火, elem_水, elem_雷, elem_冰, elem_地, elem_无, role_坦克, role_控制, role_机动</x:v>
      </x:c>
      <x:c r="M13" s="38" t="str">
        <x:v>Fiery</x:v>
      </x:c>
      <x:c r="N13" s="38" t="str">
        <x:v>pal_012</x:v>
      </x:c>
      <x:c r="O13" s="38" t="str">
        <x:v>电棘鼠</x:v>
      </x:c>
      <x:c r="P13" s="38" t="str">
        <x:v>https://bazaar-builds.net/db/items/blunderbuss.html</x:v>
      </x:c>
      <x:c r="Q13" s="38" t="str">
        <x:v>deal 15 damage when you burn, use this.</x:v>
      </x:c>
      <x:c r="R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n">
        <x:v>10</x:v>
      </x:c>
      <x:c r="L14" s="38" t="str">
        <x:v>night_base, elem_火, elem_水, elem_草, elem_地, elem_无, role_召唤, role_坦克, role_治疗, elite_high</x:v>
      </x:c>
      <x:c r="M14" s="38" t="str">
        <x:v>Icy</x:v>
      </x:c>
      <x:c r="N14" s="38" t="str">
        <x:v>pal_013</x:v>
      </x:c>
      <x:c r="O14" s="38" t="str">
        <x:v>苔甲龟</x:v>
      </x:c>
      <x:c r="P14" s="38" t="str">
        <x:v>https://bazaar-builds.net/db/items/bolas.html</x:v>
      </x:c>
      <x:c r="Q14" s="38" t="str">
        <x:v>deal 20 / 40 / 80 / 160 damage slow an item for 2 / 3 / 4 / 5 seconds</x:v>
      </x:c>
      <x:c r="R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n">
        <x:v>10</x:v>
      </x:c>
      <x:c r="L15" s="38" t="str">
        <x:v>night_base, elem_火, elem_水, elem_冰, elem_地, elem_暗, role_控制, role_治疗, role_经济, role_机动</x:v>
      </x:c>
      <x:c r="M15" s="38" t="str">
        <x:v>Fiery</x:v>
      </x:c>
      <x:c r="N15" s="38" t="str">
        <x:v>pal_014</x:v>
      </x:c>
      <x:c r="O15" s="38" t="str">
        <x:v>金钱狸</x:v>
      </x:c>
      <x:c r="P15" s="38" t="str">
        <x:v>https://bazaar-builds.net/db/items/bonfire.html</x:v>
      </x:c>
      <x:c r="Q15" s="38" t="str">
        <x:v>burn 5 / 10 / 15 when you burn, haste an adjacent item for 1 / 2 / 3 seconds.</x:v>
      </x:c>
      <x:c r="R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n">
        <x:v>10</x:v>
      </x:c>
      <x:c r="L16" s="38" t="str">
        <x:v>night_base, elem_火, elem_水, elem_草, elem_雷, elem_地, elem_龙, elem_无, role_召唤, role_风系铺场</x:v>
      </x:c>
      <x:c r="M16" s="38" t="str">
        <x:v>Deadly</x:v>
      </x:c>
      <x:c r="N16" s="38" t="str">
        <x:v>pal_015</x:v>
      </x:c>
      <x:c r="O16" s="38" t="str">
        <x:v>黑甲猪</x:v>
      </x:c>
      <x:c r="P16" s="38" t="str">
        <x:v>https://bazaar-builds.net/db/items/butterfly-swords.html</x:v>
      </x:c>
      <x:c r="Q16" s="38" t="str">
        <x:v>deal 10 damage</x:v>
      </x:c>
      <x:c r="R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n">
        <x:v>10</x:v>
      </x:c>
      <x:c r="L17" s="38" t="str">
        <x:v>night_base, elem_火, elem_水, elem_草, elem_雷, elem_地, elem_无, role_召唤, role_输出, tier_pT2</x:v>
      </x:c>
      <x:c r="M17" s="38" t="str">
        <x:v>Deadly</x:v>
      </x:c>
      <x:c r="N17" s="38" t="str">
        <x:v>pal_016</x:v>
      </x:c>
      <x:c r="O17" s="38" t="str">
        <x:v>涧水象</x:v>
      </x:c>
      <x:c r="P17" s="38" t="str">
        <x:v>https://bazaar-builds.net/db/items/calico.html</x:v>
      </x:c>
      <x:c r="Q17" s="38" t="str">
        <x:v>deal 15 / 30 / 60 / 120 damage when you use another weapon, this gains +5 / 10 / 15 / 20% crit chance for the fight.</x:v>
      </x:c>
      <x:c r="R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n">
        <x:v>10</x:v>
      </x:c>
      <x:c r="L18" s="38" t="str">
        <x:v>night_base, elem_火, elem_水, elem_雷, elem_冰, elem_地, elem_无, role_坦克, role_控制, role_机动</x:v>
      </x:c>
      <x:c r="M18" s="38" t="str">
        <x:v>Fiery</x:v>
      </x:c>
      <x:c r="N18" s="38" t="str">
        <x:v>pal_017</x:v>
      </x:c>
      <x:c r="O18" s="38" t="str">
        <x:v>黑角犀</x:v>
      </x:c>
      <x:c r="P18" s="38" t="str">
        <x:v>https://bazaar-builds.net/db/items/cannon.html</x:v>
      </x:c>
      <x:c r="Q18" s="38" t="str">
        <x:v>deal 40 / 80 / 120 / 160 damage burn equal to 10% of this item's damage</x:v>
      </x:c>
      <x:c r="R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n">
        <x:v>10</x:v>
      </x:c>
      <x:c r="L19" s="38" t="str">
        <x:v>night_base, elem_火, elem_水, elem_草, elem_雷, elem_冰, elem_龙, elem_无, role_机动, role_机动压制</x:v>
      </x:c>
      <x:c r="M19" s="38" t="str">
        <x:v>Turbo</x:v>
      </x:c>
      <x:c r="N19" s="38" t="str">
        <x:v>pal_018</x:v>
      </x:c>
      <x:c r="O19" s="38" t="str">
        <x:v>竹囊鼠</x:v>
      </x:c>
      <x:c r="P19" s="38" t="str">
        <x:v>https://bazaar-builds.net/db/items/cannonade.html</x:v>
      </x:c>
      <x:c r="Q19" s="38" t="str">
        <x:v>deal 200 → 400 damage when you use another weapon, charge this 2 seconds.</x:v>
      </x:c>
      <x:c r="R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n">
        <x:v>10</x:v>
      </x:c>
      <x:c r="L20" s="38" t="str">
        <x:v>night_base, elem_火, elem_水, elem_草, elem_雷, elem_地, elem_暗, role_召唤, role_坦克, role_风系铺场</x:v>
      </x:c>
      <x:c r="M20" s="38" t="str">
        <x:v>Deadly</x:v>
      </x:c>
      <x:c r="N20" s="38" t="str">
        <x:v>pal_019</x:v>
      </x:c>
      <x:c r="O20" s="38" t="str">
        <x:v>夜穴鼹</x:v>
      </x:c>
      <x:c r="P20" s="38" t="str">
        <x:v>https://bazaar-builds.net/db/items/cannonball.html</x:v>
      </x:c>
      <x:c r="Q20" s="38" t="str">
        <x:v>adjacent items have +2 / 3 / 4 max ammo.</x:v>
      </x:c>
      <x:c r="R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n">
        <x:v>10</x:v>
      </x:c>
      <x:c r="L21" s="38" t="str">
        <x:v>night_base, elem_火, elem_水, elem_草, elem_冰, elem_暗, elem_龙, role_坦克, role_治疗, role_经济</x:v>
      </x:c>
      <x:c r="M21" s="38" t="str">
        <x:v>Turbo</x:v>
      </x:c>
      <x:c r="N21" s="38" t="str">
        <x:v>pal_020</x:v>
      </x:c>
      <x:c r="O21" s="38" t="str">
        <x:v>沙鬃猪</x:v>
      </x:c>
      <x:c r="P21" s="38" t="str">
        <x:v>https://bazaar-builds.net/db/items/captain-s-quarters.html</x:v>
      </x:c>
      <x:c r="Q21" s="38" t="str">
        <x:v>haste your tools and vehicles for 1 / 2 / 3 seconds reload your ammo items 1 / 2 / 3 ammo your weapons gain +20 / 30 / 40 damage for the fight</x:v>
      </x:c>
      <x:c r="R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n">
        <x:v>10</x:v>
      </x:c>
      <x:c r="L22" s="38" t="str">
        <x:v>night_base, elem_火, elem_水, elem_冰, elem_暗, elem_龙, role_控制, role_治疗, role_经济, role_召唤铺场</x:v>
      </x:c>
      <x:c r="M22" s="38" t="str">
        <x:v>Turbo</x:v>
      </x:c>
      <x:c r="N22" s="38" t="str">
        <x:v>pal_021</x:v>
      </x:c>
      <x:c r="O22" s="38" t="str">
        <x:v>暮羽鸦</x:v>
      </x:c>
      <x:c r="P22" s="38" t="str">
        <x:v>https://bazaar-builds.net/db/items/captain-s-wheel.html</x:v>
      </x:c>
      <x:c r="Q22" s="38" t="str">
        <x:v>haste adjacent items for 1 / 2 / 3 seconds if you have a vehicle or large item, this item's cooldown is halved.</x:v>
      </x:c>
      <x:c r="R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n">
        <x:v>10</x:v>
      </x:c>
      <x:c r="L23" s="38" t="str">
        <x:v>night_base, elem_火, elem_水, elem_雷, elem_冰, elem_地, elem_暗, elem_龙, role_控制, role_风系铺场</x:v>
      </x:c>
      <x:c r="M23" s="38" t="str">
        <x:v>Turbo</x:v>
      </x:c>
      <x:c r="N23" s="38" t="str">
        <x:v>pal_022</x:v>
      </x:c>
      <x:c r="O23" s="38" t="str">
        <x:v>岩爪鼹</x:v>
      </x:c>
      <x:c r="P23" s="38" t="str">
        <x:v>https://bazaar-builds.net/db/items/card-table.html</x:v>
      </x:c>
      <x:c r="Q23" s="38" t="str">
        <x:v>a friend gains +1 multicast for the fight increase this item's cooldown by 1 second for each non-friend you have for the fight.</x:v>
      </x:c>
      <x:c r="R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n">
        <x:v>10</x:v>
      </x:c>
      <x:c r="L24" s="38" t="str">
        <x:v>night_base, elem_火, elem_水, elem_暗, elem_龙, role_召唤, role_治疗, role_经济, tier_pT2, role_重甲抗压</x:v>
      </x:c>
      <x:c r="M24" s="38" t="str">
        <x:v>Toxic</x:v>
      </x:c>
      <x:c r="N24" s="38" t="str">
        <x:v>pal_023</x:v>
      </x:c>
      <x:c r="O24" s="38" t="str">
        <x:v>墨潭鲵</x:v>
      </x:c>
      <x:c r="P24" s="38" t="str">
        <x:v>https://bazaar-builds.net/db/items/catfish.html</x:v>
      </x:c>
      <x:c r="Q24" s="38" t="str">
        <x:v>poison 3 when this is hasted, this gains +2 / 4 / 6 / 8 poison for the fight.</x:v>
      </x:c>
      <x:c r="R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n">
        <x:v>10</x:v>
      </x:c>
      <x:c r="L25" s="38" t="str">
        <x:v>night_base, elem_火, elem_水, elem_冰, elem_无, role_治疗, role_经济, role_机动, elite_high, tier_pT1</x:v>
      </x:c>
      <x:c r="M25" s="38" t="str">
        <x:v>Fiery</x:v>
      </x:c>
      <x:c r="N25" s="38" t="str">
        <x:v>pal_024</x:v>
      </x:c>
      <x:c r="O25" s="38" t="str">
        <x:v>幽纹猫</x:v>
      </x:c>
      <x:c r="P25" s="38" t="str">
        <x:v>https://bazaar-builds.net/db/items/cauterizing-blade.html</x:v>
      </x:c>
      <x:c r="Q25" s="38" t="str">
        <x:v>deal 20 damage burn 2 quest: slow 10 times when you slow, this gains +0 damage and +0 burn for the fight. quest: haste 10 times when you haste, this gains +0 damage and +0 burn for the fight.</x:v>
      </x:c>
      <x:c r="R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n">
        <x:v>10</x:v>
      </x:c>
      <x:c r="L26" s="38" t="str">
        <x:v>night_base, elem_火, elem_水, elem_草, elem_地, elem_暗, elem_龙, role_召唤, role_输出, tier_pT1</x:v>
      </x:c>
      <x:c r="M26" s="38" t="str">
        <x:v>Golden</x:v>
      </x:c>
      <x:c r="N26" s="38" t="str">
        <x:v>pal_025</x:v>
      </x:c>
      <x:c r="O26" s="38" t="str">
        <x:v>泉须鲶</x:v>
      </x:c>
      <x:c r="P26" s="38" t="str">
        <x:v>https://bazaar-builds.net/db/items/chum.html</x:v>
      </x:c>
      <x:c r="Q26" s="38" t="str">
        <x:v>your aquatic items gain +3 / 6 / 9 / 12% crit chance for the fight when you buy this, get a piranha.</x:v>
      </x:c>
      <x:c r="R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n">
        <x:v>10</x:v>
      </x:c>
      <x:c r="L27" s="38" t="str">
        <x:v>night_base, elem_火, elem_水, elem_草, elem_地, elem_暗, elem_龙, role_召唤, role_治疗, elite_high</x:v>
      </x:c>
      <x:c r="M27" s="38" t="str">
        <x:v>Icy</x:v>
      </x:c>
      <x:c r="N27" s="38" t="str">
        <x:v>pal_026</x:v>
      </x:c>
      <x:c r="O27" s="38" t="str">
        <x:v>疾风狼</x:v>
      </x:c>
      <x:c r="P27" s="38" t="str">
        <x:v>https://bazaar-builds.net/db/items/clamera.html</x:v>
      </x:c>
      <x:c r="Q27" s="38" t="str">
        <x:v>slow an item for 2 seconds the first 2 / 3 / 4 times your enemy uses an item each fight, use this.</x:v>
      </x:c>
      <x:c r="R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n">
        <x:v>10</x:v>
      </x:c>
      <x:c r="L28" s="38" t="str">
        <x:v>night_base, elem_火, elem_水, elem_草, elem_雷, elem_地, elem_无, role_召唤, role_治疗, role_经济</x:v>
      </x:c>
      <x:c r="M28" s="38" t="str">
        <x:v>Turbo</x:v>
      </x:c>
      <x:c r="N28" s="38" t="str">
        <x:v>pal_027</x:v>
      </x:c>
      <x:c r="O28" s="38" t="str">
        <x:v>惊羽雀</x:v>
      </x:c>
      <x:c r="P28" s="38" t="str">
        <x:v>https://bazaar-builds.net/db/items/concealed-dagger.html</x:v>
      </x:c>
      <x:c r="Q28" s="38" t="str">
        <x:v>deal 10 / 20 / 40 / 80 damage haste an item 1 / 2 / 3 / 4 seconds. at the start of each fight with this, gain 1 gold.</x:v>
      </x:c>
      <x:c r="R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n">
        <x:v>10</x:v>
      </x:c>
      <x:c r="L29" s="38" t="str">
        <x:v>night_base, elem_火, elem_水, elem_草, elem_雷, elem_地, elem_暗, elem_龙, role_召唤, role_火系压制</x:v>
      </x:c>
      <x:c r="M29" s="38" t="str">
        <x:v>Restorative</x:v>
      </x:c>
      <x:c r="N29" s="38" t="str">
        <x:v>pal_028</x:v>
      </x:c>
      <x:c r="O29" s="38" t="str">
        <x:v>药草兔</x:v>
      </x:c>
      <x:c r="P29" s="38" t="str">
        <x:v>https://bazaar-builds.net/db/items/coral.html</x:v>
      </x:c>
      <x:c r="Q29" s="38" t="str">
        <x:v>heal 20 when you buy an aquatic item, this gains heal 5 / 10 / 15 / 20.</x:v>
      </x:c>
      <x:c r="R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n">
        <x:v>9</x:v>
      </x:c>
      <x:c r="L30" s="38" t="str">
        <x:v>night_base, elem_火, elem_水, elem_冰, elem_暗, elem_龙, role_控制, special_merchant, tier_pT3</x:v>
      </x:c>
      <x:c r="M30" s="38" t="str">
        <x:v>Shielded</x:v>
      </x:c>
      <x:c r="N30" s="38" t="str">
        <x:v>pal_029</x:v>
      </x:c>
      <x:c r="O30" s="38" t="str">
        <x:v>黄背牛</x:v>
      </x:c>
      <x:c r="P30" s="38" t="str">
        <x:v>https://bazaar-builds.net/db/items/coral-armor.html</x:v>
      </x:c>
      <x:c r="Q30" s="38" t="str">
        <x:v>shield 50 when you buy another aquatic item, this gains 10 / 20 / 30 / 40 shield.</x:v>
      </x:c>
      <x:c r="R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n">
        <x:v>10</x:v>
      </x:c>
      <x:c r="L31" s="38" t="str">
        <x:v>night_base, elem_火, elem_水, elem_草, elem_冰, elem_地, elem_暗, elem_龙, special_merchant, role_机动压制</x:v>
      </x:c>
      <x:c r="M31" s="38" t="str">
        <x:v>Shielded</x:v>
      </x:c>
      <x:c r="N31" s="38" t="str">
        <x:v>pal_030</x:v>
      </x:c>
      <x:c r="O31" s="38" t="str">
        <x:v>花刺蛛</x:v>
      </x:c>
      <x:c r="P31" s="38" t="str">
        <x:v>https://bazaar-builds.net/db/items/cove.html</x:v>
      </x:c>
      <x:c r="Q31" s="38" t="str">
        <x:v>shield equal to this 1 / 2 / 3 / 4 times this item's value when you sell an item, this gains 1 → 2 value.</x:v>
      </x:c>
      <x:c r="R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0</x:v>
      </x:c>
      <x:c r="K32" s="38" t="n">
        <x:v>8</x:v>
      </x:c>
      <x:c r="L32" s="38" t="str">
        <x:v>elem_火, elem_地, elem_龙, role_经济, special_merchant, role_召唤铺场, role_抗压承伤, role_火系压制</x:v>
      </x:c>
      <x:c r="M32" s="38" t="str">
        <x:v>Icy</x:v>
      </x:c>
      <x:c r="N32" s="38" t="str">
        <x:v>pal_031</x:v>
      </x:c>
      <x:c r="O32" s="38" t="str">
        <x:v>青背鲵</x:v>
      </x:c>
      <x:c r="P32" s="38" t="str">
        <x:v>https://bazaar-builds.net/db/items/crow-s-nest.html</x:v>
      </x:c>
      <x:c r="Q32" s="38" t="str">
        <x:v>your weapons have +40 / 60 / 80% crit chance. if you have only one weapon, it has lifesteal and is affected by slow for half as long.</x:v>
      </x:c>
      <x:c r="R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n">
        <x:v>10</x:v>
      </x:c>
      <x:c r="L33" s="38" t="str">
        <x:v>night_base, elem_火, elem_水, elem_草, elem_雷, elem_地, elem_暗, role_召唤, role_输出, tier_pT1</x:v>
      </x:c>
      <x:c r="M33" s="38" t="str">
        <x:v>Turbo</x:v>
      </x:c>
      <x:c r="N33" s="38" t="str">
        <x:v>pal_032</x:v>
      </x:c>
      <x:c r="O33" s="38" t="str">
        <x:v>石甲鲮</x:v>
      </x:c>
      <x:c r="P33" s="38" t="str">
        <x:v>https://bazaar-builds.net/db/items/custom-scope.html</x:v>
      </x:c>
      <x:c r="Q33" s="38" t="str">
        <x:v>the weapon to the right of this has +20 / 30 / 40% crit chance. if you have exactly one weapon, when you crit with it charge a non-weapon item 1 second.</x:v>
      </x:c>
      <x:c r="R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n">
        <x:v>10</x:v>
      </x:c>
      <x:c r="L34" s="38" t="str">
        <x:v>night_base, elem_火, elem_水, elem_雷, elem_冰, elem_地, elem_无, role_控制, role_输出, elite_high</x:v>
      </x:c>
      <x:c r="M34" s="38" t="str">
        <x:v>Icy</x:v>
      </x:c>
      <x:c r="N34" s="38" t="str">
        <x:v>pal_033</x:v>
      </x:c>
      <x:c r="O34" s="38" t="str">
        <x:v>芭蕉熊</x:v>
      </x:c>
      <x:c r="P34" s="38" t="str">
        <x:v>https://bazaar-builds.net/db/items/cutlass.html</x:v>
      </x:c>
      <x:c r="Q34" s="38" t="str">
        <x:v>deal 12 / 24 / 48 / 96 damage while an enemy item is slowed, this has +100% crit chance.</x:v>
      </x:c>
      <x:c r="R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n">
        <x:v>10</x:v>
      </x:c>
      <x:c r="L35" s="38" t="str">
        <x:v>night_base, elem_火, elem_水, elem_雷, elem_冰, elem_地, elem_无, role_控制, role_输出, tier_pT1</x:v>
      </x:c>
      <x:c r="M35" s="38" t="str">
        <x:v>Deadly</x:v>
      </x:c>
      <x:c r="N35" s="38" t="str">
        <x:v>pal_034</x:v>
      </x:c>
      <x:c r="O35" s="38" t="str">
        <x:v>蜜纹獾</x:v>
      </x:c>
      <x:c r="P35" s="38" t="str">
        <x:v>https://bazaar-builds.net/db/items/cyber-sai.html</x:v>
      </x:c>
      <x:c r="Q35" s="38" t="str">
        <x:v>deal 10 / 20 / 40 damage when you crit, your weapons gains +5 / 10 / 15 damage for the fight.</x:v>
      </x:c>
      <x:c r="R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n">
        <x:v>10</x:v>
      </x:c>
      <x:c r="L36" s="38" t="str">
        <x:v>night_base, elem_火, elem_水, elem_草, elem_雷, elem_冰, elem_地, elem_暗, elem_龙, role_机动压制</x:v>
      </x:c>
      <x:c r="M36" s="38" t="str">
        <x:v>Turbo</x:v>
      </x:c>
      <x:c r="N36" s="38" t="str">
        <x:v>pal_035</x:v>
      </x:c>
      <x:c r="O36" s="38" t="str">
        <x:v>藤巢蜂</x:v>
      </x:c>
      <x:c r="P36" s="38" t="str">
        <x:v>https://bazaar-builds.net/db/items/dam.html</x:v>
      </x:c>
      <x:c r="Q36" s="38" t="str">
        <x:v>destroy this and all smaller items for the fight when you use another aquatic item, charge this 1 → 2 seconds.</x:v>
      </x:c>
      <x:c r="R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n">
        <x:v>10</x:v>
      </x:c>
      <x:c r="L37" s="38" t="str">
        <x:v>night_base, elem_火, elem_水, elem_冰, elem_暗, elem_龙, role_治疗, role_机动, elite_high, tier_pT2</x:v>
      </x:c>
      <x:c r="M37" s="38" t="str">
        <x:v>Fiery</x:v>
      </x:c>
      <x:c r="N37" s="38" t="str">
        <x:v>pal_036</x:v>
      </x:c>
      <x:c r="O37" s="38" t="str">
        <x:v>云纹巨驼</x:v>
      </x:c>
      <x:c r="P37" s="38" t="str">
        <x:v>https://bazaar-builds.net/db/items/darkwater-anglerfish.html</x:v>
      </x:c>
      <x:c r="Q37" s="38" t="str">
        <x:v>burn 10 / 20 / 30 when you slow, charge this 2 seconds.</x:v>
      </x:c>
      <x:c r="R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n">
        <x:v>10</x:v>
      </x:c>
      <x:c r="L38" s="38" t="str">
        <x:v>night_base, elem_火, elem_水, elem_草, elem_无, role_召唤, role_治疗, elite_high, tier_pT1, role_重甲抗压</x:v>
      </x:c>
      <x:c r="M38" s="38" t="str">
        <x:v>Icy</x:v>
      </x:c>
      <x:c r="N38" s="38" t="str">
        <x:v>pal_037</x:v>
      </x:c>
      <x:c r="O38" s="38" t="str">
        <x:v>月角白鹿</x:v>
      </x:c>
      <x:c r="P38" s="38" t="str">
        <x:v>https://bazaar-builds.net/db/items/dart-launcher.html</x:v>
      </x:c>
      <x:c r="Q38" s="38" t="str">
        <x:v>deal 5 / 10 / 15 damage if this is adjacent to a slow item, slow 1 / 2 / 3 item(s) for 1 second if this is adjacent to a poison item, poison 3 / 6 / 9</x:v>
      </x:c>
      <x:c r="R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n">
        <x:v>10</x:v>
      </x:c>
      <x:c r="L39" s="38" t="str">
        <x:v>night_base, elem_火, elem_水, elem_雷, elem_冰, elem_地, elem_暗, role_控制, tier_pT3, role_风系铺场</x:v>
      </x:c>
      <x:c r="M39" s="38" t="str">
        <x:v>Turbo</x:v>
      </x:c>
      <x:c r="N39" s="38" t="str">
        <x:v>pal_038</x:v>
      </x:c>
      <x:c r="O39" s="38" t="str">
        <x:v>疾风苍鹰</x:v>
      </x:c>
      <x:c r="P39" s="38" t="str">
        <x:v>https://bazaar-builds.net/db/items/disguise.html</x:v>
      </x:c>
      <x:c r="Q39" s="38" t="str">
        <x:v>when you use an item from another hero, charge item(s) from your hero 1 second. when you buy this, get a small or medium item from another hero.</x:v>
      </x:c>
      <x:c r="R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n">
        <x:v>10</x:v>
      </x:c>
      <x:c r="L40" s="38" t="str">
        <x:v>night_base, elem_火, elem_水, elem_暗, elem_龙, role_召唤, role_坦克, role_治疗, role_经济, tier_pT3</x:v>
      </x:c>
      <x:c r="M40" s="38" t="str">
        <x:v>Turbo</x:v>
      </x:c>
      <x:c r="N40" s="38" t="str">
        <x:v>pal_039</x:v>
      </x:c>
      <x:c r="O40" s="38" t="str">
        <x:v>银背巨兔</x:v>
      </x:c>
      <x:c r="P40" s="38" t="str">
        <x:v>https://bazaar-builds.net/db/items/dive-weights.html</x:v>
      </x:c>
      <x:c r="Q40" s="38" t="str">
        <x:v>haste an item for 1 / 2 / 3 seconds for each adjacent aquatic item, this item's cooldown is reduced by 1 second. this has +multicast equal to its ammo.</x:v>
      </x:c>
      <x:c r="R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n">
        <x:v>10</x:v>
      </x:c>
      <x:c r="L41" s="38" t="str">
        <x:v>night_base, elem_火, elem_水, elem_冰, elem_暗, elem_龙, role_控制, special_merchant, tier_pT3, role_召唤铺场</x:v>
      </x:c>
      <x:c r="M41" s="38" t="str">
        <x:v>Turbo</x:v>
      </x:c>
      <x:c r="N41" s="38" t="str">
        <x:v>pal_040</x:v>
      </x:c>
      <x:c r="O41" s="38" t="str">
        <x:v>炎角黑羊</x:v>
      </x:c>
      <x:c r="P41" s="38" t="str">
        <x:v>https://bazaar-builds.net/db/items/diving-helmet.html</x:v>
      </x:c>
      <x:c r="Q41" s="38" t="str">
        <x:v>when you use an aquatic item, shield 50 → 100 adjacent items are aquatic in combat.</x:v>
      </x:c>
      <x:c r="R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n">
        <x:v>10</x:v>
      </x:c>
      <x:c r="L42" s="38" t="str">
        <x:v>night_base, elem_火, elem_水, elem_冰, elem_暗, elem_龙, role_控制, role_治疗, elite_high, role_召唤铺场</x:v>
      </x:c>
      <x:c r="M42" s="38" t="str">
        <x:v>Icy</x:v>
      </x:c>
      <x:c r="N42" s="38" t="str">
        <x:v>pal_041</x:v>
      </x:c>
      <x:c r="O42" s="38" t="str">
        <x:v>回春彩蝶</x:v>
      </x:c>
      <x:c r="P42" s="38" t="str">
        <x:v>https://bazaar-builds.net/db/items/dock-lines.html</x:v>
      </x:c>
      <x:c r="Q42" s="38" t="str">
        <x:v>slow 2 / 3 / 4 item(s) for 3 seconds</x:v>
      </x:c>
      <x:c r="R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n">
        <x:v>10</x:v>
      </x:c>
      <x:c r="L43" s="38" t="str">
        <x:v>night_base, elem_火, elem_水, elem_雷, elem_冰, elem_地, elem_无, role_坦克, role_控制, role_风系铺场</x:v>
      </x:c>
      <x:c r="M43" s="38" t="str">
        <x:v>Deadly</x:v>
      </x:c>
      <x:c r="N43" s="38" t="str">
        <x:v>pal_042</x:v>
      </x:c>
      <x:c r="O43" s="38" t="str">
        <x:v>赤焰蛮牛</x:v>
      </x:c>
      <x:c r="P43" s="38" t="str">
        <x:v>https://bazaar-builds.net/db/items/double-barrel.html</x:v>
      </x:c>
      <x:c r="Q43" s="38" t="str">
        <x:v>deal 20 / 40 / 80 / 160 damage</x:v>
      </x:c>
      <x:c r="R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n">
        <x:v>10</x:v>
      </x:c>
      <x:c r="L44" s="38" t="str">
        <x:v>night_base, elem_火, elem_水, elem_草, elem_冰, elem_龙, elem_无, role_治疗, elite_high, tier_pT2</x:v>
      </x:c>
      <x:c r="M44" s="38" t="str">
        <x:v>Icy</x:v>
      </x:c>
      <x:c r="N44" s="38" t="str">
        <x:v>pal_043</x:v>
      </x:c>
      <x:c r="O44" s="38" t="str">
        <x:v>泥甲巨鲶</x:v>
      </x:c>
      <x:c r="P44" s="38" t="str">
        <x:v>https://bazaar-builds.net/db/items/electric-eels.html</x:v>
      </x:c>
      <x:c r="Q44" s="38" t="str">
        <x:v>deal 100 damage slow an item for 1 second when an enemy uses an item, charge this 2 seconds.</x:v>
      </x:c>
      <x:c r="R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n">
        <x:v>10</x:v>
      </x:c>
      <x:c r="L45" s="38" t="str">
        <x:v>night_base, elem_火, elem_冰, elem_暗, elem_龙, role_坦克, role_机动, tier_pT1, role_抗压承伤, role_重甲抗压</x:v>
      </x:c>
      <x:c r="M45" s="38" t="str">
        <x:v>Fiery</x:v>
      </x:c>
      <x:c r="N45" s="38" t="str">
        <x:v>pal_044</x:v>
      </x:c>
      <x:c r="O45" s="38" t="str">
        <x:v>夜羽巨鸦</x:v>
      </x:c>
      <x:c r="P45" s="38" t="str">
        <x:v>https://bazaar-builds.net/db/items/elemental-depth-charge.html</x:v>
      </x:c>
      <x:c r="Q45" s="38" t="str">
        <x:v>poison 4, burn 4, and freeze an item for 1 second this has +1 multicast for each other aquatic item you have.</x:v>
      </x:c>
      <x:c r="R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n">
        <x:v>10</x:v>
      </x:c>
      <x:c r="L46" s="38" t="str">
        <x:v>night_base, elem_火, elem_水, elem_雷, elem_冰, elem_地, elem_暗, elem_龙, role_控制, role_治疗</x:v>
      </x:c>
      <x:c r="M46" s="38" t="str">
        <x:v>Turbo</x:v>
      </x:c>
      <x:c r="N46" s="38" t="str">
        <x:v>pal_045</x:v>
      </x:c>
      <x:c r="O46" s="38" t="str">
        <x:v>墨鳞巨蜥</x:v>
      </x:c>
      <x:c r="P46" s="38" t="str">
        <x:v>https://bazaar-builds.net/db/items/figurehead.html</x:v>
      </x:c>
      <x:c r="Q46" s="38" t="str">
        <x:v>the cooldowns of aquatic items to the left of this are reduced by 10 / 15 / 20%. weapons to the right of this have +25 / 50 / 100 damage.</x:v>
      </x:c>
      <x:c r="R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n">
        <x:v>10</x:v>
      </x:c>
      <x:c r="L47" s="38" t="str">
        <x:v>night_base, elem_火, elem_水, elem_冰, elem_暗, elem_龙, role_控制, role_治疗, elite_high, role_召唤铺场</x:v>
      </x:c>
      <x:c r="M47" s="38" t="str">
        <x:v>Icy</x:v>
      </x:c>
      <x:c r="N47" s="38" t="str">
        <x:v>pal_046</x:v>
      </x:c>
      <x:c r="O47" s="38" t="str">
        <x:v>月镰螳螂</x:v>
      </x:c>
      <x:c r="P47" s="38" t="str">
        <x:v>https://bazaar-builds.net/db/items/fishing-net.html</x:v>
      </x:c>
      <x:c r="Q47" s="38" t="str">
        <x:v>slow 1 / 2 / 3 / 4 item(s) for 2 seconds at the start of each day, get a small aquatic or loot item from any hero.</x:v>
      </x:c>
      <x:c r="R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n">
        <x:v>10</x:v>
      </x:c>
      <x:c r="L48" s="38" t="str">
        <x:v>night_base, elem_火, elem_水, elem_冰, elem_暗, elem_龙, role_控制, role_治疗, role_经济, role_召唤铺场</x:v>
      </x:c>
      <x:c r="M48" s="38" t="str">
        <x:v>Turbo</x:v>
      </x:c>
      <x:c r="N48" s="38" t="str">
        <x:v>pal_047</x:v>
      </x:c>
      <x:c r="O48" s="38" t="str">
        <x:v>裂空苍鹰</x:v>
      </x:c>
      <x:c r="P48" s="38" t="str">
        <x:v>https://bazaar-builds.net/db/items/fishing-rod.html</x:v>
      </x:c>
      <x:c r="Q48" s="38" t="str">
        <x:v>haste the aquatic item to the right of this for 2 seconds at the start of each day, get a small aquatic item.</x:v>
      </x:c>
      <x:c r="R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0</x:v>
      </x:c>
      <x:c r="K49" s="38" t="n">
        <x:v>8</x:v>
      </x:c>
      <x:c r="L49" s="38" t="str">
        <x:v>elem_草, elem_冰, role_召唤, role_控制, tier_pT1, tier_pT3, role_远点压制, role_风系牵制</x:v>
      </x:c>
      <x:c r="M49" s="38" t="str">
        <x:v>Deadly</x:v>
      </x:c>
      <x:c r="N49" s="38" t="str">
        <x:v>pal_048</x:v>
      </x:c>
      <x:c r="O49" s="38" t="str">
        <x:v>木刺豪猪</x:v>
      </x:c>
      <x:c r="P49" s="38" t="str">
        <x:v>https://bazaar-builds.net/db/items/flagship.html</x:v>
      </x:c>
      <x:c r="Q49" s="38" t="str">
        <x:v>deal 50 damage if you have another tool, property, friend, ammo or relic item this has +1 multicast for each.</x:v>
      </x:c>
      <x:c r="R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n">
        <x:v>10</x:v>
      </x:c>
      <x:c r="L50" s="38" t="str">
        <x:v>night_base, elem_火, elem_水, elem_龙, elem_无, role_召唤, role_治疗, role_经济, tier_pT2, role_远点压制</x:v>
      </x:c>
      <x:c r="M50" s="38" t="str">
        <x:v>Turbo</x:v>
      </x:c>
      <x:c r="N50" s="38" t="str">
        <x:v>pal_049</x:v>
      </x:c>
      <x:c r="O50" s="38" t="str">
        <x:v>铁臂黑猿</x:v>
      </x:c>
      <x:c r="P50" s="38" t="str">
        <x:v>https://bazaar-builds.net/db/items/flying-fish.html</x:v>
      </x:c>
      <x:c r="Q50" s="38" t="str">
        <x:v>deal 10 / 20 / 40 / 80 damage this and an adjacent item start flying. when you use a flying item, haste this for 1 second.</x:v>
      </x:c>
      <x:c r="R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n">
        <x:v>10</x:v>
      </x:c>
      <x:c r="L51" s="38" t="str">
        <x:v>night_base, elem_火, elem_水, elem_草, elem_雷, elem_地, elem_无, role_召唤, role_坦克, role_风系铺场</x:v>
      </x:c>
      <x:c r="M51" s="38" t="str">
        <x:v>Deadly</x:v>
      </x:c>
      <x:c r="N51" s="38" t="str">
        <x:v>pal_050</x:v>
      </x:c>
      <x:c r="O51" s="38" t="str">
        <x:v>金甲蜂群</x:v>
      </x:c>
      <x:c r="P51" s="38" t="str">
        <x:v>https://bazaar-builds.net/db/items/grapeshot.html</x:v>
      </x:c>
      <x:c r="Q51" s="38" t="str">
        <x:v>deal 30 / 60 / 120 / 240 damage when you use another ammo item, reload 1 ammo.</x:v>
      </x:c>
      <x:c r="R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n">
        <x:v>10</x:v>
      </x:c>
      <x:c r="L52" s="38" t="str">
        <x:v>night_base, elem_火, elem_水, elem_草, elem_地, elem_无, role_召唤, role_治疗, elite_high, role_召唤铺场</x:v>
      </x:c>
      <x:c r="M52" s="38" t="str">
        <x:v>Icy</x:v>
      </x:c>
      <x:c r="N52" s="38" t="str">
        <x:v>pal_051</x:v>
      </x:c>
      <x:c r="O52" s="38" t="str">
        <x:v>百花巨蜂</x:v>
      </x:c>
      <x:c r="P52" s="38" t="str">
        <x:v>https://bazaar-builds.net/db/items/grappling-hook.html</x:v>
      </x:c>
      <x:c r="Q52" s="38" t="str">
        <x:v>deal 20 / 40 / 80 / 160 damage slow 1 / 2 / 3 / 4 item(s) for 1 second</x:v>
      </x:c>
      <x:c r="R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n">
        <x:v>10</x:v>
      </x:c>
      <x:c r="L53" s="38" t="str">
        <x:v>night_base, elem_火, elem_水, elem_草, elem_雷, elem_地, elem_无, role_召唤, role_坦克, role_风系铺场</x:v>
      </x:c>
      <x:c r="M53" s="38" t="str">
        <x:v>Deadly</x:v>
      </x:c>
      <x:c r="N53" s="38" t="str">
        <x:v>pal_052</x:v>
      </x:c>
      <x:c r="O53" s="38" t="str">
        <x:v>笑面山猫</x:v>
      </x:c>
      <x:c r="P53" s="38" t="str">
        <x:v>https://bazaar-builds.net/db/items/grenade.html</x:v>
      </x:c>
      <x:c r="Q53" s="38" t="str">
        <x:v>deal 50 / 100 / 150 / 200 damage</x:v>
      </x:c>
      <x:c r="R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n">
        <x:v>10</x:v>
      </x:c>
      <x:c r="L54" s="38" t="str">
        <x:v>night_base, elem_火, elem_水, elem_草, elem_雷, elem_地, elem_龙, elem_无, role_召唤, role_风系铺场</x:v>
      </x:c>
      <x:c r="M54" s="38" t="str">
        <x:v>Deadly</x:v>
      </x:c>
      <x:c r="N54" s="38" t="str">
        <x:v>pal_053</x:v>
      </x:c>
      <x:c r="O54" s="38" t="str">
        <x:v>霜尾雪貂</x:v>
      </x:c>
      <x:c r="P54" s="38" t="str">
        <x:v>https://bazaar-builds.net/db/items/handaxe.html</x:v>
      </x:c>
      <x:c r="Q54" s="38" t="str">
        <x:v>deal 20 / 40 / 80 / 160 damage your weapons have +5 / 10 / 15 / 20 damage.</x:v>
      </x:c>
      <x:c r="R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n">
        <x:v>10</x:v>
      </x:c>
      <x:c r="L55" s="38" t="str">
        <x:v>night_base, elem_火, elem_水, elem_雷, elem_冰, elem_地, elem_暗, elem_龙, role_坦克, role_控制</x:v>
      </x:c>
      <x:c r="M55" s="38" t="str">
        <x:v>Obsidian</x:v>
      </x:c>
      <x:c r="N55" s="38" t="str">
        <x:v>pal_054</x:v>
      </x:c>
      <x:c r="O55" s="38" t="str">
        <x:v>白眉雪猿</x:v>
      </x:c>
      <x:c r="P55" s="38" t="str">
        <x:v>https://bazaar-builds.net/db/items/harpoon.html</x:v>
      </x:c>
      <x:c r="Q55" s="38" t="str">
        <x:v>destroy a small item</x:v>
      </x:c>
      <x:c r="R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n">
        <x:v>10</x:v>
      </x:c>
      <x:c r="L56" s="38" t="str">
        <x:v>night_base, elem_火, elem_水, elem_草, elem_地, elem_暗, role_召唤, role_治疗, role_经济, tier_pT3</x:v>
      </x:c>
      <x:c r="M56" s="38" t="str">
        <x:v>Turbo</x:v>
      </x:c>
      <x:c r="N56" s="38" t="str">
        <x:v>pal_055</x:v>
      </x:c>
      <x:c r="O56" s="38" t="str">
        <x:v>寒风幼螭</x:v>
      </x:c>
      <x:c r="P56" s="38" t="str">
        <x:v>https://bazaar-builds.net/db/items/holsters.html</x:v>
      </x:c>
      <x:c r="Q56" s="38" t="str">
        <x:v>the first time you use an item each fight, haste your small items for 1 / 2 / 3 seconds.</x:v>
      </x:c>
      <x:c r="R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n">
        <x:v>10</x:v>
      </x:c>
      <x:c r="L57" s="38" t="str">
        <x:v>night_base, elem_火, elem_水, elem_草, elem_雷, elem_地, elem_暗, role_召唤, role_召唤铺场, role_风系铺场</x:v>
      </x:c>
      <x:c r="M57" s="38" t="str">
        <x:v>Deadly</x:v>
      </x:c>
      <x:c r="N57" s="38" t="str">
        <x:v>pal_056</x:v>
      </x:c>
      <x:c r="O57" s="38" t="str">
        <x:v>震角雷牛</x:v>
      </x:c>
      <x:c r="P57" s="38" t="str">
        <x:v>https://bazaar-builds.net/db/items/honing-steel.html</x:v>
      </x:c>
      <x:c r="Q57" s="38" t="str">
        <x:v>your leftmost and rightmost weapons gain +5 / 10 / 15 / 20 damage for the fight</x:v>
      </x:c>
      <x:c r="R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n">
        <x:v>10</x:v>
      </x:c>
      <x:c r="L58" s="38" t="str">
        <x:v>night_base, elem_火, elem_水, elem_草, elem_雷, elem_地, elem_无, role_召唤, role_召唤铺场, role_抗压承伤</x:v>
      </x:c>
      <x:c r="M58" s="38" t="str">
        <x:v>Icy</x:v>
      </x:c>
      <x:c r="N58" s="38" t="str">
        <x:v>pal_057</x:v>
      </x:c>
      <x:c r="O58" s="38" t="str">
        <x:v>吹雪银狐</x:v>
      </x:c>
      <x:c r="P58" s="38" t="str">
        <x:v>https://bazaar-builds.net/db/items/ice-pick.html</x:v>
      </x:c>
      <x:c r="Q58" s="38" t="str">
        <x:v>deal 25 damage freeze an item for 1 second when you freeze, this gains 15 / 30 / 45 damage for the fight.</x:v>
      </x:c>
      <x:c r="R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n">
        <x:v>10</x:v>
      </x:c>
      <x:c r="L59" s="38" t="str">
        <x:v>elem_火, elem_水, elem_草, elem_雷, elem_冰, elem_地, elem_暗, elem_龙, role_机动压制, role_抗压承伤</x:v>
      </x:c>
      <x:c r="M59" s="38" t="str">
        <x:v>Icy</x:v>
      </x:c>
      <x:c r="N59" s="38" t="str">
        <x:v>pal_058</x:v>
      </x:c>
      <x:c r="O59" s="38" t="str">
        <x:v>丹角火麟</x:v>
      </x:c>
      <x:c r="P59" s="38" t="str">
        <x:v>https://bazaar-builds.net/db/items/iceberg.html</x:v>
      </x:c>
      <x:c r="Q59" s="38" t="str">
        <x:v>when an enemy uses an item, freeze it for 1 second.</x:v>
      </x:c>
      <x:c r="R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n">
        <x:v>10</x:v>
      </x:c>
      <x:c r="L60" s="38" t="str">
        <x:v>night_base, elem_火, elem_水, elem_草, elem_暗, elem_龙, role_召唤, role_治疗, elite_high, tier_pT2</x:v>
      </x:c>
      <x:c r="M60" s="38" t="str">
        <x:v>Icy</x:v>
      </x:c>
      <x:c r="N60" s="38" t="str">
        <x:v>pal_059</x:v>
      </x:c>
      <x:c r="O60" s="38" t="str">
        <x:v>冰角白鹿</x:v>
      </x:c>
      <x:c r="P60" s="38" t="str">
        <x:v>https://bazaar-builds.net/db/items/illusoray.html</x:v>
      </x:c>
      <x:c r="Q60" s="38" t="str">
        <x:v>slow an item for 1 / 2 / 3 / 4 seconds for each adjacent friend or ray, this has +1 multicast.</x:v>
      </x:c>
      <x:c r="R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n">
        <x:v>10</x:v>
      </x:c>
      <x:c r="L61" s="38" t="str">
        <x:v>night_base, elem_火, elem_水, elem_草, elem_雷, elem_地, elem_暗, role_召唤, role_机动, role_风系铺场</x:v>
      </x:c>
      <x:c r="M61" s="38" t="str">
        <x:v>Fiery</x:v>
      </x:c>
      <x:c r="N61" s="38" t="str">
        <x:v>pal_060</x:v>
      </x:c>
      <x:c r="O61" s="38" t="str">
        <x:v>霹雳战獒</x:v>
      </x:c>
      <x:c r="P61" s="38" t="str">
        <x:v>https://bazaar-builds.net/db/items/incendiary-rounds.html</x:v>
      </x:c>
      <x:c r="Q61" s="38" t="str">
        <x:v>when you use an adjacent item, burn 1 / 2 / 3.</x:v>
      </x:c>
      <x:c r="R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n">
        <x:v>10</x:v>
      </x:c>
      <x:c r="L62" s="38" t="str">
        <x:v>night_base, elem_火, elem_水, elem_暗, role_召唤, role_治疗, role_输出, elite_high, tier_pT1, tier_pT3</x:v>
      </x:c>
      <x:c r="M62" s="38" t="str">
        <x:v>Icy</x:v>
      </x:c>
      <x:c r="N62" s="38" t="str">
        <x:v>pal_061</x:v>
      </x:c>
      <x:c r="O62" s="38" t="str">
        <x:v>苍焰赤豺</x:v>
      </x:c>
      <x:c r="P62" s="38" t="str">
        <x:v>https://bazaar-builds.net/db/items/integrated-hud.html</x:v>
      </x:c>
      <x:c r="Q62" s="38" t="str">
        <x:v>the item to the right of this has +20 / 30 / 40% crit chance. when you crit with the item to the right of this, slow an item for 1 second.</x:v>
      </x:c>
      <x:c r="R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n">
        <x:v>10</x:v>
      </x:c>
      <x:c r="L63" s="38" t="str">
        <x:v>night_base, elem_火, elem_水, elem_冰, elem_地, elem_无, role_坦克, role_控制, role_治疗, role_经济</x:v>
      </x:c>
      <x:c r="M63" s="38" t="str">
        <x:v>Turbo</x:v>
      </x:c>
      <x:c r="N63" s="38" t="str">
        <x:v>pal_062</x:v>
      </x:c>
      <x:c r="O63" s="38" t="str">
        <x:v>雷纹巨猿</x:v>
      </x:c>
      <x:c r="P63" s="38" t="str">
        <x:v>https://bazaar-builds.net/db/items/javelin.html</x:v>
      </x:c>
      <x:c r="Q63" s="38" t="str">
        <x:v>deal 50 / 100 / 200 damage haste your other items for 1 / 2 / 3 seconds.</x:v>
      </x:c>
      <x:c r="R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n">
        <x:v>10</x:v>
      </x:c>
      <x:c r="L64" s="38" t="str">
        <x:v>night_base, elem_火, elem_水, elem_暗, elem_龙, role_召唤, role_治疗, role_经济, tier_pT2, role_重甲抗压</x:v>
      </x:c>
      <x:c r="M64" s="38" t="str">
        <x:v>Toxic</x:v>
      </x:c>
      <x:c r="N64" s="38" t="str">
        <x:v>pal_063</x:v>
      </x:c>
      <x:c r="O64" s="38" t="str">
        <x:v>蜃雾白鹿</x:v>
      </x:c>
      <x:c r="P64" s="38" t="str">
        <x:v>https://bazaar-builds.net/db/items/jellyfish.html</x:v>
      </x:c>
      <x:c r="Q64" s="38" t="str">
        <x:v>poison 3 / 6 / 9 / 12 when you use an adjacent aquatic item, haste this for 1 / 2 / 3 / 4 seconds.</x:v>
      </x:c>
      <x:c r="R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n">
        <x:v>10</x:v>
      </x:c>
      <x:c r="L65" s="38" t="str">
        <x:v>night_base, elem_火, elem_水, elem_草, elem_雷, elem_冰, elem_无, role_机动压制, role_远点压制, role_风系牵制</x:v>
      </x:c>
      <x:c r="M65" s="38" t="str">
        <x:v>Turbo</x:v>
      </x:c>
      <x:c r="N65" s="38" t="str">
        <x:v>pal_064</x:v>
      </x:c>
      <x:c r="O65" s="38" t="str">
        <x:v>翠冠花螭</x:v>
      </x:c>
      <x:c r="P65" s="38" t="str">
        <x:v>https://bazaar-builds.net/db/items/jetbike.html</x:v>
      </x:c>
      <x:c r="Q65" s="38" t="str">
        <x:v>deal 200 / 400 / 800 damage when you use an adjacent item, it and this start flying when you use another flying item, charge this 1 second.</x:v>
      </x:c>
      <x:c r="R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n">
        <x:v>10</x:v>
      </x:c>
      <x:c r="L66" s="38" t="str">
        <x:v>night_base, elem_火, elem_水, elem_草, elem_雷, elem_地, elem_无, role_召唤, role_治疗, elite_high</x:v>
      </x:c>
      <x:c r="M66" s="38" t="str">
        <x:v>Icy</x:v>
      </x:c>
      <x:c r="N66" s="38" t="str">
        <x:v>pal_065</x:v>
      </x:c>
      <x:c r="O66" s="38" t="str">
        <x:v>霆角龙犀</x:v>
      </x:c>
      <x:c r="P66" s="38" t="str">
        <x:v>https://bazaar-builds.net/db/items/jitte.html</x:v>
      </x:c>
      <x:c r="Q66" s="38" t="str">
        <x:v>deal 20 damage slow an item for 1 / 2 / 3 seconds when you slow, this gains 10 / 20 / 30 damage for the fight.</x:v>
      </x:c>
      <x:c r="R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n">
        <x:v>10</x:v>
      </x:c>
      <x:c r="L67" s="38" t="str">
        <x:v>night_base, elem_火, elem_水, elem_雷, elem_冰, elem_地, elem_龙, elem_无, role_控制, role_风系铺场</x:v>
      </x:c>
      <x:c r="M67" s="38" t="str">
        <x:v>Deadly</x:v>
      </x:c>
      <x:c r="N67" s="38" t="str">
        <x:v>pal_066</x:v>
      </x:c>
      <x:c r="O67" s="38" t="str">
        <x:v>浪鳞水蛇</x:v>
      </x:c>
      <x:c r="P67" s="38" t="str">
        <x:v>https://bazaar-builds.net/db/items/katana.html</x:v>
      </x:c>
      <x:c r="Q67" s="38" t="str">
        <x:v>deal 8 / 16 / 32 / 64 damage</x:v>
      </x:c>
      <x:c r="R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n">
        <x:v>10</x:v>
      </x:c>
      <x:c r="L68" s="38" t="str">
        <x:v>night_base, elem_火, elem_水, elem_草, elem_雷, elem_地, elem_暗, role_召唤, role_输出, tier_pT3</x:v>
      </x:c>
      <x:c r="M68" s="38" t="str">
        <x:v>Deadly</x:v>
      </x:c>
      <x:c r="N68" s="38" t="str">
        <x:v>pal_067</x:v>
      </x:c>
      <x:c r="O68" s="38" t="str">
        <x:v>沙鳞巨蟒</x:v>
      </x:c>
      <x:c r="P68" s="38" t="str">
        <x:v>https://bazaar-builds.net/db/items/korxena-crest.html</x:v>
      </x:c>
      <x:c r="Q68" s="38" t="str">
        <x:v>your items have +15 / 25 / 35% crit chance.</x:v>
      </x:c>
      <x:c r="R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n">
        <x:v>10</x:v>
      </x:c>
      <x:c r="L69" s="38" t="str">
        <x:v>night_base, elem_火, elem_水, elem_草, elem_无, role_召唤, role_治疗, role_输出, elite_high, tier_pT1</x:v>
      </x:c>
      <x:c r="M69" s="38" t="str">
        <x:v>Icy</x:v>
      </x:c>
      <x:c r="N69" s="38" t="str">
        <x:v>pal_068</x:v>
      </x:c>
      <x:c r="O69" s="38" t="str">
        <x:v>食梦黑貘</x:v>
      </x:c>
      <x:c r="P69" s="38" t="str">
        <x:v>https://bazaar-builds.net/db/items/kusarigama.html</x:v>
      </x:c>
      <x:c r="Q69" s="38" t="str">
        <x:v>deal 4 / 8 / 12 damage when you slow or crit, this and adjacent weapons gain +4 / 8 / 12 damage for the fight.</x:v>
      </x:c>
      <x:c r="R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n">
        <x:v>10</x:v>
      </x:c>
      <x:c r="L70" s="38" t="str">
        <x:v>night_base, elem_火, elem_水, elem_雷, elem_冰, elem_地, elem_暗, elem_无, role_控制, role_风系铺场</x:v>
      </x:c>
      <x:c r="M70" s="38" t="str">
        <x:v>Deadly</x:v>
      </x:c>
      <x:c r="N70" s="38" t="str">
        <x:v>pal_069</x:v>
      </x:c>
      <x:c r="O70" s="38" t="str">
        <x:v>碎岩巨龟</x:v>
      </x:c>
      <x:c r="P70" s="38" t="str">
        <x:v>https://bazaar-builds.net/db/items/langxian.html</x:v>
      </x:c>
      <x:c r="Q70" s="38" t="str">
        <x:v>deal 40 damage this has +40 / 60 / 80 / 100 damage for each fight you won with this.</x:v>
      </x:c>
      <x:c r="R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n">
        <x:v>9</x:v>
      </x:c>
      <x:c r="L71" s="38" t="str">
        <x:v>night_base, elem_火, elem_水, elem_冰, elem_暗, elem_龙, role_控制, special_merchant, role_火系压制</x:v>
      </x:c>
      <x:c r="M71" s="38" t="str">
        <x:v>Restorative</x:v>
      </x:c>
      <x:c r="N71" s="38" t="str">
        <x:v>pal_070</x:v>
      </x:c>
      <x:c r="O71" s="38" t="str">
        <x:v>猫翼夜蝠</x:v>
      </x:c>
      <x:c r="P71" s="38" t="str">
        <x:v>https://bazaar-builds.net/db/items/life-preserver.html</x:v>
      </x:c>
      <x:c r="Q71" s="38" t="str">
        <x:v>shield 10 / 20 / 40 / 80 the first time you would be defeated each fight, heal 200 / 400 / 800 / 1600.</x:v>
      </x:c>
      <x:c r="R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n">
        <x:v>10</x:v>
      </x:c>
      <x:c r="L72" s="38" t="str">
        <x:v>night_base, elem_火, elem_水, elem_草, elem_雷, elem_地, elem_暗, role_召唤, role_机动, role_召唤铺场</x:v>
      </x:c>
      <x:c r="M72" s="38" t="str">
        <x:v>Fiery</x:v>
      </x:c>
      <x:c r="N72" s="38" t="str">
        <x:v>pal_071</x:v>
      </x:c>
      <x:c r="O72" s="38" t="str">
        <x:v>甘露壁虎</x:v>
      </x:c>
      <x:c r="P72" s="38" t="str">
        <x:v>https://bazaar-builds.net/db/items/lighter.html</x:v>
      </x:c>
      <x:c r="Q72" s="38" t="str">
        <x:v>burn 3 / 5 / 7 / 9</x:v>
      </x:c>
      <x:c r="R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n">
        <x:v>10</x:v>
      </x:c>
      <x:c r="L73" s="38" t="str">
        <x:v>night_base, elem_火, elem_水, elem_草, elem_冰, elem_暗, elem_龙, role_治疗, role_机动, elite_high</x:v>
      </x:c>
      <x:c r="M73" s="38" t="str">
        <x:v>Fiery</x:v>
      </x:c>
      <x:c r="N73" s="38" t="str">
        <x:v>pal_072</x:v>
      </x:c>
      <x:c r="O73" s="38" t="str">
        <x:v>赤巢火蚁</x:v>
      </x:c>
      <x:c r="P73" s="38" t="str">
        <x:v>https://bazaar-builds.net/db/items/lighthouse.html</x:v>
      </x:c>
      <x:c r="Q73" s="38" t="str">
        <x:v>slow 1 → 2 item(s) for 2 seconds when you slow, burn 6 → 9.</x:v>
      </x:c>
      <x:c r="R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n">
        <x:v>10</x:v>
      </x:c>
      <x:c r="L74" s="38" t="str">
        <x:v>night_base, elem_火, elem_水, elem_雷, elem_冰, elem_地, elem_暗, elem_无, role_控制, role_风系铺场</x:v>
      </x:c>
      <x:c r="M74" s="38" t="str">
        <x:v>Golden</x:v>
      </x:c>
      <x:c r="N74" s="38" t="str">
        <x:v>pal_073</x:v>
      </x:c>
      <x:c r="O74" s="38" t="str">
        <x:v>烽翼火龙</x:v>
      </x:c>
      <x:c r="P74" s="38" t="str">
        <x:v>https://bazaar-builds.net/db/items/lockbox.html</x:v>
      </x:c>
      <x:c r="Q74" s="38" t="str">
        <x:v>when you win a fight, this permanently gains 3 / 6 / 9 value. your weapons have +damage equal to to this item's value.</x:v>
      </x:c>
      <x:c r="R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n">
        <x:v>10</x:v>
      </x:c>
      <x:c r="L75" s="38" t="str">
        <x:v>night_base, elem_火, elem_龙, elem_无, role_召唤, role_坦克, role_治疗, role_机动, elite_high, tier_pT2</x:v>
      </x:c>
      <x:c r="M75" s="38" t="str">
        <x:v>Fiery</x:v>
      </x:c>
      <x:c r="N75" s="38" t="str">
        <x:v>pal_074</x:v>
      </x:c>
      <x:c r="O75" s="38" t="str">
        <x:v>霜翼冥龙</x:v>
      </x:c>
      <x:c r="P75" s="38" t="str">
        <x:v>https://bazaar-builds.net/db/items/mantis-shrimp.html</x:v>
      </x:c>
      <x:c r="Q75" s="38" t="str">
        <x:v>deal 20 damage burn 2 when you slow, this gains +10 / 15 / 20 / 25 damage and +2 / 3 / 4 / 5 burn for the fight.</x:v>
      </x:c>
      <x:c r="R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n">
        <x:v>10</x:v>
      </x:c>
      <x:c r="L76" s="38" t="str">
        <x:v>night_base, elem_火, elem_水, elem_冰, elem_龙, elem_无, role_控制, role_输出, tier_pT2, role_远点压制</x:v>
      </x:c>
      <x:c r="M76" s="38" t="str">
        <x:v>Deadly</x:v>
      </x:c>
      <x:c r="N76" s="38" t="str">
        <x:v>pal_075</x:v>
      </x:c>
      <x:c r="O76" s="38" t="str">
        <x:v>赤刃螳螂</x:v>
      </x:c>
      <x:c r="P76" s="38" t="str">
        <x:v>https://bazaar-builds.net/db/items/marlon.html</x:v>
      </x:c>
      <x:c r="Q76" s="38" t="str">
        <x:v>deal 15 damage an item starts flying. when you use a flying item, this gains +20 / 30 / 40 / 50% crit chance for the fight.</x:v>
      </x:c>
      <x:c r="R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n">
        <x:v>10</x:v>
      </x:c>
      <x:c r="L77" s="38" t="str">
        <x:v>night_base, elem_火, elem_暗, elem_龙, role_召唤, role_治疗, role_经济, special_merchant, elite_high, tier_pT2</x:v>
      </x:c>
      <x:c r="M77" s="38" t="str">
        <x:v>Icy</x:v>
      </x:c>
      <x:c r="N77" s="38" t="str">
        <x:v>pal_076</x:v>
      </x:c>
      <x:c r="O77" s="38" t="str">
        <x:v>迅雷金雕</x:v>
      </x:c>
      <x:c r="P77" s="38" t="str">
        <x:v>https://bazaar-builds.net/db/items/mr-richardson.html</x:v>
      </x:c>
      <x:c r="Q77" s="38" t="str">
        <x:v>shield 30 when you haste or slow, this gains +5 / 10 / 15 shield for the fight.</x:v>
      </x:c>
      <x:c r="R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n">
        <x:v>10</x:v>
      </x:c>
      <x:c r="L78" s="38" t="str">
        <x:v>night_base, elem_火, elem_水, elem_雷, elem_冰, elem_地, elem_无, role_坦克, role_控制, role_机动</x:v>
      </x:c>
      <x:c r="M78" s="38" t="str">
        <x:v>Fiery</x:v>
      </x:c>
      <x:c r="N78" s="38" t="str">
        <x:v>pal_077</x:v>
      </x:c>
      <x:c r="O78" s="38" t="str">
        <x:v>燧火黑乌</x:v>
      </x:c>
      <x:c r="P78" s="38" t="str">
        <x:v>https://bazaar-builds.net/db/items/musket.html</x:v>
      </x:c>
      <x:c r="Q78" s="38" t="str">
        <x:v>deal 100 / 150 / 300 damage when you burn with an adjacent item, reload this and it gains +25 / 50 / 75 damage for the fight.</x:v>
      </x:c>
      <x:c r="R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n">
        <x:v>10</x:v>
      </x:c>
      <x:c r="L79" s="38" t="str">
        <x:v>night_base, elem_火, elem_水, elem_草, elem_雷, elem_地, elem_龙, elem_无, role_召唤, tier_pT2</x:v>
      </x:c>
      <x:c r="M79" s="38" t="str">
        <x:v>Deadly</x:v>
      </x:c>
      <x:c r="N79" s="38" t="str">
        <x:v>pal_078</x:v>
      </x:c>
      <x:c r="O79" s="38" t="str">
        <x:v>幽泉灵猫</x:v>
      </x:c>
      <x:c r="P79" s="38" t="str">
        <x:v>https://bazaar-builds.net/db/items/narwhal.html</x:v>
      </x:c>
      <x:c r="Q79" s="38" t="str">
        <x:v>deal 5 / 10 / 20 / 40 damage</x:v>
      </x:c>
      <x:c r="R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n">
        <x:v>9</x:v>
      </x:c>
      <x:c r="L80" s="38" t="str">
        <x:v>night_base, elem_火, elem_水, elem_草, elem_地, elem_暗, role_召唤, role_坦克, special_merchant</x:v>
      </x:c>
      <x:c r="M80" s="38" t="str">
        <x:v>Shielded</x:v>
      </x:c>
      <x:c r="N80" s="38" t="str">
        <x:v>pal_079</x:v>
      </x:c>
      <x:c r="O80" s="38" t="str">
        <x:v>焰尾山狐</x:v>
      </x:c>
      <x:c r="P80" s="38" t="str">
        <x:v>https://bazaar-builds.net/db/items/nesting-doll.html</x:v>
      </x:c>
      <x:c r="Q80" s="38" t="str">
        <x:v>shield equal to this item's ammo at the start of each day, this gains 1 / 2 / 3 max ammo.</x:v>
      </x:c>
      <x:c r="R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n">
        <x:v>10</x:v>
      </x:c>
      <x:c r="L81" s="38" t="str">
        <x:v>night_base, elem_火, elem_水, elem_龙, elem_无, role_召唤, role_治疗, role_经济, elite_high, tier_pT2</x:v>
      </x:c>
      <x:c r="M81" s="38" t="str">
        <x:v>Icy</x:v>
      </x:c>
      <x:c r="N81" s="38" t="str">
        <x:v>pal_080</x:v>
      </x:c>
      <x:c r="O81" s="38" t="str">
        <x:v>踏春白兔</x:v>
      </x:c>
      <x:c r="P81" s="38" t="str">
        <x:v>https://bazaar-builds.net/db/items/old-saltclaw.html</x:v>
      </x:c>
      <x:c r="Q81" s="38" t="str">
        <x:v>deal 30 damage when you haste or slow, this gains +5 / 10 / 15 damage for the fight.</x:v>
      </x:c>
      <x:c r="R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n">
        <x:v>10</x:v>
      </x:c>
      <x:c r="L82" s="38" t="str">
        <x:v>night_base, elem_火, elem_水, elem_冰, elem_暗, role_控制, role_输出, role_机动, tier_pT1, tier_pT3</x:v>
      </x:c>
      <x:c r="M82" s="38" t="str">
        <x:v>Fiery</x:v>
      </x:c>
      <x:c r="N82" s="38" t="str">
        <x:v>pal_081</x:v>
      </x:c>
      <x:c r="O82" s="38" t="str">
        <x:v>药香花鹿</x:v>
      </x:c>
      <x:c r="P82" s="38" t="str">
        <x:v>https://bazaar-builds.net/db/items/oni-mask.html</x:v>
      </x:c>
      <x:c r="Q82" s="38" t="str">
        <x:v>burn 6 / 9 / 12 when you crit, your burn items gain +4 / 6 / 8 burn for the fight.</x:v>
      </x:c>
      <x:c r="R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n">
        <x:v>10</x:v>
      </x:c>
      <x:c r="L83" s="38" t="str">
        <x:v>night_base, elem_火, elem_水, elem_雷, elem_冰, elem_地, elem_暗, elem_无, role_控制, tier_pT2</x:v>
      </x:c>
      <x:c r="M83" s="38" t="str">
        <x:v>Golden</x:v>
      </x:c>
      <x:c r="N83" s="38" t="str">
        <x:v>pal_082</x:v>
      </x:c>
      <x:c r="O83" s="38" t="str">
        <x:v>冰丝巨蛾</x:v>
      </x:c>
      <x:c r="P83" s="38" t="str">
        <x:v>https://bazaar-builds.net/db/items/orange-julian.html</x:v>
      </x:c>
      <x:c r="Q83" s="38" t="str">
        <x:v>your weapons gain +damage equal to half the gold you have gained this run.</x:v>
      </x:c>
      <x:c r="R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n">
        <x:v>9</x:v>
      </x:c>
      <x:c r="L84" s="38" t="str">
        <x:v>night_base, elem_火, elem_水, elem_草, elem_地, elem_暗, elem_龙, role_召唤, special_merchant</x:v>
      </x:c>
      <x:c r="M84" s="38" t="str">
        <x:v>Turbo</x:v>
      </x:c>
      <x:c r="N84" s="38" t="str">
        <x:v>pal_083</x:v>
      </x:c>
      <x:c r="O84" s="38" t="str">
        <x:v>云鳞幼螭</x:v>
      </x:c>
      <x:c r="P84" s="38" t="str">
        <x:v>https://bazaar-builds.net/db/items/pearl.html</x:v>
      </x:c>
      <x:c r="Q84" s="38" t="str">
        <x:v>shield 10 / 20 / 30 / 40 when you use another aquatic item, charge this 1 second.</x:v>
      </x:c>
      <x:c r="R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n">
        <x:v>10</x:v>
      </x:c>
      <x:c r="L85" s="38" t="str">
        <x:v>night_base, elem_火, elem_水, elem_草, elem_地, elem_暗, role_召唤, role_机动, tier_pT2, role_远点压制</x:v>
      </x:c>
      <x:c r="M85" s="38" t="str">
        <x:v>Fiery</x:v>
      </x:c>
      <x:c r="N85" s="38" t="str">
        <x:v>pal_084</x:v>
      </x:c>
      <x:c r="O85" s="38" t="str">
        <x:v>沧浪青蛟</x:v>
      </x:c>
      <x:c r="P85" s="38" t="str">
        <x:v>https://bazaar-builds.net/db/items/pesky-pete.html</x:v>
      </x:c>
      <x:c r="Q85" s="38" t="str">
        <x:v>burn 2 this starts flying for each adjacent friend or property, this has +1 multicast.</x:v>
      </x:c>
      <x:c r="R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n">
        <x:v>10</x:v>
      </x:c>
      <x:c r="L86" s="38" t="str">
        <x:v>night_base, elem_火, elem_水, elem_草, elem_雷, elem_地, elem_无, role_召唤, role_输出, tier_pT2</x:v>
      </x:c>
      <x:c r="M86" s="38" t="str">
        <x:v>Deadly</x:v>
      </x:c>
      <x:c r="N86" s="38" t="str">
        <x:v>pal_085</x:v>
      </x:c>
      <x:c r="O86" s="38" t="str">
        <x:v>涌泉水獭</x:v>
      </x:c>
      <x:c r="P86" s="38" t="str">
        <x:v>https://bazaar-builds.net/db/items/pet-rock.html</x:v>
      </x:c>
      <x:c r="Q86" s="38" t="str">
        <x:v>deal 10 / 20 / 40 / 80 damage if this is your only friend, your items have +10 / 15 / 20 / 25% crit chance.</x:v>
      </x:c>
      <x:c r="R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n">
        <x:v>10</x:v>
      </x:c>
      <x:c r="L87" s="38" t="str">
        <x:v>night_base, elem_火, elem_水, elem_雷, elem_冰, elem_地, elem_暗, role_控制, role_治疗, role_经济</x:v>
      </x:c>
      <x:c r="M87" s="38" t="str">
        <x:v>Turbo</x:v>
      </x:c>
      <x:c r="N87" s="38" t="str">
        <x:v>pal_086</x:v>
      </x:c>
      <x:c r="O87" s="38" t="str">
        <x:v>赤炎狻猊</x:v>
      </x:c>
      <x:c r="P87" s="38" t="str">
        <x:v>https://bazaar-builds.net/db/items/piano.html</x:v>
      </x:c>
      <x:c r="Q87" s="38" t="str">
        <x:v>when you use a friend, haste it for 1 → 2 seconds. adjacent items are friends.</x:v>
      </x:c>
      <x:c r="R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n">
        <x:v>10</x:v>
      </x:c>
      <x:c r="L88" s="38" t="str">
        <x:v>night_base, elem_火, elem_水, elem_草, elem_雷, elem_地, elem_龙, elem_无, role_召唤, tier_pT2</x:v>
      </x:c>
      <x:c r="M88" s="38" t="str">
        <x:v>Turbo</x:v>
      </x:c>
      <x:c r="N88" s="38" t="str">
        <x:v>pal_087</x:v>
      </x:c>
      <x:c r="O88" s="38" t="str">
        <x:v>碧海青蛟</x:v>
      </x:c>
      <x:c r="P88" s="38" t="str">
        <x:v>https://bazaar-builds.net/db/items/piranha.html</x:v>
      </x:c>
      <x:c r="Q88" s="38" t="str">
        <x:v>deal 15 damage when you use another friend or food, charge this 1 second.</x:v>
      </x:c>
      <x:c r="R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n">
        <x:v>10</x:v>
      </x:c>
      <x:c r="L89" s="38" t="str">
        <x:v>night_base, elem_火, elem_水, elem_雷, elem_冰, elem_地, elem_龙, elem_无, role_坦克, role_控制</x:v>
      </x:c>
      <x:c r="M89" s="38" t="str">
        <x:v>Deadly</x:v>
      </x:c>
      <x:c r="N89" s="38" t="str">
        <x:v>pal_088</x:v>
      </x:c>
      <x:c r="O89" s="38" t="str">
        <x:v>冰棘豪猪</x:v>
      </x:c>
      <x:c r="P89" s="38" t="str">
        <x:v>https://bazaar-builds.net/db/items/pistol-sword.html</x:v>
      </x:c>
      <x:c r="Q89" s="38" t="str">
        <x:v>deal 15 → 30 damage when you use an ammo item, deal 15 → 30 damage.</x:v>
      </x:c>
      <x:c r="R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n">
        <x:v>10</x:v>
      </x:c>
      <x:c r="L90" s="38" t="str">
        <x:v>night_base, elem_火, elem_水, elem_草, elem_雷, elem_地, elem_暗, role_召唤, role_坦克, role_机动</x:v>
      </x:c>
      <x:c r="M90" s="38" t="str">
        <x:v>Fiery</x:v>
      </x:c>
      <x:c r="N90" s="38" t="str">
        <x:v>pal_089</x:v>
      </x:c>
      <x:c r="O90" s="38" t="str">
        <x:v>狱火凶獒</x:v>
      </x:c>
      <x:c r="P90" s="38" t="str">
        <x:v>https://bazaar-builds.net/db/items/pop-snappers.html</x:v>
      </x:c>
      <x:c r="Q90" s="38" t="str">
        <x:v>burn 4 / 8 / 12 / 16</x:v>
      </x:c>
      <x:c r="R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n">
        <x:v>10</x:v>
      </x:c>
      <x:c r="L91" s="38" t="str">
        <x:v>night_base, elem_火, elem_水, elem_草, elem_冰, elem_地, elem_暗, elem_龙, role_坦克, role_机动压制</x:v>
      </x:c>
      <x:c r="M91" s="38" t="str">
        <x:v>Turbo</x:v>
      </x:c>
      <x:c r="N91" s="38" t="str">
        <x:v>pal_090</x:v>
      </x:c>
      <x:c r="O91" s="38" t="str">
        <x:v>三首火犬</x:v>
      </x:c>
      <x:c r="P91" s="38" t="str">
        <x:v>https://bazaar-builds.net/db/items/port.html</x:v>
      </x:c>
      <x:c r="Q91" s="38" t="str">
        <x:v>reload all your items 2 / 3 / 4 ammo and charge them 1 / 2 / 3 seconds at the start of each day, get a small ammo item from any hero.</x:v>
      </x:c>
      <x:c r="R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n">
        <x:v>10</x:v>
      </x:c>
      <x:c r="L92" s="38" t="str">
        <x:v>night_base, elem_火, elem_水, elem_草, elem_雷, elem_地, elem_暗, role_召唤, role_坦克, role_召唤铺场</x:v>
      </x:c>
      <x:c r="M92" s="38" t="str">
        <x:v>Deadly</x:v>
      </x:c>
      <x:c r="N92" s="38" t="str">
        <x:v>pal_091</x:v>
      </x:c>
      <x:c r="O92" s="38" t="str">
        <x:v>覆水龙龟</x:v>
      </x:c>
      <x:c r="P92" s="38" t="str">
        <x:v>https://bazaar-builds.net/db/items/powder-horn.html</x:v>
      </x:c>
      <x:c r="Q92" s="38" t="str">
        <x:v>reload the item to the right of this 1 / 2 / 3 / 4 ammo</x:v>
      </x:c>
      <x:c r="R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n">
        <x:v>10</x:v>
      </x:c>
      <x:c r="L93" s="38" t="str">
        <x:v>night_base, elem_火, elem_水, elem_雷, elem_冰, elem_地, elem_龙, elem_无, role_控制, role_机动</x:v>
      </x:c>
      <x:c r="M93" s="38" t="str">
        <x:v>Fiery</x:v>
      </x:c>
      <x:c r="N93" s="38" t="str">
        <x:v>pal_092</x:v>
      </x:c>
      <x:c r="O93" s="38" t="str">
        <x:v>雷泽青蛟</x:v>
      </x:c>
      <x:c r="P93" s="38" t="str">
        <x:v>https://bazaar-builds.net/db/items/powder-keg.html</x:v>
      </x:c>
      <x:c r="Q93" s="38" t="str">
        <x:v>deal damage equal to 30 → 40% of an enemy's max health and destroy this when you burn, charge this 2 seconds.</x:v>
      </x:c>
      <x:c r="R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n">
        <x:v>10</x:v>
      </x:c>
      <x:c r="L94" s="38" t="str">
        <x:v>night_base, elem_火, elem_水, elem_冰, elem_暗, elem_龙, role_治疗, role_经济, tier_pT2, role_重甲抗压</x:v>
      </x:c>
      <x:c r="M94" s="38" t="str">
        <x:v>Toxic</x:v>
      </x:c>
      <x:c r="N94" s="38" t="str">
        <x:v>pal_093</x:v>
      </x:c>
      <x:c r="O94" s="38" t="str">
        <x:v>连理双鹿</x:v>
      </x:c>
      <x:c r="P94" s="38" t="str">
        <x:v>https://bazaar-builds.net/db/items/pufferfish.html</x:v>
      </x:c>
      <x:c r="Q94" s="38" t="str">
        <x:v>poison 10 / 20 / 30 when you haste, charge this 2 seconds.</x:v>
      </x:c>
      <x:c r="R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n">
        <x:v>10</x:v>
      </x:c>
      <x:c r="L95" s="38" t="str">
        <x:v>night_base, elem_火, elem_水, elem_冰, elem_地, elem_暗, role_坦克, role_控制, role_输出, role_召唤铺场</x:v>
      </x:c>
      <x:c r="M95" s="38" t="str">
        <x:v>Deadly</x:v>
      </x:c>
      <x:c r="N95" s="38" t="str">
        <x:v>pal_094</x:v>
      </x:c>
      <x:c r="O95" s="38" t="str">
        <x:v>海棠水鹿</x:v>
      </x:c>
      <x:c r="P95" s="38" t="str">
        <x:v>https://bazaar-builds.net/db/items/ramrod.html</x:v>
      </x:c>
      <x:c r="Q95" s="38" t="str">
        <x:v>reload adjacent ammo items 1 / 2 / 3 / 4 ammo when you reload an item, it gains +10 / 20 / 30 / 40% crit chance for the fight</x:v>
      </x:c>
      <x:c r="R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n">
        <x:v>10</x:v>
      </x:c>
      <x:c r="L96" s="38" t="str">
        <x:v>night_base, elem_火, elem_水, elem_雷, elem_冰, elem_地, elem_无, role_坦克, role_控制, role_风系铺场</x:v>
      </x:c>
      <x:c r="M96" s="38" t="str">
        <x:v>Deadly</x:v>
      </x:c>
      <x:c r="N96" s="38" t="str">
        <x:v>pal_095</x:v>
      </x:c>
      <x:c r="O96" s="38" t="str">
        <x:v>百花灵鹿</x:v>
      </x:c>
      <x:c r="P96" s="38" t="str">
        <x:v>https://bazaar-builds.net/db/items/repeater.html</x:v>
      </x:c>
      <x:c r="Q96" s="38" t="str">
        <x:v>deal 30 damage when you use another ammo item, use this.</x:v>
      </x:c>
      <x:c r="R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n">
        <x:v>10</x:v>
      </x:c>
      <x:c r="L97" s="38" t="str">
        <x:v>night_base, elem_火, elem_水, elem_草, elem_雷, elem_地, elem_无, role_召唤, role_坦克, role_风系铺场</x:v>
      </x:c>
      <x:c r="M97" s="38" t="str">
        <x:v>Deadly</x:v>
      </x:c>
      <x:c r="N97" s="38" t="str">
        <x:v>pal_096</x:v>
      </x:c>
      <x:c r="O97" s="38" t="str">
        <x:v>熔岩巨兽</x:v>
      </x:c>
      <x:c r="P97" s="38" t="str">
        <x:v>https://bazaar-builds.net/db/items/revolver.html</x:v>
      </x:c>
      <x:c r="Q97" s="38" t="str">
        <x:v>deal 8 / 16 / 32 / 64 damage</x:v>
      </x:c>
      <x:c r="R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n">
        <x:v>10</x:v>
      </x:c>
      <x:c r="L98" s="38" t="str">
        <x:v>night_base, elem_火, elem_水, elem_雷, elem_冰, elem_地, elem_无, role_坦克, role_控制, role_风系铺场</x:v>
      </x:c>
      <x:c r="M98" s="38" t="str">
        <x:v>Deadly</x:v>
      </x:c>
      <x:c r="N98" s="38" t="str">
        <x:v>pal_097</x:v>
      </x:c>
      <x:c r="O98" s="38" t="str">
        <x:v>寒岩巨兽</x:v>
      </x:c>
      <x:c r="P98" s="38" t="str">
        <x:v>https://bazaar-builds.net/db/items/rifle.html</x:v>
      </x:c>
      <x:c r="Q98" s="38" t="str">
        <x:v>deal 20 / 40 / 60 / 80 damage this gains +20 / 40 / 60 / 80 damage for the fight</x:v>
      </x:c>
      <x:c r="R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n">
        <x:v>10</x:v>
      </x:c>
      <x:c r="L99" s="38" t="str">
        <x:v>night_base, elem_火, elem_水, elem_冰, elem_地, elem_暗, elem_龙, role_控制, role_治疗, role_风系牵制</x:v>
      </x:c>
      <x:c r="M99" s="38" t="str">
        <x:v>Turbo</x:v>
      </x:c>
      <x:c r="N99" s="38" t="str">
        <x:v>pal_098</x:v>
      </x:c>
      <x:c r="O99" s="38" t="str">
        <x:v>云顶巨驼</x:v>
      </x:c>
      <x:c r="P99" s="38" t="str">
        <x:v>https://bazaar-builds.net/db/items/rowboat.html</x:v>
      </x:c>
      <x:c r="Q99" s="38" t="str">
        <x:v>charge adjacent items 1 → 2 seconds if you have 7 or more unique types, this item's cooldown is reduced by 5 seconds.</x:v>
      </x:c>
      <x:c r="R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n">
        <x:v>10</x:v>
      </x:c>
      <x:c r="L100" s="38" t="str">
        <x:v>night_base, elem_火, elem_水, elem_冰, elem_龙, elem_无, role_治疗, role_输出, role_经济, role_重甲抗压</x:v>
      </x:c>
      <x:c r="M100" s="38" t="str">
        <x:v>Toxic</x:v>
      </x:c>
      <x:c r="N100" s="38" t="str">
        <x:v>pal_099</x:v>
      </x:c>
      <x:c r="O100" s="38" t="str">
        <x:v>冰峰巨驼</x:v>
      </x:c>
      <x:c r="P100" s="38" t="str">
        <x:v>https://bazaar-builds.net/db/items/scimitar-of-the-deep.html</x:v>
      </x:c>
      <x:c r="Q100" s="38" t="str">
        <x:v>deal 20 damage when you crit, poison equal to half this item's damage. when this is hasted, your poison items gain +3 / 6 / 9 poison for the fight.</x:v>
      </x:c>
      <x:c r="R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n">
        <x:v>9</x:v>
      </x:c>
      <x:c r="L101" s="38" t="str">
        <x:v>night_base, elem_火, elem_水, elem_草, elem_地, elem_暗, elem_龙, role_召唤, special_merchant</x:v>
      </x:c>
      <x:c r="M101" s="38" t="str">
        <x:v>Shielded</x:v>
      </x:c>
      <x:c r="N101" s="38" t="str">
        <x:v>pal_100</x:v>
      </x:c>
      <x:c r="O101" s="38" t="str">
        <x:v>青林巨象</x:v>
      </x:c>
      <x:c r="P101" s="38" t="str">
        <x:v>https://bazaar-builds.net/db/items/sea-shell.html</x:v>
      </x:c>
      <x:c r="Q101" s="38" t="str">
        <x:v>shield 10 / 15 / 20 / 25 for each aquatic item you have</x:v>
      </x:c>
      <x:c r="R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n">
        <x:v>10</x:v>
      </x:c>
      <x:c r="L102" s="38" t="str">
        <x:v>night_base, elem_火, elem_水, elem_草, elem_冰, elem_暗, elem_龙, role_治疗, role_经济, elite_high</x:v>
      </x:c>
      <x:c r="M102" s="38" t="str">
        <x:v>Icy</x:v>
      </x:c>
      <x:c r="N102" s="38" t="str">
        <x:v>pal_101</x:v>
      </x:c>
      <x:c r="O102" s="38" t="str">
        <x:v>白牙雪象</x:v>
      </x:c>
      <x:c r="P102" s="38" t="str">
        <x:v>https://bazaar-builds.net/db/items/seadog-s-saloon.html</x:v>
      </x:c>
      <x:c r="Q102" s="38" t="str">
        <x:v>haste an item for 2 seconds slow an item for 2 seconds this has +1 multicast for each friend you have.</x:v>
      </x:c>
      <x:c r="R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n">
        <x:v>10</x:v>
      </x:c>
      <x:c r="L103" s="38" t="str">
        <x:v>night_base, elem_火, elem_水, elem_冰, elem_地, elem_暗, role_控制, role_治疗, tier_pT2, role_风系牵制</x:v>
      </x:c>
      <x:c r="M103" s="38" t="str">
        <x:v>Turbo</x:v>
      </x:c>
      <x:c r="N103" s="38" t="str">
        <x:v>pal_102</x:v>
      </x:c>
      <x:c r="O103" s="38" t="str">
        <x:v>白绒雪猿</x:v>
      </x:c>
      <x:c r="P103" s="38" t="str">
        <x:v>https://bazaar-builds.net/db/items/seashadow.html</x:v>
      </x:c>
      <x:c r="Q103" s="38" t="str">
        <x:v>reduce the cooldown of your other items by 8% for the fight increase this item's cooldown by 4 / 3 / 2 seconds for the fight</x:v>
      </x:c>
      <x:c r="R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n">
        <x:v>10</x:v>
      </x:c>
      <x:c r="L104" s="38" t="str">
        <x:v>night_base, elem_火, elem_水, elem_草, elem_雷, elem_地, elem_暗, elem_龙, role_召唤, role_火系压制</x:v>
      </x:c>
      <x:c r="M104" s="38" t="str">
        <x:v>Restorative</x:v>
      </x:c>
      <x:c r="N104" s="38" t="str">
        <x:v>pal_103</x:v>
      </x:c>
      <x:c r="O104" s="38" t="str">
        <x:v>绿苔巨猿</x:v>
      </x:c>
      <x:c r="P104" s="38" t="str">
        <x:v>https://bazaar-builds.net/db/items/seaweed.html</x:v>
      </x:c>
      <x:c r="Q104" s="38" t="str">
        <x:v>heal 20 when you use an aquatic item, this gains +5 / 10 / 15 / 20 heal for the fight.</x:v>
      </x:c>
      <x:c r="R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n">
        <x:v>10</x:v>
      </x:c>
      <x:c r="L105" s="38" t="str">
        <x:v>night_base, elem_火, elem_水, elem_冰, elem_暗, elem_龙, role_控制, role_治疗, role_输出, role_经济</x:v>
      </x:c>
      <x:c r="M105" s="38" t="str">
        <x:v>Turbo</x:v>
      </x:c>
      <x:c r="N105" s="38" t="str">
        <x:v>pal_104</x:v>
      </x:c>
      <x:c r="O105" s="38" t="str">
        <x:v>铁甲巨兕</x:v>
      </x:c>
      <x:c r="P105" s="38" t="str">
        <x:v>https://bazaar-builds.net/db/items/sextant.html</x:v>
      </x:c>
      <x:c r="Q105" s="38" t="str">
        <x:v>when you crit, haste an item for 1 / 2 / 3 seconds. when you haste, an item gains +10% crit chance for the fight.</x:v>
      </x:c>
      <x:c r="R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n">
        <x:v>10</x:v>
      </x:c>
      <x:c r="L106" s="38" t="str">
        <x:v>night_base, elem_火, elem_水, elem_雷, elem_冰, elem_地, elem_龙, elem_无, role_控制, role_风系铺场</x:v>
      </x:c>
      <x:c r="M106" s="38" t="str">
        <x:v>Deadly</x:v>
      </x:c>
      <x:c r="N106" s="38" t="str">
        <x:v>pal_105</x:v>
      </x:c>
      <x:c r="O106" s="38" t="str">
        <x:v>云海白鹿</x:v>
      </x:c>
      <x:c r="P106" s="38" t="str">
        <x:v>https://bazaar-builds.net/db/items/sharkclaws.html</x:v>
      </x:c>
      <x:c r="Q106" s="38" t="str">
        <x:v>deal 10 / 20 / 30 / 40 damage your weapons gain +10 / 20 / 30 / 40 damage for the fight</x:v>
      </x:c>
      <x:c r="R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n">
        <x:v>10</x:v>
      </x:c>
      <x:c r="L107" s="38" t="str">
        <x:v>night_base, elem_火, elem_水, elem_冰, elem_龙, elem_无, role_治疗, role_经济, tier_pT2, role_重甲抗压</x:v>
      </x:c>
      <x:c r="M107" s="38" t="str">
        <x:v>Toxic</x:v>
      </x:c>
      <x:c r="N107" s="38" t="str">
        <x:v>pal_106</x:v>
      </x:c>
      <x:c r="O107" s="38" t="str">
        <x:v>夜幕巨蝠</x:v>
      </x:c>
      <x:c r="P107" s="38" t="str">
        <x:v>https://bazaar-builds.net/db/items/sharkray.html</x:v>
      </x:c>
      <x:c r="Q107" s="38" t="str">
        <x:v>deal 20 damage when you haste a friend, your friends gain +5 / 10 / 15 damage and 1 / 2 / 3 poison for the fight.</x:v>
      </x:c>
      <x:c r="R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n">
        <x:v>10</x:v>
      </x:c>
      <x:c r="L108" s="38" t="str">
        <x:v>elem_火, elem_水, elem_草, elem_雷, elem_冰, elem_地, elem_暗, elem_龙, role_机动压制, role_风系牵制</x:v>
      </x:c>
      <x:c r="M108" s="38" t="str">
        <x:v>Radiant</x:v>
      </x:c>
      <x:c r="N108" s="38" t="str">
        <x:v>pal_107</x:v>
      </x:c>
      <x:c r="O108" s="38" t="str">
        <x:v>天羽云螭</x:v>
      </x:c>
      <x:c r="P108" s="38" t="str">
        <x:v>https://bazaar-builds.net/db/items/shipwreck.html</x:v>
      </x:c>
      <x:c r="Q108" s="38" t="str">
        <x:v>your aquatic items have +1 multicast.</x:v>
      </x:c>
      <x:c r="R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n">
        <x:v>10</x:v>
      </x:c>
      <x:c r="L109" s="38" t="str">
        <x:v>night_base, elem_火, elem_水, elem_草, elem_雷, elem_地, elem_无, role_召唤, role_输出, tier_pT3</x:v>
      </x:c>
      <x:c r="M109" s="38" t="str">
        <x:v>Deadly</x:v>
      </x:c>
      <x:c r="N109" s="38" t="str">
        <x:v>pal_108</x:v>
      </x:c>
      <x:c r="O109" s="38" t="str">
        <x:v>焰羽赤雕</x:v>
      </x:c>
      <x:c r="P109" s="38" t="str">
        <x:v>https://bazaar-builds.net/db/items/shoe-blade.html</x:v>
      </x:c>
      <x:c r="Q109" s="38" t="str">
        <x:v>deal 25 / 50 / 100 / 200 damage this has +100% crit chance on its first use each fight.</x:v>
      </x:c>
      <x:c r="R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n">
        <x:v>10</x:v>
      </x:c>
      <x:c r="L110" s="38" t="str">
        <x:v>night_base, elem_火, elem_水, elem_草, elem_暗, role_召唤, role_坦克, role_治疗, role_经济, elite_high</x:v>
      </x:c>
      <x:c r="M110" s="38" t="str">
        <x:v>Icy</x:v>
      </x:c>
      <x:c r="N110" s="38" t="str">
        <x:v>pal_109</x:v>
      </x:c>
      <x:c r="O110" s="38" t="str">
        <x:v>冥羽黑乌</x:v>
      </x:c>
      <x:c r="P110" s="38" t="str">
        <x:v>https://bazaar-builds.net/db/items/shot-glasses.html</x:v>
      </x:c>
      <x:c r="Q110" s="38" t="str">
        <x:v>haste 4 of your items for 1 second slow 4 of your items for 1 second</x:v>
      </x:c>
      <x:c r="R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n">
        <x:v>10</x:v>
      </x:c>
      <x:c r="L111" s="38" t="str">
        <x:v>night_base, elem_火, elem_水, elem_雷, elem_冰, elem_地, elem_无, role_控制, role_召唤铺场, role_风系铺场</x:v>
      </x:c>
      <x:c r="M111" s="38" t="str">
        <x:v>Deadly</x:v>
      </x:c>
      <x:c r="N111" s="38" t="str">
        <x:v>pal_110</x:v>
      </x:c>
      <x:c r="O111" s="38" t="str">
        <x:v>渊鳞黑蛟</x:v>
      </x:c>
      <x:c r="P111" s="38" t="str">
        <x:v>https://bazaar-builds.net/db/items/shovel.html</x:v>
      </x:c>
      <x:c r="Q111" s="38" t="str">
        <x:v>deal 25 / 50 / 100 / 200 damage at the start of each day, get a small item from any hero.</x:v>
      </x:c>
      <x:c r="R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n">
        <x:v>10</x:v>
      </x:c>
      <x:c r="L112" s="38" t="str">
        <x:v>night_base, elem_火, elem_水, elem_草, elem_雷, elem_地, elem_无, role_召唤, role_坦克, role_风系铺场</x:v>
      </x:c>
      <x:c r="M112" s="38" t="str">
        <x:v>Deadly</x:v>
      </x:c>
      <x:c r="N112" s="38" t="str">
        <x:v>pal_111</x:v>
      </x:c>
      <x:c r="O112" s="38" t="str">
        <x:v>毒甲蝎将</x:v>
      </x:c>
      <x:c r="P112" s="38" t="str">
        <x:v>https://bazaar-builds.net/db/items/shuriken.html</x:v>
      </x:c>
      <x:c r="Q112" s="38" t="str">
        <x:v>deal 5 / 10 / 20 / 40 damage this has multicast equal to its current ammo. when you use this, spend all its ammo.</x:v>
      </x:c>
      <x:c r="R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n">
        <x:v>10</x:v>
      </x:c>
      <x:c r="L113" s="38" t="str">
        <x:v>night_base, elem_火, elem_水, elem_冰, elem_龙, elem_无, role_机动, tier_pT2, role_抗压承伤, role_重甲抗压</x:v>
      </x:c>
      <x:c r="M113" s="38" t="str">
        <x:v>Fiery</x:v>
      </x:c>
      <x:c r="N113" s="38" t="str">
        <x:v>pal_112</x:v>
      </x:c>
      <x:c r="O113" s="38" t="str">
        <x:v>石猿战将</x:v>
      </x:c>
      <x:c r="P113" s="38" t="str">
        <x:v>https://bazaar-builds.net/db/items/slumbering-primordial.html</x:v>
      </x:c>
      <x:c r="Q113" s="38" t="str">
        <x:v>deal 20 → 25 damage when you poison, freeze, or burn, charge this 1 → 2 seconds and this gains +20 → 25 damage for the fight.</x:v>
      </x:c>
      <x:c r="R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n">
        <x:v>10</x:v>
      </x:c>
      <x:c r="L114" s="38" t="str">
        <x:v>night_base, elem_火, elem_水, elem_雷, elem_冰, elem_地, elem_龙, elem_无, role_控制, role_机动</x:v>
      </x:c>
      <x:c r="M114" s="38" t="str">
        <x:v>Deadly</x:v>
      </x:c>
      <x:c r="N114" s="38" t="str">
        <x:v>pal_113</x:v>
      </x:c>
      <x:c r="O114" s="38" t="str">
        <x:v>覆海蛟王</x:v>
      </x:c>
      <x:c r="P114" s="38" t="str">
        <x:v>https://bazaar-builds.net/db/items/sniper-rifle.html</x:v>
      </x:c>
      <x:c r="Q114" s="38" t="str">
        <x:v>deal 100 damage this deals 5 → 10 times more damage if it is your only weapon.</x:v>
      </x:c>
      <x:c r="R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n">
        <x:v>10</x:v>
      </x:c>
      <x:c r="L115" s="38" t="str">
        <x:v>night_base, elem_火, elem_水, elem_冰, elem_暗, role_控制, role_治疗, role_输出, elite_high, role_召唤铺场</x:v>
      </x:c>
      <x:c r="M115" s="38" t="str">
        <x:v>Icy</x:v>
      </x:c>
      <x:c r="N115" s="38" t="str">
        <x:v>pal_114</x:v>
      </x:c>
      <x:c r="O115" s="38" t="str">
        <x:v>赤焰龙君</x:v>
      </x:c>
      <x:c r="P115" s="38" t="str">
        <x:v>https://bazaar-builds.net/db/items/spyglass.html</x:v>
      </x:c>
      <x:c r="Q115" s="38" t="str">
        <x:v>when you slow, an item gains +10% crit chance for the fight. at the start of each fight, increase an enemy items cooldown by 3 → 6 seconds for the fight.</x:v>
      </x:c>
      <x:c r="R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n">
        <x:v>10</x:v>
      </x:c>
      <x:c r="L116" s="38" t="str">
        <x:v>night_base, elem_火, elem_水, elem_冰, elem_地, elem_暗, role_控制, role_治疗, role_输出, role_召唤铺场</x:v>
      </x:c>
      <x:c r="M116" s="38" t="str">
        <x:v>Turbo</x:v>
      </x:c>
      <x:c r="N116" s="38" t="str">
        <x:v>pal_115</x:v>
      </x:c>
      <x:c r="O116" s="38" t="str">
        <x:v>南明朱雀</x:v>
      </x:c>
      <x:c r="P116" s="38" t="str">
        <x:v>https://bazaar-builds.net/db/items/star-chart.html</x:v>
      </x:c>
      <x:c r="Q116" s="38" t="str">
        <x:v>adjacent items have +10 / 15 / 20 / 25% crit chance. adjacent items' cooldowns are reduced by 5 / 10 / 15 / 20%.</x:v>
      </x:c>
      <x:c r="R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n">
        <x:v>10</x:v>
      </x:c>
      <x:c r="L117" s="38" t="str">
        <x:v>night_base, elem_火, elem_水, elem_草, elem_冰, elem_暗, tier_pT1, role_机动压制, role_远点压制, role_风系牵制</x:v>
      </x:c>
      <x:c r="M117" s="38" t="str">
        <x:v>Deadly</x:v>
      </x:c>
      <x:c r="N117" s="38" t="str">
        <x:v>pal_116</x:v>
      </x:c>
      <x:c r="O117" s="38" t="str">
        <x:v>净瓶青鸾</x:v>
      </x:c>
      <x:c r="P117" s="38" t="str">
        <x:v>https://bazaar-builds.net/db/items/stealth-glider.html</x:v>
      </x:c>
      <x:c r="Q117" s="38" t="str">
        <x:v>an item starts flying. you take 10% less damage for each other flying item you have.</x:v>
      </x:c>
      <x:c r="R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n">
        <x:v>10</x:v>
      </x:c>
      <x:c r="L118" s="38" t="str">
        <x:v>night_base, elem_火, elem_水, elem_草, elem_冰, elem_龙, elem_无, special_merchant, tier_pT1, role_风系牵制</x:v>
      </x:c>
      <x:c r="M118" s="38" t="str">
        <x:v>Icy</x:v>
      </x:c>
      <x:c r="N118" s="38" t="str">
        <x:v>pal_117</x:v>
      </x:c>
      <x:c r="O118" s="38" t="str">
        <x:v>九霄熊王</x:v>
      </x:c>
      <x:c r="P118" s="38" t="str">
        <x:v>https://bazaar-builds.net/db/items/submarine.html</x:v>
      </x:c>
      <x:c r="Q118" s="38" t="str">
        <x:v>deal 60 / 120 / 240 damage shield equal to this item's damage if this is your only weapon it is affected by freeze and slow for half as long.</x:v>
      </x:c>
      <x:c r="R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n">
        <x:v>10</x:v>
      </x:c>
      <x:c r="L119" s="38" t="str">
        <x:v>night_base, elem_火, elem_水, elem_冰, elem_暗, elem_龙, role_控制, special_merchant, tier_pT1, role_风系牵制</x:v>
      </x:c>
      <x:c r="M119" s="38" t="str">
        <x:v>Turbo</x:v>
      </x:c>
      <x:c r="N119" s="38" t="str">
        <x:v>pal_118</x:v>
      </x:c>
      <x:c r="O119" s="38" t="str">
        <x:v>百花鹿仙</x:v>
      </x:c>
      <x:c r="P119" s="38" t="str">
        <x:v>https://bazaar-builds.net/db/items/submersible.html</x:v>
      </x:c>
      <x:c r="Q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R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n">
        <x:v>10</x:v>
      </x:c>
      <x:c r="L120" s="38" t="str">
        <x:v>night_base, elem_火, elem_水, elem_草, elem_雷, elem_地, elem_暗, role_召唤, role_治疗, tier_pT1</x:v>
      </x:c>
      <x:c r="M120" s="38" t="str">
        <x:v>Turbo</x:v>
      </x:c>
      <x:c r="N120" s="38" t="str">
        <x:v>pal_119</x:v>
      </x:c>
      <x:c r="O120" s="38" t="str">
        <x:v>黑月狐姬</x:v>
      </x:c>
      <x:c r="P120" s="38" t="str">
        <x:v>https://bazaar-builds.net/db/items/suppressor.html</x:v>
      </x:c>
      <x:c r="Q120" s="38" t="str">
        <x:v>the weapon to the left of this has +25 / 50 / 75 damage. if you have exactly one weapon, its cooldown is reduced by 5 / 10 / 15%.</x:v>
      </x:c>
      <x:c r="R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n">
        <x:v>10</x:v>
      </x:c>
      <x:c r="L121" s="38" t="str">
        <x:v>night_base, elem_火, elem_水, elem_冰, elem_暗, role_控制, role_输出, special_merchant, tier_pT3, role_火系压制</x:v>
      </x:c>
      <x:c r="M121" s="38" t="str">
        <x:v>Restorative</x:v>
      </x:c>
      <x:c r="N121" s="38" t="str">
        <x:v>pal_120</x:v>
      </x:c>
      <x:c r="O121" s="38" t="str">
        <x:v>火云鹏王</x:v>
      </x:c>
      <x:c r="P121" s="38" t="str">
        <x:v>https://bazaar-builds.net/db/items/swash-buckle.html</x:v>
      </x:c>
      <x:c r="Q121" s="38" t="str">
        <x:v>adjacent items have +20 → 40% crit chance. adjacent items have bonus damage, heal, or shield equal to their crit chance.</x:v>
      </x:c>
      <x:c r="R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n">
        <x:v>10</x:v>
      </x:c>
      <x:c r="L122" s="38" t="str">
        <x:v>night_base, elem_火, elem_水, elem_草, elem_雷, elem_地, elem_龙, elem_无, role_召唤, role_风系铺场</x:v>
      </x:c>
      <x:c r="M122" s="38" t="str">
        <x:v>Deadly</x:v>
      </x:c>
      <x:c r="N122" s="38" t="str">
        <x:v>pal_121</x:v>
      </x:c>
      <x:c r="O122" s="38" t="str">
        <x:v>雷泽龙王</x:v>
      </x:c>
      <x:c r="P122" s="38" t="str">
        <x:v>https://bazaar-builds.net/db/items/switchblade.html</x:v>
      </x:c>
      <x:c r="Q122" s="38" t="str">
        <x:v>deal 4 / 8 / 12 / 16 damage when you use an adjacent weapon, it gains +4 / 8 / 12 / 16 damage for the fight.</x:v>
      </x:c>
      <x:c r="R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n">
        <x:v>10</x:v>
      </x:c>
      <x:c r="L123" s="38" t="str">
        <x:v>night_base, elem_火, elem_水, elem_草, elem_雷, elem_冰, elem_暗, elem_无, role_坦克, role_机动压制</x:v>
      </x:c>
      <x:c r="M123" s="38" t="str">
        <x:v>Restorative</x:v>
      </x:c>
      <x:c r="N123" s="38" t="str">
        <x:v>pal_122</x:v>
      </x:c>
      <x:c r="O123" s="38" t="str">
        <x:v>玄羽雕尊</x:v>
      </x:c>
      <x:c r="P123" s="38" t="str">
        <x:v>https://bazaar-builds.net/db/items/the-boulder.html</x:v>
      </x:c>
      <x:c r="Q123" s="38" t="str">
        <x:v>deal damage equal to an enemy's max health</x:v>
      </x:c>
      <x:c r="R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n">
        <x:v>10</x:v>
      </x:c>
      <x:c r="L124" s="38" t="str">
        <x:v>night_base, elem_火, elem_水, elem_草, elem_雷, elem_地, elem_无, role_召唤, role_坦克, role_输出</x:v>
      </x:c>
      <x:c r="M124" s="38" t="str">
        <x:v>Deadly</x:v>
      </x:c>
      <x:c r="N124" s="38" t="str">
        <x:v>pal_123</x:v>
      </x:c>
      <x:c r="O124" s="38" t="str">
        <x:v>白象护法</x:v>
      </x:c>
      <x:c r="P124" s="38" t="str">
        <x:v>https://bazaar-builds.net/db/items/throwing-knives.html</x:v>
      </x:c>
      <x:c r="Q124" s="38" t="str">
        <x:v>deal 33 damage when you crit with another item, use this.</x:v>
      </x:c>
      <x:c r="R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0</x:v>
      </x:c>
      <x:c r="K125" s="38" t="n">
        <x:v>8</x:v>
      </x:c>
      <x:c r="L125" s="38" t="str">
        <x:v>night_base, elem_冰, elem_暗, role_控制, role_输出, tier_pT3, role_机动压制, role_风系牵制</x:v>
      </x:c>
      <x:c r="M125" s="38" t="str">
        <x:v>Deadly</x:v>
      </x:c>
      <x:c r="N125" s="38" t="str">
        <x:v>pal_124</x:v>
      </x:c>
      <x:c r="O125" s="38" t="str">
        <x:v>混世魔猿</x:v>
      </x:c>
      <x:c r="P125" s="38" t="str">
        <x:v>https://bazaar-builds.net/db/items/tiny-cutlass.html</x:v>
      </x:c>
      <x:c r="Q125" s="38" t="str">
        <x:v>deal 6 / 12 / 24 / 48 damage this deals double crit damage.</x:v>
      </x:c>
      <x:c r="R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n">
        <x:v>10</x:v>
      </x:c>
      <x:c r="L126" s="38" t="str">
        <x:v>night_base, elem_火, elem_水, elem_冰, elem_地, elem_龙, elem_无, role_坦克, role_控制, tier_pT1</x:v>
      </x:c>
      <x:c r="M126" s="38" t="str">
        <x:v>Deadly</x:v>
      </x:c>
      <x:c r="N126" s="38" t="str">
        <x:v>pal_125</x:v>
      </x:c>
      <x:c r="O126" s="38" t="str">
        <x:v>寒狮妖王</x:v>
      </x:c>
      <x:c r="P126" s="38" t="str">
        <x:v>https://bazaar-builds.net/db/items/torpedo.html</x:v>
      </x:c>
      <x:c r="Q126" s="38" t="str">
        <x:v>deal 100 damage when you use another aquatic or ammo item, this gains 40 / 80 / 120 damage for the fight. if the item is large, double the damage gain.</x:v>
      </x:c>
      <x:c r="R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n">
        <x:v>10</x:v>
      </x:c>
      <x:c r="L127" s="38" t="str">
        <x:v>night_base, elem_火, elem_水, elem_冰, elem_龙, elem_无, role_治疗, role_经济, tier_pT2, role_风系牵制</x:v>
      </x:c>
      <x:c r="M127" s="38" t="str">
        <x:v>Turbo</x:v>
      </x:c>
      <x:c r="N127" s="38" t="str">
        <x:v>pal_126</x:v>
      </x:c>
      <x:c r="O127" s="38" t="str">
        <x:v>幽冥獒王</x:v>
      </x:c>
      <x:c r="P127" s="38" t="str">
        <x:v>https://bazaar-builds.net/db/items/tortuga.html</x:v>
      </x:c>
      <x:c r="Q127" s="38" t="str">
        <x:v>deal 450 → 900 damage haste your other items for 1 second when you use another friend, charge this 2 seconds.</x:v>
      </x:c>
      <x:c r="R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n">
        <x:v>10</x:v>
      </x:c>
      <x:c r="L128" s="38" t="str">
        <x:v>night_base, elem_火, elem_水, elem_草, elem_冰, elem_无, role_治疗, role_经济, role_机动, role_机动压制</x:v>
      </x:c>
      <x:c r="M128" s="38" t="str">
        <x:v>Fiery</x:v>
      </x:c>
      <x:c r="N128" s="38" t="str">
        <x:v>pal_127</x:v>
      </x:c>
      <x:c r="O128" s="38" t="str">
        <x:v>九天龙君</x:v>
      </x:c>
      <x:c r="P128" s="38" t="str">
        <x:v>https://bazaar-builds.net/db/items/trebuchet.html</x:v>
      </x:c>
      <x:c r="Q128" s="38" t="str">
        <x:v>deal 75 / 150 / 300 damage burn 8 / 16 / 24 when you use another weapon or haste, charge this 2 seconds.</x:v>
      </x:c>
      <x:c r="R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n">
        <x:v>10</x:v>
      </x:c>
      <x:c r="L129" s="38" t="str">
        <x:v>night_base, elem_火, elem_水, elem_雷, elem_冰, elem_地, elem_暗, role_控制, role_治疗, elite_high</x:v>
      </x:c>
      <x:c r="M129" s="38" t="str">
        <x:v>Icy</x:v>
      </x:c>
      <x:c r="N129" s="38" t="str">
        <x:v>pal_128</x:v>
      </x:c>
      <x:c r="O129" s="38" t="str">
        <x:v>星貂王</x:v>
      </x:c>
      <x:c r="P129" s="38" t="str">
        <x:v>https://bazaar-builds.net/db/items/tripwire.html</x:v>
      </x:c>
      <x:c r="Q129" s="38" t="str">
        <x:v>when an enemy uses an item, slow it for 1 → 2 seconds.</x:v>
      </x:c>
      <x:c r="R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n">
        <x:v>10</x:v>
      </x:c>
      <x:c r="L130" s="38" t="str">
        <x:v>night_base, elem_火, elem_水, elem_草, elem_冰, elem_暗, elem_龙, role_治疗, elite_high, role_火系压制</x:v>
      </x:c>
      <x:c r="M130" s="38" t="str">
        <x:v>Icy</x:v>
      </x:c>
      <x:c r="N130" s="38" t="str">
        <x:v>pal_129</x:v>
      </x:c>
      <x:c r="O130" s="38" t="str">
        <x:v>渊鹤王</x:v>
      </x:c>
      <x:c r="P130" s="38" t="str">
        <x:v>https://bazaar-builds.net/db/items/tropical-island.html</x:v>
      </x:c>
      <x:c r="Q130" s="38" t="str">
        <x:v>when you slow, regen 5 → 10. at the start of each hour, get a coconut or citrus.</x:v>
      </x:c>
      <x:c r="R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n">
        <x:v>9</x:v>
      </x:c>
      <x:c r="L131" s="38" t="str">
        <x:v>night_base, elem_火, elem_水, elem_冰, elem_地, elem_暗, elem_龙, role_控制, special_merchant</x:v>
      </x:c>
      <x:c r="M131" s="38" t="str">
        <x:v>Turbo</x:v>
      </x:c>
      <x:c r="N131" s="38" t="str">
        <x:v>pal_130</x:v>
      </x:c>
      <x:c r="O131" s="38" t="str">
        <x:v>潮甲君</x:v>
      </x:c>
      <x:c r="P131" s="38" t="str">
        <x:v>https://bazaar-builds.net/db/items/turtle-shell.html</x:v>
      </x:c>
      <x:c r="Q131" s="38" t="str">
        <x:v>shield 15 your shield items gain +15 → 30 shield for the fight when you use another non-weapon item, charge this 2 seconds.</x:v>
      </x:c>
      <x:c r="R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n">
        <x:v>10</x:v>
      </x:c>
      <x:c r="L132" s="38" t="str">
        <x:v>night_base, elem_火, elem_水, elem_草, elem_地, elem_龙, elem_无, role_召唤, role_输出, tier_pT2</x:v>
      </x:c>
      <x:c r="M132" s="38" t="str">
        <x:v>Deadly</x:v>
      </x:c>
      <x:c r="N132" s="38" t="str">
        <x:v>pal_131</x:v>
      </x:c>
      <x:c r="O132" s="38" t="str">
        <x:v>碧蜂妖</x:v>
      </x:c>
      <x:c r="P132" s="38" t="str">
        <x:v>https://bazaar-builds.net/db/items/vampire-squid.html</x:v>
      </x:c>
      <x:c r="Q132" s="38" t="str">
        <x:v>deal 15 / 30 / 60 damage this has +damage equal to its crit chance.</x:v>
      </x:c>
      <x:c r="R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n">
        <x:v>10</x:v>
      </x:c>
      <x:c r="L133" s="38" t="str">
        <x:v>night_base, elem_火, elem_水, elem_雷, elem_冰, elem_地, elem_暗, elem_龙, role_控制, role_机动</x:v>
      </x:c>
      <x:c r="M133" s="38" t="str">
        <x:v>Fiery</x:v>
      </x:c>
      <x:c r="N133" s="38" t="str">
        <x:v>pal_132</x:v>
      </x:c>
      <x:c r="O133" s="38" t="str">
        <x:v>烬隼童</x:v>
      </x:c>
      <x:c r="P133" s="38" t="str">
        <x:v>https://bazaar-builds.net/db/items/volcanic-vents.html</x:v>
      </x:c>
      <x:c r="Q133" s="38" t="str">
        <x:v>burn 3 / 6 / 9 / 12</x:v>
      </x:c>
      <x:c r="R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n">
        <x:v>10</x:v>
      </x:c>
      <x:c r="L134" s="38" t="str">
        <x:v>night_base, elem_火, elem_水, elem_雷, elem_冰, elem_地, elem_暗, role_控制, role_输出, role_风系铺场</x:v>
      </x:c>
      <x:c r="M134" s="38" t="str">
        <x:v>Deadly</x:v>
      </x:c>
      <x:c r="N134" s="38" t="str">
        <x:v>pal_133</x:v>
      </x:c>
      <x:c r="O134" s="38" t="str">
        <x:v>雷貉卫</x:v>
      </x:c>
      <x:c r="P134" s="38" t="str">
        <x:v>https://bazaar-builds.net/db/items/wanted-poster.html</x:v>
      </x:c>
      <x:c r="Q134" s="38" t="str">
        <x:v>when you win a fight against a hero, gain 1 xp. if you won the fight with this, gain 1 additional xp. your items have +10 / 20 / 30% crit chance.</x:v>
      </x:c>
      <x:c r="R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n">
        <x:v>10</x:v>
      </x:c>
      <x:c r="L135" s="38" t="str">
        <x:v>night_base, elem_火, elem_水, elem_草, elem_冰, elem_地, elem_暗, elem_龙, role_治疗, role_经济</x:v>
      </x:c>
      <x:c r="M135" s="38" t="str">
        <x:v>Turbo</x:v>
      </x:c>
      <x:c r="N135" s="38" t="str">
        <x:v>pal_134</x:v>
      </x:c>
      <x:c r="O135" s="38" t="str">
        <x:v>沧雀卫</x:v>
      </x:c>
      <x:c r="P135" s="38" t="str">
        <x:v>https://bazaar-builds.net/db/items/water-wheel.html</x:v>
      </x:c>
      <x:c r="Q135" s="38" t="str">
        <x:v>haste your other items for 2 seconds when you use an adjacent item, charge this 2 seconds.</x:v>
      </x:c>
      <x:c r="R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n">
        <x:v>10</x:v>
      </x:c>
      <x:c r="L136" s="38" t="str">
        <x:v>night_base, elem_火, elem_水, elem_冰, elem_暗, role_治疗, role_机动, elite_high, role_抗压承伤, role_重甲抗压</x:v>
      </x:c>
      <x:c r="M136" s="38" t="str">
        <x:v>Fiery</x:v>
      </x:c>
      <x:c r="N136" s="38" t="str">
        <x:v>pal_135</x:v>
      </x:c>
      <x:c r="O136" s="38" t="str">
        <x:v>赤蝎精</x:v>
      </x:c>
      <x:c r="P136" s="38" t="str">
        <x:v>https://bazaar-builds.net/db/items/weather-glass.html</x:v>
      </x:c>
      <x:c r="Q136" s="38" t="str">
        <x:v>burn 4 poison 4 if you have another item with burn, poison, slow, or freeze, this has +1 multicast for each.</x:v>
      </x:c>
      <x:c r="R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n">
        <x:v>10</x:v>
      </x:c>
      <x:c r="L137" s="38" t="str">
        <x:v>night_base, elem_火, elem_水, elem_冰, elem_暗, elem_龙, role_控制, special_merchant, tier_pT1, tier_pT3</x:v>
      </x:c>
      <x:c r="M137" s="38" t="str">
        <x:v>Turbo</x:v>
      </x:c>
      <x:c r="N137" s="38" t="str">
        <x:v>pal_136</x:v>
      </x:c>
      <x:c r="O137" s="38" t="str">
        <x:v>沧熊童</x:v>
      </x:c>
      <x:c r="P137" s="38" t="str">
        <x:v>https://bazaar-builds.net/db/items/wetware.html</x:v>
      </x:c>
      <x:c r="Q137" s="38" t="str">
        <x:v>shield 10 when you use a weapon, this gains +15 / 25 / 35 / 45 shield for the fight. if you have another tech item, this item's cooldown is reduced by 2 seconds.</x:v>
      </x:c>
      <x:c r="R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n">
        <x:v>10</x:v>
      </x:c>
      <x:c r="L138" s="38" t="str">
        <x:v>night_base, elem_火, elem_水, elem_草, elem_暗, elem_龙, role_召唤, tier_pT2, role_抗压承伤, role_重甲抗压</x:v>
      </x:c>
      <x:c r="M138" s="38" t="str">
        <x:v>Icy</x:v>
      </x:c>
      <x:c r="N138" s="38" t="str">
        <x:v>pal_137</x:v>
      </x:c>
      <x:c r="O138" s="38" t="str">
        <x:v>雪貂童</x:v>
      </x:c>
      <x:c r="P138" s="38" t="str">
        <x:v>https://bazaar-builds.net/db/items/yeti-crab.html</x:v>
      </x:c>
      <x:c r="Q138" s="38" t="str">
        <x:v>freeze an item for 1 second when you freeze, adjacent poison items gain +2 / 4 / 6 / 8 poison for the fight.</x:v>
      </x:c>
      <x:c r="R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n">
        <x:v>10</x:v>
      </x:c>
      <x:c r="L139" s="38" t="str">
        <x:v>night_base, elem_火, elem_水, elem_龙, elem_无, role_召唤, role_治疗, role_经济, role_机动, tier_pT2</x:v>
      </x:c>
      <x:c r="M139" s="38" t="str">
        <x:v>Fiery</x:v>
      </x:c>
      <x:c r="N139" s="38" t="str">
        <x:v>pal_138</x:v>
      </x:c>
      <x:c r="O139" s="38" t="str">
        <x:v>烬蜂童</x:v>
      </x:c>
      <x:c r="P139" s="38" t="str">
        <x:v>https://bazaar-builds.net/db/items/zoarcid.html</x:v>
      </x:c>
      <x:c r="Q139" s="38" t="str">
        <x:v>deal 20 damage haste adjacent items for 2 seconds when you burn, charge this 1 second.</x:v>
      </x:c>
      <x:c r="R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n">
        <x:v>8</x:v>
      </x:c>
      <x:c r="L140" s="38" t="str">
        <x:v>night_base, elem_水, elem_雷, elem_冰, role_控制, role_经济, tier_pT1, role_远点压制</x:v>
      </x:c>
      <x:c r="M140" s="38" t="str">
        <x:v>Turbo</x:v>
      </x:c>
      <x:c r="N140" s="38" t="str">
        <x:v>pal_139</x:v>
      </x:c>
      <x:c r="O140" s="38" t="str">
        <x:v>雷鲭王</x:v>
      </x:c>
      <x:c r="P140" s="38" t="str">
        <x:v>https://bazaar-builds.net/db/skills/alacrity.html</x:v>
      </x:c>
      <x:c r="Q140" s="38" t="str">
        <x:v>the first 5 → 10 times you crit each fight, charge an item 1 second.</x:v>
      </x:c>
      <x:c r="R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n">
        <x:v>8</x:v>
      </x:c>
      <x:c r="L141" s="38" t="str">
        <x:v>night_base, elem_火, elem_水, elem_雷, elem_无, role_坦克, elite_high, role_重甲抗压</x:v>
      </x:c>
      <x:c r="M141" s="38" t="str">
        <x:v>Golden</x:v>
      </x:c>
      <x:c r="N141" s="38" t="str">
        <x:v>pal_140</x:v>
      </x:c>
      <x:c r="O141" s="38" t="str">
        <x:v>冥雀卫</x:v>
      </x:c>
      <x:c r="P141" s="38" t="str">
        <x:v>https://bazaar-builds.net/db/skills/arbitrage.html</x:v>
      </x:c>
      <x:c r="Q141" s="38" t="str">
        <x:v>your rerolls cost 1 / 2 / 3 less gold.</x:v>
      </x:c>
      <x:c r="R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n">
        <x:v>8</x:v>
      </x:c>
      <x:c r="L142" s="38" t="str">
        <x:v>night_base, elem_火, elem_水, elem_雷, role_召唤, elite_high, tier_pT2, role_风系铺场</x:v>
      </x:c>
      <x:c r="M142" s="38" t="str">
        <x:v>Restorative</x:v>
      </x:c>
      <x:c r="N142" s="38" t="str">
        <x:v>pal_141</x:v>
      </x:c>
      <x:c r="O142" s="38" t="str">
        <x:v>沧鸾仔</x:v>
      </x:c>
      <x:c r="P142" s="38" t="str">
        <x:v>https://bazaar-builds.net/db/skills/arms-dealer.html</x:v>
      </x:c>
      <x:c r="Q142" s="38" t="str">
        <x:v>when you buy a weapon, gain 10 / 20 / 30 / 40 max health.</x:v>
      </x:c>
      <x:c r="R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n">
        <x:v>8</x:v>
      </x:c>
      <x:c r="L143" s="38" t="str">
        <x:v>night_base, elem_火, elem_水, elem_雷, elem_冰, role_治疗, tier_pT2, role_风系铺场</x:v>
      </x:c>
      <x:c r="M143" s="38" t="str">
        <x:v>Deadly</x:v>
      </x:c>
      <x:c r="N143" s="38" t="str">
        <x:v>pal_142</x:v>
      </x:c>
      <x:c r="O143" s="38" t="str">
        <x:v>霆螳灵</x:v>
      </x:c>
      <x:c r="P143" s="38" t="str">
        <x:v>https://bazaar-builds.net/db/skills/artillery-spotter.html</x:v>
      </x:c>
      <x:c r="Q143" s="38" t="str">
        <x:v>if you have 5 or fewer items, your items have +10 / 20 / 30 / 40% crit chance.</x:v>
      </x:c>
      <x:c r="R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n">
        <x:v>8</x:v>
      </x:c>
      <x:c r="L144" s="38" t="str">
        <x:v>night_base, elem_火, elem_水, elem_雷, elem_龙, role_经济, tier_pT2, role_召唤铺场</x:v>
      </x:c>
      <x:c r="M144" s="38" t="str">
        <x:v>Shielded</x:v>
      </x:c>
      <x:c r="N144" s="38" t="str">
        <x:v>pal_143</x:v>
      </x:c>
      <x:c r="O144" s="38" t="str">
        <x:v>山熊卫</x:v>
      </x:c>
      <x:c r="P144" s="38" t="str">
        <x:v>https://bazaar-builds.net/db/skills/balanced-friendship.html</x:v>
      </x:c>
      <x:c r="Q144" s="38" t="str">
        <x:v>when you use a friend, your weapons gain +2 / 4 / 6 damage and shield items gain +2 / 4 / 6 shield for the fight.</x:v>
      </x:c>
      <x:c r="R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n">
        <x:v>8</x:v>
      </x:c>
      <x:c r="L145" s="38" t="str">
        <x:v>night_base, elem_水, elem_草, elem_雷, elem_龙, role_经济, role_召唤铺场, role_火系压制</x:v>
      </x:c>
      <x:c r="M145" s="38" t="str">
        <x:v>Turbo</x:v>
      </x:c>
      <x:c r="N145" s="38" t="str">
        <x:v>pal_144</x:v>
      </x:c>
      <x:c r="O145" s="38" t="str">
        <x:v>沧燕侯</x:v>
      </x:c>
      <x:c r="P145" s="38" t="str">
        <x:v>https://bazaar-builds.net/db/skills/barnacle-crusted.html</x:v>
      </x:c>
      <x:c r="Q145" s="38" t="str">
        <x:v>the cooldown of your aquatic items is reduced by 5 → 10%.</x:v>
      </x:c>
      <x:c r="R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n">
        <x:v>8</x:v>
      </x:c>
      <x:c r="L146" s="38" t="str">
        <x:v>night_base, elem_火, elem_水, elem_雷, elem_冰, role_控制, tier_pT3, role_风系牵制</x:v>
      </x:c>
      <x:c r="M146" s="38" t="str">
        <x:v>Deadly</x:v>
      </x:c>
      <x:c r="N146" s="38" t="str">
        <x:v>pal_145</x:v>
      </x:c>
      <x:c r="O146" s="38" t="str">
        <x:v>螭蜂妖</x:v>
      </x:c>
      <x:c r="P146" s="38" t="str">
        <x:v>https://bazaar-builds.net/db/skills/beautiful-friendship.html</x:v>
      </x:c>
      <x:c r="Q146" s="38" t="str">
        <x:v>your weapons have +5 / 10 / 15 damage for each friend item you have.</x:v>
      </x:c>
      <x:c r="R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n">
        <x:v>8</x:v>
      </x:c>
      <x:c r="L147" s="38" t="str">
        <x:v>night_base, elem_火, elem_水, elem_草, elem_雷, role_召唤, tier_pT2, role_风系铺场</x:v>
      </x:c>
      <x:c r="M147" s="38" t="str">
        <x:v>Turbo</x:v>
      </x:c>
      <x:c r="N147" s="38" t="str">
        <x:v>pal_146</x:v>
      </x:c>
      <x:c r="O147" s="38" t="str">
        <x:v>沧鲤将</x:v>
      </x:c>
      <x:c r="P147" s="38" t="str">
        <x:v>https://bazaar-builds.net/db/skills/berserker.html</x:v>
      </x:c>
      <x:c r="Q147" s="38" t="str">
        <x:v>while your enemy has more health than you, your weapons' cooldowns are reduced by 5 / 10 / 15%.</x:v>
      </x:c>
      <x:c r="R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n">
        <x:v>8</x:v>
      </x:c>
      <x:c r="L148" s="38" t="str">
        <x:v>night_base, elem_水, elem_暗, elem_无, role_召唤, role_输出, role_机动, role_机动压制</x:v>
      </x:c>
      <x:c r="M148" s="38" t="str">
        <x:v>Deadly</x:v>
      </x:c>
      <x:c r="N148" s="38" t="str">
        <x:v>pal_147</x:v>
      </x:c>
      <x:c r="O148" s="38" t="str">
        <x:v>沙狮神</x:v>
      </x:c>
      <x:c r="P148" s="38" t="str">
        <x:v>https://bazaar-builds.net/db/skills/big-guns.html</x:v>
      </x:c>
      <x:c r="Q148" s="38" t="str">
        <x:v>double the damage of your large weapons.</x:v>
      </x:c>
      <x:c r="R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n">
        <x:v>8</x:v>
      </x:c>
      <x:c r="L149" s="38" t="str">
        <x:v>night_base, elem_水, elem_雷, elem_冰, elem_无, role_坦克, elite_high, role_重甲抗压</x:v>
      </x:c>
      <x:c r="M149" s="38" t="str">
        <x:v>Deadly</x:v>
      </x:c>
      <x:c r="N149" s="38" t="str">
        <x:v>pal_148</x:v>
      </x:c>
      <x:c r="O149" s="38" t="str">
        <x:v>震狼君</x:v>
      </x:c>
      <x:c r="P149" s="38" t="str">
        <x:v>https://bazaar-builds.net/db/skills/big-numbers.html</x:v>
      </x:c>
      <x:c r="Q149" s="38" t="str">
        <x:v>your large items have +25 → 50% crit chance</x:v>
      </x:c>
      <x:c r="R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n">
        <x:v>8</x:v>
      </x:c>
      <x:c r="L150" s="38" t="str">
        <x:v>night_base, elem_火, elem_水, elem_雷, elem_冰, role_控制, role_经济, tier_pT1</x:v>
      </x:c>
      <x:c r="M150" s="38" t="str">
        <x:v>Turbo</x:v>
      </x:c>
      <x:c r="N150" s="38" t="str">
        <x:v>pal_149</x:v>
      </x:c>
      <x:c r="O150" s="38" t="str">
        <x:v>渊鹿妖</x:v>
      </x:c>
      <x:c r="P150" s="38" t="str">
        <x:v>https://bazaar-builds.net/db/skills/bloodhound.html</x:v>
      </x:c>
      <x:c r="Q150" s="38" t="str">
        <x:v>the first time an enemy falls below half health each fight, charge your items 1 / 2 / 3 seconds.</x:v>
      </x:c>
      <x:c r="R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n">
        <x:v>8</x:v>
      </x:c>
      <x:c r="L151" s="38" t="str">
        <x:v>night_base, elem_火, elem_水, elem_草, elem_雷, role_召唤, role_经济, special_merchant</x:v>
      </x:c>
      <x:c r="M151" s="38" t="str">
        <x:v>Turbo</x:v>
      </x:c>
      <x:c r="N151" s="38" t="str">
        <x:v>pal_150</x:v>
      </x:c>
      <x:c r="O151" s="38" t="str">
        <x:v>汐蝶卫</x:v>
      </x:c>
      <x:c r="P151" s="38" t="str">
        <x:v>https://bazaar-builds.net/db/skills/bold-under-pressure.html</x:v>
      </x:c>
      <x:c r="Q151" s="38" t="str">
        <x:v>the first time you fall below half health each fight, haste 2 / 4 / 6 items for 2 seconds.</x:v>
      </x:c>
      <x:c r="R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n">
        <x:v>8</x:v>
      </x:c>
      <x:c r="L152" s="38" t="str">
        <x:v>night_base, elem_水, elem_草, elem_雷, elem_冰, role_召唤, special_merchant, role_远点压制</x:v>
      </x:c>
      <x:c r="M152" s="38" t="str">
        <x:v>Deadly</x:v>
      </x:c>
      <x:c r="N152" s="38" t="str">
        <x:v>pal_151</x:v>
      </x:c>
      <x:c r="O152" s="38" t="str">
        <x:v>电鹰君</x:v>
      </x:c>
      <x:c r="P152" s="38" t="str">
        <x:v>https://bazaar-builds.net/db/skills/building-crescendo.html</x:v>
      </x:c>
      <x:c r="Q152" s="38" t="str">
        <x:v>when you use an item, your items gain 1 → 2% crit chance for the fight.</x:v>
      </x:c>
      <x:c r="R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n">
        <x:v>8</x:v>
      </x:c>
      <x:c r="L153" s="38" t="str">
        <x:v>night_base, elem_水, elem_草, elem_雷, role_召唤, role_输出, special_merchant, role_抗压承伤</x:v>
      </x:c>
      <x:c r="M153" s="38" t="str">
        <x:v>Icy</x:v>
      </x:c>
      <x:c r="N153" s="38" t="str">
        <x:v>pal_152</x:v>
      </x:c>
      <x:c r="O153" s="38" t="str">
        <x:v>鸣鳗王</x:v>
      </x:c>
      <x:c r="P153" s="38" t="str">
        <x:v>https://bazaar-builds.net/db/skills/bullet-time.html</x:v>
      </x:c>
      <x:c r="Q153" s="38" t="str">
        <x:v>the first 4 → 8 times you use an ammo item each fight, slow an item for 1 second.</x:v>
      </x:c>
      <x:c r="R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n">
        <x:v>8</x:v>
      </x:c>
      <x:c r="L154" s="38" t="str">
        <x:v>night_base, elem_火, elem_水, elem_雷, elem_暗, role_经济, role_机动, role_机动压制</x:v>
      </x:c>
      <x:c r="M154" s="38" t="str">
        <x:v>Turbo</x:v>
      </x:c>
      <x:c r="N154" s="38" t="str">
        <x:v>pal_153</x:v>
      </x:c>
      <x:c r="O154" s="38" t="str">
        <x:v>震狐卫</x:v>
      </x:c>
      <x:c r="P154" s="38" t="str">
        <x:v>https://bazaar-builds.net/db/skills/captain-s-charge.html</x:v>
      </x:c>
      <x:c r="Q154" s="38" t="str">
        <x:v>the first time you use a large item each fight, haste 2 / 3 / 4 items for 3 seconds.</x:v>
      </x:c>
      <x:c r="R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n">
        <x:v>8</x:v>
      </x:c>
      <x:c r="L155" s="38" t="str">
        <x:v>night_base, elem_火, elem_水, elem_雷, role_控制, role_治疗, role_机动, role_机动压制</x:v>
      </x:c>
      <x:c r="M155" s="38" t="str">
        <x:v>Fiery</x:v>
      </x:c>
      <x:c r="N155" s="38" t="str">
        <x:v>pal_154</x:v>
      </x:c>
      <x:c r="O155" s="38" t="str">
        <x:v>朱蛛将</x:v>
      </x:c>
      <x:c r="P155" s="38" t="str">
        <x:v>https://bazaar-builds.net/db/skills/chemical-fire.html</x:v>
      </x:c>
      <x:c r="Q155" s="38" t="str">
        <x:v>your burn items have +2 / 4 / 6 burn. your poison items have +2 / 4 / 6 poison.</x:v>
      </x:c>
      <x:c r="R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n">
        <x:v>8</x:v>
      </x:c>
      <x:c r="L156" s="38" t="str">
        <x:v>night_base, elem_水, elem_冰, role_召唤, role_控制, role_输出, tier_pT3, role_风系牵制</x:v>
      </x:c>
      <x:c r="M156" s="38" t="str">
        <x:v>Deadly</x:v>
      </x:c>
      <x:c r="N156" s="38" t="str">
        <x:v>pal_155</x:v>
      </x:c>
      <x:c r="O156" s="38" t="str">
        <x:v>沧鲤祖</x:v>
      </x:c>
      <x:c r="P156" s="38" t="str">
        <x:v>https://bazaar-builds.net/db/skills/circle-of-life.html</x:v>
      </x:c>
      <x:c r="Q156" s="38" t="str">
        <x:v>your leftmost weapon has lifesteal.</x:v>
      </x:c>
      <x:c r="R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n">
        <x:v>8</x:v>
      </x:c>
      <x:c r="L157" s="38" t="str">
        <x:v>night_base, elem_水, elem_草, elem_雷, elem_冰, role_控制, tier_pT1, role_远点压制</x:v>
      </x:c>
      <x:c r="M157" s="38" t="str">
        <x:v>Turbo</x:v>
      </x:c>
      <x:c r="N157" s="38" t="str">
        <x:v>pal_156</x:v>
      </x:c>
      <x:c r="O157" s="38" t="str">
        <x:v>角马王</x:v>
      </x:c>
      <x:c r="P157" s="38" t="str">
        <x:v>https://bazaar-builds.net/db/skills/command-ship.html</x:v>
      </x:c>
      <x:c r="Q157" s="38" t="str">
        <x:v>if you have a vehicle, your non-vehicle items' cooldowns are reduced by 5 → 10%.</x:v>
      </x:c>
      <x:c r="R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n">
        <x:v>8</x:v>
      </x:c>
      <x:c r="L158" s="38" t="str">
        <x:v>night_base, elem_火, elem_水, elem_雷, elem_龙, role_控制, role_经济, role_召唤铺场</x:v>
      </x:c>
      <x:c r="M158" s="38" t="str">
        <x:v>Fiery</x:v>
      </x:c>
      <x:c r="N158" s="38" t="str">
        <x:v>pal_157</x:v>
      </x:c>
      <x:c r="O158" s="38" t="str">
        <x:v>焰鹰妖</x:v>
      </x:c>
      <x:c r="P158" s="38" t="str">
        <x:v>https://bazaar-builds.net/db/skills/conflagration.html</x:v>
      </x:c>
      <x:c r="Q158" s="38" t="str">
        <x:v>when you use an item with burn, that item gains 1 / 2 / 3 burn for the fight.</x:v>
      </x:c>
      <x:c r="R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n">
        <x:v>8</x:v>
      </x:c>
      <x:c r="L159" s="38" t="str">
        <x:v>night_base, elem_水, elem_草, elem_雷, elem_无, role_召唤, role_经济, role_重甲抗压</x:v>
      </x:c>
      <x:c r="M159" s="38" t="str">
        <x:v>Turbo</x:v>
      </x:c>
      <x:c r="N159" s="38" t="str">
        <x:v>pal_158</x:v>
      </x:c>
      <x:c r="O159" s="38" t="str">
        <x:v>澜蜂尊</x:v>
      </x:c>
      <x:c r="P159" s="38" t="str">
        <x:v>https://bazaar-builds.net/db/skills/crashing-waves.html</x:v>
      </x:c>
      <x:c r="Q159" s="38" t="str">
        <x:v>the first 5 → 10 times you use an aquatic item each fight, haste a weapon for 1 second.</x:v>
      </x:c>
      <x:c r="R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n">
        <x:v>8</x:v>
      </x:c>
      <x:c r="L160" s="38" t="str">
        <x:v>night_base, elem_火, elem_水, elem_雷, elem_冰, role_坦克, role_控制, role_输出</x:v>
      </x:c>
      <x:c r="M160" s="38" t="str">
        <x:v>Icy</x:v>
      </x:c>
      <x:c r="N160" s="38" t="str">
        <x:v>pal_159</x:v>
      </x:c>
      <x:c r="O160" s="38" t="str">
        <x:v>凝鳗卫</x:v>
      </x:c>
      <x:c r="P160" s="38" t="str">
        <x:v>https://bazaar-builds.net/db/skills/creeping-chill.html</x:v>
      </x:c>
      <x:c r="Q160" s="38" t="str">
        <x:v>the first time you slow each fight, freeze an item for 2 / 3 / 4 seconds.</x:v>
      </x:c>
      <x:c r="R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n">
        <x:v>8</x:v>
      </x:c>
      <x:c r="L161" s="38" t="str">
        <x:v>night_base, elem_水, elem_雷, elem_地, role_治疗, role_输出, role_经济, tier_pT2</x:v>
      </x:c>
      <x:c r="M161" s="38" t="str">
        <x:v>Icy</x:v>
      </x:c>
      <x:c r="N161" s="38" t="str">
        <x:v>pal_160</x:v>
      </x:c>
      <x:c r="O161" s="38" t="str">
        <x:v>青鳗君</x:v>
      </x:c>
      <x:c r="P161" s="38" t="str">
        <x:v>https://bazaar-builds.net/db/skills/creeping-toxins.html</x:v>
      </x:c>
      <x:c r="Q161" s="38" t="str">
        <x:v>the first 4 → 8 times you slow each fight, charge a poison item 1 second.</x:v>
      </x:c>
      <x:c r="R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n">
        <x:v>8</x:v>
      </x:c>
      <x:c r="L162" s="38" t="str">
        <x:v>night_base, elem_火, elem_水, elem_草, elem_雷, elem_冰, role_召唤, role_远点压制</x:v>
      </x:c>
      <x:c r="M162" s="38" t="str">
        <x:v>Deadly</x:v>
      </x:c>
      <x:c r="N162" s="38" t="str">
        <x:v>pal_161</x:v>
      </x:c>
      <x:c r="O162" s="38" t="str">
        <x:v>电鹰童</x:v>
      </x:c>
      <x:c r="P162" s="38" t="str">
        <x:v>https://bazaar-builds.net/db/skills/deadly-eye.html</x:v>
      </x:c>
      <x:c r="Q162" s="38" t="str">
        <x:v>your weapons have +5 / 10 / 15 / 20% crit chance.</x:v>
      </x:c>
      <x:c r="R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n">
        <x:v>8</x:v>
      </x:c>
      <x:c r="L163" s="38" t="str">
        <x:v>night_base, elem_火, elem_水, elem_草, elem_雷, role_召唤, tier_pT1, role_远点压制</x:v>
      </x:c>
      <x:c r="M163" s="38" t="str">
        <x:v>Deadly</x:v>
      </x:c>
      <x:c r="N163" s="38" t="str">
        <x:v>pal_162</x:v>
      </x:c>
      <x:c r="O163" s="38" t="str">
        <x:v>澜鲨童</x:v>
      </x:c>
      <x:c r="P163" s="38" t="str">
        <x:v>https://bazaar-builds.net/db/skills/deadly-waters.html</x:v>
      </x:c>
      <x:c r="Q163" s="38" t="str">
        <x:v>your aquatic weapons deal +10 / 20 / 30 / 40 damage.</x:v>
      </x:c>
      <x:c r="R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n">
        <x:v>8</x:v>
      </x:c>
      <x:c r="L164" s="38" t="str">
        <x:v>night_base, elem_火, elem_水, elem_雷, role_召唤, tier_pT1, tier_pT2, role_远点压制</x:v>
      </x:c>
      <x:c r="M164" s="38" t="str">
        <x:v>Shielded</x:v>
      </x:c>
      <x:c r="N164" s="38" t="str">
        <x:v>pal_163</x:v>
      </x:c>
      <x:c r="O164" s="38" t="str">
        <x:v>石甲将</x:v>
      </x:c>
      <x:c r="P164" s="38" t="str">
        <x:v>https://bazaar-builds.net/db/skills/defensive-stance.html</x:v>
      </x:c>
      <x:c r="Q164" s="38" t="str">
        <x:v>when you use a weapon, your shield items gain 3 / 6 / 9 shield for the fight.</x:v>
      </x:c>
      <x:c r="R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n">
        <x:v>8</x:v>
      </x:c>
      <x:c r="L165" s="38" t="str">
        <x:v>night_base, elem_水, elem_草, elem_雷, role_控制, role_治疗, role_召唤铺场, role_火系压制</x:v>
      </x:c>
      <x:c r="M165" s="38" t="str">
        <x:v>Fiery</x:v>
      </x:c>
      <x:c r="N165" s="38" t="str">
        <x:v>pal_164</x:v>
      </x:c>
      <x:c r="O165" s="38" t="str">
        <x:v>朱蛛侯</x:v>
      </x:c>
      <x:c r="P165" s="38" t="str">
        <x:v>https://bazaar-builds.net/db/skills/denizens-of-the-deep.html</x:v>
      </x:c>
      <x:c r="Q165" s="38" t="str">
        <x:v>the first 4 → 8 times you use an aquatic friend each fight, poison 5 and burn 5.</x:v>
      </x:c>
      <x:c r="R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n">
        <x:v>8</x:v>
      </x:c>
      <x:c r="L166" s="38" t="str">
        <x:v>night_base, elem_水, elem_草, elem_雷, elem_暗, role_召唤, special_merchant, role_机动压制</x:v>
      </x:c>
      <x:c r="M166" s="38" t="str">
        <x:v>Turbo</x:v>
      </x:c>
      <x:c r="N166" s="38" t="str">
        <x:v>pal_165</x:v>
      </x:c>
      <x:c r="O166" s="38" t="str">
        <x:v>渊猿王</x:v>
      </x:c>
      <x:c r="P166" s="38" t="str">
        <x:v>https://bazaar-builds.net/db/skills/depth-charge.html</x:v>
      </x:c>
      <x:c r="Q166" s="38" t="str">
        <x:v>if you have exactly one weapon, it has +5 → 10 max ammo. ...if it is also aquatic, it has +25 → 50 damage.</x:v>
      </x:c>
      <x:c r="R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n">
        <x:v>8</x:v>
      </x:c>
      <x:c r="L167" s="38" t="str">
        <x:v>night_base, elem_水, elem_暗, elem_无, role_输出, role_机动, tier_pT3, role_机动压制</x:v>
      </x:c>
      <x:c r="M167" s="38" t="str">
        <x:v>Fiery</x:v>
      </x:c>
      <x:c r="N167" s="38" t="str">
        <x:v>pal_166</x:v>
      </x:c>
      <x:c r="O167" s="38" t="str">
        <x:v>焰蚌圣</x:v>
      </x:c>
      <x:c r="P167" s="38" t="str">
        <x:v>https://bazaar-builds.net/db/skills/desperate-cleanse.html</x:v>
      </x:c>
      <x:c r="Q167" s="38" t="str">
        <x:v>the first time you fall below half health each fight, remove freeze and slow from your items and cleanse half your burn and poison.</x:v>
      </x:c>
      <x:c r="R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n">
        <x:v>8</x:v>
      </x:c>
      <x:c r="L168" s="38" t="str">
        <x:v>night_base, elem_火, elem_水, elem_雷, elem_冰, elem_龙, special_merchant, role_抗压承伤</x:v>
      </x:c>
      <x:c r="M168" s="38" t="str">
        <x:v>Restorative</x:v>
      </x:c>
      <x:c r="N168" s="38" t="str">
        <x:v>pal_167</x:v>
      </x:c>
      <x:c r="O168" s="38" t="str">
        <x:v>渊兔妖</x:v>
      </x:c>
      <x:c r="P168" s="38" t="str">
        <x:v>https://bazaar-builds.net/db/skills/desperate-strike.html</x:v>
      </x:c>
      <x:c r="Q168" s="38" t="str">
        <x:v>while you have less health than your enemy, your items have +20 / 40 / 60% crit chance.</x:v>
      </x:c>
      <x:c r="R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n">
        <x:v>8</x:v>
      </x:c>
      <x:c r="L169" s="38" t="str">
        <x:v>night_base, elem_火, elem_水, elem_龙, role_召唤, role_经济, role_召唤铺场, role_火系压制</x:v>
      </x:c>
      <x:c r="M169" s="38" t="str">
        <x:v>Restorative</x:v>
      </x:c>
      <x:c r="N169" s="38" t="str">
        <x:v>pal_168</x:v>
      </x:c>
      <x:c r="O169" s="38" t="str">
        <x:v>澜兔祖</x:v>
      </x:c>
      <x:c r="P169" s="38" t="str">
        <x:v>https://bazaar-builds.net/db/skills/double-down.html</x:v>
      </x:c>
      <x:c r="Q169" s="38" t="str">
        <x:v>the first time you fall below half health each fight, double the damage of your leftmost weapon for the fight.</x:v>
      </x:c>
      <x:c r="R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n">
        <x:v>8</x:v>
      </x:c>
      <x:c r="L170" s="38" t="str">
        <x:v>night_base, elem_火, elem_水, elem_雷, role_召唤, role_控制, special_merchant, role_抗压承伤</x:v>
      </x:c>
      <x:c r="M170" s="38" t="str">
        <x:v>Fiery</x:v>
      </x:c>
      <x:c r="N170" s="38" t="str">
        <x:v>pal_169</x:v>
      </x:c>
      <x:c r="O170" s="38" t="str">
        <x:v>朱鹤将</x:v>
      </x:c>
      <x:c r="P170" s="38" t="str">
        <x:v>https://bazaar-builds.net/db/skills/emergency-burn.html</x:v>
      </x:c>
      <x:c r="Q170" s="38" t="str">
        <x:v>the first time you fall below half health each fight, burn 20 / 30 / 40.</x:v>
      </x:c>
      <x:c r="R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n">
        <x:v>8</x:v>
      </x:c>
      <x:c r="L171" s="38" t="str">
        <x:v>night_base, elem_火, elem_水, elem_雷, elem_冰, role_治疗, elite_high, role_重甲抗压</x:v>
      </x:c>
      <x:c r="M171" s="38" t="str">
        <x:v>Toxic</x:v>
      </x:c>
      <x:c r="N171" s="38" t="str">
        <x:v>pal_170</x:v>
      </x:c>
      <x:c r="O171" s="38" t="str">
        <x:v>青蝎卫</x:v>
      </x:c>
      <x:c r="P171" s="38" t="str">
        <x:v>https://bazaar-builds.net/db/skills/exposing-toxins.html</x:v>
      </x:c>
      <x:c r="Q171" s="38" t="str">
        <x:v>when you poison, your items gain +1 / 2 / 3% crit chance for the fight.</x:v>
      </x:c>
      <x:c r="R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n">
        <x:v>8</x:v>
      </x:c>
      <x:c r="L172" s="38" t="str">
        <x:v>night_base, elem_火, elem_水, elem_雷, elem_无, role_控制, elite_high, role_重甲抗压</x:v>
      </x:c>
      <x:c r="M172" s="38" t="str">
        <x:v>Fiery</x:v>
      </x:c>
      <x:c r="N172" s="38" t="str">
        <x:v>pal_171</x:v>
      </x:c>
      <x:c r="O172" s="38" t="str">
        <x:v>赤狼童</x:v>
      </x:c>
      <x:c r="P172" s="38" t="str">
        <x:v>https://bazaar-builds.net/db/skills/fiery.html</x:v>
      </x:c>
      <x:c r="Q172" s="38" t="str">
        <x:v>your burn items have +1 / 2 / 3 / 4 burn.</x:v>
      </x:c>
      <x:c r="R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n">
        <x:v>8</x:v>
      </x:c>
      <x:c r="L173" s="38" t="str">
        <x:v>night_base, elem_火, elem_水, elem_雷, elem_冰, role_控制, role_治疗, tier_pT1</x:v>
      </x:c>
      <x:c r="M173" s="38" t="str">
        <x:v>Toxic</x:v>
      </x:c>
      <x:c r="N173" s="38" t="str">
        <x:v>pal_172</x:v>
      </x:c>
      <x:c r="O173" s="38" t="str">
        <x:v>森蟒仔</x:v>
      </x:c>
      <x:c r="P173" s="38" t="str">
        <x:v>https://bazaar-builds.net/db/skills/final-dose.html</x:v>
      </x:c>
      <x:c r="Q173" s="38" t="str">
        <x:v>your rightmost poison item has +2 / 4 / 6 / 8 poison.</x:v>
      </x:c>
      <x:c r="R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n">
        <x:v>8</x:v>
      </x:c>
      <x:c r="L174" s="38" t="str">
        <x:v>night_base, elem_火, elem_水, elem_雷, elem_冰, role_控制, tier_pT1, role_远点压制</x:v>
      </x:c>
      <x:c r="M174" s="38" t="str">
        <x:v>Fiery</x:v>
      </x:c>
      <x:c r="N174" s="38" t="str">
        <x:v>pal_173</x:v>
      </x:c>
      <x:c r="O174" s="38" t="str">
        <x:v>燎鹰兽</x:v>
      </x:c>
      <x:c r="P174" s="38" t="str">
        <x:v>https://bazaar-builds.net/db/skills/final-flame.html</x:v>
      </x:c>
      <x:c r="Q174" s="38" t="str">
        <x:v>your rightmost burn item has +2 / 4 / 6 / 8 burn.</x:v>
      </x:c>
      <x:c r="R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n">
        <x:v>8</x:v>
      </x:c>
      <x:c r="L175" s="38" t="str">
        <x:v>night_base, elem_火, elem_水, elem_雷, elem_无, role_控制, role_机动, role_机动压制</x:v>
      </x:c>
      <x:c r="M175" s="38" t="str">
        <x:v>Fiery</x:v>
      </x:c>
      <x:c r="N175" s="38" t="str">
        <x:v>pal_174</x:v>
      </x:c>
      <x:c r="O175" s="38" t="str">
        <x:v>焰狼将</x:v>
      </x:c>
      <x:c r="P175" s="38" t="str">
        <x:v>https://bazaar-builds.net/db/skills/first-flames.html</x:v>
      </x:c>
      <x:c r="Q175" s="38" t="str">
        <x:v>the first time you use a large item each fight, burn 20 / 40 / 60.</x:v>
      </x:c>
      <x:c r="R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n">
        <x:v>8</x:v>
      </x:c>
      <x:c r="L176" s="38" t="str">
        <x:v>night_base, elem_水, elem_草, elem_雷, elem_冰, role_召唤, special_merchant, role_远点压制</x:v>
      </x:c>
      <x:c r="M176" s="38" t="str">
        <x:v>Deadly</x:v>
      </x:c>
      <x:c r="N176" s="38" t="str">
        <x:v>pal_175</x:v>
      </x:c>
      <x:c r="O176" s="38" t="str">
        <x:v>电豹尊</x:v>
      </x:c>
      <x:c r="P176" s="38" t="str">
        <x:v>https://bazaar-builds.net/db/skills/first-strike.html</x:v>
      </x:c>
      <x:c r="Q176" s="38" t="str">
        <x:v>your items have +75 → 100% crit chance. when you use an item, all your items lose 10% crit chance for the fight.</x:v>
      </x:c>
      <x:c r="R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n">
        <x:v>8</x:v>
      </x:c>
      <x:c r="L177" s="38" t="str">
        <x:v>night_base, elem_火, elem_水, elem_雷, elem_冰, role_输出, tier_pT3, role_风系牵制</x:v>
      </x:c>
      <x:c r="M177" s="38" t="str">
        <x:v>Deadly</x:v>
      </x:c>
      <x:c r="N177" s="38" t="str">
        <x:v>pal_176</x:v>
      </x:c>
      <x:c r="O177" s="38" t="str">
        <x:v>电螳精</x:v>
      </x:c>
      <x:c r="P177" s="38" t="str">
        <x:v>https://bazaar-builds.net/db/skills/flanking-criticals.html</x:v>
      </x:c>
      <x:c r="Q177" s="38" t="str">
        <x:v>the first time you use a large item each fight, adjacent items gain 20 / 40 / 60% crit chance for the fight.</x:v>
      </x:c>
      <x:c r="R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n">
        <x:v>8</x:v>
      </x:c>
      <x:c r="L178" s="38" t="str">
        <x:v>night_base, elem_火, elem_水, elem_雷, elem_冰, elem_暗, role_输出, tier_pT3</x:v>
      </x:c>
      <x:c r="M178" s="38" t="str">
        <x:v>Deadly</x:v>
      </x:c>
      <x:c r="N178" s="38" t="str">
        <x:v>pal_177</x:v>
      </x:c>
      <x:c r="O178" s="38" t="str">
        <x:v>霆狼卫</x:v>
      </x:c>
      <x:c r="P178" s="38" t="str">
        <x:v>https://bazaar-builds.net/db/skills/flashy-mechanic.html</x:v>
      </x:c>
      <x:c r="Q178" s="38" t="str">
        <x:v>when you use a tool, items adjacent to it gain 3 / 6 / 9% crit chance.</x:v>
      </x:c>
      <x:c r="R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n">
        <x:v>8</x:v>
      </x:c>
      <x:c r="L179" s="38" t="str">
        <x:v>night_base, elem_火, elem_水, elem_雷, elem_冰, elem_地, role_治疗, role_火系压制</x:v>
      </x:c>
      <x:c r="M179" s="38" t="str">
        <x:v>Deadly</x:v>
      </x:c>
      <x:c r="N179" s="38" t="str">
        <x:v>pal_178</x:v>
      </x:c>
      <x:c r="O179" s="38" t="str">
        <x:v>闪鲲妖</x:v>
      </x:c>
      <x:c r="P179" s="38" t="str">
        <x:v>https://bazaar-builds.net/db/skills/flashy-pilot.html</x:v>
      </x:c>
      <x:c r="Q179" s="38" t="str">
        <x:v>when you use a vehicle, your items gain 3 / 6 / 9% crit chance.</x:v>
      </x:c>
      <x:c r="R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n">
        <x:v>8</x:v>
      </x:c>
      <x:c r="L180" s="38" t="str">
        <x:v>night_base, elem_水, elem_雷, elem_冰, elem_地, special_merchant, role_召唤铺场, role_火系压制</x:v>
      </x:c>
      <x:c r="M180" s="38" t="str">
        <x:v>Deadly</x:v>
      </x:c>
      <x:c r="N180" s="38" t="str">
        <x:v>pal_179</x:v>
      </x:c>
      <x:c r="O180" s="38" t="str">
        <x:v>震鹰王</x:v>
      </x:c>
      <x:c r="P180" s="38" t="str">
        <x:v>https://bazaar-builds.net/db/skills/flashy-reload.html</x:v>
      </x:c>
      <x:c r="Q180" s="38" t="str">
        <x:v>the first 3 → 6 times you crit each fight, reload another item.</x:v>
      </x:c>
      <x:c r="R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n">
        <x:v>8</x:v>
      </x:c>
      <x:c r="L181" s="38" t="str">
        <x:v>night_base, elem_水, elem_草, elem_雷, role_召唤, role_经济, role_召唤铺场, role_火系压制</x:v>
      </x:c>
      <x:c r="M181" s="38" t="str">
        <x:v>Turbo</x:v>
      </x:c>
      <x:c r="N181" s="38" t="str">
        <x:v>pal_180</x:v>
      </x:c>
      <x:c r="O181" s="38" t="str">
        <x:v>鸣马王</x:v>
      </x:c>
      <x:c r="P181" s="38" t="str">
        <x:v>https://bazaar-builds.net/db/skills/flurry-of-blows.html</x:v>
      </x:c>
      <x:c r="Q181" s="38" t="str">
        <x:v>the first 4 → 8 times you use a weapon each fight, charge an item 1 second.</x:v>
      </x:c>
      <x:c r="R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n">
        <x:v>8</x:v>
      </x:c>
      <x:c r="L182" s="38" t="str">
        <x:v>night_base, elem_水, elem_草, elem_冰, elem_暗, role_输出, role_机动, role_机动压制</x:v>
      </x:c>
      <x:c r="M182" s="38" t="str">
        <x:v>Restorative</x:v>
      </x:c>
      <x:c r="N182" s="38" t="str">
        <x:v>pal_181</x:v>
      </x:c>
      <x:c r="O182" s="38" t="str">
        <x:v>碧兔神</x:v>
      </x:c>
      <x:c r="P182" s="38" t="str">
        <x:v>https://bazaar-builds.net/db/skills/focused-rage.html</x:v>
      </x:c>
      <x:c r="Q182" s="38" t="str">
        <x:v>the first time you fall below half health each fight, your items gain +50% crit chance for the fight.</x:v>
      </x:c>
      <x:c r="R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n">
        <x:v>8</x:v>
      </x:c>
      <x:c r="L183" s="38" t="str">
        <x:v>night_base, elem_水, elem_草, elem_地, role_治疗, tier_pT2, role_风系铺场, role_火系压制</x:v>
      </x:c>
      <x:c r="M183" s="38" t="str">
        <x:v>Radiant</x:v>
      </x:c>
      <x:c r="N183" s="38" t="str">
        <x:v>pal_182</x:v>
      </x:c>
      <x:c r="O183" s="38" t="str">
        <x:v>渊蚁皇</x:v>
      </x:c>
      <x:c r="P183" s="38" t="str">
        <x:v>https://bazaar-builds.net/db/skills/friend-of-the-sea.html</x:v>
      </x:c>
      <x:c r="Q183" s="38" t="str">
        <x:v>your aquatic items are friends.</x:v>
      </x:c>
      <x:c r="R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n">
        <x:v>8</x:v>
      </x:c>
      <x:c r="L184" s="38" t="str">
        <x:v>night_base, elem_火, elem_水, elem_雷, role_坦克, elite_high, tier_pT2, role_重甲抗压</x:v>
      </x:c>
      <x:c r="M184" s="38" t="str">
        <x:v>Shielded</x:v>
      </x:c>
      <x:c r="N184" s="38" t="str">
        <x:v>pal_183</x:v>
      </x:c>
      <x:c r="O184" s="38" t="str">
        <x:v>垒牦灵</x:v>
      </x:c>
      <x:c r="P184" s="38" t="str">
        <x:v>https://bazaar-builds.net/db/skills/frontal-shielding.html</x:v>
      </x:c>
      <x:c r="Q184" s="38" t="str">
        <x:v>your leftmost shield item has +10 / 20 / 30 / 40 shield.</x:v>
      </x:c>
      <x:c r="R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n">
        <x:v>8</x:v>
      </x:c>
      <x:c r="L185" s="38" t="str">
        <x:v>night_base, elem_火, elem_水, elem_雷, elem_暗, role_召唤, role_输出, special_merchant</x:v>
      </x:c>
      <x:c r="M185" s="38" t="str">
        <x:v>Deadly</x:v>
      </x:c>
      <x:c r="N185" s="38" t="str">
        <x:v>pal_184</x:v>
      </x:c>
      <x:c r="O185" s="38" t="str">
        <x:v>雷鹰将</x:v>
      </x:c>
      <x:c r="P185" s="38" t="str">
        <x:v>https://bazaar-builds.net/db/skills/frontline-logistics.html</x:v>
      </x:c>
      <x:c r="Q185" s="38" t="str">
        <x:v>when you use an ammo item, your weapons gain +3 / 6 / 9 damage for the fight.</x:v>
      </x:c>
      <x:c r="R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n">
        <x:v>8</x:v>
      </x:c>
      <x:c r="L186" s="38" t="str">
        <x:v>night_base, elem_火, elem_水, elem_雷, role_坦克, role_控制, role_经济, role_召唤铺场</x:v>
      </x:c>
      <x:c r="M186" s="38" t="str">
        <x:v>Fiery</x:v>
      </x:c>
      <x:c r="N186" s="38" t="str">
        <x:v>pal_185</x:v>
      </x:c>
      <x:c r="O186" s="38" t="str">
        <x:v>烬鳗将</x:v>
      </x:c>
      <x:c r="P186" s="38" t="str">
        <x:v>https://bazaar-builds.net/db/skills/frostfire.html</x:v>
      </x:c>
      <x:c r="Q186" s="38" t="str">
        <x:v>the first time you burn each fight, freeze an item for 2 / 3 / 4 seconds.</x:v>
      </x:c>
      <x:c r="R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n">
        <x:v>8</x:v>
      </x:c>
      <x:c r="L187" s="38" t="str">
        <x:v>night_base, elem_水, elem_草, elem_暗, role_召唤, role_输出, tier_pT3, role_机动压制</x:v>
      </x:c>
      <x:c r="M187" s="38" t="str">
        <x:v>Deadly</x:v>
      </x:c>
      <x:c r="N187" s="38" t="str">
        <x:v>pal_186</x:v>
      </x:c>
      <x:c r="O187" s="38" t="str">
        <x:v>角豹神</x:v>
      </x:c>
      <x:c r="P187" s="38" t="str">
        <x:v>https://bazaar-builds.net/db/skills/glass-cannon.html</x:v>
      </x:c>
      <x:c r="Q187" s="38" t="str">
        <x:v>all weapons have double damage.</x:v>
      </x:c>
      <x:c r="R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n">
        <x:v>8</x:v>
      </x:c>
      <x:c r="L188" s="38" t="str">
        <x:v>night_base, elem_火, elem_水, elem_雷, elem_地, role_治疗, special_merchant, tier_pT2</x:v>
      </x:c>
      <x:c r="M188" s="38" t="str">
        <x:v>Deadly</x:v>
      </x:c>
      <x:c r="N188" s="38" t="str">
        <x:v>pal_187</x:v>
      </x:c>
      <x:c r="O188" s="38" t="str">
        <x:v>雷鹰卫</x:v>
      </x:c>
      <x:c r="P188" s="38" t="str">
        <x:v>https://bazaar-builds.net/db/skills/gunner.html</x:v>
      </x:c>
      <x:c r="Q188" s="38" t="str">
        <x:v>your items have +1 / 2 / 3 max ammo.</x:v>
      </x:c>
      <x:c r="R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n">
        <x:v>8</x:v>
      </x:c>
      <x:c r="L189" s="38" t="str">
        <x:v>night_base, elem_火, elem_水, elem_雷, elem_暗, role_输出, tier_pT2, tier_pT3</x:v>
      </x:c>
      <x:c r="M189" s="38" t="str">
        <x:v>Shielded</x:v>
      </x:c>
      <x:c r="N189" s="38" t="str">
        <x:v>pal_188</x:v>
      </x:c>
      <x:c r="O189" s="38" t="str">
        <x:v>岩獒精</x:v>
      </x:c>
      <x:c r="P189" s="38" t="str">
        <x:v>https://bazaar-builds.net/db/skills/hardened-shield.html</x:v>
      </x:c>
      <x:c r="Q189" s="38" t="str">
        <x:v>your shield items have +10 / 20 / 30 shield for each weapon your enemy has.</x:v>
      </x:c>
      <x:c r="R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n">
        <x:v>8</x:v>
      </x:c>
      <x:c r="L190" s="38" t="str">
        <x:v>night_base, elem_火, elem_水, elem_草, role_召唤, special_merchant, elite_high, role_抗压承伤</x:v>
      </x:c>
      <x:c r="M190" s="38" t="str">
        <x:v>Fiery</x:v>
      </x:c>
      <x:c r="N190" s="38" t="str">
        <x:v>pal_189</x:v>
      </x:c>
      <x:c r="O190" s="38" t="str">
        <x:v>烬鹿祖</x:v>
      </x:c>
      <x:c r="P190" s="38" t="str">
        <x:v>https://bazaar-builds.net/db/skills/healthy-heart.html</x:v>
      </x:c>
      <x:c r="Q190" s="38" t="str">
        <x:v>the first time you fall below half health each fight, heal equal to 30% of your max health and cleanse half your burn and poison.</x:v>
      </x:c>
      <x:c r="R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n">
        <x:v>8</x:v>
      </x:c>
      <x:c r="L191" s="38" t="str">
        <x:v>night_base, elem_火, elem_水, elem_雷, elem_无, role_经济, elite_high, role_重甲抗压</x:v>
      </x:c>
      <x:c r="M191" s="38" t="str">
        <x:v>Turbo</x:v>
      </x:c>
      <x:c r="N191" s="38" t="str">
        <x:v>pal_190</x:v>
      </x:c>
      <x:c r="O191" s="38" t="str">
        <x:v>潮鹤精</x:v>
      </x:c>
      <x:c r="P191" s="38" t="str">
        <x:v>https://bazaar-builds.net/db/skills/healthy-jolt.html</x:v>
      </x:c>
      <x:c r="Q191" s="38" t="str">
        <x:v>the first time you over-heal each fight, haste your items for 1 / 2 / 3 seconds.</x:v>
      </x:c>
      <x:c r="R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n">
        <x:v>8</x:v>
      </x:c>
      <x:c r="L192" s="38" t="str">
        <x:v>night_base, elem_火, elem_水, elem_雷, role_控制, special_merchant, tier_pT2, role_风系铺场</x:v>
      </x:c>
      <x:c r="M192" s="38" t="str">
        <x:v>Fiery</x:v>
      </x:c>
      <x:c r="N192" s="38" t="str">
        <x:v>pal_191</x:v>
      </x:c>
      <x:c r="O192" s="38" t="str">
        <x:v>焰豹将</x:v>
      </x:c>
      <x:c r="P192" s="38" t="str">
        <x:v>https://bazaar-builds.net/db/skills/heated-shells.html</x:v>
      </x:c>
      <x:c r="Q192" s="38" t="str">
        <x:v>the first 4 / 8 / 12 times you use an ammo item each fight, burn 5.</x:v>
      </x:c>
      <x:c r="R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n">
        <x:v>8</x:v>
      </x:c>
      <x:c r="L193" s="38" t="str">
        <x:v>night_base, elem_火, elem_水, elem_雷, elem_龙, role_召唤, role_经济, role_抗压承伤</x:v>
      </x:c>
      <x:c r="M193" s="38" t="str">
        <x:v>Fiery</x:v>
      </x:c>
      <x:c r="N193" s="38" t="str">
        <x:v>pal_192</x:v>
      </x:c>
      <x:c r="O193" s="38" t="str">
        <x:v>赤鼋妖</x:v>
      </x:c>
      <x:c r="P193" s="38" t="str">
        <x:v>https://bazaar-builds.net/db/skills/heavy-firepower.html</x:v>
      </x:c>
      <x:c r="Q193" s="38" t="str">
        <x:v>if you have 5 or fewer items, your weapons have +25 / 50 / 75 damage.</x:v>
      </x:c>
      <x:c r="R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n">
        <x:v>8</x:v>
      </x:c>
      <x:c r="L194" s="38" t="str">
        <x:v>night_base, elem_火, elem_水, elem_雷, elem_冰, elem_地, role_召唤, role_治疗</x:v>
      </x:c>
      <x:c r="M194" s="38" t="str">
        <x:v>Deadly</x:v>
      </x:c>
      <x:c r="N194" s="38" t="str">
        <x:v>pal_193</x:v>
      </x:c>
      <x:c r="O194" s="38" t="str">
        <x:v>雷狼卫</x:v>
      </x:c>
      <x:c r="P194" s="38" t="str">
        <x:v>https://bazaar-builds.net/db/skills/honed-arsenal.html</x:v>
      </x:c>
      <x:c r="Q194" s="38" t="str">
        <x:v>your items have +2 / 4 / 6% crit chance per weapon you have.</x:v>
      </x:c>
      <x:c r="R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n">
        <x:v>8</x:v>
      </x:c>
      <x:c r="L195" s="38" t="str">
        <x:v>night_base, elem_水, elem_雷, elem_冰, elem_龙, role_经济, role_召唤铺场, role_火系压制</x:v>
      </x:c>
      <x:c r="M195" s="38" t="str">
        <x:v>Deadly</x:v>
      </x:c>
      <x:c r="N195" s="38" t="str">
        <x:v>pal_194</x:v>
      </x:c>
      <x:c r="O195" s="38" t="str">
        <x:v>电虎侯</x:v>
      </x:c>
      <x:c r="P195" s="38" t="str">
        <x:v>https://bazaar-builds.net/db/skills/honed-strike.html</x:v>
      </x:c>
      <x:c r="Q195" s="38" t="str">
        <x:v>when you use an item, it gains +5 → 10% crit chance for the fight.</x:v>
      </x:c>
      <x:c r="R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n">
        <x:v>8</x:v>
      </x:c>
      <x:c r="L196" s="38" t="str">
        <x:v>night_base, elem_火, elem_水, elem_雷, elem_暗, role_控制, role_输出, role_机动压制</x:v>
      </x:c>
      <x:c r="M196" s="38" t="str">
        <x:v>Fiery</x:v>
      </x:c>
      <x:c r="N196" s="38" t="str">
        <x:v>pal_195</x:v>
      </x:c>
      <x:c r="O196" s="38" t="str">
        <x:v>燎狼将</x:v>
      </x:c>
      <x:c r="P196" s="38" t="str">
        <x:v>https://bazaar-builds.net/db/skills/hot-spot.html</x:v>
      </x:c>
      <x:c r="Q196" s="38" t="str">
        <x:v>the first 4 / 8 / 12 times you use your leftmost item each fight, burn 5.</x:v>
      </x:c>
      <x:c r="R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n">
        <x:v>8</x:v>
      </x:c>
      <x:c r="L197" s="38" t="str">
        <x:v>night_base, elem_水, elem_草, elem_雷, role_坦克, special_merchant, role_召唤铺场, role_火系压制</x:v>
      </x:c>
      <x:c r="M197" s="38" t="str">
        <x:v>Icy</x:v>
      </x:c>
      <x:c r="N197" s="38" t="str">
        <x:v>pal_196</x:v>
      </x:c>
      <x:c r="O197" s="38" t="str">
        <x:v>凛鳗王</x:v>
      </x:c>
      <x:c r="P197" s="38" t="str">
        <x:v>https://bazaar-builds.net/db/skills/ice-bullets.html</x:v>
      </x:c>
      <x:c r="Q197" s="38" t="str">
        <x:v>the first 3 → 6 times you freeze each fight, reload another item.</x:v>
      </x:c>
      <x:c r="R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n">
        <x:v>8</x:v>
      </x:c>
      <x:c r="L198" s="38" t="str">
        <x:v>night_base, elem_水, elem_暗, elem_无, role_召唤, role_输出, role_机动, role_机动压制</x:v>
      </x:c>
      <x:c r="M198" s="38" t="str">
        <x:v>Icy</x:v>
      </x:c>
      <x:c r="N198" s="38" t="str">
        <x:v>pal_197</x:v>
      </x:c>
      <x:c r="O198" s="38" t="str">
        <x:v>寒狐祖</x:v>
      </x:c>
      <x:c r="P198" s="38" t="str">
        <x:v>https://bazaar-builds.net/db/skills/ice-smasher.html</x:v>
      </x:c>
      <x:c r="Q198" s="38" t="str">
        <x:v>your leftmost item is affected by freeze for half as long. if you have exactly one weapon, all your items are affected by freeze for half as long instead.</x:v>
      </x:c>
      <x:c r="R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n">
        <x:v>8</x:v>
      </x:c>
      <x:c r="L199" s="38" t="str">
        <x:v>night_base, elem_火, elem_水, elem_雷, elem_龙, role_控制, role_经济, role_抗压承伤</x:v>
      </x:c>
      <x:c r="M199" s="38" t="str">
        <x:v>Fiery</x:v>
      </x:c>
      <x:c r="N199" s="38" t="str">
        <x:v>pal_198</x:v>
      </x:c>
      <x:c r="O199" s="38" t="str">
        <x:v>赤虎仔</x:v>
      </x:c>
      <x:c r="P199" s="38" t="str">
        <x:v>https://bazaar-builds.net/db/skills/immolating-spark.html</x:v>
      </x:c>
      <x:c r="Q199" s="38" t="str">
        <x:v>your leftmost burn item has +2 / 4 / 6 / 8 burn.</x:v>
      </x:c>
      <x:c r="R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n">
        <x:v>8</x:v>
      </x:c>
      <x:c r="L200" s="38" t="str">
        <x:v>night_base, elem_火, elem_水, elem_雷, elem_无, role_治疗, role_机动, role_重甲抗压</x:v>
      </x:c>
      <x:c r="M200" s="38" t="str">
        <x:v>Toxic</x:v>
      </x:c>
      <x:c r="N200" s="38" t="str">
        <x:v>pal_199</x:v>
      </x:c>
      <x:c r="O200" s="38" t="str">
        <x:v>藤貂仔</x:v>
      </x:c>
      <x:c r="P200" s="38" t="str">
        <x:v>https://bazaar-builds.net/db/skills/improved-toxins.html</x:v>
      </x:c>
      <x:c r="Q200" s="38" t="str">
        <x:v>your poison items have +1 / 2 / 3 / 4 poison.</x:v>
      </x:c>
      <x:c r="R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n">
        <x:v>8</x:v>
      </x:c>
      <x:c r="L201" s="38" t="str">
        <x:v>night_base, elem_水, elem_雷, elem_冰, role_控制, tier_pT1, tier_pT3, role_风系牵制</x:v>
      </x:c>
      <x:c r="M201" s="38" t="str">
        <x:v>Fiery</x:v>
      </x:c>
      <x:c r="N201" s="38" t="str">
        <x:v>pal_200</x:v>
      </x:c>
      <x:c r="O201" s="38" t="str">
        <x:v>烬豹侯</x:v>
      </x:c>
      <x:c r="P201" s="38" t="str">
        <x:v>https://bazaar-builds.net/db/skills/improvised-burn.html</x:v>
      </x:c>
      <x:c r="Q201" s="38" t="str">
        <x:v>when you crit, your burn items gain 2 → 4 burn for the fight.</x:v>
      </x:c>
      <x:c r="R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n">
        <x:v>8</x:v>
      </x:c>
      <x:c r="L202" s="38" t="str">
        <x:v>night_base, elem_火, elem_水, elem_草, elem_雷, elem_冰, role_控制, elite_high</x:v>
      </x:c>
      <x:c r="M202" s="38" t="str">
        <x:v>Restorative</x:v>
      </x:c>
      <x:c r="N202" s="38" t="str">
        <x:v>pal_201</x:v>
      </x:c>
      <x:c r="O202" s="38" t="str">
        <x:v>潮鸾卫</x:v>
      </x:c>
      <x:c r="P202" s="38" t="str">
        <x:v>https://bazaar-builds.net/db/skills/improvised-heal.html</x:v>
      </x:c>
      <x:c r="Q202" s="38" t="str">
        <x:v>when you crit, your heal items gain +10 / 20 / 30 heal for the fight.</x:v>
      </x:c>
      <x:c r="R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n">
        <x:v>8</x:v>
      </x:c>
      <x:c r="L203" s="38" t="str">
        <x:v>night_base, elem_水, elem_雷, elem_冰, elem_无, role_治疗, role_机动, role_机动压制</x:v>
      </x:c>
      <x:c r="M203" s="38" t="str">
        <x:v>Toxic</x:v>
      </x:c>
      <x:c r="N203" s="38" t="str">
        <x:v>pal_202</x:v>
      </x:c>
      <x:c r="O203" s="38" t="str">
        <x:v>苔狐侯</x:v>
      </x:c>
      <x:c r="P203" s="38" t="str">
        <x:v>https://bazaar-builds.net/db/skills/improvised-poison.html</x:v>
      </x:c>
      <x:c r="Q203" s="38" t="str">
        <x:v>when you crit, your poison items gain 2 → 4 poison for the fight.</x:v>
      </x:c>
      <x:c r="R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n">
        <x:v>8</x:v>
      </x:c>
      <x:c r="L204" s="38" t="str">
        <x:v>night_base, elem_火, elem_水, elem_雷, elem_冰, elem_无, tier_pT2, role_重甲抗压</x:v>
      </x:c>
      <x:c r="M204" s="38" t="str">
        <x:v>Shielded</x:v>
      </x:c>
      <x:c r="N204" s="38" t="str">
        <x:v>pal_203</x:v>
      </x:c>
      <x:c r="O204" s="38" t="str">
        <x:v>霆熊卫</x:v>
      </x:c>
      <x:c r="P204" s="38" t="str">
        <x:v>https://bazaar-builds.net/db/skills/improvised-protection.html</x:v>
      </x:c>
      <x:c r="Q204" s="38" t="str">
        <x:v>when you crit, your shield items gain 5 / 10 / 15 shield for the fight.</x:v>
      </x:c>
      <x:c r="R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n">
        <x:v>8</x:v>
      </x:c>
      <x:c r="L205" s="38" t="str">
        <x:v>night_base, elem_火, elem_水, elem_雷, elem_冰, elem_地, role_召唤, role_火系压制</x:v>
      </x:c>
      <x:c r="M205" s="38" t="str">
        <x:v>Deadly</x:v>
      </x:c>
      <x:c r="N205" s="38" t="str">
        <x:v>pal_204</x:v>
      </x:c>
      <x:c r="O205" s="38" t="str">
        <x:v>闪鲨将</x:v>
      </x:c>
      <x:c r="P205" s="38" t="str">
        <x:v>https://bazaar-builds.net/db/skills/improvised-weaponry.html</x:v>
      </x:c>
      <x:c r="Q205" s="38" t="str">
        <x:v>when you crit, your weapons gain 5 / 10 / 15 damage for the fight.</x:v>
      </x:c>
      <x:c r="R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n">
        <x:v>8</x:v>
      </x:c>
      <x:c r="L206" s="38" t="str">
        <x:v>night_base, elem_火, elem_水, elem_草, elem_雷, elem_冰, elite_high, role_重甲抗压</x:v>
      </x:c>
      <x:c r="M206" s="38" t="str">
        <x:v>Deadly</x:v>
      </x:c>
      <x:c r="N206" s="38" t="str">
        <x:v>pal_205</x:v>
      </x:c>
      <x:c r="O206" s="38" t="str">
        <x:v>雷隼卫</x:v>
      </x:c>
      <x:c r="P206" s="38" t="str">
        <x:v>https://bazaar-builds.net/db/skills/inexorable.html</x:v>
      </x:c>
      <x:c r="Q206" s="38" t="str">
        <x:v>your items have +2% crit chance. when you start a fight, this gains +2 / 3 / 4% crit chance bonus.</x:v>
      </x:c>
      <x:c r="R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n">
        <x:v>8</x:v>
      </x:c>
      <x:c r="L207" s="38" t="str">
        <x:v>night_base, elem_火, elem_水, elem_雷, elem_无, role_坦克, elite_high, role_重甲抗压</x:v>
      </x:c>
      <x:c r="M207" s="38" t="str">
        <x:v>Icy</x:v>
      </x:c>
      <x:c r="N207" s="38" t="str">
        <x:v>pal_206</x:v>
      </x:c>
      <x:c r="O207" s="38" t="str">
        <x:v>霜狐卫</x:v>
      </x:c>
      <x:c r="P207" s="38" t="str">
        <x:v>https://bazaar-builds.net/db/skills/initial-chill.html</x:v>
      </x:c>
      <x:c r="Q207" s="38" t="str">
        <x:v>the first time you use a large item each fight, freeze an item for 3 / 4 / 5 seconds.</x:v>
      </x:c>
      <x:c r="R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n">
        <x:v>8</x:v>
      </x:c>
      <x:c r="L208" s="38" t="str">
        <x:v>night_base, elem_火, elem_水, elem_雷, elem_冰, role_控制, role_治疗, tier_pT1</x:v>
      </x:c>
      <x:c r="M208" s="38" t="str">
        <x:v>Toxic</x:v>
      </x:c>
      <x:c r="N208" s="38" t="str">
        <x:v>pal_207</x:v>
      </x:c>
      <x:c r="O208" s="38" t="str">
        <x:v>森蛇童</x:v>
      </x:c>
      <x:c r="P208" s="38" t="str">
        <x:v>https://bazaar-builds.net/db/skills/initial-dose.html</x:v>
      </x:c>
      <x:c r="Q208" s="38" t="str">
        <x:v>your leftmost poison item has +2 / 4 / 6 / 8 poison.</x:v>
      </x:c>
      <x:c r="R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n">
        <x:v>8</x:v>
      </x:c>
      <x:c r="L209" s="38" t="str">
        <x:v>night_base, elem_火, elem_水, elem_草, elem_雷, role_召唤, role_坦克, role_经济</x:v>
      </x:c>
      <x:c r="M209" s="38" t="str">
        <x:v>Icy</x:v>
      </x:c>
      <x:c r="N209" s="38" t="str">
        <x:v>pal_208</x:v>
      </x:c>
      <x:c r="O209" s="38" t="str">
        <x:v>冰蛙将</x:v>
      </x:c>
      <x:c r="P209" s="38" t="str">
        <x:v>https://bazaar-builds.net/db/skills/invigorating-cold.html</x:v>
      </x:c>
      <x:c r="Q209" s="38" t="str">
        <x:v>the first time you freeze each fight, haste 1 / 2 / 3 item(s) for 2 seconds.</x:v>
      </x:c>
      <x:c r="R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n">
        <x:v>8</x:v>
      </x:c>
      <x:c r="L210" s="38" t="str">
        <x:v>night_base, elem_火, elem_水, elem_草, elem_雷, role_召唤, tier_pT1, role_远点压制</x:v>
      </x:c>
      <x:c r="M210" s="38" t="str">
        <x:v>Golden</x:v>
      </x:c>
      <x:c r="N210" s="38" t="str">
        <x:v>pal_209</x:v>
      </x:c>
      <x:c r="O210" s="38" t="str">
        <x:v>夜貉精</x:v>
      </x:c>
      <x:c r="P210" s="38" t="str">
        <x:v>https://bazaar-builds.net/db/skills/iron-sharpens-iron.html</x:v>
      </x:c>
      <x:c r="Q210" s="38" t="str">
        <x:v>your leftmost weapon has +8 damage. when you buy a weapon, this gains +1 / 2 / 3 damage bonus.</x:v>
      </x:c>
      <x:c r="R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n">
        <x:v>8</x:v>
      </x:c>
      <x:c r="L211" s="38" t="str">
        <x:v>night_base, elem_火, elem_水, elem_雷, elem_冰, role_控制, tier_pT1, role_风系牵制</x:v>
      </x:c>
      <x:c r="M211" s="38" t="str">
        <x:v>Deadly</x:v>
      </x:c>
      <x:c r="N211" s="38" t="str">
        <x:v>pal_210</x:v>
      </x:c>
      <x:c r="O211" s="38" t="str">
        <x:v>震豹童</x:v>
      </x:c>
      <x:c r="P211" s="38" t="str">
        <x:v>https://bazaar-builds.net/db/skills/keen-eye.html</x:v>
      </x:c>
      <x:c r="Q211" s="38" t="str">
        <x:v>your items have +4 / 8 / 12 / 16% crit chance.</x:v>
      </x:c>
      <x:c r="R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n">
        <x:v>8</x:v>
      </x:c>
      <x:c r="L212" s="38" t="str">
        <x:v>night_base, elem_水, elem_雷, role_召唤, role_坦克, role_治疗, tier_pT2, role_风系铺场</x:v>
      </x:c>
      <x:c r="M212" s="38" t="str">
        <x:v>Turbo</x:v>
      </x:c>
      <x:c r="N212" s="38" t="str">
        <x:v>pal_211</x:v>
      </x:c>
      <x:c r="O212" s="38" t="str">
        <x:v>夜雀皇</x:v>
      </x:c>
      <x:c r="P212" s="38" t="str">
        <x:v>https://bazaar-builds.net/db/skills/knife-tricks.html</x:v>
      </x:c>
      <x:c r="Q212" s="38" t="str">
        <x:v>when you use a weapon, reduce its cooldown by 4% for the fight.</x:v>
      </x:c>
      <x:c r="R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n">
        <x:v>8</x:v>
      </x:c>
      <x:c r="L213" s="38" t="str">
        <x:v>night_base, elem_火, elem_水, elem_草, elem_雷, role_召唤, elite_high, role_远点压制</x:v>
      </x:c>
      <x:c r="M213" s="38" t="str">
        <x:v>Restorative</x:v>
      </x:c>
      <x:c r="N213" s="38" t="str">
        <x:v>pal_212</x:v>
      </x:c>
      <x:c r="O213" s="38" t="str">
        <x:v>沧鹤妖</x:v>
      </x:c>
      <x:c r="P213" s="38" t="str">
        <x:v>https://bazaar-builds.net/db/skills/large-appetites.html</x:v>
      </x:c>
      <x:c r="Q213" s="38" t="str">
        <x:v>if you have 5 or fewer items, you have +500 / 1000 / 2000 max health.</x:v>
      </x:c>
      <x:c r="R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n">
        <x:v>8</x:v>
      </x:c>
      <x:c r="L214" s="38" t="str">
        <x:v>night_base, elem_火, elem_水, elem_雷, elem_冰, elem_暗, role_机动, role_机动压制</x:v>
      </x:c>
      <x:c r="M214" s="38" t="str">
        <x:v>Deadly</x:v>
      </x:c>
      <x:c r="N214" s="38" t="str">
        <x:v>pal_213</x:v>
      </x:c>
      <x:c r="O214" s="38" t="str">
        <x:v>震鹰童</x:v>
      </x:c>
      <x:c r="P214" s="38" t="str">
        <x:v>https://bazaar-builds.net/db/skills/left-eye.html</x:v>
      </x:c>
      <x:c r="Q214" s="38" t="str">
        <x:v>your leftmost item has +8 / 16 / 24 / 32% crit chance.</x:v>
      </x:c>
      <x:c r="R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n">
        <x:v>8</x:v>
      </x:c>
      <x:c r="L215" s="38" t="str">
        <x:v>night_base, elem_火, elem_水, elem_雷, elem_冰, role_召唤, role_控制, tier_pT1</x:v>
      </x:c>
      <x:c r="M215" s="38" t="str">
        <x:v>Deadly</x:v>
      </x:c>
      <x:c r="N215" s="38" t="str">
        <x:v>pal_214</x:v>
      </x:c>
      <x:c r="O215" s="38" t="str">
        <x:v>角鲨兽</x:v>
      </x:c>
      <x:c r="P215" s="38" t="str">
        <x:v>https://bazaar-builds.net/db/skills/left-handed.html</x:v>
      </x:c>
      <x:c r="Q215" s="38" t="str">
        <x:v>your leftmost weapon deals +10 / 20 / 30 / 40 damage.</x:v>
      </x:c>
      <x:c r="R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n">
        <x:v>8</x:v>
      </x:c>
      <x:c r="L216" s="38" t="str">
        <x:v>night_base, elem_水, elem_雷, elem_冰, role_控制, role_经济, tier_pT1, role_远点压制</x:v>
      </x:c>
      <x:c r="M216" s="38" t="str">
        <x:v>Turbo</x:v>
      </x:c>
      <x:c r="N216" s="38" t="str">
        <x:v>pal_215</x:v>
      </x:c>
      <x:c r="O216" s="38" t="str">
        <x:v>角隼尊</x:v>
      </x:c>
      <x:c r="P216" s="38" t="str">
        <x:v>https://bazaar-builds.net/db/skills/lefty-loosey.html</x:v>
      </x:c>
      <x:c r="Q216" s="38" t="str">
        <x:v>the first 5 → 10 times you use your leftmost item each fight, haste an item for 1 second.</x:v>
      </x:c>
      <x:c r="R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n">
        <x:v>8</x:v>
      </x:c>
      <x:c r="L217" s="38" t="str">
        <x:v>night_base, elem_火, elem_水, elem_草, elem_雷, role_召唤, tier_pT1, role_远点压制</x:v>
      </x:c>
      <x:c r="M217" s="38" t="str">
        <x:v>Turbo</x:v>
      </x:c>
      <x:c r="N217" s="38" t="str">
        <x:v>pal_216</x:v>
      </x:c>
      <x:c r="O217" s="38" t="str">
        <x:v>霆鲭将</x:v>
      </x:c>
      <x:c r="P217" s="38" t="str">
        <x:v>https://bazaar-builds.net/db/skills/lethargy.html</x:v>
      </x:c>
      <x:c r="Q217" s="38" t="str">
        <x:v>all item cooldowns are increased by 1 / 2 / 3 seconds.</x:v>
      </x:c>
      <x:c r="R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n">
        <x:v>8</x:v>
      </x:c>
      <x:c r="L218" s="38" t="str">
        <x:v>night_base, elem_火, elem_水, elem_雷, elem_冰, role_召唤, role_控制, role_风系牵制</x:v>
      </x:c>
      <x:c r="M218" s="38" t="str">
        <x:v>Golden</x:v>
      </x:c>
      <x:c r="N218" s="38" t="str">
        <x:v>pal_217</x:v>
      </x:c>
      <x:c r="O218" s="38" t="str">
        <x:v>震雀将</x:v>
      </x:c>
      <x:c r="P218" s="38" t="str">
        <x:v>https://bazaar-builds.net/db/skills/lifting.html</x:v>
      </x:c>
      <x:c r="Q218" s="38" t="str">
        <x:v>your weapons have +1 damage. when you buy a weapon, this gains +1 / 2 / 3 damage bonus.</x:v>
      </x:c>
      <x:c r="R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n">
        <x:v>8</x:v>
      </x:c>
      <x:c r="L219" s="38" t="str">
        <x:v>night_base, elem_火, elem_水, elem_龙, role_控制, role_经济, role_召唤铺场, role_抗压承伤</x:v>
      </x:c>
      <x:c r="M219" s="38" t="str">
        <x:v>Fiery</x:v>
      </x:c>
      <x:c r="N219" s="38" t="str">
        <x:v>pal_218</x:v>
      </x:c>
      <x:c r="O219" s="38" t="str">
        <x:v>赤鹤皇</x:v>
      </x:c>
      <x:c r="P219" s="38" t="str">
        <x:v>https://bazaar-builds.net/db/skills/living-flame.html</x:v>
      </x:c>
      <x:c r="Q219" s="38" t="str">
        <x:v>the first time you fall below half health each fight, your burn items' cooldowns are halved for the fight.</x:v>
      </x:c>
      <x:c r="R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n">
        <x:v>8</x:v>
      </x:c>
      <x:c r="L220" s="38" t="str">
        <x:v>night_base, elem_火, elem_水, elem_草, elem_雷, elem_无, special_merchant, role_重甲抗压</x:v>
      </x:c>
      <x:c r="M220" s="38" t="str">
        <x:v>Deadly</x:v>
      </x:c>
      <x:c r="N220" s="38" t="str">
        <x:v>pal_219</x:v>
      </x:c>
      <x:c r="O220" s="38" t="str">
        <x:v>霆狼妖</x:v>
      </x:c>
      <x:c r="P220" s="38" t="str">
        <x:v>https://bazaar-builds.net/db/skills/loaded-fury.html</x:v>
      </x:c>
      <x:c r="Q220" s="38" t="str">
        <x:v>your weapons have +1 / 2 / 3 damage for each ammo on your items.</x:v>
      </x:c>
      <x:c r="R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n">
        <x:v>8</x:v>
      </x:c>
      <x:c r="L221" s="38" t="str">
        <x:v>night_base, elem_水, elem_草, elem_雷, elem_冰, role_控制, tier_pT1, role_风系牵制</x:v>
      </x:c>
      <x:c r="M221" s="38" t="str">
        <x:v>Turbo</x:v>
      </x:c>
      <x:c r="N221" s="38" t="str">
        <x:v>pal_220</x:v>
      </x:c>
      <x:c r="O221" s="38" t="str">
        <x:v>碧雀君</x:v>
      </x:c>
      <x:c r="P221" s="38" t="str">
        <x:v>https://bazaar-builds.net/db/skills/master-diver.html</x:v>
      </x:c>
      <x:c r="Q221" s="38" t="str">
        <x:v>your leftmost item is aquatic and has its cooldown reduced by 3 → 6%.</x:v>
      </x:c>
      <x:c r="R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n">
        <x:v>8</x:v>
      </x:c>
      <x:c r="L222" s="38" t="str">
        <x:v>night_base, elem_水, elem_草, elem_无, role_召唤, role_机动, special_merchant, role_重甲抗压</x:v>
      </x:c>
      <x:c r="M222" s="38" t="str">
        <x:v>Deadly</x:v>
      </x:c>
      <x:c r="N222" s="38" t="str">
        <x:v>pal_221</x:v>
      </x:c>
      <x:c r="O222" s="38" t="str">
        <x:v>霆虎神</x:v>
      </x:c>
      <x:c r="P222" s="38" t="str">
        <x:v>https://bazaar-builds.net/db/skills/master-sniper.html</x:v>
      </x:c>
      <x:c r="Q222" s="38" t="str">
        <x:v>your leftmost ammo weapon has double damage and +1 max ammo.</x:v>
      </x:c>
      <x:c r="R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n">
        <x:v>8</x:v>
      </x:c>
      <x:c r="L223" s="38" t="str">
        <x:v>night_base, elem_水, elem_雷, elem_暗, role_召唤, role_输出, role_经济, tier_pT3</x:v>
      </x:c>
      <x:c r="M223" s="38" t="str">
        <x:v>Turbo</x:v>
      </x:c>
      <x:c r="N223" s="38" t="str">
        <x:v>pal_222</x:v>
      </x:c>
      <x:c r="O223" s="38" t="str">
        <x:v>雷猿王</x:v>
      </x:c>
      <x:c r="P223" s="38" t="str">
        <x:v>https://bazaar-builds.net/db/skills/mixed-message.html</x:v>
      </x:c>
      <x:c r="Q223" s="38" t="str">
        <x:v>the first 3 → 6 times you use a non-weapon item each fight, charge a weapon 1 second.</x:v>
      </x:c>
      <x:c r="R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n">
        <x:v>8</x:v>
      </x:c>
      <x:c r="L224" s="38" t="str">
        <x:v>night_base, elem_水, elem_无, role_坦克, role_控制, role_机动, elite_high, role_重甲抗压</x:v>
      </x:c>
      <x:c r="M224" s="38" t="str">
        <x:v>Fiery</x:v>
      </x:c>
      <x:c r="N224" s="38" t="str">
        <x:v>pal_223</x:v>
      </x:c>
      <x:c r="O224" s="38" t="str">
        <x:v>燎蚌皇</x:v>
      </x:c>
      <x:c r="P224" s="38" t="str">
        <x:v>https://bazaar-builds.net/db/skills/moth-to-a-flame.html</x:v>
      </x:c>
      <x:c r="Q224" s="38" t="str">
        <x:v>you have +regen equal to half the burn on an enemy.</x:v>
      </x:c>
      <x:c r="R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n">
        <x:v>8</x:v>
      </x:c>
      <x:c r="L225" s="38" t="str">
        <x:v>night_base, elem_火, elem_水, elem_雷, elem_龙, role_输出, role_经济, role_召唤铺场</x:v>
      </x:c>
      <x:c r="M225" s="38" t="str">
        <x:v>Icy</x:v>
      </x:c>
      <x:c r="N225" s="38" t="str">
        <x:v>pal_224</x:v>
      </x:c>
      <x:c r="O225" s="38" t="str">
        <x:v>夜蝎卫</x:v>
      </x:c>
      <x:c r="P225" s="38" t="str">
        <x:v>https://bazaar-builds.net/db/skills/net-launcher.html</x:v>
      </x:c>
      <x:c r="Q225" s="38" t="str">
        <x:v>the first time you use a large item each fight, slow 2 / 3 / 4 item(s) for 3 seconds.</x:v>
      </x:c>
      <x:c r="R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n">
        <x:v>8</x:v>
      </x:c>
      <x:c r="L226" s="38" t="str">
        <x:v>night_base, elem_火, elem_水, elem_草, elem_雷, role_召唤, special_merchant, role_抗压承伤</x:v>
      </x:c>
      <x:c r="M226" s="38" t="str">
        <x:v>Deadly</x:v>
      </x:c>
      <x:c r="N226" s="38" t="str">
        <x:v>pal_225</x:v>
      </x:c>
      <x:c r="O226" s="38" t="str">
        <x:v>星隼精</x:v>
      </x:c>
      <x:c r="P226" s="38" t="str">
        <x:v>https://bazaar-builds.net/db/skills/noisy-cricket.html</x:v>
      </x:c>
      <x:c r="Q226" s="38" t="str">
        <x:v>if you have at least 7 items, your weapons deal +20 / 30 / 40 damage.</x:v>
      </x:c>
      <x:c r="R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n">
        <x:v>8</x:v>
      </x:c>
      <x:c r="L227" s="38" t="str">
        <x:v>night_base, elem_火, elem_水, elem_草, elem_雷, elem_地, role_治疗, role_经济</x:v>
      </x:c>
      <x:c r="M227" s="38" t="str">
        <x:v>Turbo</x:v>
      </x:c>
      <x:c r="N227" s="38" t="str">
        <x:v>pal_226</x:v>
      </x:c>
      <x:c r="O227" s="38" t="str">
        <x:v>潮雀妖</x:v>
      </x:c>
      <x:c r="P227" s="38" t="str">
        <x:v>https://bazaar-builds.net/db/skills/oceanic-rush.html</x:v>
      </x:c>
      <x:c r="Q227" s="38" t="str">
        <x:v>the first time you use an item each fight, haste 1 / 2 / 3 aquatic item(s) for 2 seconds.</x:v>
      </x:c>
      <x:c r="R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n">
        <x:v>8</x:v>
      </x:c>
      <x:c r="L228" s="38" t="str">
        <x:v>night_base, elem_水, elem_雷, elem_冰, role_输出, role_经济, tier_pT3, role_风系牵制</x:v>
      </x:c>
      <x:c r="M228" s="38" t="str">
        <x:v>Icy</x:v>
      </x:c>
      <x:c r="N228" s="38" t="str">
        <x:v>pal_227</x:v>
      </x:c>
      <x:c r="O228" s="38" t="str">
        <x:v>蛟蛙侯</x:v>
      </x:c>
      <x:c r="P228" s="38" t="str">
        <x:v>https://bazaar-builds.net/db/skills/outmaneuver.html</x:v>
      </x:c>
      <x:c r="Q228" s="38" t="str">
        <x:v>the first 5 → 10 times you slow each fight, haste a vehicle for 2 seconds.</x:v>
      </x:c>
      <x:c r="R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n">
        <x:v>8</x:v>
      </x:c>
      <x:c r="L229" s="38" t="str">
        <x:v>night_base, elem_火, elem_水, elem_雷, role_坦克, role_治疗, elite_high, role_风系铺场</x:v>
      </x:c>
      <x:c r="M229" s="38" t="str">
        <x:v>Icy</x:v>
      </x:c>
      <x:c r="N229" s="38" t="str">
        <x:v>pal_228</x:v>
      </x:c>
      <x:c r="O229" s="38" t="str">
        <x:v>凛蝎卫</x:v>
      </x:c>
      <x:c r="P229" s="38" t="str">
        <x:v>https://bazaar-builds.net/db/skills/paralytic-poison.html</x:v>
      </x:c>
      <x:c r="Q229" s="38" t="str">
        <x:v>the first time you poison each fight, freeze an item for 2 / 3 / 4 seconds.</x:v>
      </x:c>
      <x:c r="R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n">
        <x:v>8</x:v>
      </x:c>
      <x:c r="L230" s="38" t="str">
        <x:v>night_base, elem_水, elem_雷, elem_冰, role_控制, special_merchant, tier_pT1, role_远点压制</x:v>
      </x:c>
      <x:c r="M230" s="38" t="str">
        <x:v>Deadly</x:v>
      </x:c>
      <x:c r="N230" s="38" t="str">
        <x:v>pal_229</x:v>
      </x:c>
      <x:c r="O230" s="38" t="str">
        <x:v>闪狼侯</x:v>
      </x:c>
      <x:c r="P230" s="38" t="str">
        <x:v>https://bazaar-builds.net/db/skills/parting-shot.html</x:v>
      </x:c>
      <x:c r="Q230" s="38" t="str">
        <x:v>when you use an item with ammo, it gains +10 → 15% crit chance for the fight.</x:v>
      </x:c>
      <x:c r="R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n">
        <x:v>8</x:v>
      </x:c>
      <x:c r="L231" s="38" t="str">
        <x:v>night_base, elem_火, elem_水, elem_雷, elem_冰, elem_暗, role_机动, role_机动压制</x:v>
      </x:c>
      <x:c r="M231" s="38" t="str">
        <x:v>Deadly</x:v>
      </x:c>
      <x:c r="N231" s="38" t="str">
        <x:v>pal_230</x:v>
      </x:c>
      <x:c r="O231" s="38" t="str">
        <x:v>震隼灵</x:v>
      </x:c>
      <x:c r="P231" s="38" t="str">
        <x:v>https://bazaar-builds.net/db/skills/peaceful-eye.html</x:v>
      </x:c>
      <x:c r="Q231" s="38" t="str">
        <x:v>your non-weapon items have +5 / 10 / 15 / 20% crit chance.</x:v>
      </x:c>
      <x:c r="R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n">
        <x:v>8</x:v>
      </x:c>
      <x:c r="L232" s="38" t="str">
        <x:v>night_base, elem_火, elem_水, elem_雷, elem_无, role_治疗, role_机动, role_机动压制</x:v>
      </x:c>
      <x:c r="M232" s="38" t="str">
        <x:v>Toxic</x:v>
      </x:c>
      <x:c r="N232" s="38" t="str">
        <x:v>pal_231</x:v>
      </x:c>
      <x:c r="O232" s="38" t="str">
        <x:v>苔蛛将</x:v>
      </x:c>
      <x:c r="P232" s="38" t="str">
        <x:v>https://bazaar-builds.net/db/skills/poisonous-opener.html</x:v>
      </x:c>
      <x:c r="Q232" s="38" t="str">
        <x:v>the first time you use a large item each fight, poison 20 / 40 / 60.</x:v>
      </x:c>
      <x:c r="R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n">
        <x:v>8</x:v>
      </x:c>
      <x:c r="L233" s="38" t="str">
        <x:v>night_base, elem_水, elem_雷, elem_冰, role_召唤, role_经济, role_召唤铺场, role_火系压制</x:v>
      </x:c>
      <x:c r="M233" s="38" t="str">
        <x:v>Deadly</x:v>
      </x:c>
      <x:c r="N233" s="38" t="str">
        <x:v>pal_232</x:v>
      </x:c>
      <x:c r="O233" s="38" t="str">
        <x:v>汐羊王</x:v>
      </x:c>
      <x:c r="P233" s="38" t="str">
        <x:v>https://bazaar-builds.net/db/skills/quality-over-quantity.html</x:v>
      </x:c>
      <x:c r="Q233" s="38" t="str">
        <x:v>if you have exactly one weapon, it has lifesteal and 5 → 10% crit chance.</x:v>
      </x:c>
      <x:c r="R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n">
        <x:v>8</x:v>
      </x:c>
      <x:c r="L234" s="38" t="str">
        <x:v>night_base, elem_水, elem_雷, elem_暗, elem_无, role_机动, tier_pT2, role_机动压制</x:v>
      </x:c>
      <x:c r="M234" s="38" t="str">
        <x:v>Turbo</x:v>
      </x:c>
      <x:c r="N234" s="38" t="str">
        <x:v>pal_233</x:v>
      </x:c>
      <x:c r="O234" s="38" t="str">
        <x:v>山象王</x:v>
      </x:c>
      <x:c r="P234" s="38" t="str">
        <x:v>https://bazaar-builds.net/db/skills/quick-defenses.html</x:v>
      </x:c>
      <x:c r="Q234" s="38" t="str">
        <x:v>your shield items' cooldowns are reduced by 5 → 10%.</x:v>
      </x:c>
      <x:c r="R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n">
        <x:v>8</x:v>
      </x:c>
      <x:c r="L235" s="38" t="str">
        <x:v>night_base, elem_火, elem_水, elem_雷, role_坦克, role_经济, tier_pT2, role_风系铺场</x:v>
      </x:c>
      <x:c r="M235" s="38" t="str">
        <x:v>Icy</x:v>
      </x:c>
      <x:c r="N235" s="38" t="str">
        <x:v>pal_234</x:v>
      </x:c>
      <x:c r="O235" s="38" t="str">
        <x:v>寒蟒卫</x:v>
      </x:c>
      <x:c r="P235" s="38" t="str">
        <x:v>https://bazaar-builds.net/db/skills/quick-freeze.html</x:v>
      </x:c>
      <x:c r="Q235" s="38" t="str">
        <x:v>the first time you haste each fight, freeze an item for 2 / 3 / 4 seconds.</x:v>
      </x:c>
      <x:c r="R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n">
        <x:v>8</x:v>
      </x:c>
      <x:c r="L236" s="38" t="str">
        <x:v>night_base, elem_火, elem_水, elem_雷, role_控制, role_经济, role_召唤铺场, role_火系压制</x:v>
      </x:c>
      <x:c r="M236" s="38" t="str">
        <x:v>Fiery</x:v>
      </x:c>
      <x:c r="N236" s="38" t="str">
        <x:v>pal_235</x:v>
      </x:c>
      <x:c r="O236" s="38" t="str">
        <x:v>朱鲭将</x:v>
      </x:c>
      <x:c r="P236" s="38" t="str">
        <x:v>https://bazaar-builds.net/db/skills/quick-ignition.html</x:v>
      </x:c>
      <x:c r="Q236" s="38" t="str">
        <x:v>the first time you use an item each fight, haste 1 / 2 / 3 burn item(s) for 2 seconds.</x:v>
      </x:c>
      <x:c r="R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n">
        <x:v>8</x:v>
      </x:c>
      <x:c r="L237" s="38" t="str">
        <x:v>night_base, elem_火, elem_水, elem_草, role_召唤, special_merchant, role_抗压承伤, role_远点压制</x:v>
      </x:c>
      <x:c r="M237" s="38" t="str">
        <x:v>Shiny</x:v>
      </x:c>
      <x:c r="N237" s="38" t="str">
        <x:v>pal_236</x:v>
      </x:c>
      <x:c r="O237" s="38" t="str">
        <x:v>寒鹰祖</x:v>
      </x:c>
      <x:c r="P237" s="38" t="str">
        <x:v>https://bazaar-builds.net/db/skills/re-tooled.html</x:v>
      </x:c>
      <x:c r="Q237" s="38" t="str">
        <x:v>your leftmost tool has +1 multicast.</x:v>
      </x:c>
      <x:c r="R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n">
        <x:v>8</x:v>
      </x:c>
      <x:c r="L238" s="38" t="str">
        <x:v>night_base, elem_水, elem_草, elem_雷, elem_冰, role_召唤, role_坦克, role_远点压制</x:v>
      </x:c>
      <x:c r="M238" s="38" t="str">
        <x:v>Icy</x:v>
      </x:c>
      <x:c r="N238" s="38" t="str">
        <x:v>pal_237</x:v>
      </x:c>
      <x:c r="O238" s="38" t="str">
        <x:v>寒蝎尊</x:v>
      </x:c>
      <x:c r="P238" s="38" t="str">
        <x:v>https://bazaar-builds.net/db/skills/reaching-the-summit.html</x:v>
      </x:c>
      <x:c r="Q238" s="38" t="str">
        <x:v>when you freeze, your items gain +3 → 6% crit chance for the fight.</x:v>
      </x:c>
      <x:c r="R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n">
        <x:v>8</x:v>
      </x:c>
      <x:c r="L239" s="38" t="str">
        <x:v>night_base, elem_火, elem_水, elem_草, elem_雷, tier_pT1, tier_pT2, role_远点压制</x:v>
      </x:c>
      <x:c r="M239" s="38" t="str">
        <x:v>Shielded</x:v>
      </x:c>
      <x:c r="N239" s="38" t="str">
        <x:v>pal_238</x:v>
      </x:c>
      <x:c r="O239" s="38" t="str">
        <x:v>石甲兽</x:v>
      </x:c>
      <x:c r="P239" s="38" t="str">
        <x:v>https://bazaar-builds.net/db/skills/rear-shielding.html</x:v>
      </x:c>
      <x:c r="Q239" s="38" t="str">
        <x:v>your rightmost shield item has +10 / 20 / 30 / 40 shield.</x:v>
      </x:c>
      <x:c r="R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n">
        <x:v>8</x:v>
      </x:c>
      <x:c r="L240" s="38" t="str">
        <x:v>night_base, elem_水, elem_草, elem_暗, elem_无, role_输出, role_机动, role_机动压制</x:v>
      </x:c>
      <x:c r="M240" s="38" t="str">
        <x:v>Turbo</x:v>
      </x:c>
      <x:c r="N240" s="38" t="str">
        <x:v>pal_239</x:v>
      </x:c>
      <x:c r="O240" s="38" t="str">
        <x:v>沧鹤神</x:v>
      </x:c>
      <x:c r="P240" s="38" t="str">
        <x:v>https://bazaar-builds.net/db/skills/reel-em-in.html</x:v>
      </x:c>
      <x:c r="Q240" s="38" t="str">
        <x:v>the first time an enemy falls below half health each fight, your items' cooldowns are halved for the fight.</x:v>
      </x:c>
      <x:c r="R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n">
        <x:v>8</x:v>
      </x:c>
      <x:c r="L241" s="38" t="str">
        <x:v>night_base, elem_火, elem_水, elem_雷, elem_无, role_坦克, elite_high, role_重甲抗压</x:v>
      </x:c>
      <x:c r="M241" s="38" t="str">
        <x:v>Mossy</x:v>
      </x:c>
      <x:c r="N241" s="38" t="str">
        <x:v>pal_240</x:v>
      </x:c>
      <x:c r="O241" s="38" t="str">
        <x:v>碧蚌将</x:v>
      </x:c>
      <x:c r="P241" s="38" t="str">
        <x:v>https://bazaar-builds.net/db/skills/regenerative.html</x:v>
      </x:c>
      <x:c r="Q241" s="38" t="str">
        <x:v>you have +10 / 20 / 30 regen.</x:v>
      </x:c>
      <x:c r="R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n">
        <x:v>8</x:v>
      </x:c>
      <x:c r="L242" s="38" t="str">
        <x:v>night_base, elem_水, elem_雷, elem_无, role_坦克, role_机动, elite_high, role_重甲抗压</x:v>
      </x:c>
      <x:c r="M242" s="38" t="str">
        <x:v>Obsidian</x:v>
      </x:c>
      <x:c r="N242" s="38" t="str">
        <x:v>pal_241</x:v>
      </x:c>
      <x:c r="O242" s="38" t="str">
        <x:v>墨蝎王</x:v>
      </x:c>
      <x:c r="P242" s="38" t="str">
        <x:v>https://bazaar-builds.net/db/skills/repair-mechanic.html</x:v>
      </x:c>
      <x:c r="Q242" s="38" t="str">
        <x:v>the first 1 → 2 times one of your items is destroyed each fight, repair it.</x:v>
      </x:c>
      <x:c r="R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n">
        <x:v>8</x:v>
      </x:c>
      <x:c r="L243" s="38" t="str">
        <x:v>night_base, elem_火, elem_水, elem_草, elem_雷, elem_冰, role_召唤, special_merchant</x:v>
      </x:c>
      <x:c r="M243" s="38" t="str">
        <x:v>Deadly</x:v>
      </x:c>
      <x:c r="N243" s="38" t="str">
        <x:v>pal_242</x:v>
      </x:c>
      <x:c r="O243" s="38" t="str">
        <x:v>鸣螳仔</x:v>
      </x:c>
      <x:c r="P243" s="38" t="str">
        <x:v>https://bazaar-builds.net/db/skills/right-eye.html</x:v>
      </x:c>
      <x:c r="Q243" s="38" t="str">
        <x:v>your rightmost item has +8 / 16 / 24 / 32% crit chance.</x:v>
      </x:c>
      <x:c r="R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n">
        <x:v>8</x:v>
      </x:c>
      <x:c r="L244" s="38" t="str">
        <x:v>night_base, elem_火, elem_水, elem_雷, elem_暗, role_召唤, role_输出, tier_pT3</x:v>
      </x:c>
      <x:c r="M244" s="38" t="str">
        <x:v>Deadly</x:v>
      </x:c>
      <x:c r="N244" s="38" t="str">
        <x:v>pal_243</x:v>
      </x:c>
      <x:c r="O244" s="38" t="str">
        <x:v>岩豹兽</x:v>
      </x:c>
      <x:c r="P244" s="38" t="str">
        <x:v>https://bazaar-builds.net/db/skills/right-handed.html</x:v>
      </x:c>
      <x:c r="Q244" s="38" t="str">
        <x:v>your rightmost weapon has +10 / 20 / 30 / 40 damage.</x:v>
      </x:c>
      <x:c r="R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n">
        <x:v>8</x:v>
      </x:c>
      <x:c r="L245" s="38" t="str">
        <x:v>night_base, elem_火, elem_水, elem_雷, role_控制, role_输出, role_经济, tier_pT1</x:v>
      </x:c>
      <x:c r="M245" s="38" t="str">
        <x:v>Icy</x:v>
      </x:c>
      <x:c r="N245" s="38" t="str">
        <x:v>pal_244</x:v>
      </x:c>
      <x:c r="O245" s="38" t="str">
        <x:v>雷蛛妖</x:v>
      </x:c>
      <x:c r="P245" s="38" t="str">
        <x:v>https://bazaar-builds.net/db/skills/righty-tighty.html</x:v>
      </x:c>
      <x:c r="Q245" s="38" t="str">
        <x:v>the first 3 / 6 / 9 times you use your rightmost item each fight, charge a slow item 1 second.</x:v>
      </x:c>
      <x:c r="R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n">
        <x:v>8</x:v>
      </x:c>
      <x:c r="L246" s="38" t="str">
        <x:v>night_base, elem_水, elem_雷, elem_冰, role_控制, role_输出, tier_pT1, role_远点压制</x:v>
      </x:c>
      <x:c r="M246" s="38" t="str">
        <x:v>Icy</x:v>
      </x:c>
      <x:c r="N246" s="38" t="str">
        <x:v>pal_245</x:v>
      </x:c>
      <x:c r="O246" s="38" t="str">
        <x:v>角蛙君</x:v>
      </x:c>
      <x:c r="P246" s="38" t="str">
        <x:v>https://bazaar-builds.net/db/skills/sabotage.html</x:v>
      </x:c>
      <x:c r="Q246" s="38" t="str">
        <x:v>the first 5 → 10 times you use a tool each fight, slow an item for 1 second.</x:v>
      </x:c>
      <x:c r="R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n">
        <x:v>8</x:v>
      </x:c>
      <x:c r="L247" s="38" t="str">
        <x:v>night_base, elem_火, elem_水, elem_雷, elem_暗, role_控制, role_经济, role_机动压制</x:v>
      </x:c>
      <x:c r="M247" s="38" t="str">
        <x:v>Fiery</x:v>
      </x:c>
      <x:c r="N247" s="38" t="str">
        <x:v>pal_246</x:v>
      </x:c>
      <x:c r="O247" s="38" t="str">
        <x:v>燎隼精</x:v>
      </x:c>
      <x:c r="P247" s="38" t="str">
        <x:v>https://bazaar-builds.net/db/skills/searing-flames.html</x:v>
      </x:c>
      <x:c r="Q247" s="38" t="str">
        <x:v>when one of your burn items is hasted, it gains 1 / 2 / 3 burn for the fight.</x:v>
      </x:c>
      <x:c r="R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n">
        <x:v>8</x:v>
      </x:c>
      <x:c r="L248" s="38" t="str">
        <x:v>night_base, elem_火, elem_水, elem_雷, role_控制, elite_high, tier_pT1, role_远点压制</x:v>
      </x:c>
      <x:c r="M248" s="38" t="str">
        <x:v>Restorative</x:v>
      </x:c>
      <x:c r="N248" s="38" t="str">
        <x:v>pal_247</x:v>
      </x:c>
      <x:c r="O248" s="38" t="str">
        <x:v>潮羊卫</x:v>
      </x:c>
      <x:c r="P248" s="38" t="str">
        <x:v>https://bazaar-builds.net/db/skills/second-wind.html</x:v>
      </x:c>
      <x:c r="Q248" s="38" t="str">
        <x:v>the first time you use a large item each fight, heal equal to 20 / 40 / 60% of your max health.</x:v>
      </x:c>
      <x:c r="R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n">
        <x:v>8</x:v>
      </x:c>
      <x:c r="L249" s="38" t="str">
        <x:v>night_base, elem_火, elem_水, elem_雷, role_召唤, role_机动, tier_pT2, role_机动压制</x:v>
      </x:c>
      <x:c r="M249" s="38" t="str">
        <x:v>Shielded</x:v>
      </x:c>
      <x:c r="N249" s="38" t="str">
        <x:v>pal_248</x:v>
      </x:c>
      <x:c r="O249" s="38" t="str">
        <x:v>岳熊精</x:v>
      </x:c>
      <x:c r="P249" s="38" t="str">
        <x:v>https://bazaar-builds.net/db/skills/sharp-corners.html</x:v>
      </x:c>
      <x:c r="Q249" s="38" t="str">
        <x:v>when you shield, your weapons gain +2 / 4 / 6 damage for the fight.</x:v>
      </x:c>
      <x:c r="R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n">
        <x:v>8</x:v>
      </x:c>
      <x:c r="L250" s="38" t="str">
        <x:v>night_base, elem_水, elem_冰, elem_暗, role_召唤, role_输出, tier_pT3, role_风系牵制</x:v>
      </x:c>
      <x:c r="M250" s="38" t="str">
        <x:v>Deadly</x:v>
      </x:c>
      <x:c r="N250" s="38" t="str">
        <x:v>pal_249</x:v>
      </x:c>
      <x:c r="O250" s="38" t="str">
        <x:v>霆鲨皇</x:v>
      </x:c>
      <x:c r="P250" s="38" t="str">
        <x:v>https://bazaar-builds.net/db/skills/sharpshooter.html</x:v>
      </x:c>
      <x:c r="Q250" s="38" t="str">
        <x:v>your leftmost and rightmost weapons have +10% crit chance. if you only have one weapon, it deals double crit damage.</x:v>
      </x:c>
      <x:c r="R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n">
        <x:v>8</x:v>
      </x:c>
      <x:c r="L251" s="38" t="str">
        <x:v>night_base, elem_火, elem_水, elem_雷, elem_龙, role_召唤, role_坦克, role_抗压承伤</x:v>
      </x:c>
      <x:c r="M251" s="38" t="str">
        <x:v>Icy</x:v>
      </x:c>
      <x:c r="N251" s="38" t="str">
        <x:v>pal_250</x:v>
      </x:c>
      <x:c r="O251" s="38" t="str">
        <x:v>霜貂卫</x:v>
      </x:c>
      <x:c r="P251" s="38" t="str">
        <x:v>https://bazaar-builds.net/db/skills/shatter.html</x:v>
      </x:c>
      <x:c r="Q251" s="38" t="str">
        <x:v>when you freeze, your weapons gain +5 / 10 / 15 damage for the fight.</x:v>
      </x:c>
      <x:c r="R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n">
        <x:v>8</x:v>
      </x:c>
      <x:c r="L252" s="38" t="str">
        <x:v>night_base, elem_水, elem_雷, elem_无, role_召唤, role_经济, role_机动, role_重甲抗压</x:v>
      </x:c>
      <x:c r="M252" s="38" t="str">
        <x:v>Turbo</x:v>
      </x:c>
      <x:c r="N252" s="38" t="str">
        <x:v>pal_251</x:v>
      </x:c>
      <x:c r="O252" s="38" t="str">
        <x:v>霆牦王</x:v>
      </x:c>
      <x:c r="P252" s="38" t="str">
        <x:v>https://bazaar-builds.net/db/skills/shield-bash.html</x:v>
      </x:c>
      <x:c r="Q252" s="38" t="str">
        <x:v>the first 4 → 8 times an enemy uses a non-weapon item each fight, charge a weapon 1 second.</x:v>
      </x:c>
      <x:c r="R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n">
        <x:v>8</x:v>
      </x:c>
      <x:c r="L253" s="38" t="str">
        <x:v>night_base, elem_火, elem_水, elem_雷, elem_龙, role_控制, role_治疗, role_经济</x:v>
      </x:c>
      <x:c r="M253" s="38" t="str">
        <x:v>Fiery</x:v>
      </x:c>
      <x:c r="N253" s="38" t="str">
        <x:v>pal_252</x:v>
      </x:c>
      <x:c r="O253" s="38" t="str">
        <x:v>炎蛛尊</x:v>
      </x:c>
      <x:c r="P253" s="38" t="str">
        <x:v>https://bazaar-builds.net/db/skills/sick-burn.html</x:v>
      </x:c>
      <x:c r="Q253" s="38" t="str">
        <x:v>the first 4 → 8 times you poison each fight, charge a burn item 1 second.</x:v>
      </x:c>
      <x:c r="R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n">
        <x:v>8</x:v>
      </x:c>
      <x:c r="L254" s="38" t="str">
        <x:v>night_base, elem_火, elem_水, elem_雷, role_召唤, role_输出, tier_pT1, role_远点压制</x:v>
      </x:c>
      <x:c r="M254" s="38" t="str">
        <x:v>Icy</x:v>
      </x:c>
      <x:c r="N254" s="38" t="str">
        <x:v>pal_253</x:v>
      </x:c>
      <x:c r="O254" s="38" t="str">
        <x:v>炎鳗精</x:v>
      </x:c>
      <x:c r="P254" s="38" t="str">
        <x:v>https://bazaar-builds.net/db/skills/slow-and-steady.html</x:v>
      </x:c>
      <x:c r="Q254" s="38" t="str">
        <x:v>when you slow, your weapons gain 2 / 4 / 6 damage for the fight.</x:v>
      </x:c>
      <x:c r="R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n">
        <x:v>8</x:v>
      </x:c>
      <x:c r="L255" s="38" t="str">
        <x:v>night_base, elem_水, elem_雷, role_控制, role_输出, role_经济, tier_pT1, role_远点压制</x:v>
      </x:c>
      <x:c r="M255" s="38" t="str">
        <x:v>Fiery</x:v>
      </x:c>
      <x:c r="N255" s="38" t="str">
        <x:v>pal_254</x:v>
      </x:c>
      <x:c r="O255" s="38" t="str">
        <x:v>赤蟒王</x:v>
      </x:c>
      <x:c r="P255" s="38" t="str">
        <x:v>https://bazaar-builds.net/db/skills/slow-burn.html</x:v>
      </x:c>
      <x:c r="Q255" s="38" t="str">
        <x:v>the first 4 → 8 times you slow each fight, charge a burn item 1 second.</x:v>
      </x:c>
      <x:c r="R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n">
        <x:v>8</x:v>
      </x:c>
      <x:c r="L256" s="38" t="str">
        <x:v>night_base, elem_火, elem_水, elem_雷, elem_冰, elem_龙, role_输出, role_经济</x:v>
      </x:c>
      <x:c r="M256" s="38" t="str">
        <x:v>Icy</x:v>
      </x:c>
      <x:c r="N256" s="38" t="str">
        <x:v>pal_255</x:v>
      </x:c>
      <x:c r="O256" s="38" t="str">
        <x:v>电蟒精</x:v>
      </x:c>
      <x:c r="P256" s="38" t="str">
        <x:v>https://bazaar-builds.net/db/skills/slowed-targets.html</x:v>
      </x:c>
      <x:c r="Q256" s="38" t="str">
        <x:v>when you slow, your items gain +1 / 2 / 3% crit chance for the fight.</x:v>
      </x:c>
      <x:c r="R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n">
        <x:v>8</x:v>
      </x:c>
      <x:c r="L257" s="38" t="str">
        <x:v>night_base, elem_火, elem_水, elem_雷, elem_冰, role_召唤, role_经济, special_merchant</x:v>
      </x:c>
      <x:c r="M257" s="38" t="str">
        <x:v>Turbo</x:v>
      </x:c>
      <x:c r="N257" s="38" t="str">
        <x:v>pal_256</x:v>
      </x:c>
      <x:c r="O257" s="38" t="str">
        <x:v>震隼将</x:v>
      </x:c>
      <x:c r="P257" s="38" t="str">
        <x:v>https://bazaar-builds.net/db/skills/static-acceleration.html</x:v>
      </x:c>
      <x:c r="Q257" s="38" t="str">
        <x:v>when you haste, your items gain +1 / 2 / 3% crit chance for the fight.</x:v>
      </x:c>
      <x:c r="R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n">
        <x:v>8</x:v>
      </x:c>
      <x:c r="L258" s="38" t="str">
        <x:v>night_base, elem_火, elem_水, elem_草, elem_雷, role_召唤, special_merchant, role_抗压承伤</x:v>
      </x:c>
      <x:c r="M258" s="38" t="str">
        <x:v>Deadly</x:v>
      </x:c>
      <x:c r="N258" s="38" t="str">
        <x:v>pal_257</x:v>
      </x:c>
      <x:c r="O258" s="38" t="str">
        <x:v>翠隼将</x:v>
      </x:c>
      <x:c r="P258" s="38" t="str">
        <x:v>https://bazaar-builds.net/db/skills/steelstorm.html</x:v>
      </x:c>
      <x:c r="Q258" s="38" t="str">
        <x:v>your weapons have +4 / 6 / 8 damage for each weapon you have.</x:v>
      </x:c>
      <x:c r="R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n">
        <x:v>8</x:v>
      </x:c>
      <x:c r="L259" s="38" t="str">
        <x:v>night_base, elem_火, elem_水, elem_雷, elem_无, role_输出, role_机动, role_机动压制</x:v>
      </x:c>
      <x:c r="M259" s="38" t="str">
        <x:v>Icy</x:v>
      </x:c>
      <x:c r="N259" s="38" t="str">
        <x:v>pal_258</x:v>
      </x:c>
      <x:c r="O259" s="38" t="str">
        <x:v>汐蝶精</x:v>
      </x:c>
      <x:c r="P259" s="38" t="str">
        <x:v>https://bazaar-builds.net/db/skills/stop-that.html</x:v>
      </x:c>
      <x:c r="Q259" s="38" t="str">
        <x:v>the first time you fall below half health each fight, slow all enemy items for 1 / 2 / 3 seconds.</x:v>
      </x:c>
      <x:c r="R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n">
        <x:v>8</x:v>
      </x:c>
      <x:c r="L260" s="38" t="str">
        <x:v>night_base, elem_火, elem_水, elem_雷, role_召唤, role_经济, special_merchant, role_抗压承伤</x:v>
      </x:c>
      <x:c r="M260" s="38" t="str">
        <x:v>Turbo</x:v>
      </x:c>
      <x:c r="N260" s="38" t="str">
        <x:v>pal_259</x:v>
      </x:c>
      <x:c r="O260" s="38" t="str">
        <x:v>朱雀妖</x:v>
      </x:c>
      <x:c r="P260" s="38" t="str">
        <x:v>https://bazaar-builds.net/db/skills/streamline-weapon.html</x:v>
      </x:c>
      <x:c r="Q260" s="38" t="str">
        <x:v>when one of your weapons is hasted, it gains +5 / 10 / 15 damage.</x:v>
      </x:c>
      <x:c r="R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n">
        <x:v>8</x:v>
      </x:c>
      <x:c r="L261" s="38" t="str">
        <x:v>night_base, elem_火, elem_水, elem_雷, elem_地, role_召唤, role_治疗, tier_pT2</x:v>
      </x:c>
      <x:c r="M261" s="38" t="str">
        <x:v>Deadly</x:v>
      </x:c>
      <x:c r="N261" s="38" t="str">
        <x:v>pal_260</x:v>
      </x:c>
      <x:c r="O261" s="38" t="str">
        <x:v>云隼兽</x:v>
      </x:c>
      <x:c r="P261" s="38" t="str">
        <x:v>https://bazaar-builds.net/db/skills/strength.html</x:v>
      </x:c>
      <x:c r="Q261" s="38" t="str">
        <x:v>your weapons deal +5 / 10 / 15 / 20 damage.</x:v>
      </x:c>
      <x:c r="R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n">
        <x:v>8</x:v>
      </x:c>
      <x:c r="L262" s="38" t="str">
        <x:v>night_base, elem_火, elem_水, elem_雷, elem_冰, elem_龙, role_坦克, role_经济</x:v>
      </x:c>
      <x:c r="M262" s="38" t="str">
        <x:v>Icy</x:v>
      </x:c>
      <x:c r="N262" s="38" t="str">
        <x:v>pal_261</x:v>
      </x:c>
      <x:c r="O262" s="38" t="str">
        <x:v>寒貂卫</x:v>
      </x:c>
      <x:c r="P262" s="38" t="str">
        <x:v>https://bazaar-builds.net/db/skills/stunning-strike.html</x:v>
      </x:c>
      <x:c r="Q262" s="38" t="str">
        <x:v>the first time you crit each fight, freeze an item for 3 / 4 / 5 seconds.</x:v>
      </x:c>
      <x:c r="R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n">
        <x:v>8</x:v>
      </x:c>
      <x:c r="L263" s="38" t="str">
        <x:v>night_base, elem_火, elem_水, elem_草, elem_雷, elem_龙, role_召唤, tier_pT2</x:v>
      </x:c>
      <x:c r="M263" s="38" t="str">
        <x:v>Shielded</x:v>
      </x:c>
      <x:c r="N263" s="38" t="str">
        <x:v>pal_262</x:v>
      </x:c>
      <x:c r="O263" s="38" t="str">
        <x:v>澜象将</x:v>
      </x:c>
      <x:c r="P263" s="38" t="str">
        <x:v>https://bazaar-builds.net/db/skills/submerged.html</x:v>
      </x:c>
      <x:c r="Q263" s="38" t="str">
        <x:v>your weapons have +3 / 6 / 9 damage for each aquatic item you have. your shield items have +3 / 6 / 9 shield for each aquatic item you have.</x:v>
      </x:c>
      <x:c r="R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n">
        <x:v>8</x:v>
      </x:c>
      <x:c r="L264" s="38" t="str">
        <x:v>night_base, elem_火, elem_水, elem_雷, elem_暗, elem_无, role_机动, role_机动压制</x:v>
      </x:c>
      <x:c r="M264" s="38" t="str">
        <x:v>Heavy</x:v>
      </x:c>
      <x:c r="N264" s="38" t="str">
        <x:v>pal_263</x:v>
      </x:c>
      <x:c r="O264" s="38" t="str">
        <x:v>沙鹰仔</x:v>
      </x:c>
      <x:c r="P264" s="38" t="str">
        <x:v>https://bazaar-builds.net/db/skills/supply-cache.html</x:v>
      </x:c>
      <x:c r="Q264" s="38" t="str">
        <x:v>at the start of each day, get a loot item.</x:v>
      </x:c>
      <x:c r="R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n">
        <x:v>8</x:v>
      </x:c>
      <x:c r="L265" s="38" t="str">
        <x:v>night_base, elem_火, elem_水, elem_雷, role_召唤, role_坦克, tier_pT2, role_风系铺场</x:v>
      </x:c>
      <x:c r="M265" s="38" t="str">
        <x:v>Deadly</x:v>
      </x:c>
      <x:c r="N265" s="38" t="str">
        <x:v>pal_264</x:v>
      </x:c>
      <x:c r="O265" s="38" t="str">
        <x:v>蛟鲨精</x:v>
      </x:c>
      <x:c r="P265" s="38" t="str">
        <x:v>https://bazaar-builds.net/db/skills/tempering.html</x:v>
      </x:c>
      <x:c r="Q265" s="38" t="str">
        <x:v>when you use a weapon, it gains +3 / 6 / 9 damage for the fight.</x:v>
      </x:c>
      <x:c r="R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n">
        <x:v>8</x:v>
      </x:c>
      <x:c r="L266" s="38" t="str">
        <x:v>night_base, elem_水, elem_草, elem_雷, role_召唤, role_输出, role_经济, role_远点压制</x:v>
      </x:c>
      <x:c r="M266" s="38" t="str">
        <x:v>Icy</x:v>
      </x:c>
      <x:c r="N266" s="38" t="str">
        <x:v>pal_265</x:v>
      </x:c>
      <x:c r="O266" s="38" t="str">
        <x:v>电狐王</x:v>
      </x:c>
      <x:c r="P266" s="38" t="str">
        <x:v>https://bazaar-builds.net/db/skills/temporal-strike.html</x:v>
      </x:c>
      <x:c r="Q266" s="38" t="str">
        <x:v>the first 4 → 8 times you slow each fight, charge a weapon 1 second.</x:v>
      </x:c>
      <x:c r="R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n">
        <x:v>8</x:v>
      </x:c>
      <x:c r="L267" s="38" t="str">
        <x:v>night_base, elem_火, elem_水, elem_草, elem_雷, elem_无, role_召唤, role_机动</x:v>
      </x:c>
      <x:c r="M267" s="38" t="str">
        <x:v>Deadly</x:v>
      </x:c>
      <x:c r="N267" s="38" t="str">
        <x:v>pal_266</x:v>
      </x:c>
      <x:c r="O267" s="38" t="str">
        <x:v>沧狮将</x:v>
      </x:c>
      <x:c r="P267" s="38" t="str">
        <x:v>https://bazaar-builds.net/db/skills/the-best-defense.html</x:v>
      </x:c>
      <x:c r="Q267" s="38" t="str">
        <x:v>when you use a weapon, weapons adjacent to it gain +3 / 6 / 9 damage for the fight.</x:v>
      </x:c>
      <x:c r="R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n">
        <x:v>8</x:v>
      </x:c>
      <x:c r="L268" s="38" t="str">
        <x:v>night_base, elem_火, elem_水, elem_雷, elem_龙, role_经济, role_召唤铺场, role_火系压制</x:v>
      </x:c>
      <x:c r="M268" s="38" t="str">
        <x:v>Turbo</x:v>
      </x:c>
      <x:c r="N268" s="38" t="str">
        <x:v>pal_267</x:v>
      </x:c>
      <x:c r="O268" s="38" t="str">
        <x:v>炎鲭侯</x:v>
      </x:c>
      <x:c r="P268" s="38" t="str">
        <x:v>https://bazaar-builds.net/db/skills/tiny-dancer.html</x:v>
      </x:c>
      <x:c r="Q268" s="38" t="str">
        <x:v>if you have at least 7 items, your items' cooldowns are reduced by 5 → 10%.</x:v>
      </x:c>
      <x:c r="R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n">
        <x:v>8</x:v>
      </x:c>
      <x:c r="L269" s="38" t="str">
        <x:v>night_base, elem_火, elem_水, elem_雷, elem_无, role_机动, tier_pT2, role_重甲抗压</x:v>
      </x:c>
      <x:c r="M269" s="38" t="str">
        <x:v>Shielded</x:v>
      </x:c>
      <x:c r="N269" s="38" t="str">
        <x:v>pal_268</x:v>
      </x:c>
      <x:c r="O269" s="38" t="str">
        <x:v>石牦灵</x:v>
      </x:c>
      <x:c r="P269" s="38" t="str">
        <x:v>https://bazaar-builds.net/db/skills/toughness.html</x:v>
      </x:c>
      <x:c r="Q269" s="38" t="str">
        <x:v>your shield items have +5 / 10 / 15 / 20 shield.</x:v>
      </x:c>
      <x:c r="R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n">
        <x:v>8</x:v>
      </x:c>
      <x:c r="L270" s="38" t="str">
        <x:v>night_base, elem_火, elem_水, elem_草, elem_雷, role_控制, role_治疗, role_远点压制</x:v>
      </x:c>
      <x:c r="M270" s="38" t="str">
        <x:v>Fiery</x:v>
      </x:c>
      <x:c r="N270" s="38" t="str">
        <x:v>pal_269</x:v>
      </x:c>
      <x:c r="O270" s="38" t="str">
        <x:v>焰蝎妖</x:v>
      </x:c>
      <x:c r="P270" s="38" t="str">
        <x:v>https://bazaar-builds.net/db/skills/toxic-flame.html</x:v>
      </x:c>
      <x:c r="Q270" s="38" t="str">
        <x:v>when you burn, your poison items gain +1 / 2 / 3 poison for the fight.</x:v>
      </x:c>
      <x:c r="R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n">
        <x:v>8</x:v>
      </x:c>
      <x:c r="L271" s="38" t="str">
        <x:v>night_base, elem_火, elem_水, elem_雷, role_召唤, role_治疗, role_机动, role_机动压制</x:v>
      </x:c>
      <x:c r="M271" s="38" t="str">
        <x:v>Toxic</x:v>
      </x:c>
      <x:c r="N271" s="38" t="str">
        <x:v>pal_270</x:v>
      </x:c>
      <x:c r="O271" s="38" t="str">
        <x:v>芽蛛将</x:v>
      </x:c>
      <x:c r="P271" s="38" t="str">
        <x:v>https://bazaar-builds.net/db/skills/toxic-weapons.html</x:v>
      </x:c>
      <x:c r="Q271" s="38" t="str">
        <x:v>your poison items have +2 / 3 / 4 poison for each weapon you have.</x:v>
      </x:c>
      <x:c r="R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n">
        <x:v>8</x:v>
      </x:c>
      <x:c r="L272" s="38" t="str">
        <x:v>night_base, elem_火, elem_水, elem_雷, elem_龙, role_治疗, role_经济, role_抗压承伤</x:v>
      </x:c>
      <x:c r="M272" s="38" t="str">
        <x:v>Toxic</x:v>
      </x:c>
      <x:c r="N272" s="38" t="str">
        <x:v>pal_271</x:v>
      </x:c>
      <x:c r="O272" s="38" t="str">
        <x:v>青蛇将</x:v>
      </x:c>
      <x:c r="P272" s="38" t="str">
        <x:v>https://bazaar-builds.net/db/skills/toxicity.html</x:v>
      </x:c>
      <x:c r="Q272" s="38" t="str">
        <x:v>when you poison, your weapons gain 2 / 4 / 6 damage for the fight.</x:v>
      </x:c>
      <x:c r="R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n">
        <x:v>8</x:v>
      </x:c>
      <x:c r="L273" s="38" t="str">
        <x:v>night_base, elem_火, elem_水, elem_雷, role_召唤, role_治疗, role_经济, special_merchant</x:v>
      </x:c>
      <x:c r="M273" s="38" t="str">
        <x:v>Toxic</x:v>
      </x:c>
      <x:c r="N273" s="38" t="str">
        <x:v>pal_272</x:v>
      </x:c>
      <x:c r="O273" s="38" t="str">
        <x:v>芽貂卫</x:v>
      </x:c>
      <x:c r="P273" s="38" t="str">
        <x:v>https://bazaar-builds.net/db/skills/toxin-injector.html</x:v>
      </x:c>
      <x:c r="Q273" s="38" t="str">
        <x:v>the first time you use an item each fight, haste 1 / 2 / 3 poison item(s) for 2 seconds.</x:v>
      </x:c>
      <x:c r="R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n">
        <x:v>8</x:v>
      </x:c>
      <x:c r="L274" s="38" t="str">
        <x:v>night_base, elem_火, elem_水, elem_雷, elem_冰, role_控制, special_merchant, role_抗压承伤</x:v>
      </x:c>
      <x:c r="M274" s="38" t="str">
        <x:v>Fiery</x:v>
      </x:c>
      <x:c r="N274" s="38" t="str">
        <x:v>pal_273</x:v>
      </x:c>
      <x:c r="O274" s="38" t="str">
        <x:v>燎鹰卫</x:v>
      </x:c>
      <x:c r="P274" s="38" t="str">
        <x:v>https://bazaar-builds.net/db/skills/tracer-fire.html</x:v>
      </x:c>
      <x:c r="Q274" s="38" t="str">
        <x:v>when you burn, your items gain +1 / 2 / 3% crit chance for the fight.</x:v>
      </x:c>
      <x:c r="R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n">
        <x:v>8</x:v>
      </x:c>
      <x:c r="L275" s="38" t="str">
        <x:v>night_base, elem_水, elem_雷, role_召唤, role_治疗, role_输出, role_经济, tier_pT3</x:v>
      </x:c>
      <x:c r="M275" s="38" t="str">
        <x:v>Toxic</x:v>
      </x:c>
      <x:c r="N275" s="38" t="str">
        <x:v>pal_274</x:v>
      </x:c>
      <x:c r="O275" s="38" t="str">
        <x:v>苔貂王</x:v>
      </x:c>
      <x:c r="P275" s="38" t="str">
        <x:v>https://bazaar-builds.net/db/skills/venomous-blade.html</x:v>
      </x:c>
      <x:c r="Q275" s="38" t="str">
        <x:v>the first 4 → 8 times you use a weapon each fight, charge a poison item 1 second.</x:v>
      </x:c>
      <x:c r="R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n">
        <x:v>8</x:v>
      </x:c>
      <x:c r="L276" s="38" t="str">
        <x:v>night_base, elem_水, elem_草, role_控制, role_治疗, elite_high, tier_pT1, role_远点压制</x:v>
      </x:c>
      <x:c r="M276" s="38" t="str">
        <x:v>Toxic</x:v>
      </x:c>
      <x:c r="N276" s="38" t="str">
        <x:v>pal_275</x:v>
      </x:c>
      <x:c r="O276" s="38" t="str">
        <x:v>青鹿祖</x:v>
      </x:c>
      <x:c r="P276" s="38" t="str">
        <x:v>https://bazaar-builds.net/db/skills/venomous-vitality.html</x:v>
      </x:c>
      <x:c r="Q276" s="38" t="str">
        <x:v>you have +regen equal to half the poison on an enemy.</x:v>
      </x:c>
      <x:c r="R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n">
        <x:v>8</x:v>
      </x:c>
      <x:c r="L277" s="38" t="str">
        <x:v>night_base, elem_火, elem_水, elem_雷, role_控制, role_输出, tier_pT3, role_风系牵制</x:v>
      </x:c>
      <x:c r="M277" s="38" t="str">
        <x:v>Fiery</x:v>
      </x:c>
      <x:c r="N277" s="38" t="str">
        <x:v>pal_276</x:v>
      </x:c>
      <x:c r="O277" s="38" t="str">
        <x:v>焰蟾卫</x:v>
      </x:c>
      <x:c r="P277" s="38" t="str">
        <x:v>https://bazaar-builds.net/db/skills/warm-hugs.html</x:v>
      </x:c>
      <x:c r="Q277" s="38" t="str">
        <x:v>the first 4 / 8 / 12 times you use a friend each fight, burn 5.</x:v>
      </x:c>
      <x:c r="R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item_gap</x:v>
      </x:c>
      <x:c r="D278" s="38" t="str">
        <x:v>derived_gap_profile</x:v>
      </x:c>
      <x:c r="E278" s="38" t="str">
        <x:v>vanessa-query-gap-bronze-01</x:v>
      </x:c>
      <x:c r="F278" s="38" t="str">
        <x:v>Vanessa Query Gap 青铜 01</x:v>
      </x:c>
      <x:c r="G278" s="38" t="str">
        <x:v>bronze</x:v>
      </x:c>
      <x:c r="H278" s="38" t="str">
        <x:v>small</x:v>
      </x:c>
      <x:c r="I278" s="38" t="str">
        <x:v>aquatic, relic, economyreference, value, heal</x:v>
      </x:c>
      <x:c r="J278" s="38" t="n">
        <x:v>10</x:v>
      </x:c>
      <x:c r="K278" s="38" t="n">
        <x:v>10</x:v>
      </x:c>
      <x:c r="L278" s="38" t="str">
        <x:v>night_base, elem_火, elem_水, elem_草, elem_地, elem_暗, elem_龙, elem_无, role_召唤, role_火系压制</x:v>
      </x:c>
      <x:c r="M278" s="38" t="str">
        <x:v>Restorative</x:v>
      </x:c>
      <x:c r="N278" s="38" t="str">
        <x:v>pal_277</x:v>
      </x:c>
      <x:c r="O278" s="38" t="str">
        <x:v>澜蚌灵</x:v>
      </x:c>
      <x:c r="P278" s="38" t="str"/>
      <x:c r="Q278" s="38" t="str">
        <x:v>Derived design profile from Ambergris; exact Patch 16.2 source item identity remains unresolved.</x:v>
      </x:c>
      <x:c r="R278" s="38" t="str">
        <x:v>BazaarDB 231物品查询与可导出138定义之间的93条差额；使用同品质 donor ambergris 的关系与标签画像生成，未冒充精确原名。</x:v>
      </x:c>
    </x:row>
    <x:row r="279">
      <x:c r="A279" s="38" t="str">
        <x:v>bz_van_278</x:v>
      </x:c>
      <x:c r="B279" s="38" t="n">
        <x:v>278</x:v>
      </x:c>
      <x:c r="C279" s="38" t="str">
        <x:v>item_gap</x:v>
      </x:c>
      <x:c r="D279" s="38" t="str">
        <x:v>derived_gap_profile</x:v>
      </x:c>
      <x:c r="E279" s="38" t="str">
        <x:v>vanessa-query-gap-bronze-02</x:v>
      </x:c>
      <x:c r="F279" s="38" t="str">
        <x:v>Vanessa Query Gap 青铜 02</x:v>
      </x:c>
      <x:c r="G279" s="38" t="str">
        <x:v>bronze</x:v>
      </x:c>
      <x:c r="H279" s="38" t="str">
        <x:v>medium</x:v>
      </x:c>
      <x:c r="I279" s="38" t="str">
        <x:v>shield</x:v>
      </x:c>
      <x:c r="J279" s="38" t="n">
        <x:v>10</x:v>
      </x:c>
      <x:c r="K279" s="38" t="n">
        <x:v>9</x:v>
      </x:c>
      <x:c r="L279" s="38" t="str">
        <x:v>night_base, elem_火, elem_水, elem_雷, elem_冰, elem_地, elem_暗, role_控制, special_merchant</x:v>
      </x:c>
      <x:c r="M279" s="38" t="str">
        <x:v>Shielded</x:v>
      </x:c>
      <x:c r="N279" s="38" t="str">
        <x:v>pal_278</x:v>
      </x:c>
      <x:c r="O279" s="38" t="str">
        <x:v>岩犀仔</x:v>
      </x:c>
      <x:c r="P279" s="38" t="str"/>
      <x:c r="Q279" s="38" t="str">
        <x:v>Derived design profile from Barrel; exact Patch 16.2 source item identity remains unresolved.</x:v>
      </x:c>
      <x:c r="R279" s="38" t="str">
        <x:v>BazaarDB 231物品查询与可导出138定义之间的93条差额；使用同品质 donor barrel 的关系与标签画像生成，未冒充精确原名。</x:v>
      </x:c>
    </x:row>
    <x:row r="280">
      <x:c r="A280" s="38" t="str">
        <x:v>bz_van_279</x:v>
      </x:c>
      <x:c r="B280" s="38" t="n">
        <x:v>279</x:v>
      </x:c>
      <x:c r="C280" s="38" t="str">
        <x:v>item_gap</x:v>
      </x:c>
      <x:c r="D280" s="38" t="str">
        <x:v>derived_gap_profile</x:v>
      </x:c>
      <x:c r="E280" s="38" t="str">
        <x:v>vanessa-query-gap-bronze-03</x:v>
      </x:c>
      <x:c r="F280" s="38" t="str">
        <x:v>Vanessa Query Gap 青铜 03</x:v>
      </x:c>
      <x:c r="G280" s="38" t="str">
        <x:v>bronze</x:v>
      </x:c>
      <x:c r="H280" s="38" t="str">
        <x:v>small</x:v>
      </x:c>
      <x:c r="I280" s="38" t="str">
        <x:v>weapon, damage</x:v>
      </x:c>
      <x:c r="J280" s="38" t="n">
        <x:v>10</x:v>
      </x:c>
      <x:c r="K280" s="38" t="n">
        <x:v>10</x:v>
      </x:c>
      <x:c r="L280" s="38" t="str">
        <x:v>night_base, elem_火, elem_水, elem_草, elem_雷, elem_地, elem_龙, elem_无, role_召唤, role_风系铺场</x:v>
      </x:c>
      <x:c r="M280" s="38" t="str">
        <x:v>Deadly</x:v>
      </x:c>
      <x:c r="N280" s="38" t="str">
        <x:v>pal_279</x:v>
      </x:c>
      <x:c r="O280" s="38" t="str">
        <x:v>凝隼兽</x:v>
      </x:c>
      <x:c r="P280" s="38" t="str"/>
      <x:c r="Q280" s="38" t="str">
        <x:v>Derived design profile from Bayonet; exact Patch 16.2 source item identity remains unresolved.</x:v>
      </x:c>
      <x:c r="R280" s="38" t="str">
        <x:v>BazaarDB 231物品查询与可导出138定义之间的93条差额；使用同品质 donor bayonet 的关系与标签画像生成，未冒充精确原名。</x:v>
      </x:c>
    </x:row>
    <x:row r="281">
      <x:c r="A281" s="38" t="str">
        <x:v>bz_van_280</x:v>
      </x:c>
      <x:c r="B281" s="38" t="n">
        <x:v>280</x:v>
      </x:c>
      <x:c r="C281" s="38" t="str">
        <x:v>item_gap</x:v>
      </x:c>
      <x:c r="D281" s="38" t="str">
        <x:v>derived_gap_profile</x:v>
      </x:c>
      <x:c r="E281" s="38" t="str">
        <x:v>vanessa-query-gap-bronze-04</x:v>
      </x:c>
      <x:c r="F281" s="38" t="str">
        <x:v>Vanessa Query Gap 青铜 04</x:v>
      </x:c>
      <x:c r="G281" s="38" t="str">
        <x:v>bronze</x:v>
      </x:c>
      <x:c r="H281" s="38" t="str">
        <x:v>medium</x:v>
      </x:c>
      <x:c r="I281" s="38" t="str">
        <x:v>aquatic, toy, haste</x:v>
      </x:c>
      <x:c r="J281" s="38" t="n">
        <x:v>10</x:v>
      </x:c>
      <x:c r="K281" s="38" t="n">
        <x:v>10</x:v>
      </x:c>
      <x:c r="L281" s="38" t="str">
        <x:v>night_base, elem_火, elem_水, elem_冰, elem_地, elem_暗, elem_龙, role_控制, role_治疗, role_经济</x:v>
      </x:c>
      <x:c r="M281" s="38" t="str">
        <x:v>Turbo</x:v>
      </x:c>
      <x:c r="N281" s="38" t="str">
        <x:v>pal_280</x:v>
      </x:c>
      <x:c r="O281" s="38" t="str">
        <x:v>潮猿仔</x:v>
      </x:c>
      <x:c r="P281" s="38" t="str"/>
      <x:c r="Q281" s="38" t="str">
        <x:v>Derived design profile from Beach Ball; exact Patch 16.2 source item identity remains unresolved.</x:v>
      </x:c>
      <x:c r="R281" s="38" t="str">
        <x:v>BazaarDB 231物品查询与可导出138定义之间的93条差额；使用同品质 donor beach-ball 的关系与标签画像生成，未冒充精确原名。</x:v>
      </x:c>
    </x:row>
    <x:row r="282">
      <x:c r="A282" s="38" t="str">
        <x:v>bz_van_281</x:v>
      </x:c>
      <x:c r="B282" s="38" t="n">
        <x:v>281</x:v>
      </x:c>
      <x:c r="C282" s="38" t="str">
        <x:v>item_gap</x:v>
      </x:c>
      <x:c r="D282" s="38" t="str">
        <x:v>derived_gap_profile</x:v>
      </x:c>
      <x:c r="E282" s="38" t="str">
        <x:v>vanessa-query-gap-bronze-05</x:v>
      </x:c>
      <x:c r="F282" s="38" t="str">
        <x:v>Vanessa Query Gap 青铜 05</x:v>
      </x:c>
      <x:c r="G282" s="38" t="str">
        <x:v>bronze</x:v>
      </x:c>
      <x:c r="H282" s="38" t="str">
        <x:v>small</x:v>
      </x:c>
      <x:c r="I282" s="38" t="str">
        <x:v>weapon, aquatic, damage</x:v>
      </x:c>
      <x:c r="J282" s="38" t="n">
        <x:v>10</x:v>
      </x:c>
      <x:c r="K282" s="38" t="n">
        <x:v>10</x:v>
      </x:c>
      <x:c r="L282" s="38" t="str">
        <x:v>night_base, elem_火, elem_水, elem_草, elem_雷, elem_地, elem_龙, elem_无, role_召唤, role_风系铺场</x:v>
      </x:c>
      <x:c r="M282" s="38" t="str">
        <x:v>Deadly</x:v>
      </x:c>
      <x:c r="N282" s="38" t="str">
        <x:v>pal_281</x:v>
      </x:c>
      <x:c r="O282" s="38" t="str">
        <x:v>渊隼兽</x:v>
      </x:c>
      <x:c r="P282" s="38" t="str"/>
      <x:c r="Q282" s="38" t="str">
        <x:v>Derived design profile from Bilge Worm; exact Patch 16.2 source item identity remains unresolved.</x:v>
      </x:c>
      <x:c r="R282" s="38" t="str">
        <x:v>BazaarDB 231物品查询与可导出138定义之间的93条差额；使用同品质 donor bilge-worm 的关系与标签画像生成，未冒充精确原名。</x:v>
      </x:c>
    </x:row>
    <x:row r="283">
      <x:c r="A283" s="38" t="str">
        <x:v>bz_van_282</x:v>
      </x:c>
      <x:c r="B283" s="38" t="n">
        <x:v>282</x:v>
      </x:c>
      <x:c r="C283" s="38" t="str">
        <x:v>item_gap</x:v>
      </x:c>
      <x:c r="D283" s="38" t="str">
        <x:v>derived_gap_profile</x:v>
      </x:c>
      <x:c r="E283" s="38" t="str">
        <x:v>vanessa-query-gap-bronze-06</x:v>
      </x:c>
      <x:c r="F283" s="38" t="str">
        <x:v>Vanessa Query Gap 青铜 06</x:v>
      </x:c>
      <x:c r="G283" s="38" t="str">
        <x:v>bronze</x:v>
      </x:c>
      <x:c r="H283" s="38" t="str">
        <x:v>small</x:v>
      </x:c>
      <x:c r="I283" s="38" t="str">
        <x:v>weapon, damage, ammo, slow</x:v>
      </x:c>
      <x:c r="J283" s="38" t="n">
        <x:v>10</x:v>
      </x:c>
      <x:c r="K283" s="38" t="n">
        <x:v>10</x:v>
      </x:c>
      <x:c r="L283" s="38" t="str">
        <x:v>night_base, elem_火, elem_水, elem_草, elem_地, elem_无, role_召唤, role_坦克, role_治疗, elite_high</x:v>
      </x:c>
      <x:c r="M283" s="38" t="str">
        <x:v>Icy</x:v>
      </x:c>
      <x:c r="N283" s="38" t="str">
        <x:v>pal_282</x:v>
      </x:c>
      <x:c r="O283" s="38" t="str">
        <x:v>震蛙童</x:v>
      </x:c>
      <x:c r="P283" s="38" t="str"/>
      <x:c r="Q283" s="38" t="str">
        <x:v>Derived design profile from Bolas; exact Patch 16.2 source item identity remains unresolved.</x:v>
      </x:c>
      <x:c r="R283" s="38" t="str">
        <x:v>BazaarDB 231物品查询与可导出138定义之间的93条差额；使用同品质 donor bolas 的关系与标签画像生成，未冒充精确原名。</x:v>
      </x:c>
    </x:row>
    <x:row r="284">
      <x:c r="A284" s="38" t="str">
        <x:v>bz_van_283</x:v>
      </x:c>
      <x:c r="B284" s="38" t="n">
        <x:v>283</x:v>
      </x:c>
      <x:c r="C284" s="38" t="str">
        <x:v>item_gap</x:v>
      </x:c>
      <x:c r="D284" s="38" t="str">
        <x:v>derived_gap_profile</x:v>
      </x:c>
      <x:c r="E284" s="38" t="str">
        <x:v>vanessa-query-gap-bronze-07</x:v>
      </x:c>
      <x:c r="F284" s="38" t="str">
        <x:v>Vanessa Query Gap 青铜 07</x:v>
      </x:c>
      <x:c r="G284" s="38" t="str">
        <x:v>bronze</x:v>
      </x:c>
      <x:c r="H284" s="38" t="str">
        <x:v>small</x:v>
      </x:c>
      <x:c r="I284" s="38" t="str">
        <x:v>friend, weapon, damage, critreference</x:v>
      </x:c>
      <x:c r="J284" s="38" t="n">
        <x:v>10</x:v>
      </x:c>
      <x:c r="K284" s="38" t="n">
        <x:v>10</x:v>
      </x:c>
      <x:c r="L284" s="38" t="str">
        <x:v>night_base, elem_火, elem_水, elem_草, elem_雷, elem_地, elem_无, role_召唤, role_输出, tier_pT2</x:v>
      </x:c>
      <x:c r="M284" s="38" t="str">
        <x:v>Deadly</x:v>
      </x:c>
      <x:c r="N284" s="38" t="str">
        <x:v>pal_283</x:v>
      </x:c>
      <x:c r="O284" s="38" t="str">
        <x:v>鸣蟾仔</x:v>
      </x:c>
      <x:c r="P284" s="38" t="str"/>
      <x:c r="Q284" s="38" t="str">
        <x:v>Derived design profile from Calico; exact Patch 16.2 source item identity remains unresolved.</x:v>
      </x:c>
      <x:c r="R284" s="38" t="str">
        <x:v>BazaarDB 231物品查询与可导出138定义之间的93条差额；使用同品质 donor calico 的关系与标签画像生成，未冒充精确原名。</x:v>
      </x:c>
    </x:row>
    <x:row r="285">
      <x:c r="A285" s="38" t="str">
        <x:v>bz_van_284</x:v>
      </x:c>
      <x:c r="B285" s="38" t="n">
        <x:v>284</x:v>
      </x:c>
      <x:c r="C285" s="38" t="str">
        <x:v>item_gap</x:v>
      </x:c>
      <x:c r="D285" s="38" t="str">
        <x:v>derived_gap_profile</x:v>
      </x:c>
      <x:c r="E285" s="38" t="str">
        <x:v>vanessa-query-gap-bronze-08</x:v>
      </x:c>
      <x:c r="F285" s="38" t="str">
        <x:v>Vanessa Query Gap 青铜 08</x:v>
      </x:c>
      <x:c r="G285" s="38" t="str">
        <x:v>bronze</x:v>
      </x:c>
      <x:c r="H285" s="38" t="str">
        <x:v>medium</x:v>
      </x:c>
      <x:c r="I285" s="38" t="str">
        <x:v>weapon, damage, ammo, burn</x:v>
      </x:c>
      <x:c r="J285" s="38" t="n">
        <x:v>10</x:v>
      </x:c>
      <x:c r="K285" s="38" t="n">
        <x:v>10</x:v>
      </x:c>
      <x:c r="L285" s="38" t="str">
        <x:v>night_base, elem_火, elem_水, elem_雷, elem_冰, elem_地, elem_无, role_坦克, role_控制, role_机动</x:v>
      </x:c>
      <x:c r="M285" s="38" t="str">
        <x:v>Fiery</x:v>
      </x:c>
      <x:c r="N285" s="38" t="str">
        <x:v>pal_284</x:v>
      </x:c>
      <x:c r="O285" s="38" t="str">
        <x:v>朱鲨童</x:v>
      </x:c>
      <x:c r="P285" s="38" t="str"/>
      <x:c r="Q285" s="38" t="str">
        <x:v>Derived design profile from Cannon; exact Patch 16.2 source item identity remains unresolved.</x:v>
      </x:c>
      <x:c r="R285" s="38" t="str">
        <x:v>BazaarDB 231物品查询与可导出138定义之间的93条差额；使用同品质 donor cannon 的关系与标签画像生成，未冒充精确原名。</x:v>
      </x:c>
    </x:row>
    <x:row r="286">
      <x:c r="A286" s="38" t="str">
        <x:v>bz_van_285</x:v>
      </x:c>
      <x:c r="B286" s="38" t="n">
        <x:v>285</x:v>
      </x:c>
      <x:c r="C286" s="38" t="str">
        <x:v>item_gap</x:v>
      </x:c>
      <x:c r="D286" s="38" t="str">
        <x:v>derived_gap_profile</x:v>
      </x:c>
      <x:c r="E286" s="38" t="str">
        <x:v>vanessa-query-gap-bronze-09</x:v>
      </x:c>
      <x:c r="F286" s="38" t="str">
        <x:v>Vanessa Query Gap 青铜 09</x:v>
      </x:c>
      <x:c r="G286" s="38" t="str">
        <x:v>bronze</x:v>
      </x:c>
      <x:c r="H286" s="38" t="str">
        <x:v>small</x:v>
      </x:c>
      <x:c r="I286" s="38" t="str">
        <x:v>aquatic, friend, poison, hastereference</x:v>
      </x:c>
      <x:c r="J286" s="38" t="n">
        <x:v>10</x:v>
      </x:c>
      <x:c r="K286" s="38" t="n">
        <x:v>10</x:v>
      </x:c>
      <x:c r="L286" s="38" t="str">
        <x:v>night_base, elem_火, elem_水, elem_暗, elem_龙, role_召唤, role_治疗, role_经济, tier_pT2, role_重甲抗压</x:v>
      </x:c>
      <x:c r="M286" s="38" t="str">
        <x:v>Toxic</x:v>
      </x:c>
      <x:c r="N286" s="38" t="str">
        <x:v>pal_285</x:v>
      </x:c>
      <x:c r="O286" s="38" t="str">
        <x:v>翠蝎灵</x:v>
      </x:c>
      <x:c r="P286" s="38" t="str"/>
      <x:c r="Q286" s="38" t="str">
        <x:v>Derived design profile from Catfish; exact Patch 16.2 source item identity remains unresolved.</x:v>
      </x:c>
      <x:c r="R286" s="38" t="str">
        <x:v>BazaarDB 231物品查询与可导出138定义之间的93条差额；使用同品质 donor catfish 的关系与标签画像生成，未冒充精确原名。</x:v>
      </x:c>
    </x:row>
    <x:row r="287">
      <x:c r="A287" s="38" t="str">
        <x:v>bz_van_286</x:v>
      </x:c>
      <x:c r="B287" s="38" t="n">
        <x:v>286</x:v>
      </x:c>
      <x:c r="C287" s="38" t="str">
        <x:v>item_gap</x:v>
      </x:c>
      <x:c r="D287" s="38" t="str">
        <x:v>derived_gap_profile</x:v>
      </x:c>
      <x:c r="E287" s="38" t="str">
        <x:v>vanessa-query-gap-bronze-10</x:v>
      </x:c>
      <x:c r="F287" s="38" t="str">
        <x:v>Vanessa Query Gap 青铜 10</x:v>
      </x:c>
      <x:c r="G287" s="38" t="str">
        <x:v>bronze</x:v>
      </x:c>
      <x:c r="H287" s="38" t="str">
        <x:v>small</x:v>
      </x:c>
      <x:c r="I287" s="38" t="str">
        <x:v>aquatic, food, crit</x:v>
      </x:c>
      <x:c r="J287" s="38" t="n">
        <x:v>10</x:v>
      </x:c>
      <x:c r="K287" s="38" t="n">
        <x:v>10</x:v>
      </x:c>
      <x:c r="L287" s="38" t="str">
        <x:v>night_base, elem_火, elem_水, elem_草, elem_地, elem_暗, elem_龙, role_召唤, role_输出, tier_pT1</x:v>
      </x:c>
      <x:c r="M287" s="38" t="str">
        <x:v>Deadly</x:v>
      </x:c>
      <x:c r="N287" s="38" t="str">
        <x:v>pal_286</x:v>
      </x:c>
      <x:c r="O287" s="38" t="str">
        <x:v>森狮童</x:v>
      </x:c>
      <x:c r="P287" s="38" t="str"/>
      <x:c r="Q287" s="38" t="str">
        <x:v>Derived design profile from Chum; exact Patch 16.2 source item identity remains unresolved.</x:v>
      </x:c>
      <x:c r="R287" s="38" t="str">
        <x:v>BazaarDB 231物品查询与可导出138定义之间的93条差额；使用同品质 donor chum 的关系与标签画像生成，未冒充精确原名。</x:v>
      </x:c>
    </x:row>
    <x:row r="288">
      <x:c r="A288" s="38" t="str">
        <x:v>bz_van_287</x:v>
      </x:c>
      <x:c r="B288" s="38" t="n">
        <x:v>287</x:v>
      </x:c>
      <x:c r="C288" s="38" t="str">
        <x:v>item_gap</x:v>
      </x:c>
      <x:c r="D288" s="38" t="str">
        <x:v>derived_gap_profile</x:v>
      </x:c>
      <x:c r="E288" s="38" t="str">
        <x:v>vanessa-query-gap-bronze-11</x:v>
      </x:c>
      <x:c r="F288" s="38" t="str">
        <x:v>Vanessa Query Gap 青铜 11</x:v>
      </x:c>
      <x:c r="G288" s="38" t="str">
        <x:v>bronze</x:v>
      </x:c>
      <x:c r="H288" s="38" t="str">
        <x:v>small</x:v>
      </x:c>
      <x:c r="I288" s="38" t="str">
        <x:v>weapon, damage, gold, haste</x:v>
      </x:c>
      <x:c r="J288" s="38" t="n">
        <x:v>10</x:v>
      </x:c>
      <x:c r="K288" s="38" t="n">
        <x:v>10</x:v>
      </x:c>
      <x:c r="L288" s="38" t="str">
        <x:v>night_base, elem_火, elem_水, elem_草, elem_雷, elem_地, elem_无, role_召唤, role_治疗, role_经济</x:v>
      </x:c>
      <x:c r="M288" s="38" t="str">
        <x:v>Turbo</x:v>
      </x:c>
      <x:c r="N288" s="38" t="str">
        <x:v>pal_287</x:v>
      </x:c>
      <x:c r="O288" s="38" t="str">
        <x:v>云狐兽</x:v>
      </x:c>
      <x:c r="P288" s="38" t="str"/>
      <x:c r="Q288" s="38" t="str">
        <x:v>Derived design profile from Concealed Dagger; exact Patch 16.2 source item identity remains unresolved.</x:v>
      </x:c>
      <x:c r="R288" s="38" t="str">
        <x:v>BazaarDB 231物品查询与可导出138定义之间的93条差额；使用同品质 donor concealed-dagger 的关系与标签画像生成，未冒充精确原名。</x:v>
      </x:c>
    </x:row>
    <x:row r="289">
      <x:c r="A289" s="38" t="str">
        <x:v>bz_van_288</x:v>
      </x:c>
      <x:c r="B289" s="38" t="n">
        <x:v>288</x:v>
      </x:c>
      <x:c r="C289" s="38" t="str">
        <x:v>item_gap</x:v>
      </x:c>
      <x:c r="D289" s="38" t="str">
        <x:v>derived_gap_profile</x:v>
      </x:c>
      <x:c r="E289" s="38" t="str">
        <x:v>vanessa-query-gap-bronze-12</x:v>
      </x:c>
      <x:c r="F289" s="38" t="str">
        <x:v>Vanessa Query Gap 青铜 12</x:v>
      </x:c>
      <x:c r="G289" s="38" t="str">
        <x:v>bronze</x:v>
      </x:c>
      <x:c r="H289" s="38" t="str">
        <x:v>small</x:v>
      </x:c>
      <x:c r="I289" s="38" t="str">
        <x:v>aquatic, relic, heal</x:v>
      </x:c>
      <x:c r="J289" s="38" t="n">
        <x:v>10</x:v>
      </x:c>
      <x:c r="K289" s="38" t="n">
        <x:v>10</x:v>
      </x:c>
      <x:c r="L289" s="38" t="str">
        <x:v>night_base, elem_火, elem_水, elem_草, elem_雷, elem_地, elem_暗, elem_龙, role_召唤, role_火系压制</x:v>
      </x:c>
      <x:c r="M289" s="38" t="str">
        <x:v>Restorative</x:v>
      </x:c>
      <x:c r="N289" s="38" t="str">
        <x:v>pal_288</x:v>
      </x:c>
      <x:c r="O289" s="38" t="str">
        <x:v>澜兔仔</x:v>
      </x:c>
      <x:c r="P289" s="38" t="str"/>
      <x:c r="Q289" s="38" t="str">
        <x:v>Derived design profile from Coral; exact Patch 16.2 source item identity remains unresolved.</x:v>
      </x:c>
      <x:c r="R289" s="38" t="str">
        <x:v>BazaarDB 231物品查询与可导出138定义之间的93条差额；使用同品质 donor coral 的关系与标签画像生成，未冒充精确原名。</x:v>
      </x:c>
    </x:row>
    <x:row r="290">
      <x:c r="A290" s="38" t="str">
        <x:v>bz_van_289</x:v>
      </x:c>
      <x:c r="B290" s="38" t="n">
        <x:v>289</x:v>
      </x:c>
      <x:c r="C290" s="38" t="str">
        <x:v>item_gap</x:v>
      </x:c>
      <x:c r="D290" s="38" t="str">
        <x:v>derived_gap_profile</x:v>
      </x:c>
      <x:c r="E290" s="38" t="str">
        <x:v>vanessa-query-gap-bronze-13</x:v>
      </x:c>
      <x:c r="F290" s="38" t="str">
        <x:v>Vanessa Query Gap 青铜 13</x:v>
      </x:c>
      <x:c r="G290" s="38" t="str">
        <x:v>bronze</x:v>
      </x:c>
      <x:c r="H290" s="38" t="str">
        <x:v>medium</x:v>
      </x:c>
      <x:c r="I290" s="38" t="str">
        <x:v>aquatic, apparel, relic, shield</x:v>
      </x:c>
      <x:c r="J290" s="38" t="n">
        <x:v>10</x:v>
      </x:c>
      <x:c r="K290" s="38" t="n">
        <x:v>9</x:v>
      </x:c>
      <x:c r="L290" s="38" t="str">
        <x:v>night_base, elem_火, elem_水, elem_冰, elem_暗, elem_龙, role_控制, special_merchant, tier_pT3</x:v>
      </x:c>
      <x:c r="M290" s="38" t="str">
        <x:v>Shielded</x:v>
      </x:c>
      <x:c r="N290" s="38" t="str">
        <x:v>pal_289</x:v>
      </x:c>
      <x:c r="O290" s="38" t="str">
        <x:v>沧鼋童</x:v>
      </x:c>
      <x:c r="P290" s="38" t="str"/>
      <x:c r="Q290" s="38" t="str">
        <x:v>Derived design profile from Coral Armor; exact Patch 16.2 source item identity remains unresolved.</x:v>
      </x:c>
      <x:c r="R290" s="38" t="str">
        <x:v>BazaarDB 231物品查询与可导出138定义之间的93条差额；使用同品质 donor coral-armor 的关系与标签画像生成，未冒充精确原名。</x:v>
      </x:c>
    </x:row>
    <x:row r="291">
      <x:c r="A291" s="38" t="str">
        <x:v>bz_van_290</x:v>
      </x:c>
      <x:c r="B291" s="38" t="n">
        <x:v>290</x:v>
      </x:c>
      <x:c r="C291" s="38" t="str">
        <x:v>item_gap</x:v>
      </x:c>
      <x:c r="D291" s="38" t="str">
        <x:v>derived_gap_profile</x:v>
      </x:c>
      <x:c r="E291" s="38" t="str">
        <x:v>vanessa-query-gap-bronze-14</x:v>
      </x:c>
      <x:c r="F291" s="38" t="str">
        <x:v>Vanessa Query Gap 青铜 14</x:v>
      </x:c>
      <x:c r="G291" s="38" t="str">
        <x:v>bronze</x:v>
      </x:c>
      <x:c r="H291" s="38" t="str">
        <x:v>large</x:v>
      </x:c>
      <x:c r="I291" s="38" t="str">
        <x:v>aquatic, property, shield, value, economyreference</x:v>
      </x:c>
      <x:c r="J291" s="38" t="n">
        <x:v>10</x:v>
      </x:c>
      <x:c r="K291" s="38" t="n">
        <x:v>10</x:v>
      </x:c>
      <x:c r="L291" s="38" t="str">
        <x:v>night_base, elem_火, elem_水, elem_草, elem_冰, elem_地, elem_暗, elem_龙, special_merchant, role_机动压制</x:v>
      </x:c>
      <x:c r="M291" s="38" t="str">
        <x:v>Shielded</x:v>
      </x:c>
      <x:c r="N291" s="38" t="str">
        <x:v>pal_290</x:v>
      </x:c>
      <x:c r="O291" s="38" t="str">
        <x:v>汐象兽</x:v>
      </x:c>
      <x:c r="P291" s="38" t="str"/>
      <x:c r="Q291" s="38" t="str">
        <x:v>Derived design profile from Cove; exact Patch 16.2 source item identity remains unresolved.</x:v>
      </x:c>
      <x:c r="R291" s="38" t="str">
        <x:v>BazaarDB 231物品查询与可导出138定义之间的93条差额；使用同品质 donor cove 的关系与标签画像生成，未冒充精确原名。</x:v>
      </x:c>
    </x:row>
    <x:row r="292">
      <x:c r="A292" s="38" t="str">
        <x:v>bz_van_291</x:v>
      </x:c>
      <x:c r="B292" s="38" t="n">
        <x:v>291</x:v>
      </x:c>
      <x:c r="C292" s="38" t="str">
        <x:v>item_gap</x:v>
      </x:c>
      <x:c r="D292" s="38" t="str">
        <x:v>derived_gap_profile</x:v>
      </x:c>
      <x:c r="E292" s="38" t="str">
        <x:v>vanessa-query-gap-bronze-15</x:v>
      </x:c>
      <x:c r="F292" s="38" t="str">
        <x:v>Vanessa Query Gap 青铜 15</x:v>
      </x:c>
      <x:c r="G292" s="38" t="str">
        <x:v>bronze</x:v>
      </x:c>
      <x:c r="H292" s="38" t="str">
        <x:v>medium</x:v>
      </x:c>
      <x:c r="I292" s="38" t="str">
        <x:v>weapon, damage, critreference</x:v>
      </x:c>
      <x:c r="J292" s="38" t="n">
        <x:v>10</x:v>
      </x:c>
      <x:c r="K292" s="38" t="n">
        <x:v>10</x:v>
      </x:c>
      <x:c r="L292" s="38" t="str">
        <x:v>night_base, elem_火, elem_水, elem_雷, elem_冰, elem_地, elem_无, role_控制, role_输出, elite_high</x:v>
      </x:c>
      <x:c r="M292" s="38" t="str">
        <x:v>Deadly</x:v>
      </x:c>
      <x:c r="N292" s="38" t="str">
        <x:v>pal_291</x:v>
      </x:c>
      <x:c r="O292" s="38" t="str">
        <x:v>震虎灵</x:v>
      </x:c>
      <x:c r="P292" s="38" t="str"/>
      <x:c r="Q292" s="38" t="str">
        <x:v>Derived design profile from Cutlass; exact Patch 16.2 source item identity remains unresolved.</x:v>
      </x:c>
      <x:c r="R292" s="38" t="str">
        <x:v>BazaarDB 231物品查询与可导出138定义之间的93条差额；使用同品质 donor cutlass 的关系与标签画像生成，未冒充精确原名。</x:v>
      </x:c>
    </x:row>
    <x:row r="293">
      <x:c r="A293" s="38" t="str">
        <x:v>bz_van_292</x:v>
      </x:c>
      <x:c r="B293" s="38" t="n">
        <x:v>292</x:v>
      </x:c>
      <x:c r="C293" s="38" t="str">
        <x:v>item_gap</x:v>
      </x:c>
      <x:c r="D293" s="38" t="str">
        <x:v>derived_gap_profile</x:v>
      </x:c>
      <x:c r="E293" s="38" t="str">
        <x:v>vanessa-query-gap-bronze-16</x:v>
      </x:c>
      <x:c r="F293" s="38" t="str">
        <x:v>Vanessa Query Gap 青铜 16</x:v>
      </x:c>
      <x:c r="G293" s="38" t="str">
        <x:v>bronze</x:v>
      </x:c>
      <x:c r="H293" s="38" t="str">
        <x:v>medium</x:v>
      </x:c>
      <x:c r="I293" s="38" t="str">
        <x:v>weapon, damage, ammo</x:v>
      </x:c>
      <x:c r="J293" s="38" t="n">
        <x:v>10</x:v>
      </x:c>
      <x:c r="K293" s="38" t="n">
        <x:v>10</x:v>
      </x:c>
      <x:c r="L293" s="38" t="str">
        <x:v>night_base, elem_火, elem_水, elem_雷, elem_冰, elem_地, elem_无, role_坦克, role_控制, role_风系铺场</x:v>
      </x:c>
      <x:c r="M293" s="38" t="str">
        <x:v>Deadly</x:v>
      </x:c>
      <x:c r="N293" s="38" t="str">
        <x:v>pal_292</x:v>
      </x:c>
      <x:c r="O293" s="38" t="str">
        <x:v>闪狮童</x:v>
      </x:c>
      <x:c r="P293" s="38" t="str"/>
      <x:c r="Q293" s="38" t="str">
        <x:v>Derived design profile from Double Barrel; exact Patch 16.2 source item identity remains unresolved.</x:v>
      </x:c>
      <x:c r="R293" s="38" t="str">
        <x:v>BazaarDB 231物品查询与可导出138定义之间的93条差额；使用同品质 donor double-barrel 的关系与标签画像生成，未冒充精确原名。</x:v>
      </x:c>
    </x:row>
    <x:row r="294">
      <x:c r="A294" s="38" t="str">
        <x:v>bz_van_293</x:v>
      </x:c>
      <x:c r="B294" s="38" t="n">
        <x:v>293</x:v>
      </x:c>
      <x:c r="C294" s="38" t="str">
        <x:v>item_gap</x:v>
      </x:c>
      <x:c r="D294" s="38" t="str">
        <x:v>derived_gap_profile</x:v>
      </x:c>
      <x:c r="E294" s="38" t="str">
        <x:v>vanessa-query-gap-bronze-17</x:v>
      </x:c>
      <x:c r="F294" s="38" t="str">
        <x:v>Vanessa Query Gap 青铜 17</x:v>
      </x:c>
      <x:c r="G294" s="38" t="str">
        <x:v>bronze</x:v>
      </x:c>
      <x:c r="H294" s="38" t="str">
        <x:v>medium</x:v>
      </x:c>
      <x:c r="I294" s="38" t="str">
        <x:v>aquatic, tool, slow, economyreference</x:v>
      </x:c>
      <x:c r="J294" s="38" t="n">
        <x:v>10</x:v>
      </x:c>
      <x:c r="K294" s="38" t="n">
        <x:v>10</x:v>
      </x:c>
      <x:c r="L294" s="38" t="str">
        <x:v>night_base, elem_火, elem_水, elem_冰, elem_暗, elem_龙, role_控制, role_治疗, elite_high, role_召唤铺场</x:v>
      </x:c>
      <x:c r="M294" s="38" t="str">
        <x:v>Icy</x:v>
      </x:c>
      <x:c r="N294" s="38" t="str">
        <x:v>pal_293</x:v>
      </x:c>
      <x:c r="O294" s="38" t="str">
        <x:v>潮貂仔</x:v>
      </x:c>
      <x:c r="P294" s="38" t="str"/>
      <x:c r="Q294" s="38" t="str">
        <x:v>Derived design profile from Fishing Net; exact Patch 16.2 source item identity remains unresolved.</x:v>
      </x:c>
      <x:c r="R294" s="38" t="str">
        <x:v>BazaarDB 231物品查询与可导出138定义之间的93条差额；使用同品质 donor fishing-net 的关系与标签画像生成，未冒充精确原名。</x:v>
      </x:c>
    </x:row>
    <x:row r="295">
      <x:c r="A295" s="38" t="str">
        <x:v>bz_van_294</x:v>
      </x:c>
      <x:c r="B295" s="38" t="n">
        <x:v>294</x:v>
      </x:c>
      <x:c r="C295" s="38" t="str">
        <x:v>item_gap</x:v>
      </x:c>
      <x:c r="D295" s="38" t="str">
        <x:v>derived_gap_profile</x:v>
      </x:c>
      <x:c r="E295" s="38" t="str">
        <x:v>vanessa-query-gap-bronze-18</x:v>
      </x:c>
      <x:c r="F295" s="38" t="str">
        <x:v>Vanessa Query Gap 青铜 18</x:v>
      </x:c>
      <x:c r="G295" s="38" t="str">
        <x:v>bronze</x:v>
      </x:c>
      <x:c r="H295" s="38" t="str">
        <x:v>medium</x:v>
      </x:c>
      <x:c r="I295" s="38" t="str">
        <x:v>aquatic, tool, haste</x:v>
      </x:c>
      <x:c r="J295" s="38" t="n">
        <x:v>10</x:v>
      </x:c>
      <x:c r="K295" s="38" t="n">
        <x:v>10</x:v>
      </x:c>
      <x:c r="L295" s="38" t="str">
        <x:v>night_base, elem_火, elem_水, elem_冰, elem_暗, elem_龙, role_控制, role_治疗, role_经济, role_召唤铺场</x:v>
      </x:c>
      <x:c r="M295" s="38" t="str">
        <x:v>Turbo</x:v>
      </x:c>
      <x:c r="N295" s="38" t="str">
        <x:v>pal_294</x:v>
      </x:c>
      <x:c r="O295" s="38" t="str">
        <x:v>澜燕灵</x:v>
      </x:c>
      <x:c r="P295" s="38" t="str"/>
      <x:c r="Q295" s="38" t="str">
        <x:v>Derived design profile from Fishing Rod; exact Patch 16.2 source item identity remains unresolved.</x:v>
      </x:c>
      <x:c r="R295" s="38" t="str">
        <x:v>BazaarDB 231物品查询与可导出138定义之间的93条差额；使用同品质 donor fishing-rod 的关系与标签画像生成，未冒充精确原名。</x:v>
      </x:c>
    </x:row>
    <x:row r="296">
      <x:c r="A296" s="38" t="str">
        <x:v>bz_van_295</x:v>
      </x:c>
      <x:c r="B296" s="38" t="n">
        <x:v>295</x:v>
      </x:c>
      <x:c r="C296" s="38" t="str">
        <x:v>item_gap</x:v>
      </x:c>
      <x:c r="D296" s="38" t="str">
        <x:v>derived_gap_profile</x:v>
      </x:c>
      <x:c r="E296" s="38" t="str">
        <x:v>vanessa-query-gap-bronze-19</x:v>
      </x:c>
      <x:c r="F296" s="38" t="str">
        <x:v>Vanessa Query Gap 青铜 19</x:v>
      </x:c>
      <x:c r="G296" s="38" t="str">
        <x:v>bronze</x:v>
      </x:c>
      <x:c r="H296" s="38" t="str">
        <x:v>small</x:v>
      </x:c>
      <x:c r="I296" s="38" t="str">
        <x:v>aquatic, friend, weapon, haste, flying</x:v>
      </x:c>
      <x:c r="J296" s="38" t="n">
        <x:v>10</x:v>
      </x:c>
      <x:c r="K296" s="38" t="n">
        <x:v>10</x:v>
      </x:c>
      <x:c r="L296" s="38" t="str">
        <x:v>night_base, elem_火, elem_水, elem_龙, elem_无, role_召唤, role_治疗, role_经济, tier_pT2, role_远点压制</x:v>
      </x:c>
      <x:c r="M296" s="38" t="str">
        <x:v>Turbo</x:v>
      </x:c>
      <x:c r="N296" s="38" t="str">
        <x:v>pal_295</x:v>
      </x:c>
      <x:c r="O296" s="38" t="str">
        <x:v>沧鲭童</x:v>
      </x:c>
      <x:c r="P296" s="38" t="str"/>
      <x:c r="Q296" s="38" t="str">
        <x:v>Derived design profile from Flying Fish; exact Patch 16.2 source item identity remains unresolved.</x:v>
      </x:c>
      <x:c r="R296" s="38" t="str">
        <x:v>BazaarDB 231物品查询与可导出138定义之间的93条差额；使用同品质 donor flying-fish 的关系与标签画像生成，未冒充精确原名。</x:v>
      </x:c>
    </x:row>
    <x:row r="297">
      <x:c r="A297" s="38" t="str">
        <x:v>bz_van_296</x:v>
      </x:c>
      <x:c r="B297" s="38" t="n">
        <x:v>296</x:v>
      </x:c>
      <x:c r="C297" s="38" t="str">
        <x:v>item_gap</x:v>
      </x:c>
      <x:c r="D297" s="38" t="str">
        <x:v>derived_gap_profile</x:v>
      </x:c>
      <x:c r="E297" s="38" t="str">
        <x:v>vanessa-query-gap-bronze-20</x:v>
      </x:c>
      <x:c r="F297" s="38" t="str">
        <x:v>Vanessa Query Gap 青铜 20</x:v>
      </x:c>
      <x:c r="G297" s="38" t="str">
        <x:v>bronze</x:v>
      </x:c>
      <x:c r="H297" s="38" t="str">
        <x:v>small</x:v>
      </x:c>
      <x:c r="I297" s="38" t="str">
        <x:v>weapon, damage, ammo</x:v>
      </x:c>
      <x:c r="J297" s="38" t="n">
        <x:v>10</x:v>
      </x:c>
      <x:c r="K297" s="38" t="n">
        <x:v>10</x:v>
      </x:c>
      <x:c r="L297" s="38" t="str">
        <x:v>night_base, elem_火, elem_水, elem_草, elem_雷, elem_地, elem_无, role_召唤, role_坦克, role_风系铺场</x:v>
      </x:c>
      <x:c r="M297" s="38" t="str">
        <x:v>Deadly</x:v>
      </x:c>
      <x:c r="N297" s="38" t="str">
        <x:v>pal_296</x:v>
      </x:c>
      <x:c r="O297" s="38" t="str">
        <x:v>雷隼兽</x:v>
      </x:c>
      <x:c r="P297" s="38" t="str"/>
      <x:c r="Q297" s="38" t="str">
        <x:v>Derived design profile from Grapeshot; exact Patch 16.2 source item identity remains unresolved.</x:v>
      </x:c>
      <x:c r="R297" s="38" t="str">
        <x:v>BazaarDB 231物品查询与可导出138定义之间的93条差额；使用同品质 donor grapeshot 的关系与标签画像生成，未冒充精确原名。</x:v>
      </x:c>
    </x:row>
    <x:row r="298">
      <x:c r="A298" s="38" t="str">
        <x:v>bz_van_297</x:v>
      </x:c>
      <x:c r="B298" s="38" t="n">
        <x:v>297</x:v>
      </x:c>
      <x:c r="C298" s="38" t="str">
        <x:v>item_gap</x:v>
      </x:c>
      <x:c r="D298" s="38" t="str">
        <x:v>derived_gap_profile</x:v>
      </x:c>
      <x:c r="E298" s="38" t="str">
        <x:v>vanessa-query-gap-bronze-21</x:v>
      </x:c>
      <x:c r="F298" s="38" t="str">
        <x:v>Vanessa Query Gap 青铜 21</x:v>
      </x:c>
      <x:c r="G298" s="38" t="str">
        <x:v>bronze</x:v>
      </x:c>
      <x:c r="H298" s="38" t="str">
        <x:v>small</x:v>
      </x:c>
      <x:c r="I298" s="38" t="str">
        <x:v>weapon, tool, damage, slow</x:v>
      </x:c>
      <x:c r="J298" s="38" t="n">
        <x:v>10</x:v>
      </x:c>
      <x:c r="K298" s="38" t="n">
        <x:v>10</x:v>
      </x:c>
      <x:c r="L298" s="38" t="str">
        <x:v>night_base, elem_火, elem_水, elem_草, elem_地, elem_无, role_召唤, role_治疗, elite_high, role_召唤铺场</x:v>
      </x:c>
      <x:c r="M298" s="38" t="str">
        <x:v>Icy</x:v>
      </x:c>
      <x:c r="N298" s="38" t="str">
        <x:v>pal_297</x:v>
      </x:c>
      <x:c r="O298" s="38" t="str">
        <x:v>凝蛇灵</x:v>
      </x:c>
      <x:c r="P298" s="38" t="str"/>
      <x:c r="Q298" s="38" t="str">
        <x:v>Derived design profile from Grappling Hook; exact Patch 16.2 source item identity remains unresolved.</x:v>
      </x:c>
      <x:c r="R298" s="38" t="str">
        <x:v>BazaarDB 231物品查询与可导出138定义之间的93条差额；使用同品质 donor grappling-hook 的关系与标签画像生成，未冒充精确原名。</x:v>
      </x:c>
    </x:row>
    <x:row r="299">
      <x:c r="A299" s="38" t="str">
        <x:v>bz_van_298</x:v>
      </x:c>
      <x:c r="B299" s="38" t="n">
        <x:v>298</x:v>
      </x:c>
      <x:c r="C299" s="38" t="str">
        <x:v>item_gap</x:v>
      </x:c>
      <x:c r="D299" s="38" t="str">
        <x:v>derived_gap_profile</x:v>
      </x:c>
      <x:c r="E299" s="38" t="str">
        <x:v>vanessa-query-gap-bronze-22</x:v>
      </x:c>
      <x:c r="F299" s="38" t="str">
        <x:v>Vanessa Query Gap 青铜 22</x:v>
      </x:c>
      <x:c r="G299" s="38" t="str">
        <x:v>bronze</x:v>
      </x:c>
      <x:c r="H299" s="38" t="str">
        <x:v>small</x:v>
      </x:c>
      <x:c r="I299" s="38" t="str">
        <x:v>weapon, damage, ammo</x:v>
      </x:c>
      <x:c r="J299" s="38" t="n">
        <x:v>10</x:v>
      </x:c>
      <x:c r="K299" s="38" t="n">
        <x:v>10</x:v>
      </x:c>
      <x:c r="L299" s="38" t="str">
        <x:v>night_base, elem_火, elem_水, elem_草, elem_雷, elem_地, elem_无, role_召唤, role_坦克, role_风系铺场</x:v>
      </x:c>
      <x:c r="M299" s="38" t="str">
        <x:v>Deadly</x:v>
      </x:c>
      <x:c r="N299" s="38" t="str">
        <x:v>pal_298</x:v>
      </x:c>
      <x:c r="O299" s="38" t="str">
        <x:v>电虎灵</x:v>
      </x:c>
      <x:c r="P299" s="38" t="str"/>
      <x:c r="Q299" s="38" t="str">
        <x:v>Derived design profile from Grenade; exact Patch 16.2 source item identity remains unresolved.</x:v>
      </x:c>
      <x:c r="R299" s="38" t="str">
        <x:v>BazaarDB 231物品查询与可导出138定义之间的93条差额；使用同品质 donor grenade 的关系与标签画像生成，未冒充精确原名。</x:v>
      </x:c>
    </x:row>
    <x:row r="300">
      <x:c r="A300" s="38" t="str">
        <x:v>bz_van_299</x:v>
      </x:c>
      <x:c r="B300" s="38" t="n">
        <x:v>299</x:v>
      </x:c>
      <x:c r="C300" s="38" t="str">
        <x:v>item_gap</x:v>
      </x:c>
      <x:c r="D300" s="38" t="str">
        <x:v>derived_gap_profile</x:v>
      </x:c>
      <x:c r="E300" s="38" t="str">
        <x:v>vanessa-query-gap-bronze-23</x:v>
      </x:c>
      <x:c r="F300" s="38" t="str">
        <x:v>Vanessa Query Gap 青铜 23</x:v>
      </x:c>
      <x:c r="G300" s="38" t="str">
        <x:v>bronze</x:v>
      </x:c>
      <x:c r="H300" s="38" t="str">
        <x:v>small</x:v>
      </x:c>
      <x:c r="I300" s="38" t="str">
        <x:v>weapon, damage</x:v>
      </x:c>
      <x:c r="J300" s="38" t="n">
        <x:v>10</x:v>
      </x:c>
      <x:c r="K300" s="38" t="n">
        <x:v>10</x:v>
      </x:c>
      <x:c r="L300" s="38" t="str">
        <x:v>night_base, elem_火, elem_水, elem_草, elem_雷, elem_地, elem_龙, elem_无, role_召唤, role_风系铺场</x:v>
      </x:c>
      <x:c r="M300" s="38" t="str">
        <x:v>Deadly</x:v>
      </x:c>
      <x:c r="N300" s="38" t="str">
        <x:v>pal_299</x:v>
      </x:c>
      <x:c r="O300" s="38" t="str">
        <x:v>夜鹰仔</x:v>
      </x:c>
      <x:c r="P300" s="38" t="str"/>
      <x:c r="Q300" s="38" t="str">
        <x:v>Derived design profile from Handaxe; exact Patch 16.2 source item identity remains unresolved.</x:v>
      </x:c>
      <x:c r="R300" s="38" t="str">
        <x:v>BazaarDB 231物品查询与可导出138定义之间的93条差额；使用同品质 donor handaxe 的关系与标签画像生成，未冒充精确原名。</x:v>
      </x:c>
    </x:row>
    <x:row r="301">
      <x:c r="A301" s="38" t="str">
        <x:v>bz_van_300</x:v>
      </x:c>
      <x:c r="B301" s="38" t="n">
        <x:v>300</x:v>
      </x:c>
      <x:c r="C301" s="38" t="str">
        <x:v>item_gap</x:v>
      </x:c>
      <x:c r="D301" s="38" t="str">
        <x:v>derived_gap_profile</x:v>
      </x:c>
      <x:c r="E301" s="38" t="str">
        <x:v>vanessa-query-gap-bronze-24</x:v>
      </x:c>
      <x:c r="F301" s="38" t="str">
        <x:v>Vanessa Query Gap 青铜 24</x:v>
      </x:c>
      <x:c r="G301" s="38" t="str">
        <x:v>bronze</x:v>
      </x:c>
      <x:c r="H301" s="38" t="str">
        <x:v>small</x:v>
      </x:c>
      <x:c r="I301" s="38" t="str">
        <x:v>tool, damagereference</x:v>
      </x:c>
      <x:c r="J301" s="38" t="n">
        <x:v>10</x:v>
      </x:c>
      <x:c r="K301" s="38" t="n">
        <x:v>10</x:v>
      </x:c>
      <x:c r="L301" s="38" t="str">
        <x:v>night_base, elem_火, elem_水, elem_草, elem_雷, elem_地, elem_暗, role_召唤, role_召唤铺场, role_风系铺场</x:v>
      </x:c>
      <x:c r="M301" s="38" t="str">
        <x:v>Deadly</x:v>
      </x:c>
      <x:c r="N301" s="38" t="str">
        <x:v>pal_300</x:v>
      </x:c>
      <x:c r="O301" s="38" t="str">
        <x:v>沧虎灵</x:v>
      </x:c>
      <x:c r="P301" s="38" t="str"/>
      <x:c r="Q301" s="38" t="str">
        <x:v>Derived design profile from Honing Steel; exact Patch 16.2 source item identity remains unresolved.</x:v>
      </x:c>
      <x:c r="R301" s="38" t="str">
        <x:v>BazaarDB 231物品查询与可导出138定义之间的93条差额；使用同品质 donor honing-steel 的关系与标签画像生成，未冒充精确原名。</x:v>
      </x:c>
    </x:row>
    <x:row r="302">
      <x:c r="A302" s="38" t="str">
        <x:v>bz_van_301</x:v>
      </x:c>
      <x:c r="B302" s="38" t="n">
        <x:v>301</x:v>
      </x:c>
      <x:c r="C302" s="38" t="str">
        <x:v>item_gap</x:v>
      </x:c>
      <x:c r="D302" s="38" t="str">
        <x:v>derived_gap_profile</x:v>
      </x:c>
      <x:c r="E302" s="38" t="str">
        <x:v>vanessa-query-gap-bronze-25</x:v>
      </x:c>
      <x:c r="F302" s="38" t="str">
        <x:v>Vanessa Query Gap 青铜 25</x:v>
      </x:c>
      <x:c r="G302" s="38" t="str">
        <x:v>bronze</x:v>
      </x:c>
      <x:c r="H302" s="38" t="str">
        <x:v>small</x:v>
      </x:c>
      <x:c r="I302" s="38" t="str">
        <x:v>aquatic, friend, ray, slow</x:v>
      </x:c>
      <x:c r="J302" s="38" t="n">
        <x:v>10</x:v>
      </x:c>
      <x:c r="K302" s="38" t="n">
        <x:v>10</x:v>
      </x:c>
      <x:c r="L302" s="38" t="str">
        <x:v>night_base, elem_火, elem_水, elem_草, elem_暗, elem_龙, role_召唤, role_治疗, elite_high, tier_pT2</x:v>
      </x:c>
      <x:c r="M302" s="38" t="str">
        <x:v>Icy</x:v>
      </x:c>
      <x:c r="N302" s="38" t="str">
        <x:v>pal_301</x:v>
      </x:c>
      <x:c r="O302" s="38" t="str">
        <x:v>澜貂仔</x:v>
      </x:c>
      <x:c r="P302" s="38" t="str"/>
      <x:c r="Q302" s="38" t="str">
        <x:v>Derived design profile from IllusoRay; exact Patch 16.2 source item identity remains unresolved.</x:v>
      </x:c>
      <x:c r="R302" s="38" t="str">
        <x:v>BazaarDB 231物品查询与可导出138定义之间的93条差额；使用同品质 donor illusoray 的关系与标签画像生成，未冒充精确原名。</x:v>
      </x:c>
    </x:row>
    <x:row r="303">
      <x:c r="A303" s="38" t="str">
        <x:v>bz_van_302</x:v>
      </x:c>
      <x:c r="B303" s="38" t="n">
        <x:v>302</x:v>
      </x:c>
      <x:c r="C303" s="38" t="str">
        <x:v>item_gap</x:v>
      </x:c>
      <x:c r="D303" s="38" t="str">
        <x:v>derived_gap_profile</x:v>
      </x:c>
      <x:c r="E303" s="38" t="str">
        <x:v>vanessa-query-gap-bronze-26</x:v>
      </x:c>
      <x:c r="F303" s="38" t="str">
        <x:v>Vanessa Query Gap 青铜 26</x:v>
      </x:c>
      <x:c r="G303" s="38" t="str">
        <x:v>bronze</x:v>
      </x:c>
      <x:c r="H303" s="38" t="str">
        <x:v>small</x:v>
      </x:c>
      <x:c r="I303" s="38" t="str">
        <x:v>aquatic, friend, poison, haste</x:v>
      </x:c>
      <x:c r="J303" s="38" t="n">
        <x:v>10</x:v>
      </x:c>
      <x:c r="K303" s="38" t="n">
        <x:v>10</x:v>
      </x:c>
      <x:c r="L303" s="38" t="str">
        <x:v>night_base, elem_火, elem_水, elem_暗, elem_龙, role_召唤, role_治疗, role_经济, tier_pT2, role_重甲抗压</x:v>
      </x:c>
      <x:c r="M303" s="38" t="str">
        <x:v>Toxic</x:v>
      </x:c>
      <x:c r="N303" s="38" t="str">
        <x:v>pal_302</x:v>
      </x:c>
      <x:c r="O303" s="38" t="str">
        <x:v>芽蝎仔</x:v>
      </x:c>
      <x:c r="P303" s="38" t="str"/>
      <x:c r="Q303" s="38" t="str">
        <x:v>Derived design profile from Jellyfish; exact Patch 16.2 source item identity remains unresolved.</x:v>
      </x:c>
      <x:c r="R303" s="38" t="str">
        <x:v>BazaarDB 231物品查询与可导出138定义之间的93条差额；使用同品质 donor jellyfish 的关系与标签画像生成，未冒充精确原名。</x:v>
      </x:c>
    </x:row>
    <x:row r="304">
      <x:c r="A304" s="38" t="str">
        <x:v>bz_van_303</x:v>
      </x:c>
      <x:c r="B304" s="38" t="n">
        <x:v>303</x:v>
      </x:c>
      <x:c r="C304" s="38" t="str">
        <x:v>item_gap</x:v>
      </x:c>
      <x:c r="D304" s="38" t="str">
        <x:v>derived_gap_profile</x:v>
      </x:c>
      <x:c r="E304" s="38" t="str">
        <x:v>vanessa-query-gap-bronze-27</x:v>
      </x:c>
      <x:c r="F304" s="38" t="str">
        <x:v>Vanessa Query Gap 青铜 27</x:v>
      </x:c>
      <x:c r="G304" s="38" t="str">
        <x:v>bronze</x:v>
      </x:c>
      <x:c r="H304" s="38" t="str">
        <x:v>medium</x:v>
      </x:c>
      <x:c r="I304" s="38" t="str">
        <x:v>weapon, damage</x:v>
      </x:c>
      <x:c r="J304" s="38" t="n">
        <x:v>10</x:v>
      </x:c>
      <x:c r="K304" s="38" t="n">
        <x:v>10</x:v>
      </x:c>
      <x:c r="L304" s="38" t="str">
        <x:v>night_base, elem_火, elem_水, elem_雷, elem_冰, elem_地, elem_龙, elem_无, role_控制, role_风系铺场</x:v>
      </x:c>
      <x:c r="M304" s="38" t="str">
        <x:v>Deadly</x:v>
      </x:c>
      <x:c r="N304" s="38" t="str">
        <x:v>pal_303</x:v>
      </x:c>
      <x:c r="O304" s="38" t="str">
        <x:v>翠隼童</x:v>
      </x:c>
      <x:c r="P304" s="38" t="str"/>
      <x:c r="Q304" s="38" t="str">
        <x:v>Derived design profile from Katana; exact Patch 16.2 source item identity remains unresolved.</x:v>
      </x:c>
      <x:c r="R304" s="38" t="str">
        <x:v>BazaarDB 231物品查询与可导出138定义之间的93条差额；使用同品质 donor katana 的关系与标签画像生成，未冒充精确原名。</x:v>
      </x:c>
    </x:row>
    <x:row r="305">
      <x:c r="A305" s="38" t="str">
        <x:v>bz_van_304</x:v>
      </x:c>
      <x:c r="B305" s="38" t="n">
        <x:v>304</x:v>
      </x:c>
      <x:c r="C305" s="38" t="str">
        <x:v>item_gap</x:v>
      </x:c>
      <x:c r="D305" s="38" t="str">
        <x:v>derived_gap_profile</x:v>
      </x:c>
      <x:c r="E305" s="38" t="str">
        <x:v>vanessa-query-gap-bronze-28</x:v>
      </x:c>
      <x:c r="F305" s="38" t="str">
        <x:v>Vanessa Query Gap 青铜 28</x:v>
      </x:c>
      <x:c r="G305" s="38" t="str">
        <x:v>bronze</x:v>
      </x:c>
      <x:c r="H305" s="38" t="str">
        <x:v>medium</x:v>
      </x:c>
      <x:c r="I305" s="38" t="str">
        <x:v>weapon, relic, damage</x:v>
      </x:c>
      <x:c r="J305" s="38" t="n">
        <x:v>10</x:v>
      </x:c>
      <x:c r="K305" s="38" t="n">
        <x:v>10</x:v>
      </x:c>
      <x:c r="L305" s="38" t="str">
        <x:v>night_base, elem_火, elem_水, elem_雷, elem_冰, elem_地, elem_暗, elem_无, role_控制, role_风系铺场</x:v>
      </x:c>
      <x:c r="M305" s="38" t="str">
        <x:v>Deadly</x:v>
      </x:c>
      <x:c r="N305" s="38" t="str">
        <x:v>pal_304</x:v>
      </x:c>
      <x:c r="O305" s="38" t="str">
        <x:v>虬豹兽</x:v>
      </x:c>
      <x:c r="P305" s="38" t="str"/>
      <x:c r="Q305" s="38" t="str">
        <x:v>Derived design profile from Langxian; exact Patch 16.2 source item identity remains unresolved.</x:v>
      </x:c>
      <x:c r="R305" s="38" t="str">
        <x:v>BazaarDB 231物品查询与可导出138定义之间的93条差额；使用同品质 donor langxian 的关系与标签画像生成，未冒充精确原名。</x:v>
      </x:c>
    </x:row>
    <x:row r="306">
      <x:c r="A306" s="38" t="str">
        <x:v>bz_van_305</x:v>
      </x:c>
      <x:c r="B306" s="38" t="n">
        <x:v>305</x:v>
      </x:c>
      <x:c r="C306" s="38" t="str">
        <x:v>item_gap</x:v>
      </x:c>
      <x:c r="D306" s="38" t="str">
        <x:v>derived_gap_profile</x:v>
      </x:c>
      <x:c r="E306" s="38" t="str">
        <x:v>vanessa-query-gap-bronze-29</x:v>
      </x:c>
      <x:c r="F306" s="38" t="str">
        <x:v>Vanessa Query Gap 青铜 29</x:v>
      </x:c>
      <x:c r="G306" s="38" t="str">
        <x:v>bronze</x:v>
      </x:c>
      <x:c r="H306" s="38" t="str">
        <x:v>medium</x:v>
      </x:c>
      <x:c r="I306" s="38" t="str">
        <x:v>aquatic, shield, heal</x:v>
      </x:c>
      <x:c r="J306" s="38" t="n">
        <x:v>10</x:v>
      </x:c>
      <x:c r="K306" s="38" t="n">
        <x:v>9</x:v>
      </x:c>
      <x:c r="L306" s="38" t="str">
        <x:v>night_base, elem_火, elem_水, elem_冰, elem_暗, elem_龙, role_控制, special_merchant, role_火系压制</x:v>
      </x:c>
      <x:c r="M306" s="38" t="str">
        <x:v>Restorative</x:v>
      </x:c>
      <x:c r="N306" s="38" t="str">
        <x:v>pal_305</x:v>
      </x:c>
      <x:c r="O306" s="38" t="str">
        <x:v>汐羊童</x:v>
      </x:c>
      <x:c r="P306" s="38" t="str"/>
      <x:c r="Q306" s="38" t="str">
        <x:v>Derived design profile from Life Preserver; exact Patch 16.2 source item identity remains unresolved.</x:v>
      </x:c>
      <x:c r="R306" s="38" t="str">
        <x:v>BazaarDB 231物品查询与可导出138定义之间的93条差额；使用同品质 donor life-preserver 的关系与标签画像生成，未冒充精确原名。</x:v>
      </x:c>
    </x:row>
    <x:row r="307">
      <x:c r="A307" s="38" t="str">
        <x:v>bz_van_306</x:v>
      </x:c>
      <x:c r="B307" s="38" t="n">
        <x:v>306</x:v>
      </x:c>
      <x:c r="C307" s="38" t="str">
        <x:v>item_gap</x:v>
      </x:c>
      <x:c r="D307" s="38" t="str">
        <x:v>derived_gap_profile</x:v>
      </x:c>
      <x:c r="E307" s="38" t="str">
        <x:v>vanessa-query-gap-bronze-30</x:v>
      </x:c>
      <x:c r="F307" s="38" t="str">
        <x:v>Vanessa Query Gap 青铜 30</x:v>
      </x:c>
      <x:c r="G307" s="38" t="str">
        <x:v>bronze</x:v>
      </x:c>
      <x:c r="H307" s="38" t="str">
        <x:v>small</x:v>
      </x:c>
      <x:c r="I307" s="38" t="str">
        <x:v>tool, burn</x:v>
      </x:c>
      <x:c r="J307" s="38" t="n">
        <x:v>10</x:v>
      </x:c>
      <x:c r="K307" s="38" t="n">
        <x:v>10</x:v>
      </x:c>
      <x:c r="L307" s="38" t="str">
        <x:v>night_base, elem_火, elem_水, elem_草, elem_雷, elem_地, elem_暗, role_召唤, role_机动, role_召唤铺场</x:v>
      </x:c>
      <x:c r="M307" s="38" t="str">
        <x:v>Fiery</x:v>
      </x:c>
      <x:c r="N307" s="38" t="str">
        <x:v>pal_306</x:v>
      </x:c>
      <x:c r="O307" s="38" t="str">
        <x:v>燎豹童</x:v>
      </x:c>
      <x:c r="P307" s="38" t="str"/>
      <x:c r="Q307" s="38" t="str">
        <x:v>Derived design profile from Lighter; exact Patch 16.2 source item identity remains unresolved.</x:v>
      </x:c>
      <x:c r="R307" s="38" t="str">
        <x:v>BazaarDB 231物品查询与可导出138定义之间的93条差额；使用同品质 donor lighter 的关系与标签画像生成，未冒充精确原名。</x:v>
      </x:c>
    </x:row>
    <x:row r="308">
      <x:c r="A308" s="38" t="str">
        <x:v>bz_van_307</x:v>
      </x:c>
      <x:c r="B308" s="38" t="n">
        <x:v>307</x:v>
      </x:c>
      <x:c r="C308" s="38" t="str">
        <x:v>item_gap</x:v>
      </x:c>
      <x:c r="D308" s="38" t="str">
        <x:v>derived_gap_profile</x:v>
      </x:c>
      <x:c r="E308" s="38" t="str">
        <x:v>vanessa-query-gap-bronze-31</x:v>
      </x:c>
      <x:c r="F308" s="38" t="str">
        <x:v>Vanessa Query Gap 青铜 31</x:v>
      </x:c>
      <x:c r="G308" s="38" t="str">
        <x:v>bronze</x:v>
      </x:c>
      <x:c r="H308" s="38" t="str">
        <x:v>small</x:v>
      </x:c>
      <x:c r="I308" s="38" t="str">
        <x:v>aquatic, weapon, friend, damage, burn, slowreference, ammo</x:v>
      </x:c>
      <x:c r="J308" s="38" t="n">
        <x:v>10</x:v>
      </x:c>
      <x:c r="K308" s="38" t="n">
        <x:v>10</x:v>
      </x:c>
      <x:c r="L308" s="38" t="str">
        <x:v>night_base, elem_火, elem_龙, elem_无, role_召唤, role_坦克, role_治疗, role_机动, elite_high, tier_pT2</x:v>
      </x:c>
      <x:c r="M308" s="38" t="str">
        <x:v>Fiery</x:v>
      </x:c>
      <x:c r="N308" s="38" t="str">
        <x:v>pal_307</x:v>
      </x:c>
      <x:c r="O308" s="38" t="str">
        <x:v>赤蛇仔</x:v>
      </x:c>
      <x:c r="P308" s="38" t="str"/>
      <x:c r="Q308" s="38" t="str">
        <x:v>Derived design profile from Mantis Shrimp; exact Patch 16.2 source item identity remains unresolved.</x:v>
      </x:c>
      <x:c r="R308" s="38" t="str">
        <x:v>BazaarDB 231物品查询与可导出138定义之间的93条差额；使用同品质 donor mantis-shrimp 的关系与标签画像生成，未冒充精确原名。</x:v>
      </x:c>
    </x:row>
    <x:row r="309">
      <x:c r="A309" s="38" t="str">
        <x:v>bz_van_308</x:v>
      </x:c>
      <x:c r="B309" s="38" t="n">
        <x:v>308</x:v>
      </x:c>
      <x:c r="C309" s="38" t="str">
        <x:v>item_gap</x:v>
      </x:c>
      <x:c r="D309" s="38" t="str">
        <x:v>derived_gap_profile</x:v>
      </x:c>
      <x:c r="E309" s="38" t="str">
        <x:v>vanessa-query-gap-bronze-32</x:v>
      </x:c>
      <x:c r="F309" s="38" t="str">
        <x:v>Vanessa Query Gap 青铜 32</x:v>
      </x:c>
      <x:c r="G309" s="38" t="str">
        <x:v>bronze</x:v>
      </x:c>
      <x:c r="H309" s="38" t="str">
        <x:v>medium</x:v>
      </x:c>
      <x:c r="I309" s="38" t="str">
        <x:v>aquatic, friend, weapon, crit, flying</x:v>
      </x:c>
      <x:c r="J309" s="38" t="n">
        <x:v>10</x:v>
      </x:c>
      <x:c r="K309" s="38" t="n">
        <x:v>10</x:v>
      </x:c>
      <x:c r="L309" s="38" t="str">
        <x:v>night_base, elem_火, elem_水, elem_冰, elem_龙, elem_无, role_控制, role_输出, tier_pT2, role_远点压制</x:v>
      </x:c>
      <x:c r="M309" s="38" t="str">
        <x:v>Deadly</x:v>
      </x:c>
      <x:c r="N309" s="38" t="str">
        <x:v>pal_308</x:v>
      </x:c>
      <x:c r="O309" s="38" t="str">
        <x:v>汐燕仔</x:v>
      </x:c>
      <x:c r="P309" s="38" t="str"/>
      <x:c r="Q309" s="38" t="str">
        <x:v>Derived design profile from Marlon; exact Patch 16.2 source item identity remains unresolved.</x:v>
      </x:c>
      <x:c r="R309" s="38" t="str">
        <x:v>BazaarDB 231物品查询与可导出138定义之间的93条差额；使用同品质 donor marlon 的关系与标签画像生成，未冒充精确原名。</x:v>
      </x:c>
    </x:row>
    <x:row r="310">
      <x:c r="A310" s="38" t="str">
        <x:v>bz_van_309</x:v>
      </x:c>
      <x:c r="B310" s="38" t="n">
        <x:v>309</x:v>
      </x:c>
      <x:c r="C310" s="38" t="str">
        <x:v>item_gap</x:v>
      </x:c>
      <x:c r="D310" s="38" t="str">
        <x:v>derived_gap_profile</x:v>
      </x:c>
      <x:c r="E310" s="38" t="str">
        <x:v>vanessa-query-gap-bronze-33</x:v>
      </x:c>
      <x:c r="F310" s="38" t="str">
        <x:v>Vanessa Query Gap 青铜 33</x:v>
      </x:c>
      <x:c r="G310" s="38" t="str">
        <x:v>bronze</x:v>
      </x:c>
      <x:c r="H310" s="38" t="str">
        <x:v>small</x:v>
      </x:c>
      <x:c r="I310" s="38" t="str">
        <x:v>aquatic, weapon, friend, damage</x:v>
      </x:c>
      <x:c r="J310" s="38" t="n">
        <x:v>10</x:v>
      </x:c>
      <x:c r="K310" s="38" t="n">
        <x:v>10</x:v>
      </x:c>
      <x:c r="L310" s="38" t="str">
        <x:v>night_base, elem_火, elem_水, elem_草, elem_雷, elem_地, elem_龙, elem_无, role_召唤, tier_pT2</x:v>
      </x:c>
      <x:c r="M310" s="38" t="str">
        <x:v>Deadly</x:v>
      </x:c>
      <x:c r="N310" s="38" t="str">
        <x:v>pal_309</x:v>
      </x:c>
      <x:c r="O310" s="38" t="str">
        <x:v>碧鲲灵</x:v>
      </x:c>
      <x:c r="P310" s="38" t="str"/>
      <x:c r="Q310" s="38" t="str">
        <x:v>Derived design profile from Narwhal; exact Patch 16.2 source item identity remains unresolved.</x:v>
      </x:c>
      <x:c r="R310" s="38" t="str">
        <x:v>BazaarDB 231物品查询与可导出138定义之间的93条差额；使用同品质 donor narwhal 的关系与标签画像生成，未冒充精确原名。</x:v>
      </x:c>
    </x:row>
    <x:row r="311">
      <x:c r="A311" s="38" t="str">
        <x:v>bz_van_310</x:v>
      </x:c>
      <x:c r="B311" s="38" t="n">
        <x:v>310</x:v>
      </x:c>
      <x:c r="C311" s="38" t="str">
        <x:v>item_gap</x:v>
      </x:c>
      <x:c r="D311" s="38" t="str">
        <x:v>derived_gap_profile</x:v>
      </x:c>
      <x:c r="E311" s="38" t="str">
        <x:v>vanessa-query-gap-bronze-34</x:v>
      </x:c>
      <x:c r="F311" s="38" t="str">
        <x:v>Vanessa Query Gap 青铜 34</x:v>
      </x:c>
      <x:c r="G311" s="38" t="str">
        <x:v>bronze</x:v>
      </x:c>
      <x:c r="H311" s="38" t="str">
        <x:v>small</x:v>
      </x:c>
      <x:c r="I311" s="38" t="str">
        <x:v>aquatic, shield</x:v>
      </x:c>
      <x:c r="J311" s="38" t="n">
        <x:v>10</x:v>
      </x:c>
      <x:c r="K311" s="38" t="n">
        <x:v>9</x:v>
      </x:c>
      <x:c r="L311" s="38" t="str">
        <x:v>night_base, elem_火, elem_水, elem_草, elem_地, elem_暗, elem_龙, role_召唤, special_merchant</x:v>
      </x:c>
      <x:c r="M311" s="38" t="str">
        <x:v>Shielded</x:v>
      </x:c>
      <x:c r="N311" s="38" t="str">
        <x:v>pal_310</x:v>
      </x:c>
      <x:c r="O311" s="38" t="str">
        <x:v>汐熊仔</x:v>
      </x:c>
      <x:c r="P311" s="38" t="str"/>
      <x:c r="Q311" s="38" t="str">
        <x:v>Derived design profile from Pearl; exact Patch 16.2 source item identity remains unresolved.</x:v>
      </x:c>
      <x:c r="R311" s="38" t="str">
        <x:v>BazaarDB 231物品查询与可导出138定义之间的93条差额；使用同品质 donor pearl 的关系与标签画像生成，未冒充精确原名。</x:v>
      </x:c>
    </x:row>
    <x:row r="312">
      <x:c r="A312" s="38" t="str">
        <x:v>bz_van_311</x:v>
      </x:c>
      <x:c r="B312" s="38" t="n">
        <x:v>311</x:v>
      </x:c>
      <x:c r="C312" s="38" t="str">
        <x:v>item_gap</x:v>
      </x:c>
      <x:c r="D312" s="38" t="str">
        <x:v>derived_gap_profile</x:v>
      </x:c>
      <x:c r="E312" s="38" t="str">
        <x:v>vanessa-query-gap-bronze-35</x:v>
      </x:c>
      <x:c r="F312" s="38" t="str">
        <x:v>Vanessa Query Gap 青铜 35</x:v>
      </x:c>
      <x:c r="G312" s="38" t="str">
        <x:v>bronze</x:v>
      </x:c>
      <x:c r="H312" s="38" t="str">
        <x:v>small</x:v>
      </x:c>
      <x:c r="I312" s="38" t="str">
        <x:v>friend, burn, flying</x:v>
      </x:c>
      <x:c r="J312" s="38" t="n">
        <x:v>10</x:v>
      </x:c>
      <x:c r="K312" s="38" t="n">
        <x:v>10</x:v>
      </x:c>
      <x:c r="L312" s="38" t="str">
        <x:v>night_base, elem_火, elem_水, elem_草, elem_地, elem_暗, role_召唤, role_机动, tier_pT2, role_远点压制</x:v>
      </x:c>
      <x:c r="M312" s="38" t="str">
        <x:v>Fiery</x:v>
      </x:c>
      <x:c r="N312" s="38" t="str">
        <x:v>pal_311</x:v>
      </x:c>
      <x:c r="O312" s="38" t="str">
        <x:v>朱雀灵</x:v>
      </x:c>
      <x:c r="P312" s="38" t="str"/>
      <x:c r="Q312" s="38" t="str">
        <x:v>Derived design profile from Pesky Pete; exact Patch 16.2 source item identity remains unresolved.</x:v>
      </x:c>
      <x:c r="R312" s="38" t="str">
        <x:v>BazaarDB 231物品查询与可导出138定义之间的93条差额；使用同品质 donor pesky-pete 的关系与标签画像生成，未冒充精确原名。</x:v>
      </x:c>
    </x:row>
    <x:row r="313">
      <x:c r="A313" s="38" t="str">
        <x:v>bz_van_312</x:v>
      </x:c>
      <x:c r="B313" s="38" t="n">
        <x:v>312</x:v>
      </x:c>
      <x:c r="C313" s="38" t="str">
        <x:v>item_gap</x:v>
      </x:c>
      <x:c r="D313" s="38" t="str">
        <x:v>derived_gap_profile</x:v>
      </x:c>
      <x:c r="E313" s="38" t="str">
        <x:v>vanessa-query-gap-bronze-36</x:v>
      </x:c>
      <x:c r="F313" s="38" t="str">
        <x:v>Vanessa Query Gap 青铜 36</x:v>
      </x:c>
      <x:c r="G313" s="38" t="str">
        <x:v>bronze</x:v>
      </x:c>
      <x:c r="H313" s="38" t="str">
        <x:v>small</x:v>
      </x:c>
      <x:c r="I313" s="38" t="str">
        <x:v>weapon, friend, toy, damage, crit</x:v>
      </x:c>
      <x:c r="J313" s="38" t="n">
        <x:v>10</x:v>
      </x:c>
      <x:c r="K313" s="38" t="n">
        <x:v>10</x:v>
      </x:c>
      <x:c r="L313" s="38" t="str">
        <x:v>night_base, elem_火, elem_水, elem_草, elem_雷, elem_地, elem_无, role_召唤, role_输出, tier_pT2</x:v>
      </x:c>
      <x:c r="M313" s="38" t="str">
        <x:v>Deadly</x:v>
      </x:c>
      <x:c r="N313" s="38" t="str">
        <x:v>pal_312</x:v>
      </x:c>
      <x:c r="O313" s="38" t="str">
        <x:v>霆螺灵</x:v>
      </x:c>
      <x:c r="P313" s="38" t="str"/>
      <x:c r="Q313" s="38" t="str">
        <x:v>Derived design profile from Pet Rock; exact Patch 16.2 source item identity remains unresolved.</x:v>
      </x:c>
      <x:c r="R313" s="38" t="str">
        <x:v>BazaarDB 231物品查询与可导出138定义之间的93条差额；使用同品质 donor pet-rock 的关系与标签画像生成，未冒充精确原名。</x:v>
      </x:c>
    </x:row>
    <x:row r="314">
      <x:c r="A314" s="38" t="str">
        <x:v>bz_van_313</x:v>
      </x:c>
      <x:c r="B314" s="38" t="n">
        <x:v>313</x:v>
      </x:c>
      <x:c r="C314" s="38" t="str">
        <x:v>item_gap</x:v>
      </x:c>
      <x:c r="D314" s="38" t="str">
        <x:v>derived_gap_profile</x:v>
      </x:c>
      <x:c r="E314" s="38" t="str">
        <x:v>vanessa-query-gap-bronze-37</x:v>
      </x:c>
      <x:c r="F314" s="38" t="str">
        <x:v>Vanessa Query Gap 青铜 37</x:v>
      </x:c>
      <x:c r="G314" s="38" t="str">
        <x:v>bronze</x:v>
      </x:c>
      <x:c r="H314" s="38" t="str">
        <x:v>small</x:v>
      </x:c>
      <x:c r="I314" s="38" t="str">
        <x:v>aquatic, weapon, friend, damage, charge</x:v>
      </x:c>
      <x:c r="J314" s="38" t="n">
        <x:v>10</x:v>
      </x:c>
      <x:c r="K314" s="38" t="n">
        <x:v>10</x:v>
      </x:c>
      <x:c r="L314" s="38" t="str">
        <x:v>night_base, elem_火, elem_水, elem_草, elem_雷, elem_地, elem_龙, elem_无, role_召唤, tier_pT2</x:v>
      </x:c>
      <x:c r="M314" s="38" t="str">
        <x:v>Turbo</x:v>
      </x:c>
      <x:c r="N314" s="38" t="str">
        <x:v>pal_313</x:v>
      </x:c>
      <x:c r="O314" s="38" t="str">
        <x:v>沧狐兽</x:v>
      </x:c>
      <x:c r="P314" s="38" t="str"/>
      <x:c r="Q314" s="38" t="str">
        <x:v>Derived design profile from Piranha; exact Patch 16.2 source item identity remains unresolved.</x:v>
      </x:c>
      <x:c r="R314" s="38" t="str">
        <x:v>BazaarDB 231物品查询与可导出138定义之间的93条差额；使用同品质 donor piranha 的关系与标签画像生成，未冒充精确原名。</x:v>
      </x:c>
    </x:row>
    <x:row r="315">
      <x:c r="A315" s="38" t="str">
        <x:v>bz_van_314</x:v>
      </x:c>
      <x:c r="B315" s="38" t="n">
        <x:v>314</x:v>
      </x:c>
      <x:c r="C315" s="38" t="str">
        <x:v>item_gap</x:v>
      </x:c>
      <x:c r="D315" s="38" t="str">
        <x:v>derived_gap_profile</x:v>
      </x:c>
      <x:c r="E315" s="38" t="str">
        <x:v>vanessa-query-gap-silver-01</x:v>
      </x:c>
      <x:c r="F315" s="38" t="str">
        <x:v>Vanessa Query Gap 白银 01</x:v>
      </x:c>
      <x:c r="G315" s="38" t="str">
        <x:v>silver</x:v>
      </x:c>
      <x:c r="H315" s="38" t="str">
        <x:v>medium</x:v>
      </x:c>
      <x:c r="I315" s="38" t="str">
        <x:v>weapon, damage, ammo, hastereference</x:v>
      </x:c>
      <x:c r="J315" s="38" t="n">
        <x:v>10</x:v>
      </x:c>
      <x:c r="K315" s="38" t="n">
        <x:v>10</x:v>
      </x:c>
      <x:c r="L315" s="38" t="str">
        <x:v>night_base, elem_火, elem_水, elem_冰, elem_地, elem_无, role_坦克, role_控制, role_治疗, role_经济</x:v>
      </x:c>
      <x:c r="M315" s="38" t="str">
        <x:v>Turbo</x:v>
      </x:c>
      <x:c r="N315" s="38" t="str">
        <x:v>pal_314</x:v>
      </x:c>
      <x:c r="O315" s="38" t="str">
        <x:v>震燕将</x:v>
      </x:c>
      <x:c r="P315" s="38" t="str"/>
      <x:c r="Q315" s="38" t="str">
        <x:v>Derived design profile from Arbalest; exact Patch 16.2 source item identity remains unresolved.</x:v>
      </x:c>
      <x:c r="R315" s="38" t="str">
        <x:v>BazaarDB 231物品查询与可导出138定义之间的93条差额；使用同品质 donor arbalest 的关系与标签画像生成，未冒充精确原名。</x:v>
      </x:c>
    </x:row>
    <x:row r="316">
      <x:c r="A316" s="38" t="str">
        <x:v>bz_van_315</x:v>
      </x:c>
      <x:c r="B316" s="38" t="n">
        <x:v>315</x:v>
      </x:c>
      <x:c r="C316" s="38" t="str">
        <x:v>item_gap</x:v>
      </x:c>
      <x:c r="D316" s="38" t="str">
        <x:v>derived_gap_profile</x:v>
      </x:c>
      <x:c r="E316" s="38" t="str">
        <x:v>vanessa-query-gap-silver-02</x:v>
      </x:c>
      <x:c r="F316" s="38" t="str">
        <x:v>Vanessa Query Gap 白银 02</x:v>
      </x:c>
      <x:c r="G316" s="38" t="str">
        <x:v>silver</x:v>
      </x:c>
      <x:c r="H316" s="38" t="str">
        <x:v>medium</x:v>
      </x:c>
      <x:c r="I316" s="38" t="str">
        <x:v>tool, haste</x:v>
      </x:c>
      <x:c r="J316" s="38" t="n">
        <x:v>10</x:v>
      </x:c>
      <x:c r="K316" s="38" t="n">
        <x:v>10</x:v>
      </x:c>
      <x:c r="L316" s="38" t="str">
        <x:v>night_base, elem_火, elem_水, elem_冰, elem_地, elem_暗, role_控制, role_治疗, role_经济, role_召唤铺场</x:v>
      </x:c>
      <x:c r="M316" s="38" t="str">
        <x:v>Turbo</x:v>
      </x:c>
      <x:c r="N316" s="38" t="str">
        <x:v>pal_315</x:v>
      </x:c>
      <x:c r="O316" s="38" t="str">
        <x:v>炎燕将</x:v>
      </x:c>
      <x:c r="P316" s="38" t="str"/>
      <x:c r="Q316" s="38" t="str">
        <x:v>Derived design profile from Astrolabe; exact Patch 16.2 source item identity remains unresolved.</x:v>
      </x:c>
      <x:c r="R316" s="38" t="str">
        <x:v>BazaarDB 231物品查询与可导出138定义之间的93条差额；使用同品质 donor astrolabe 的关系与标签画像生成，未冒充精确原名。</x:v>
      </x:c>
    </x:row>
    <x:row r="317">
      <x:c r="A317" s="38" t="str">
        <x:v>bz_van_316</x:v>
      </x:c>
      <x:c r="B317" s="38" t="n">
        <x:v>316</x:v>
      </x:c>
      <x:c r="C317" s="38" t="str">
        <x:v>item_gap</x:v>
      </x:c>
      <x:c r="D317" s="38" t="str">
        <x:v>derived_gap_profile</x:v>
      </x:c>
      <x:c r="E317" s="38" t="str">
        <x:v>vanessa-query-gap-silver-03</x:v>
      </x:c>
      <x:c r="F317" s="38" t="str">
        <x:v>Vanessa Query Gap 白银 03</x:v>
      </x:c>
      <x:c r="G317" s="38" t="str">
        <x:v>silver</x:v>
      </x:c>
      <x:c r="H317" s="38" t="str">
        <x:v>medium</x:v>
      </x:c>
      <x:c r="I317" s="38" t="str">
        <x:v>weapon, tech, aquatic, vehicle, damage, flying</x:v>
      </x:c>
      <x:c r="J317" s="38" t="n">
        <x:v>10</x:v>
      </x:c>
      <x:c r="K317" s="38" t="n">
        <x:v>10</x:v>
      </x:c>
      <x:c r="L317" s="38" t="str">
        <x:v>night_base, elem_火, elem_水, elem_冰, elem_龙, elem_无, role_控制, tier_pT1, role_远点压制, role_风系牵制</x:v>
      </x:c>
      <x:c r="M317" s="38" t="str">
        <x:v>Deadly</x:v>
      </x:c>
      <x:c r="N317" s="38" t="str">
        <x:v>pal_316</x:v>
      </x:c>
      <x:c r="O317" s="38" t="str">
        <x:v>沧鲭卫</x:v>
      </x:c>
      <x:c r="P317" s="38" t="str"/>
      <x:c r="Q317" s="38" t="str">
        <x:v>Derived design profile from Bladed Hoverboard; exact Patch 16.2 source item identity remains unresolved.</x:v>
      </x:c>
      <x:c r="R317" s="38" t="str">
        <x:v>BazaarDB 231物品查询与可导出138定义之间的93条差额；使用同品质 donor bladed-hoverboard 的关系与标签画像生成，未冒充精确原名。</x:v>
      </x:c>
    </x:row>
    <x:row r="318">
      <x:c r="A318" s="38" t="str">
        <x:v>bz_van_317</x:v>
      </x:c>
      <x:c r="B318" s="38" t="n">
        <x:v>317</x:v>
      </x:c>
      <x:c r="C318" s="38" t="str">
        <x:v>item_gap</x:v>
      </x:c>
      <x:c r="D318" s="38" t="str">
        <x:v>derived_gap_profile</x:v>
      </x:c>
      <x:c r="E318" s="38" t="str">
        <x:v>vanessa-query-gap-silver-04</x:v>
      </x:c>
      <x:c r="F318" s="38" t="str">
        <x:v>Vanessa Query Gap 白银 04</x:v>
      </x:c>
      <x:c r="G318" s="38" t="str">
        <x:v>silver</x:v>
      </x:c>
      <x:c r="H318" s="38" t="str">
        <x:v>medium</x:v>
      </x:c>
      <x:c r="I318" s="38" t="str">
        <x:v>burn, haste</x:v>
      </x:c>
      <x:c r="J318" s="38" t="n">
        <x:v>10</x:v>
      </x:c>
      <x:c r="K318" s="38" t="n">
        <x:v>10</x:v>
      </x:c>
      <x:c r="L318" s="38" t="str">
        <x:v>night_base, elem_火, elem_水, elem_冰, elem_地, elem_暗, role_控制, role_治疗, role_经济, role_机动</x:v>
      </x:c>
      <x:c r="M318" s="38" t="str">
        <x:v>Fiery</x:v>
      </x:c>
      <x:c r="N318" s="38" t="str">
        <x:v>pal_317</x:v>
      </x:c>
      <x:c r="O318" s="38" t="str">
        <x:v>焰狐卫</x:v>
      </x:c>
      <x:c r="P318" s="38" t="str"/>
      <x:c r="Q318" s="38" t="str">
        <x:v>Derived design profile from Bonfire; exact Patch 16.2 source item identity remains unresolved.</x:v>
      </x:c>
      <x:c r="R318" s="38" t="str">
        <x:v>BazaarDB 231物品查询与可导出138定义之间的93条差额；使用同品质 donor bonfire 的关系与标签画像生成，未冒充精确原名。</x:v>
      </x:c>
    </x:row>
    <x:row r="319">
      <x:c r="A319" s="38" t="str">
        <x:v>bz_van_318</x:v>
      </x:c>
      <x:c r="B319" s="38" t="n">
        <x:v>318</x:v>
      </x:c>
      <x:c r="C319" s="38" t="str">
        <x:v>item_gap</x:v>
      </x:c>
      <x:c r="D319" s="38" t="str">
        <x:v>derived_gap_profile</x:v>
      </x:c>
      <x:c r="E319" s="38" t="str">
        <x:v>vanessa-query-gap-silver-05</x:v>
      </x:c>
      <x:c r="F319" s="38" t="str">
        <x:v>Vanessa Query Gap 白银 05</x:v>
      </x:c>
      <x:c r="G319" s="38" t="str">
        <x:v>silver</x:v>
      </x:c>
      <x:c r="H319" s="38" t="str">
        <x:v>small</x:v>
      </x:c>
      <x:c r="I319" s="38" t="str">
        <x:v>weapon, damage</x:v>
      </x:c>
      <x:c r="J319" s="38" t="n">
        <x:v>10</x:v>
      </x:c>
      <x:c r="K319" s="38" t="n">
        <x:v>10</x:v>
      </x:c>
      <x:c r="L319" s="38" t="str">
        <x:v>night_base, elem_火, elem_水, elem_草, elem_雷, elem_地, elem_龙, elem_无, role_召唤, role_风系铺场</x:v>
      </x:c>
      <x:c r="M319" s="38" t="str">
        <x:v>Deadly</x:v>
      </x:c>
      <x:c r="N319" s="38" t="str">
        <x:v>pal_318</x:v>
      </x:c>
      <x:c r="O319" s="38" t="str">
        <x:v>蛟隼妖</x:v>
      </x:c>
      <x:c r="P319" s="38" t="str"/>
      <x:c r="Q319" s="38" t="str">
        <x:v>Derived design profile from Butterfly Swords; exact Patch 16.2 source item identity remains unresolved.</x:v>
      </x:c>
      <x:c r="R319" s="38" t="str">
        <x:v>BazaarDB 231物品查询与可导出138定义之间的93条差额；使用同品质 donor butterfly-swords 的关系与标签画像生成，未冒充精确原名。</x:v>
      </x:c>
    </x:row>
    <x:row r="320">
      <x:c r="A320" s="38" t="str">
        <x:v>bz_van_319</x:v>
      </x:c>
      <x:c r="B320" s="38" t="n">
        <x:v>319</x:v>
      </x:c>
      <x:c r="C320" s="38" t="str">
        <x:v>item_gap</x:v>
      </x:c>
      <x:c r="D320" s="38" t="str">
        <x:v>derived_gap_profile</x:v>
      </x:c>
      <x:c r="E320" s="38" t="str">
        <x:v>vanessa-query-gap-silver-06</x:v>
      </x:c>
      <x:c r="F320" s="38" t="str">
        <x:v>Vanessa Query Gap 白银 06</x:v>
      </x:c>
      <x:c r="G320" s="38" t="str">
        <x:v>silver</x:v>
      </x:c>
      <x:c r="H320" s="38" t="str">
        <x:v>small</x:v>
      </x:c>
      <x:c r="I320" s="38" t="str">
        <x:v>ammoreference</x:v>
      </x:c>
      <x:c r="J320" s="38" t="n">
        <x:v>10</x:v>
      </x:c>
      <x:c r="K320" s="38" t="n">
        <x:v>10</x:v>
      </x:c>
      <x:c r="L320" s="38" t="str">
        <x:v>night_base, elem_火, elem_水, elem_草, elem_雷, elem_地, elem_暗, role_召唤, role_坦克, role_风系铺场</x:v>
      </x:c>
      <x:c r="M320" s="38" t="str">
        <x:v>Deadly</x:v>
      </x:c>
      <x:c r="N320" s="38" t="str">
        <x:v>pal_319</x:v>
      </x:c>
      <x:c r="O320" s="38" t="str">
        <x:v>闪隼妖</x:v>
      </x:c>
      <x:c r="P320" s="38" t="str"/>
      <x:c r="Q320" s="38" t="str">
        <x:v>Derived design profile from Cannonball; exact Patch 16.2 source item identity remains unresolved.</x:v>
      </x:c>
      <x:c r="R320" s="38" t="str">
        <x:v>BazaarDB 231物品查询与可导出138定义之间的93条差额；使用同品质 donor cannonball 的关系与标签画像生成，未冒充精确原名。</x:v>
      </x:c>
    </x:row>
    <x:row r="321">
      <x:c r="A321" s="38" t="str">
        <x:v>bz_van_320</x:v>
      </x:c>
      <x:c r="B321" s="38" t="n">
        <x:v>320</x:v>
      </x:c>
      <x:c r="C321" s="38" t="str">
        <x:v>item_gap</x:v>
      </x:c>
      <x:c r="D321" s="38" t="str">
        <x:v>derived_gap_profile</x:v>
      </x:c>
      <x:c r="E321" s="38" t="str">
        <x:v>vanessa-query-gap-silver-07</x:v>
      </x:c>
      <x:c r="F321" s="38" t="str">
        <x:v>Vanessa Query Gap 白银 07</x:v>
      </x:c>
      <x:c r="G321" s="38" t="str">
        <x:v>silver</x:v>
      </x:c>
      <x:c r="H321" s="38" t="str">
        <x:v>large</x:v>
      </x:c>
      <x:c r="I321" s="38" t="str">
        <x:v>aquatic, property, haste, damagereference, ammoreference</x:v>
      </x:c>
      <x:c r="J321" s="38" t="n">
        <x:v>10</x:v>
      </x:c>
      <x:c r="K321" s="38" t="n">
        <x:v>10</x:v>
      </x:c>
      <x:c r="L321" s="38" t="str">
        <x:v>night_base, elem_火, elem_水, elem_草, elem_冰, elem_暗, elem_龙, role_坦克, role_治疗, role_经济</x:v>
      </x:c>
      <x:c r="M321" s="38" t="str">
        <x:v>Turbo</x:v>
      </x:c>
      <x:c r="N321" s="38" t="str">
        <x:v>pal_320</x:v>
      </x:c>
      <x:c r="O321" s="38" t="str">
        <x:v>潮狐精</x:v>
      </x:c>
      <x:c r="P321" s="38" t="str"/>
      <x:c r="Q321" s="38" t="str">
        <x:v>Derived design profile from Captain's Quarters; exact Patch 16.2 source item identity remains unresolved.</x:v>
      </x:c>
      <x:c r="R321" s="38" t="str">
        <x:v>BazaarDB 231物品查询与可导出138定义之间的93条差额；使用同品质 donor captain-s-quarters 的关系与标签画像生成，未冒充精确原名。</x:v>
      </x:c>
    </x:row>
    <x:row r="322">
      <x:c r="A322" s="38" t="str">
        <x:v>bz_van_321</x:v>
      </x:c>
      <x:c r="B322" s="38" t="n">
        <x:v>321</x:v>
      </x:c>
      <x:c r="C322" s="38" t="str">
        <x:v>item_gap</x:v>
      </x:c>
      <x:c r="D322" s="38" t="str">
        <x:v>derived_gap_profile</x:v>
      </x:c>
      <x:c r="E322" s="38" t="str">
        <x:v>vanessa-query-gap-silver-08</x:v>
      </x:c>
      <x:c r="F322" s="38" t="str">
        <x:v>Vanessa Query Gap 白银 08</x:v>
      </x:c>
      <x:c r="G322" s="38" t="str">
        <x:v>silver</x:v>
      </x:c>
      <x:c r="H322" s="38" t="str">
        <x:v>medium</x:v>
      </x:c>
      <x:c r="I322" s="38" t="str">
        <x:v>aquatic, tool, haste</x:v>
      </x:c>
      <x:c r="J322" s="38" t="n">
        <x:v>10</x:v>
      </x:c>
      <x:c r="K322" s="38" t="n">
        <x:v>10</x:v>
      </x:c>
      <x:c r="L322" s="38" t="str">
        <x:v>night_base, elem_火, elem_水, elem_冰, elem_暗, elem_龙, role_控制, role_治疗, role_经济, role_召唤铺场</x:v>
      </x:c>
      <x:c r="M322" s="38" t="str">
        <x:v>Turbo</x:v>
      </x:c>
      <x:c r="N322" s="38" t="str">
        <x:v>pal_321</x:v>
      </x:c>
      <x:c r="O322" s="38" t="str">
        <x:v>澜隼精</x:v>
      </x:c>
      <x:c r="P322" s="38" t="str"/>
      <x:c r="Q322" s="38" t="str">
        <x:v>Derived design profile from Captain's Wheel; exact Patch 16.2 source item identity remains unresolved.</x:v>
      </x:c>
      <x:c r="R322" s="38" t="str">
        <x:v>BazaarDB 231物品查询与可导出138定义之间的93条差额；使用同品质 donor captain-s-wheel 的关系与标签画像生成，未冒充精确原名。</x:v>
      </x:c>
    </x:row>
    <x:row r="323">
      <x:c r="A323" s="38" t="str">
        <x:v>bz_van_322</x:v>
      </x:c>
      <x:c r="B323" s="38" t="n">
        <x:v>322</x:v>
      </x:c>
      <x:c r="C323" s="38" t="str">
        <x:v>item_gap</x:v>
      </x:c>
      <x:c r="D323" s="38" t="str">
        <x:v>derived_gap_profile</x:v>
      </x:c>
      <x:c r="E323" s="38" t="str">
        <x:v>vanessa-query-gap-silver-09</x:v>
      </x:c>
      <x:c r="F323" s="38" t="str">
        <x:v>Vanessa Query Gap 白银 09</x:v>
      </x:c>
      <x:c r="G323" s="38" t="str">
        <x:v>silver</x:v>
      </x:c>
      <x:c r="H323" s="38" t="str">
        <x:v>medium</x:v>
      </x:c>
      <x:c r="I323" s="38" t="str"/>
      <x:c r="J323" s="38" t="n">
        <x:v>10</x:v>
      </x:c>
      <x:c r="K323" s="38" t="n">
        <x:v>10</x:v>
      </x:c>
      <x:c r="L323" s="38" t="str">
        <x:v>night_base, elem_火, elem_水, elem_雷, elem_冰, elem_地, elem_暗, elem_龙, role_控制, role_风系铺场</x:v>
      </x:c>
      <x:c r="M323" s="38" t="str">
        <x:v>Shiny</x:v>
      </x:c>
      <x:c r="N323" s="38" t="str">
        <x:v>pal_322</x:v>
      </x:c>
      <x:c r="O323" s="38" t="str">
        <x:v>寒狮卫</x:v>
      </x:c>
      <x:c r="P323" s="38" t="str"/>
      <x:c r="Q323" s="38" t="str">
        <x:v>Derived design profile from Card Table; exact Patch 16.2 source item identity remains unresolved.</x:v>
      </x:c>
      <x:c r="R323" s="38" t="str">
        <x:v>BazaarDB 231物品查询与可导出138定义之间的93条差额；使用同品质 donor card-table 的关系与标签画像生成，未冒充精确原名。</x:v>
      </x:c>
    </x:row>
    <x:row r="324">
      <x:c r="A324" s="38" t="str">
        <x:v>bz_van_323</x:v>
      </x:c>
      <x:c r="B324" s="38" t="n">
        <x:v>323</x:v>
      </x:c>
      <x:c r="C324" s="38" t="str">
        <x:v>item_gap</x:v>
      </x:c>
      <x:c r="D324" s="38" t="str">
        <x:v>derived_gap_profile</x:v>
      </x:c>
      <x:c r="E324" s="38" t="str">
        <x:v>vanessa-query-gap-silver-10</x:v>
      </x:c>
      <x:c r="F324" s="38" t="str">
        <x:v>Vanessa Query Gap 白银 10</x:v>
      </x:c>
      <x:c r="G324" s="38" t="str">
        <x:v>silver</x:v>
      </x:c>
      <x:c r="H324" s="38" t="str">
        <x:v>medium</x:v>
      </x:c>
      <x:c r="I324" s="38" t="str">
        <x:v>weapon, tech, damage, burn</x:v>
      </x:c>
      <x:c r="J324" s="38" t="n">
        <x:v>10</x:v>
      </x:c>
      <x:c r="K324" s="38" t="n">
        <x:v>10</x:v>
      </x:c>
      <x:c r="L324" s="38" t="str">
        <x:v>night_base, elem_火, elem_水, elem_冰, elem_无, role_治疗, role_经济, role_机动, elite_high, tier_pT1</x:v>
      </x:c>
      <x:c r="M324" s="38" t="str">
        <x:v>Fiery</x:v>
      </x:c>
      <x:c r="N324" s="38" t="str">
        <x:v>pal_323</x:v>
      </x:c>
      <x:c r="O324" s="38" t="str">
        <x:v>朱隼精</x:v>
      </x:c>
      <x:c r="P324" s="38" t="str"/>
      <x:c r="Q324" s="38" t="str">
        <x:v>Derived design profile from Cauterizing Blade; exact Patch 16.2 source item identity remains unresolved.</x:v>
      </x:c>
      <x:c r="R324" s="38" t="str">
        <x:v>BazaarDB 231物品查询与可导出138定义之间的93条差额；使用同品质 donor cauterizing-blade 的关系与标签画像生成，未冒充精确原名。</x:v>
      </x:c>
    </x:row>
    <x:row r="325">
      <x:c r="A325" s="38" t="str">
        <x:v>bz_van_324</x:v>
      </x:c>
      <x:c r="B325" s="38" t="n">
        <x:v>324</x:v>
      </x:c>
      <x:c r="C325" s="38" t="str">
        <x:v>item_gap</x:v>
      </x:c>
      <x:c r="D325" s="38" t="str">
        <x:v>derived_gap_profile</x:v>
      </x:c>
      <x:c r="E325" s="38" t="str">
        <x:v>vanessa-query-gap-silver-11</x:v>
      </x:c>
      <x:c r="F325" s="38" t="str">
        <x:v>Vanessa Query Gap 白银 11</x:v>
      </x:c>
      <x:c r="G325" s="38" t="str">
        <x:v>silver</x:v>
      </x:c>
      <x:c r="H325" s="38" t="str">
        <x:v>small</x:v>
      </x:c>
      <x:c r="I325" s="38" t="str">
        <x:v>aquatic, slow</x:v>
      </x:c>
      <x:c r="J325" s="38" t="n">
        <x:v>10</x:v>
      </x:c>
      <x:c r="K325" s="38" t="n">
        <x:v>10</x:v>
      </x:c>
      <x:c r="L325" s="38" t="str">
        <x:v>night_base, elem_火, elem_水, elem_草, elem_地, elem_暗, elem_龙, role_召唤, role_治疗, elite_high</x:v>
      </x:c>
      <x:c r="M325" s="38" t="str">
        <x:v>Icy</x:v>
      </x:c>
      <x:c r="N325" s="38" t="str">
        <x:v>pal_324</x:v>
      </x:c>
      <x:c r="O325" s="38" t="str">
        <x:v>汐蛇妖</x:v>
      </x:c>
      <x:c r="P325" s="38" t="str"/>
      <x:c r="Q325" s="38" t="str">
        <x:v>Derived design profile from Clamera; exact Patch 16.2 source item identity remains unresolved.</x:v>
      </x:c>
      <x:c r="R325" s="38" t="str">
        <x:v>BazaarDB 231物品查询与可导出138定义之间的93条差额；使用同品质 donor clamera 的关系与标签画像生成，未冒充精确原名。</x:v>
      </x:c>
    </x:row>
    <x:row r="326">
      <x:c r="A326" s="38" t="str">
        <x:v>bz_van_325</x:v>
      </x:c>
      <x:c r="B326" s="38" t="n">
        <x:v>325</x:v>
      </x:c>
      <x:c r="C326" s="38" t="str">
        <x:v>item_gap</x:v>
      </x:c>
      <x:c r="D326" s="38" t="str">
        <x:v>derived_gap_profile</x:v>
      </x:c>
      <x:c r="E326" s="38" t="str">
        <x:v>vanessa-query-gap-silver-12</x:v>
      </x:c>
      <x:c r="F326" s="38" t="str">
        <x:v>Vanessa Query Gap 白银 12</x:v>
      </x:c>
      <x:c r="G326" s="38" t="str">
        <x:v>silver</x:v>
      </x:c>
      <x:c r="H326" s="38" t="str">
        <x:v>large</x:v>
      </x:c>
      <x:c r="I326" s="38" t="str">
        <x:v>property, aquatic, crit</x:v>
      </x:c>
      <x:c r="J326" s="38" t="n">
        <x:v>0</x:v>
      </x:c>
      <x:c r="K326" s="38" t="n">
        <x:v>8</x:v>
      </x:c>
      <x:c r="L326" s="38" t="str">
        <x:v>elem_雷, elem_地, role_坦克, role_治疗, elite_high, tier_pT2, role_重甲抗压, role_风系铺场</x:v>
      </x:c>
      <x:c r="M326" s="38" t="str">
        <x:v>Deadly</x:v>
      </x:c>
      <x:c r="N326" s="38" t="str">
        <x:v>pal_325</x:v>
      </x:c>
      <x:c r="O326" s="38" t="str">
        <x:v>潮虎妖</x:v>
      </x:c>
      <x:c r="P326" s="38" t="str"/>
      <x:c r="Q326" s="38" t="str">
        <x:v>Derived design profile from Crow's Nest; exact Patch 16.2 source item identity remains unresolved.</x:v>
      </x:c>
      <x:c r="R326" s="38" t="str">
        <x:v>BazaarDB 231物品查询与可导出138定义之间的93条差额；使用同品质 donor crow-s-nest 的关系与标签画像生成，未冒充精确原名。</x:v>
      </x:c>
    </x:row>
    <x:row r="327">
      <x:c r="A327" s="38" t="str">
        <x:v>bz_van_326</x:v>
      </x:c>
      <x:c r="B327" s="38" t="n">
        <x:v>326</x:v>
      </x:c>
      <x:c r="C327" s="38" t="str">
        <x:v>item_gap</x:v>
      </x:c>
      <x:c r="D327" s="38" t="str">
        <x:v>derived_gap_profile</x:v>
      </x:c>
      <x:c r="E327" s="38" t="str">
        <x:v>vanessa-query-gap-silver-13</x:v>
      </x:c>
      <x:c r="F327" s="38" t="str">
        <x:v>Vanessa Query Gap 白银 13</x:v>
      </x:c>
      <x:c r="G327" s="38" t="str">
        <x:v>silver</x:v>
      </x:c>
      <x:c r="H327" s="38" t="str">
        <x:v>small</x:v>
      </x:c>
      <x:c r="I327" s="38" t="str">
        <x:v>tech, crit, charge</x:v>
      </x:c>
      <x:c r="J327" s="38" t="n">
        <x:v>10</x:v>
      </x:c>
      <x:c r="K327" s="38" t="n">
        <x:v>10</x:v>
      </x:c>
      <x:c r="L327" s="38" t="str">
        <x:v>night_base, elem_火, elem_水, elem_草, elem_雷, elem_地, elem_暗, role_召唤, role_输出, tier_pT1</x:v>
      </x:c>
      <x:c r="M327" s="38" t="str">
        <x:v>Turbo</x:v>
      </x:c>
      <x:c r="N327" s="38" t="str">
        <x:v>pal_326</x:v>
      </x:c>
      <x:c r="O327" s="38" t="str">
        <x:v>闪猿将</x:v>
      </x:c>
      <x:c r="P327" s="38" t="str"/>
      <x:c r="Q327" s="38" t="str">
        <x:v>Derived design profile from Custom Scope; exact Patch 16.2 source item identity remains unresolved.</x:v>
      </x:c>
      <x:c r="R327" s="38" t="str">
        <x:v>BazaarDB 231物品查询与可导出138定义之间的93条差额；使用同品质 donor custom-scope 的关系与标签画像生成，未冒充精确原名。</x:v>
      </x:c>
    </x:row>
    <x:row r="328">
      <x:c r="A328" s="38" t="str">
        <x:v>bz_van_327</x:v>
      </x:c>
      <x:c r="B328" s="38" t="n">
        <x:v>327</x:v>
      </x:c>
      <x:c r="C328" s="38" t="str">
        <x:v>item_gap</x:v>
      </x:c>
      <x:c r="D328" s="38" t="str">
        <x:v>derived_gap_profile</x:v>
      </x:c>
      <x:c r="E328" s="38" t="str">
        <x:v>vanessa-query-gap-silver-14</x:v>
      </x:c>
      <x:c r="F328" s="38" t="str">
        <x:v>Vanessa Query Gap 白银 14</x:v>
      </x:c>
      <x:c r="G328" s="38" t="str">
        <x:v>silver</x:v>
      </x:c>
      <x:c r="H328" s="38" t="str">
        <x:v>medium</x:v>
      </x:c>
      <x:c r="I328" s="38" t="str">
        <x:v>weapon, tech, damage, critreference</x:v>
      </x:c>
      <x:c r="J328" s="38" t="n">
        <x:v>10</x:v>
      </x:c>
      <x:c r="K328" s="38" t="n">
        <x:v>10</x:v>
      </x:c>
      <x:c r="L328" s="38" t="str">
        <x:v>night_base, elem_火, elem_水, elem_雷, elem_冰, elem_地, elem_无, role_控制, role_输出, tier_pT1</x:v>
      </x:c>
      <x:c r="M328" s="38" t="str">
        <x:v>Deadly</x:v>
      </x:c>
      <x:c r="N328" s="38" t="str">
        <x:v>pal_327</x:v>
      </x:c>
      <x:c r="O328" s="38" t="str">
        <x:v>雷虎卫</x:v>
      </x:c>
      <x:c r="P328" s="38" t="str"/>
      <x:c r="Q328" s="38" t="str">
        <x:v>Derived design profile from Cyber-Sai; exact Patch 16.2 source item identity remains unresolved.</x:v>
      </x:c>
      <x:c r="R328" s="38" t="str">
        <x:v>BazaarDB 231物品查询与可导出138定义之间的93条差额；使用同品质 donor cyber-sai 的关系与标签画像生成，未冒充精确原名。</x:v>
      </x:c>
    </x:row>
    <x:row r="329">
      <x:c r="A329" s="38" t="str">
        <x:v>bz_van_328</x:v>
      </x:c>
      <x:c r="B329" s="38" t="n">
        <x:v>328</x:v>
      </x:c>
      <x:c r="C329" s="38" t="str">
        <x:v>item_gap</x:v>
      </x:c>
      <x:c r="D329" s="38" t="str">
        <x:v>derived_gap_profile</x:v>
      </x:c>
      <x:c r="E329" s="38" t="str">
        <x:v>vanessa-query-gap-silver-15</x:v>
      </x:c>
      <x:c r="F329" s="38" t="str">
        <x:v>Vanessa Query Gap 白银 15</x:v>
      </x:c>
      <x:c r="G329" s="38" t="str">
        <x:v>silver</x:v>
      </x:c>
      <x:c r="H329" s="38" t="str">
        <x:v>medium</x:v>
      </x:c>
      <x:c r="I329" s="38" t="str">
        <x:v>friend, aquatic, burn, slowreference</x:v>
      </x:c>
      <x:c r="J329" s="38" t="n">
        <x:v>10</x:v>
      </x:c>
      <x:c r="K329" s="38" t="n">
        <x:v>10</x:v>
      </x:c>
      <x:c r="L329" s="38" t="str">
        <x:v>night_base, elem_火, elem_水, elem_冰, elem_暗, elem_龙, role_治疗, role_机动, elite_high, tier_pT2</x:v>
      </x:c>
      <x:c r="M329" s="38" t="str">
        <x:v>Fiery</x:v>
      </x:c>
      <x:c r="N329" s="38" t="str">
        <x:v>pal_328</x:v>
      </x:c>
      <x:c r="O329" s="38" t="str">
        <x:v>燎貂将</x:v>
      </x:c>
      <x:c r="P329" s="38" t="str"/>
      <x:c r="Q329" s="38" t="str">
        <x:v>Derived design profile from Darkwater Anglerfish; exact Patch 16.2 source item identity remains unresolved.</x:v>
      </x:c>
      <x:c r="R329" s="38" t="str">
        <x:v>BazaarDB 231物品查询与可导出138定义之间的93条差额；使用同品质 donor darkwater-anglerfish 的关系与标签画像生成，未冒充精确原名。</x:v>
      </x:c>
    </x:row>
    <x:row r="330">
      <x:c r="A330" s="38" t="str">
        <x:v>bz_van_329</x:v>
      </x:c>
      <x:c r="B330" s="38" t="n">
        <x:v>329</x:v>
      </x:c>
      <x:c r="C330" s="38" t="str">
        <x:v>item_gap</x:v>
      </x:c>
      <x:c r="D330" s="38" t="str">
        <x:v>derived_gap_profile</x:v>
      </x:c>
      <x:c r="E330" s="38" t="str">
        <x:v>vanessa-query-gap-silver-16</x:v>
      </x:c>
      <x:c r="F330" s="38" t="str">
        <x:v>Vanessa Query Gap 白银 16</x:v>
      </x:c>
      <x:c r="G330" s="38" t="str">
        <x:v>silver</x:v>
      </x:c>
      <x:c r="H330" s="38" t="str">
        <x:v>small</x:v>
      </x:c>
      <x:c r="I330" s="38" t="str">
        <x:v>weapon, tech, damage, slow, poison</x:v>
      </x:c>
      <x:c r="J330" s="38" t="n">
        <x:v>10</x:v>
      </x:c>
      <x:c r="K330" s="38" t="n">
        <x:v>10</x:v>
      </x:c>
      <x:c r="L330" s="38" t="str">
        <x:v>night_base, elem_火, elem_水, elem_草, elem_无, role_召唤, role_治疗, elite_high, tier_pT1, role_重甲抗压</x:v>
      </x:c>
      <x:c r="M330" s="38" t="str">
        <x:v>Icy</x:v>
      </x:c>
      <x:c r="N330" s="38" t="str">
        <x:v>pal_329</x:v>
      </x:c>
      <x:c r="O330" s="38" t="str">
        <x:v>苔蝎将</x:v>
      </x:c>
      <x:c r="P330" s="38" t="str"/>
      <x:c r="Q330" s="38" t="str">
        <x:v>Derived design profile from Dart Launcher; exact Patch 16.2 source item identity remains unresolved.</x:v>
      </x:c>
      <x:c r="R330" s="38" t="str">
        <x:v>BazaarDB 231物品查询与可导出138定义之间的93条差额；使用同品质 donor dart-launcher 的关系与标签画像生成，未冒充精确原名。</x:v>
      </x:c>
    </x:row>
    <x:row r="331">
      <x:c r="A331" s="38" t="str">
        <x:v>bz_van_330</x:v>
      </x:c>
      <x:c r="B331" s="38" t="n">
        <x:v>330</x:v>
      </x:c>
      <x:c r="C331" s="38" t="str">
        <x:v>item_gap</x:v>
      </x:c>
      <x:c r="D331" s="38" t="str">
        <x:v>derived_gap_profile</x:v>
      </x:c>
      <x:c r="E331" s="38" t="str">
        <x:v>vanessa-query-gap-silver-17</x:v>
      </x:c>
      <x:c r="F331" s="38" t="str">
        <x:v>Vanessa Query Gap 白银 17</x:v>
      </x:c>
      <x:c r="G331" s="38" t="str">
        <x:v>silver</x:v>
      </x:c>
      <x:c r="H331" s="38" t="str">
        <x:v>medium</x:v>
      </x:c>
      <x:c r="I331" s="38" t="str">
        <x:v>apparel, charge</x:v>
      </x:c>
      <x:c r="J331" s="38" t="n">
        <x:v>10</x:v>
      </x:c>
      <x:c r="K331" s="38" t="n">
        <x:v>10</x:v>
      </x:c>
      <x:c r="L331" s="38" t="str">
        <x:v>night_base, elem_火, elem_水, elem_雷, elem_冰, elem_地, elem_暗, role_控制, tier_pT3, role_风系铺场</x:v>
      </x:c>
      <x:c r="M331" s="38" t="str">
        <x:v>Turbo</x:v>
      </x:c>
      <x:c r="N331" s="38" t="str">
        <x:v>pal_330</x:v>
      </x:c>
      <x:c r="O331" s="38" t="str">
        <x:v>霆雀精</x:v>
      </x:c>
      <x:c r="P331" s="38" t="str"/>
      <x:c r="Q331" s="38" t="str">
        <x:v>Derived design profile from Disguise; exact Patch 16.2 source item identity remains unresolved.</x:v>
      </x:c>
      <x:c r="R331" s="38" t="str">
        <x:v>BazaarDB 231物品查询与可导出138定义之间的93条差额；使用同品质 donor disguise 的关系与标签画像生成，未冒充精确原名。</x:v>
      </x:c>
    </x:row>
    <x:row r="332">
      <x:c r="A332" s="38" t="str">
        <x:v>bz_van_331</x:v>
      </x:c>
      <x:c r="B332" s="38" t="n">
        <x:v>331</x:v>
      </x:c>
      <x:c r="C332" s="38" t="str">
        <x:v>item_gap</x:v>
      </x:c>
      <x:c r="D332" s="38" t="str">
        <x:v>derived_gap_profile</x:v>
      </x:c>
      <x:c r="E332" s="38" t="str">
        <x:v>vanessa-query-gap-silver-18</x:v>
      </x:c>
      <x:c r="F332" s="38" t="str">
        <x:v>Vanessa Query Gap 白银 18</x:v>
      </x:c>
      <x:c r="G332" s="38" t="str">
        <x:v>silver</x:v>
      </x:c>
      <x:c r="H332" s="38" t="str">
        <x:v>small</x:v>
      </x:c>
      <x:c r="I332" s="38" t="str">
        <x:v>aquatic, tool, apparel, haste, ammo</x:v>
      </x:c>
      <x:c r="J332" s="38" t="n">
        <x:v>10</x:v>
      </x:c>
      <x:c r="K332" s="38" t="n">
        <x:v>10</x:v>
      </x:c>
      <x:c r="L332" s="38" t="str">
        <x:v>night_base, elem_火, elem_水, elem_暗, elem_龙, role_召唤, role_坦克, role_治疗, role_经济, tier_pT3</x:v>
      </x:c>
      <x:c r="M332" s="38" t="str">
        <x:v>Turbo</x:v>
      </x:c>
      <x:c r="N332" s="38" t="str">
        <x:v>pal_331</x:v>
      </x:c>
      <x:c r="O332" s="38" t="str">
        <x:v>沧狐将</x:v>
      </x:c>
      <x:c r="P332" s="38" t="str"/>
      <x:c r="Q332" s="38" t="str">
        <x:v>Derived design profile from Dive Weights; exact Patch 16.2 source item identity remains unresolved.</x:v>
      </x:c>
      <x:c r="R332" s="38" t="str">
        <x:v>BazaarDB 231物品查询与可导出138定义之间的93条差额；使用同品质 donor dive-weights 的关系与标签画像生成，未冒充精确原名。</x:v>
      </x:c>
    </x:row>
    <x:row r="333">
      <x:c r="A333" s="38" t="str">
        <x:v>bz_van_332</x:v>
      </x:c>
      <x:c r="B333" s="38" t="n">
        <x:v>332</x:v>
      </x:c>
      <x:c r="C333" s="38" t="str">
        <x:v>item_gap</x:v>
      </x:c>
      <x:c r="D333" s="38" t="str">
        <x:v>derived_gap_profile</x:v>
      </x:c>
      <x:c r="E333" s="38" t="str">
        <x:v>vanessa-query-gap-silver-19</x:v>
      </x:c>
      <x:c r="F333" s="38" t="str">
        <x:v>Vanessa Query Gap 白银 19</x:v>
      </x:c>
      <x:c r="G333" s="38" t="str">
        <x:v>silver</x:v>
      </x:c>
      <x:c r="H333" s="38" t="str">
        <x:v>medium</x:v>
      </x:c>
      <x:c r="I333" s="38" t="str">
        <x:v>tool, aquatic, slow</x:v>
      </x:c>
      <x:c r="J333" s="38" t="n">
        <x:v>10</x:v>
      </x:c>
      <x:c r="K333" s="38" t="n">
        <x:v>10</x:v>
      </x:c>
      <x:c r="L333" s="38" t="str">
        <x:v>night_base, elem_火, elem_水, elem_冰, elem_暗, elem_龙, role_控制, role_治疗, elite_high, role_召唤铺场</x:v>
      </x:c>
      <x:c r="M333" s="38" t="str">
        <x:v>Icy</x:v>
      </x:c>
      <x:c r="N333" s="38" t="str">
        <x:v>pal_332</x:v>
      </x:c>
      <x:c r="O333" s="38" t="str">
        <x:v>澜鳗妖</x:v>
      </x:c>
      <x:c r="P333" s="38" t="str"/>
      <x:c r="Q333" s="38" t="str">
        <x:v>Derived design profile from Dock Lines; exact Patch 16.2 source item identity remains unresolved.</x:v>
      </x:c>
      <x:c r="R333" s="38" t="str">
        <x:v>BazaarDB 231物品查询与可导出138定义之间的93条差额；使用同品质 donor dock-lines 的关系与标签画像生成，未冒充精确原名。</x:v>
      </x:c>
    </x:row>
    <x:row r="334">
      <x:c r="A334" s="38" t="str">
        <x:v>bz_van_333</x:v>
      </x:c>
      <x:c r="B334" s="38" t="n">
        <x:v>333</x:v>
      </x:c>
      <x:c r="C334" s="38" t="str">
        <x:v>item_gap</x:v>
      </x:c>
      <x:c r="D334" s="38" t="str">
        <x:v>derived_gap_profile</x:v>
      </x:c>
      <x:c r="E334" s="38" t="str">
        <x:v>vanessa-query-gap-silver-20</x:v>
      </x:c>
      <x:c r="F334" s="38" t="str">
        <x:v>Vanessa Query Gap 白银 20</x:v>
      </x:c>
      <x:c r="G334" s="38" t="str">
        <x:v>silver</x:v>
      </x:c>
      <x:c r="H334" s="38" t="str">
        <x:v>medium</x:v>
      </x:c>
      <x:c r="I334" s="38" t="str">
        <x:v>aquatic, tech, trap, burn, poison, freeze, ammo</x:v>
      </x:c>
      <x:c r="J334" s="38" t="n">
        <x:v>10</x:v>
      </x:c>
      <x:c r="K334" s="38" t="n">
        <x:v>10</x:v>
      </x:c>
      <x:c r="L334" s="38" t="str">
        <x:v>night_base, elem_火, elem_冰, elem_暗, elem_龙, role_坦克, role_机动, tier_pT1, role_抗压承伤, role_重甲抗压</x:v>
      </x:c>
      <x:c r="M334" s="38" t="str">
        <x:v>Fiery</x:v>
      </x:c>
      <x:c r="N334" s="38" t="str">
        <x:v>pal_333</x:v>
      </x:c>
      <x:c r="O334" s="38" t="str">
        <x:v>烬狐妖</x:v>
      </x:c>
      <x:c r="P334" s="38" t="str"/>
      <x:c r="Q334" s="38" t="str">
        <x:v>Derived design profile from Elemental Depth Charge; exact Patch 16.2 source item identity remains unresolved.</x:v>
      </x:c>
      <x:c r="R334" s="38" t="str">
        <x:v>BazaarDB 231物品查询与可导出138定义之间的93条差额；使用同品质 donor elemental-depth-charge 的关系与标签画像生成，未冒充精确原名。</x:v>
      </x:c>
    </x:row>
    <x:row r="335">
      <x:c r="A335" s="38" t="str">
        <x:v>bz_van_334</x:v>
      </x:c>
      <x:c r="B335" s="38" t="n">
        <x:v>334</x:v>
      </x:c>
      <x:c r="C335" s="38" t="str">
        <x:v>item_gap</x:v>
      </x:c>
      <x:c r="D335" s="38" t="str">
        <x:v>derived_gap_profile</x:v>
      </x:c>
      <x:c r="E335" s="38" t="str">
        <x:v>vanessa-query-gap-silver-21</x:v>
      </x:c>
      <x:c r="F335" s="38" t="str">
        <x:v>Vanessa Query Gap 白银 21</x:v>
      </x:c>
      <x:c r="G335" s="38" t="str">
        <x:v>silver</x:v>
      </x:c>
      <x:c r="H335" s="38" t="str">
        <x:v>medium</x:v>
      </x:c>
      <x:c r="I335" s="38" t="str">
        <x:v>aquatic, relic, damagereference, cooldown</x:v>
      </x:c>
      <x:c r="J335" s="38" t="n">
        <x:v>10</x:v>
      </x:c>
      <x:c r="K335" s="38" t="n">
        <x:v>10</x:v>
      </x:c>
      <x:c r="L335" s="38" t="str">
        <x:v>night_base, elem_火, elem_水, elem_雷, elem_冰, elem_地, elem_暗, elem_龙, role_控制, role_治疗</x:v>
      </x:c>
      <x:c r="M335" s="38" t="str">
        <x:v>Turbo</x:v>
      </x:c>
      <x:c r="N335" s="38" t="str">
        <x:v>pal_334</x:v>
      </x:c>
      <x:c r="O335" s="38" t="str">
        <x:v>碧狐精</x:v>
      </x:c>
      <x:c r="P335" s="38" t="str"/>
      <x:c r="Q335" s="38" t="str">
        <x:v>Derived design profile from Figurehead; exact Patch 16.2 source item identity remains unresolved.</x:v>
      </x:c>
      <x:c r="R335" s="38" t="str">
        <x:v>BazaarDB 231物品查询与可导出138定义之间的93条差额；使用同品质 donor figurehead 的关系与标签画像生成，未冒充精确原名。</x:v>
      </x:c>
    </x:row>
    <x:row r="336">
      <x:c r="A336" s="38" t="str">
        <x:v>bz_van_335</x:v>
      </x:c>
      <x:c r="B336" s="38" t="n">
        <x:v>335</x:v>
      </x:c>
      <x:c r="C336" s="38" t="str">
        <x:v>item_gap</x:v>
      </x:c>
      <x:c r="D336" s="38" t="str">
        <x:v>derived_gap_profile</x:v>
      </x:c>
      <x:c r="E336" s="38" t="str">
        <x:v>vanessa-query-gap-silver-22</x:v>
      </x:c>
      <x:c r="F336" s="38" t="str">
        <x:v>Vanessa Query Gap 白银 22</x:v>
      </x:c>
      <x:c r="G336" s="38" t="str">
        <x:v>silver</x:v>
      </x:c>
      <x:c r="H336" s="38" t="str">
        <x:v>large</x:v>
      </x:c>
      <x:c r="I336" s="38" t="str">
        <x:v>aquatic, vehicle, weapon, damage, ammoreference</x:v>
      </x:c>
      <x:c r="J336" s="38" t="n">
        <x:v>0</x:v>
      </x:c>
      <x:c r="K336" s="38" t="n">
        <x:v>8</x:v>
      </x:c>
      <x:c r="L336" s="38" t="str">
        <x:v>elem_草, elem_冰, role_召唤, role_控制, special_merchant, tier_pT1, role_抗压承伤, role_远点压制</x:v>
      </x:c>
      <x:c r="M336" s="38" t="str">
        <x:v>Deadly</x:v>
      </x:c>
      <x:c r="N336" s="38" t="str">
        <x:v>pal_335</x:v>
      </x:c>
      <x:c r="O336" s="38" t="str">
        <x:v>渊蛾卫</x:v>
      </x:c>
      <x:c r="P336" s="38" t="str"/>
      <x:c r="Q336" s="38" t="str">
        <x:v>Derived design profile from Flagship; exact Patch 16.2 source item identity remains unresolved.</x:v>
      </x:c>
      <x:c r="R336" s="38" t="str">
        <x:v>BazaarDB 231物品查询与可导出138定义之间的93条差额；使用同品质 donor flagship 的关系与标签画像生成，未冒充精确原名。</x:v>
      </x:c>
    </x:row>
    <x:row r="337">
      <x:c r="A337" s="38" t="str">
        <x:v>bz_van_336</x:v>
      </x:c>
      <x:c r="B337" s="38" t="n">
        <x:v>336</x:v>
      </x:c>
      <x:c r="C337" s="38" t="str">
        <x:v>item_gap</x:v>
      </x:c>
      <x:c r="D337" s="38" t="str">
        <x:v>derived_gap_profile</x:v>
      </x:c>
      <x:c r="E337" s="38" t="str">
        <x:v>vanessa-query-gap-silver-23</x:v>
      </x:c>
      <x:c r="F337" s="38" t="str">
        <x:v>Vanessa Query Gap 白银 23</x:v>
      </x:c>
      <x:c r="G337" s="38" t="str">
        <x:v>silver</x:v>
      </x:c>
      <x:c r="H337" s="38" t="str">
        <x:v>medium</x:v>
      </x:c>
      <x:c r="I337" s="38" t="str">
        <x:v>aquatic, ammo</x:v>
      </x:c>
      <x:c r="J337" s="38" t="n">
        <x:v>10</x:v>
      </x:c>
      <x:c r="K337" s="38" t="n">
        <x:v>10</x:v>
      </x:c>
      <x:c r="L337" s="38" t="str">
        <x:v>night_base, elem_火, elem_水, elem_雷, elem_冰, elem_地, elem_暗, elem_龙, role_坦克, role_控制</x:v>
      </x:c>
      <x:c r="M337" s="38" t="str">
        <x:v>Deadly</x:v>
      </x:c>
      <x:c r="N337" s="38" t="str">
        <x:v>pal_336</x:v>
      </x:c>
      <x:c r="O337" s="38" t="str">
        <x:v>潮狮妖</x:v>
      </x:c>
      <x:c r="P337" s="38" t="str"/>
      <x:c r="Q337" s="38" t="str">
        <x:v>Derived design profile from Harpoon; exact Patch 16.2 source item identity remains unresolved.</x:v>
      </x:c>
      <x:c r="R337" s="38" t="str">
        <x:v>BazaarDB 231物品查询与可导出138定义之间的93条差额；使用同品质 donor harpoon 的关系与标签画像生成，未冒充精确原名。</x:v>
      </x:c>
    </x:row>
    <x:row r="338">
      <x:c r="A338" s="38" t="str">
        <x:v>bz_van_337</x:v>
      </x:c>
      <x:c r="B338" s="38" t="n">
        <x:v>337</x:v>
      </x:c>
      <x:c r="C338" s="38" t="str">
        <x:v>item_gap</x:v>
      </x:c>
      <x:c r="D338" s="38" t="str">
        <x:v>derived_gap_profile</x:v>
      </x:c>
      <x:c r="E338" s="38" t="str">
        <x:v>vanessa-query-gap-silver-24</x:v>
      </x:c>
      <x:c r="F338" s="38" t="str">
        <x:v>Vanessa Query Gap 白银 24</x:v>
      </x:c>
      <x:c r="G338" s="38" t="str">
        <x:v>silver</x:v>
      </x:c>
      <x:c r="H338" s="38" t="str">
        <x:v>small</x:v>
      </x:c>
      <x:c r="I338" s="38" t="str">
        <x:v>apparel, haste</x:v>
      </x:c>
      <x:c r="J338" s="38" t="n">
        <x:v>10</x:v>
      </x:c>
      <x:c r="K338" s="38" t="n">
        <x:v>10</x:v>
      </x:c>
      <x:c r="L338" s="38" t="str">
        <x:v>night_base, elem_火, elem_水, elem_草, elem_地, elem_暗, role_召唤, role_治疗, role_经济, tier_pT3</x:v>
      </x:c>
      <x:c r="M338" s="38" t="str">
        <x:v>Turbo</x:v>
      </x:c>
      <x:c r="N338" s="38" t="str">
        <x:v>pal_337</x:v>
      </x:c>
      <x:c r="O338" s="38" t="str">
        <x:v>夜狐将</x:v>
      </x:c>
      <x:c r="P338" s="38" t="str"/>
      <x:c r="Q338" s="38" t="str">
        <x:v>Derived design profile from Holsters; exact Patch 16.2 source item identity remains unresolved.</x:v>
      </x:c>
      <x:c r="R338" s="38" t="str">
        <x:v>BazaarDB 231物品查询与可导出138定义之间的93条差额；使用同品质 donor holsters 的关系与标签画像生成，未冒充精确原名。</x:v>
      </x:c>
    </x:row>
    <x:row r="339">
      <x:c r="A339" s="38" t="str">
        <x:v>bz_van_338</x:v>
      </x:c>
      <x:c r="B339" s="38" t="n">
        <x:v>338</x:v>
      </x:c>
      <x:c r="C339" s="38" t="str">
        <x:v>item_gap</x:v>
      </x:c>
      <x:c r="D339" s="38" t="str">
        <x:v>derived_gap_profile</x:v>
      </x:c>
      <x:c r="E339" s="38" t="str">
        <x:v>vanessa-query-gap-silver-25</x:v>
      </x:c>
      <x:c r="F339" s="38" t="str">
        <x:v>Vanessa Query Gap 白银 25</x:v>
      </x:c>
      <x:c r="G339" s="38" t="str">
        <x:v>silver</x:v>
      </x:c>
      <x:c r="H339" s="38" t="str">
        <x:v>small</x:v>
      </x:c>
      <x:c r="I339" s="38" t="str">
        <x:v>weapon, tool, damage, freeze</x:v>
      </x:c>
      <x:c r="J339" s="38" t="n">
        <x:v>10</x:v>
      </x:c>
      <x:c r="K339" s="38" t="n">
        <x:v>10</x:v>
      </x:c>
      <x:c r="L339" s="38" t="str">
        <x:v>night_base, elem_火, elem_水, elem_草, elem_雷, elem_地, elem_无, role_召唤, role_召唤铺场, role_抗压承伤</x:v>
      </x:c>
      <x:c r="M339" s="38" t="str">
        <x:v>Icy</x:v>
      </x:c>
      <x:c r="N339" s="38" t="str">
        <x:v>pal_338</x:v>
      </x:c>
      <x:c r="O339" s="38" t="str">
        <x:v>寒蛇卫</x:v>
      </x:c>
      <x:c r="P339" s="38" t="str"/>
      <x:c r="Q339" s="38" t="str">
        <x:v>Derived design profile from Ice Pick; exact Patch 16.2 source item identity remains unresolved.</x:v>
      </x:c>
      <x:c r="R339" s="38" t="str">
        <x:v>BazaarDB 231物品查询与可导出138定义之间的93条差额；使用同品质 donor ice-pick 的关系与标签画像生成，未冒充精确原名。</x:v>
      </x:c>
    </x:row>
    <x:row r="340">
      <x:c r="A340" s="38" t="str">
        <x:v>bz_van_339</x:v>
      </x:c>
      <x:c r="B340" s="38" t="n">
        <x:v>339</x:v>
      </x:c>
      <x:c r="C340" s="38" t="str">
        <x:v>item_gap</x:v>
      </x:c>
      <x:c r="D340" s="38" t="str">
        <x:v>derived_gap_profile</x:v>
      </x:c>
      <x:c r="E340" s="38" t="str">
        <x:v>vanessa-query-gap-silver-26</x:v>
      </x:c>
      <x:c r="F340" s="38" t="str">
        <x:v>Vanessa Query Gap 白银 26</x:v>
      </x:c>
      <x:c r="G340" s="38" t="str">
        <x:v>silver</x:v>
      </x:c>
      <x:c r="H340" s="38" t="str">
        <x:v>small</x:v>
      </x:c>
      <x:c r="I340" s="38" t="str">
        <x:v>burn</x:v>
      </x:c>
      <x:c r="J340" s="38" t="n">
        <x:v>10</x:v>
      </x:c>
      <x:c r="K340" s="38" t="n">
        <x:v>10</x:v>
      </x:c>
      <x:c r="L340" s="38" t="str">
        <x:v>night_base, elem_火, elem_水, elem_草, elem_雷, elem_地, elem_暗, role_召唤, role_机动, role_风系铺场</x:v>
      </x:c>
      <x:c r="M340" s="38" t="str">
        <x:v>Fiery</x:v>
      </x:c>
      <x:c r="N340" s="38" t="str">
        <x:v>pal_339</x:v>
      </x:c>
      <x:c r="O340" s="38" t="str">
        <x:v>烬狮妖</x:v>
      </x:c>
      <x:c r="P340" s="38" t="str"/>
      <x:c r="Q340" s="38" t="str">
        <x:v>Derived design profile from Incendiary Rounds; exact Patch 16.2 source item identity remains unresolved.</x:v>
      </x:c>
      <x:c r="R340" s="38" t="str">
        <x:v>BazaarDB 231物品查询与可导出138定义之间的93条差额；使用同品质 donor incendiary-rounds 的关系与标签画像生成，未冒充精确原名。</x:v>
      </x:c>
    </x:row>
    <x:row r="341">
      <x:c r="A341" s="38" t="str">
        <x:v>bz_van_340</x:v>
      </x:c>
      <x:c r="B341" s="38" t="n">
        <x:v>340</x:v>
      </x:c>
      <x:c r="C341" s="38" t="str">
        <x:v>item_gap</x:v>
      </x:c>
      <x:c r="D341" s="38" t="str">
        <x:v>derived_gap_profile</x:v>
      </x:c>
      <x:c r="E341" s="38" t="str">
        <x:v>vanessa-query-gap-silver-27</x:v>
      </x:c>
      <x:c r="F341" s="38" t="str">
        <x:v>Vanessa Query Gap 白银 27</x:v>
      </x:c>
      <x:c r="G341" s="38" t="str">
        <x:v>silver</x:v>
      </x:c>
      <x:c r="H341" s="38" t="str">
        <x:v>small</x:v>
      </x:c>
      <x:c r="I341" s="38" t="str">
        <x:v>apparel, tech, crit, slow</x:v>
      </x:c>
      <x:c r="J341" s="38" t="n">
        <x:v>10</x:v>
      </x:c>
      <x:c r="K341" s="38" t="n">
        <x:v>10</x:v>
      </x:c>
      <x:c r="L341" s="38" t="str">
        <x:v>night_base, elem_火, elem_水, elem_暗, role_召唤, role_治疗, role_输出, elite_high, tier_pT1, tier_pT3</x:v>
      </x:c>
      <x:c r="M341" s="38" t="str">
        <x:v>Icy</x:v>
      </x:c>
      <x:c r="N341" s="38" t="str">
        <x:v>pal_340</x:v>
      </x:c>
      <x:c r="O341" s="38" t="str">
        <x:v>震貂将</x:v>
      </x:c>
      <x:c r="P341" s="38" t="str"/>
      <x:c r="Q341" s="38" t="str">
        <x:v>Derived design profile from Integrated HUD; exact Patch 16.2 source item identity remains unresolved.</x:v>
      </x:c>
      <x:c r="R341" s="38" t="str">
        <x:v>BazaarDB 231物品查询与可导出138定义之间的93条差额；使用同品质 donor integrated-hud 的关系与标签画像生成，未冒充精确原名。</x:v>
      </x:c>
    </x:row>
    <x:row r="342">
      <x:c r="A342" s="38" t="str">
        <x:v>bz_van_341</x:v>
      </x:c>
      <x:c r="B342" s="38" t="n">
        <x:v>341</x:v>
      </x:c>
      <x:c r="C342" s="38" t="str">
        <x:v>item_gap</x:v>
      </x:c>
      <x:c r="D342" s="38" t="str">
        <x:v>derived_gap_profile</x:v>
      </x:c>
      <x:c r="E342" s="38" t="str">
        <x:v>vanessa-query-gap-silver-28</x:v>
      </x:c>
      <x:c r="F342" s="38" t="str">
        <x:v>Vanessa Query Gap 白银 28</x:v>
      </x:c>
      <x:c r="G342" s="38" t="str">
        <x:v>silver</x:v>
      </x:c>
      <x:c r="H342" s="38" t="str">
        <x:v>medium</x:v>
      </x:c>
      <x:c r="I342" s="38" t="str">
        <x:v>weapon, damage, ammo, haste</x:v>
      </x:c>
      <x:c r="J342" s="38" t="n">
        <x:v>10</x:v>
      </x:c>
      <x:c r="K342" s="38" t="n">
        <x:v>10</x:v>
      </x:c>
      <x:c r="L342" s="38" t="str">
        <x:v>night_base, elem_火, elem_水, elem_冰, elem_地, elem_无, role_坦克, role_控制, role_治疗, role_经济</x:v>
      </x:c>
      <x:c r="M342" s="38" t="str">
        <x:v>Turbo</x:v>
      </x:c>
      <x:c r="N342" s="38" t="str">
        <x:v>pal_341</x:v>
      </x:c>
      <x:c r="O342" s="38" t="str">
        <x:v>闪燕卫</x:v>
      </x:c>
      <x:c r="P342" s="38" t="str"/>
      <x:c r="Q342" s="38" t="str">
        <x:v>Derived design profile from Javelin; exact Patch 16.2 source item identity remains unresolved.</x:v>
      </x:c>
      <x:c r="R342" s="38" t="str">
        <x:v>BazaarDB 231物品查询与可导出138定义之间的93条差额；使用同品质 donor javelin 的关系与标签画像生成，未冒充精确原名。</x:v>
      </x:c>
    </x:row>
    <x:row r="343">
      <x:c r="A343" s="38" t="str">
        <x:v>bz_van_342</x:v>
      </x:c>
      <x:c r="B343" s="38" t="n">
        <x:v>342</x:v>
      </x:c>
      <x:c r="C343" s="38" t="str">
        <x:v>item_gap</x:v>
      </x:c>
      <x:c r="D343" s="38" t="str">
        <x:v>derived_gap_profile</x:v>
      </x:c>
      <x:c r="E343" s="38" t="str">
        <x:v>vanessa-query-gap-silver-29</x:v>
      </x:c>
      <x:c r="F343" s="38" t="str">
        <x:v>Vanessa Query Gap 白银 29</x:v>
      </x:c>
      <x:c r="G343" s="38" t="str">
        <x:v>silver</x:v>
      </x:c>
      <x:c r="H343" s="38" t="str">
        <x:v>large</x:v>
      </x:c>
      <x:c r="I343" s="38" t="str">
        <x:v>weapon, vehicle, damage, flying</x:v>
      </x:c>
      <x:c r="J343" s="38" t="n">
        <x:v>10</x:v>
      </x:c>
      <x:c r="K343" s="38" t="n">
        <x:v>10</x:v>
      </x:c>
      <x:c r="L343" s="38" t="str">
        <x:v>night_base, elem_火, elem_水, elem_草, elem_雷, elem_冰, elem_无, role_机动压制, role_远点压制, role_风系牵制</x:v>
      </x:c>
      <x:c r="M343" s="38" t="str">
        <x:v>Deadly</x:v>
      </x:c>
      <x:c r="N343" s="38" t="str">
        <x:v>pal_342</x:v>
      </x:c>
      <x:c r="O343" s="38" t="str">
        <x:v>龙鲭精</x:v>
      </x:c>
      <x:c r="P343" s="38" t="str"/>
      <x:c r="Q343" s="38" t="str">
        <x:v>Derived design profile from Jetbike; exact Patch 16.2 source item identity remains unresolved.</x:v>
      </x:c>
      <x:c r="R343" s="38" t="str">
        <x:v>BazaarDB 231物品查询与可导出138定义之间的93条差额；使用同品质 donor jetbike 的关系与标签画像生成，未冒充精确原名。</x:v>
      </x:c>
    </x:row>
    <x:row r="344">
      <x:c r="A344" s="38" t="str">
        <x:v>bz_van_343</x:v>
      </x:c>
      <x:c r="B344" s="38" t="n">
        <x:v>343</x:v>
      </x:c>
      <x:c r="C344" s="38" t="str">
        <x:v>item_gap</x:v>
      </x:c>
      <x:c r="D344" s="38" t="str">
        <x:v>derived_gap_profile</x:v>
      </x:c>
      <x:c r="E344" s="38" t="str">
        <x:v>vanessa-query-gap-silver-30</x:v>
      </x:c>
      <x:c r="F344" s="38" t="str">
        <x:v>Vanessa Query Gap 白银 30</x:v>
      </x:c>
      <x:c r="G344" s="38" t="str">
        <x:v>silver</x:v>
      </x:c>
      <x:c r="H344" s="38" t="str">
        <x:v>small</x:v>
      </x:c>
      <x:c r="I344" s="38" t="str">
        <x:v>weapon, damage, slow</x:v>
      </x:c>
      <x:c r="J344" s="38" t="n">
        <x:v>10</x:v>
      </x:c>
      <x:c r="K344" s="38" t="n">
        <x:v>10</x:v>
      </x:c>
      <x:c r="L344" s="38" t="str">
        <x:v>night_base, elem_火, elem_水, elem_草, elem_雷, elem_地, elem_无, role_召唤, role_治疗, elite_high</x:v>
      </x:c>
      <x:c r="M344" s="38" t="str">
        <x:v>Icy</x:v>
      </x:c>
      <x:c r="N344" s="38" t="str">
        <x:v>pal_343</x:v>
      </x:c>
      <x:c r="O344" s="38" t="str">
        <x:v>青鳗精</x:v>
      </x:c>
      <x:c r="P344" s="38" t="str"/>
      <x:c r="Q344" s="38" t="str">
        <x:v>Derived design profile from Jitte; exact Patch 16.2 source item identity remains unresolved.</x:v>
      </x:c>
      <x:c r="R344" s="38" t="str">
        <x:v>BazaarDB 231物品查询与可导出138定义之间的93条差额；使用同品质 donor jitte 的关系与标签画像生成，未冒充精确原名。</x:v>
      </x:c>
    </x:row>
    <x:row r="345">
      <x:c r="A345" s="38" t="str">
        <x:v>bz_van_344</x:v>
      </x:c>
      <x:c r="B345" s="38" t="n">
        <x:v>344</x:v>
      </x:c>
      <x:c r="C345" s="38" t="str">
        <x:v>item_gap</x:v>
      </x:c>
      <x:c r="D345" s="38" t="str">
        <x:v>derived_gap_profile</x:v>
      </x:c>
      <x:c r="E345" s="38" t="str">
        <x:v>vanessa-query-gap-silver-31</x:v>
      </x:c>
      <x:c r="F345" s="38" t="str">
        <x:v>Vanessa Query Gap 白银 31</x:v>
      </x:c>
      <x:c r="G345" s="38" t="str">
        <x:v>silver</x:v>
      </x:c>
      <x:c r="H345" s="38" t="str">
        <x:v>small</x:v>
      </x:c>
      <x:c r="I345" s="38" t="str">
        <x:v>apparel, relic, crit</x:v>
      </x:c>
      <x:c r="J345" s="38" t="n">
        <x:v>10</x:v>
      </x:c>
      <x:c r="K345" s="38" t="n">
        <x:v>10</x:v>
      </x:c>
      <x:c r="L345" s="38" t="str">
        <x:v>night_base, elem_火, elem_水, elem_草, elem_雷, elem_地, elem_暗, role_召唤, role_输出, tier_pT3</x:v>
      </x:c>
      <x:c r="M345" s="38" t="str">
        <x:v>Deadly</x:v>
      </x:c>
      <x:c r="N345" s="38" t="str">
        <x:v>pal_344</x:v>
      </x:c>
      <x:c r="O345" s="38" t="str">
        <x:v>闪鲨妖</x:v>
      </x:c>
      <x:c r="P345" s="38" t="str"/>
      <x:c r="Q345" s="38" t="str">
        <x:v>Derived design profile from Korxena Crest; exact Patch 16.2 source item identity remains unresolved.</x:v>
      </x:c>
      <x:c r="R345" s="38" t="str">
        <x:v>BazaarDB 231物品查询与可导出138定义之间的93条差额；使用同品质 donor korxena-crest 的关系与标签画像生成，未冒充精确原名。</x:v>
      </x:c>
    </x:row>
    <x:row r="346">
      <x:c r="A346" s="38" t="str">
        <x:v>bz_van_345</x:v>
      </x:c>
      <x:c r="B346" s="38" t="n">
        <x:v>345</x:v>
      </x:c>
      <x:c r="C346" s="38" t="str">
        <x:v>item_gap</x:v>
      </x:c>
      <x:c r="D346" s="38" t="str">
        <x:v>derived_gap_profile</x:v>
      </x:c>
      <x:c r="E346" s="38" t="str">
        <x:v>vanessa-query-gap-silver-32</x:v>
      </x:c>
      <x:c r="F346" s="38" t="str">
        <x:v>Vanessa Query Gap 白银 32</x:v>
      </x:c>
      <x:c r="G346" s="38" t="str">
        <x:v>silver</x:v>
      </x:c>
      <x:c r="H346" s="38" t="str">
        <x:v>small</x:v>
      </x:c>
      <x:c r="I346" s="38" t="str">
        <x:v>weapon, tech, damage, critreference, slowreference</x:v>
      </x:c>
      <x:c r="J346" s="38" t="n">
        <x:v>10</x:v>
      </x:c>
      <x:c r="K346" s="38" t="n">
        <x:v>10</x:v>
      </x:c>
      <x:c r="L346" s="38" t="str">
        <x:v>night_base, elem_火, elem_水, elem_草, elem_无, role_召唤, role_治疗, role_输出, elite_high, tier_pT1</x:v>
      </x:c>
      <x:c r="M346" s="38" t="str">
        <x:v>Icy</x:v>
      </x:c>
      <x:c r="N346" s="38" t="str">
        <x:v>pal_345</x:v>
      </x:c>
      <x:c r="O346" s="38" t="str">
        <x:v>震蝎将</x:v>
      </x:c>
      <x:c r="P346" s="38" t="str"/>
      <x:c r="Q346" s="38" t="str">
        <x:v>Derived design profile from Kusarigama; exact Patch 16.2 source item identity remains unresolved.</x:v>
      </x:c>
      <x:c r="R346" s="38" t="str">
        <x:v>BazaarDB 231物品查询与可导出138定义之间的93条差额；使用同品质 donor kusarigama 的关系与标签画像生成，未冒充精确原名。</x:v>
      </x:c>
    </x:row>
    <x:row r="347">
      <x:c r="A347" s="38" t="str">
        <x:v>bz_van_346</x:v>
      </x:c>
      <x:c r="B347" s="38" t="n">
        <x:v>346</x:v>
      </x:c>
      <x:c r="C347" s="38" t="str">
        <x:v>item_gap</x:v>
      </x:c>
      <x:c r="D347" s="38" t="str">
        <x:v>derived_gap_profile</x:v>
      </x:c>
      <x:c r="E347" s="38" t="str">
        <x:v>vanessa-query-gap-silver-33</x:v>
      </x:c>
      <x:c r="F347" s="38" t="str">
        <x:v>Vanessa Query Gap 白银 33</x:v>
      </x:c>
      <x:c r="G347" s="38" t="str">
        <x:v>silver</x:v>
      </x:c>
      <x:c r="H347" s="38" t="str">
        <x:v>medium</x:v>
      </x:c>
      <x:c r="I347" s="38" t="str">
        <x:v>relic, economyreference, value, damagereference</x:v>
      </x:c>
      <x:c r="J347" s="38" t="n">
        <x:v>10</x:v>
      </x:c>
      <x:c r="K347" s="38" t="n">
        <x:v>10</x:v>
      </x:c>
      <x:c r="L347" s="38" t="str">
        <x:v>night_base, elem_火, elem_水, elem_雷, elem_冰, elem_地, elem_暗, elem_无, role_控制, role_风系铺场</x:v>
      </x:c>
      <x:c r="M347" s="38" t="str">
        <x:v>Golden</x:v>
      </x:c>
      <x:c r="N347" s="38" t="str">
        <x:v>pal_346</x:v>
      </x:c>
      <x:c r="O347" s="38" t="str">
        <x:v>螭蚕精</x:v>
      </x:c>
      <x:c r="P347" s="38" t="str"/>
      <x:c r="Q347" s="38" t="str">
        <x:v>Derived design profile from Lockbox; exact Patch 16.2 source item identity remains unresolved.</x:v>
      </x:c>
      <x:c r="R347" s="38" t="str">
        <x:v>BazaarDB 231物品查询与可导出138定义之间的93条差额；使用同品质 donor lockbox 的关系与标签画像生成，未冒充精确原名。</x:v>
      </x:c>
    </x:row>
    <x:row r="348">
      <x:c r="A348" s="38" t="str">
        <x:v>bz_van_347</x:v>
      </x:c>
      <x:c r="B348" s="38" t="n">
        <x:v>347</x:v>
      </x:c>
      <x:c r="C348" s="38" t="str">
        <x:v>item_gap</x:v>
      </x:c>
      <x:c r="D348" s="38" t="str">
        <x:v>derived_gap_profile</x:v>
      </x:c>
      <x:c r="E348" s="38" t="str">
        <x:v>vanessa-query-gap-silver-34</x:v>
      </x:c>
      <x:c r="F348" s="38" t="str">
        <x:v>Vanessa Query Gap 白银 34</x:v>
      </x:c>
      <x:c r="G348" s="38" t="str">
        <x:v>silver</x:v>
      </x:c>
      <x:c r="H348" s="38" t="str">
        <x:v>small</x:v>
      </x:c>
      <x:c r="I348" s="38" t="str">
        <x:v>friend, aquatic, shield, hastereference, slowreference</x:v>
      </x:c>
      <x:c r="J348" s="38" t="n">
        <x:v>10</x:v>
      </x:c>
      <x:c r="K348" s="38" t="n">
        <x:v>10</x:v>
      </x:c>
      <x:c r="L348" s="38" t="str">
        <x:v>night_base, elem_火, elem_暗, elem_龙, role_召唤, role_治疗, role_经济, special_merchant, elite_high, tier_pT2</x:v>
      </x:c>
      <x:c r="M348" s="38" t="str">
        <x:v>Icy</x:v>
      </x:c>
      <x:c r="N348" s="38" t="str">
        <x:v>pal_347</x:v>
      </x:c>
      <x:c r="O348" s="38" t="str">
        <x:v>碧犀卫</x:v>
      </x:c>
      <x:c r="P348" s="38" t="str"/>
      <x:c r="Q348" s="38" t="str">
        <x:v>Derived design profile from Mr. Richardson; exact Patch 16.2 source item identity remains unresolved.</x:v>
      </x:c>
      <x:c r="R348" s="38" t="str">
        <x:v>BazaarDB 231物品查询与可导出138定义之间的93条差额；使用同品质 donor mr-richardson 的关系与标签画像生成，未冒充精确原名。</x:v>
      </x:c>
    </x:row>
    <x:row r="349">
      <x:c r="A349" s="38" t="str">
        <x:v>bz_van_348</x:v>
      </x:c>
      <x:c r="B349" s="38" t="n">
        <x:v>348</x:v>
      </x:c>
      <x:c r="C349" s="38" t="str">
        <x:v>item_gap</x:v>
      </x:c>
      <x:c r="D349" s="38" t="str">
        <x:v>derived_gap_profile</x:v>
      </x:c>
      <x:c r="E349" s="38" t="str">
        <x:v>vanessa-query-gap-silver-35</x:v>
      </x:c>
      <x:c r="F349" s="38" t="str">
        <x:v>Vanessa Query Gap 白银 35</x:v>
      </x:c>
      <x:c r="G349" s="38" t="str">
        <x:v>silver</x:v>
      </x:c>
      <x:c r="H349" s="38" t="str">
        <x:v>medium</x:v>
      </x:c>
      <x:c r="I349" s="38" t="str">
        <x:v>weapon, damage, ammo, burnreference</x:v>
      </x:c>
      <x:c r="J349" s="38" t="n">
        <x:v>10</x:v>
      </x:c>
      <x:c r="K349" s="38" t="n">
        <x:v>10</x:v>
      </x:c>
      <x:c r="L349" s="38" t="str">
        <x:v>night_base, elem_火, elem_水, elem_雷, elem_冰, elem_地, elem_无, role_坦克, role_控制, role_机动</x:v>
      </x:c>
      <x:c r="M349" s="38" t="str">
        <x:v>Fiery</x:v>
      </x:c>
      <x:c r="N349" s="38" t="str">
        <x:v>pal_348</x:v>
      </x:c>
      <x:c r="O349" s="38" t="str">
        <x:v>烬隼精</x:v>
      </x:c>
      <x:c r="P349" s="38" t="str"/>
      <x:c r="Q349" s="38" t="str">
        <x:v>Derived design profile from Musket; exact Patch 16.2 source item identity remains unresolved.</x:v>
      </x:c>
      <x:c r="R349" s="38" t="str">
        <x:v>BazaarDB 231物品查询与可导出138定义之间的93条差额；使用同品质 donor musket 的关系与标签画像生成，未冒充精确原名。</x:v>
      </x:c>
    </x:row>
    <x:row r="350">
      <x:c r="A350" s="38" t="str">
        <x:v>bz_van_349</x:v>
      </x:c>
      <x:c r="B350" s="38" t="n">
        <x:v>349</x:v>
      </x:c>
      <x:c r="C350" s="38" t="str">
        <x:v>item_gap</x:v>
      </x:c>
      <x:c r="D350" s="38" t="str">
        <x:v>derived_gap_profile</x:v>
      </x:c>
      <x:c r="E350" s="38" t="str">
        <x:v>vanessa-query-gap-silver-36</x:v>
      </x:c>
      <x:c r="F350" s="38" t="str">
        <x:v>Vanessa Query Gap 白银 36</x:v>
      </x:c>
      <x:c r="G350" s="38" t="str">
        <x:v>silver</x:v>
      </x:c>
      <x:c r="H350" s="38" t="str">
        <x:v>small</x:v>
      </x:c>
      <x:c r="I350" s="38" t="str">
        <x:v>toy, shield, ammo</x:v>
      </x:c>
      <x:c r="J350" s="38" t="n">
        <x:v>10</x:v>
      </x:c>
      <x:c r="K350" s="38" t="n">
        <x:v>9</x:v>
      </x:c>
      <x:c r="L350" s="38" t="str">
        <x:v>night_base, elem_火, elem_水, elem_草, elem_地, elem_暗, role_召唤, role_坦克, special_merchant</x:v>
      </x:c>
      <x:c r="M350" s="38" t="str">
        <x:v>Shielded</x:v>
      </x:c>
      <x:c r="N350" s="38" t="str">
        <x:v>pal_349</x:v>
      </x:c>
      <x:c r="O350" s="38" t="str">
        <x:v>电牦妖</x:v>
      </x:c>
      <x:c r="P350" s="38" t="str"/>
      <x:c r="Q350" s="38" t="str">
        <x:v>Derived design profile from Nesting Doll; exact Patch 16.2 source item identity remains unresolved.</x:v>
      </x:c>
      <x:c r="R350" s="38" t="str">
        <x:v>BazaarDB 231物品查询与可导出138定义之间的93条差额；使用同品质 donor nesting-doll 的关系与标签画像生成，未冒充精确原名。</x:v>
      </x:c>
    </x:row>
    <x:row r="351">
      <x:c r="A351" s="38" t="str">
        <x:v>bz_van_350</x:v>
      </x:c>
      <x:c r="B351" s="38" t="n">
        <x:v>350</x:v>
      </x:c>
      <x:c r="C351" s="38" t="str">
        <x:v>item_gap</x:v>
      </x:c>
      <x:c r="D351" s="38" t="str">
        <x:v>derived_gap_profile</x:v>
      </x:c>
      <x:c r="E351" s="38" t="str">
        <x:v>vanessa-query-gap-silver-37</x:v>
      </x:c>
      <x:c r="F351" s="38" t="str">
        <x:v>Vanessa Query Gap 白银 37</x:v>
      </x:c>
      <x:c r="G351" s="38" t="str">
        <x:v>silver</x:v>
      </x:c>
      <x:c r="H351" s="38" t="str">
        <x:v>small</x:v>
      </x:c>
      <x:c r="I351" s="38" t="str">
        <x:v>aquatic, friend, weapon, damage, hastereference, slowreference</x:v>
      </x:c>
      <x:c r="J351" s="38" t="n">
        <x:v>10</x:v>
      </x:c>
      <x:c r="K351" s="38" t="n">
        <x:v>10</x:v>
      </x:c>
      <x:c r="L351" s="38" t="str">
        <x:v>night_base, elem_火, elem_水, elem_龙, elem_无, role_召唤, role_治疗, role_经济, elite_high, tier_pT2</x:v>
      </x:c>
      <x:c r="M351" s="38" t="str">
        <x:v>Icy</x:v>
      </x:c>
      <x:c r="N351" s="38" t="str">
        <x:v>pal_350</x:v>
      </x:c>
      <x:c r="O351" s="38" t="str">
        <x:v>澜蝎卫</x:v>
      </x:c>
      <x:c r="P351" s="38" t="str"/>
      <x:c r="Q351" s="38" t="str">
        <x:v>Derived design profile from Old Saltclaw; exact Patch 16.2 source item identity remains unresolved.</x:v>
      </x:c>
      <x:c r="R351" s="38" t="str">
        <x:v>BazaarDB 231物品查询与可导出138定义之间的93条差额；使用同品质 donor old-saltclaw 的关系与标签画像生成，未冒充精确原名。</x:v>
      </x:c>
    </x:row>
    <x:row r="352">
      <x:c r="A352" s="38" t="str">
        <x:v>bz_van_351</x:v>
      </x:c>
      <x:c r="B352" s="38" t="n">
        <x:v>351</x:v>
      </x:c>
      <x:c r="C352" s="38" t="str">
        <x:v>item_gap</x:v>
      </x:c>
      <x:c r="D352" s="38" t="str">
        <x:v>derived_gap_profile</x:v>
      </x:c>
      <x:c r="E352" s="38" t="str">
        <x:v>vanessa-query-gap-silver-38</x:v>
      </x:c>
      <x:c r="F352" s="38" t="str">
        <x:v>Vanessa Query Gap 白银 38</x:v>
      </x:c>
      <x:c r="G352" s="38" t="str">
        <x:v>silver</x:v>
      </x:c>
      <x:c r="H352" s="38" t="str">
        <x:v>medium</x:v>
      </x:c>
      <x:c r="I352" s="38" t="str">
        <x:v>apparel, tech, burn, critreference</x:v>
      </x:c>
      <x:c r="J352" s="38" t="n">
        <x:v>10</x:v>
      </x:c>
      <x:c r="K352" s="38" t="n">
        <x:v>10</x:v>
      </x:c>
      <x:c r="L352" s="38" t="str">
        <x:v>night_base, elem_火, elem_水, elem_冰, elem_暗, role_控制, role_输出, role_机动, tier_pT1, tier_pT3</x:v>
      </x:c>
      <x:c r="M352" s="38" t="str">
        <x:v>Fiery</x:v>
      </x:c>
      <x:c r="N352" s="38" t="str">
        <x:v>pal_351</x:v>
      </x:c>
      <x:c r="O352" s="38" t="str">
        <x:v>焰鲨精</x:v>
      </x:c>
      <x:c r="P352" s="38" t="str"/>
      <x:c r="Q352" s="38" t="str">
        <x:v>Derived design profile from Oni Mask; exact Patch 16.2 source item identity remains unresolved.</x:v>
      </x:c>
      <x:c r="R352" s="38" t="str">
        <x:v>BazaarDB 231物品查询与可导出138定义之间的93条差额；使用同品质 donor oni-mask 的关系与标签画像生成，未冒充精确原名。</x:v>
      </x:c>
    </x:row>
    <x:row r="353">
      <x:c r="A353" s="38" t="str">
        <x:v>bz_van_352</x:v>
      </x:c>
      <x:c r="B353" s="38" t="n">
        <x:v>352</x:v>
      </x:c>
      <x:c r="C353" s="38" t="str">
        <x:v>item_gap</x:v>
      </x:c>
      <x:c r="D353" s="38" t="str">
        <x:v>derived_gap_profile</x:v>
      </x:c>
      <x:c r="E353" s="38" t="str">
        <x:v>vanessa-query-gap-silver-39</x:v>
      </x:c>
      <x:c r="F353" s="38" t="str">
        <x:v>Vanessa Query Gap 白银 39</x:v>
      </x:c>
      <x:c r="G353" s="38" t="str">
        <x:v>silver</x:v>
      </x:c>
      <x:c r="H353" s="38" t="str">
        <x:v>medium</x:v>
      </x:c>
      <x:c r="I353" s="38" t="str">
        <x:v>friend, damagereference, economyreference</x:v>
      </x:c>
      <x:c r="J353" s="38" t="n">
        <x:v>10</x:v>
      </x:c>
      <x:c r="K353" s="38" t="n">
        <x:v>10</x:v>
      </x:c>
      <x:c r="L353" s="38" t="str">
        <x:v>night_base, elem_火, elem_水, elem_雷, elem_冰, elem_地, elem_暗, elem_无, role_控制, tier_pT2</x:v>
      </x:c>
      <x:c r="M353" s="38" t="str">
        <x:v>Deadly</x:v>
      </x:c>
      <x:c r="N353" s="38" t="str">
        <x:v>pal_352</x:v>
      </x:c>
      <x:c r="O353" s="38" t="str">
        <x:v>麟蟾卫</x:v>
      </x:c>
      <x:c r="P353" s="38" t="str"/>
      <x:c r="Q353" s="38" t="str">
        <x:v>Derived design profile from Orange Julian; exact Patch 16.2 source item identity remains unresolved.</x:v>
      </x:c>
      <x:c r="R353" s="38" t="str">
        <x:v>BazaarDB 231物品查询与可导出138定义之间的93条差额；使用同品质 donor orange-julian 的关系与标签画像生成，未冒充精确原名。</x:v>
      </x:c>
    </x:row>
    <x:row r="354">
      <x:c r="A354" s="38" t="str">
        <x:v>bz_van_353</x:v>
      </x:c>
      <x:c r="B354" s="38" t="n">
        <x:v>353</x:v>
      </x:c>
      <x:c r="C354" s="38" t="str">
        <x:v>item_gap</x:v>
      </x:c>
      <x:c r="D354" s="38" t="str">
        <x:v>derived_gap_profile</x:v>
      </x:c>
      <x:c r="E354" s="38" t="str">
        <x:v>vanessa-query-gap-gold-01</x:v>
      </x:c>
      <x:c r="F354" s="38" t="str">
        <x:v>Vanessa Query Gap 黄金 01</x:v>
      </x:c>
      <x:c r="G354" s="38" t="str">
        <x:v>gold</x:v>
      </x:c>
      <x:c r="H354" s="38" t="str">
        <x:v>medium</x:v>
      </x:c>
      <x:c r="I354" s="38" t="str">
        <x:v>aquatic, weapon, tool, damage, haste</x:v>
      </x:c>
      <x:c r="J354" s="38" t="n">
        <x:v>10</x:v>
      </x:c>
      <x:c r="K354" s="38" t="n">
        <x:v>10</x:v>
      </x:c>
      <x:c r="L354" s="38" t="str">
        <x:v>night_base, elem_火, elem_水, elem_冰, elem_龙, elem_无, role_控制, role_治疗, role_经济, role_召唤铺场</x:v>
      </x:c>
      <x:c r="M354" s="38" t="str">
        <x:v>Turbo</x:v>
      </x:c>
      <x:c r="N354" s="38" t="str">
        <x:v>pal_353</x:v>
      </x:c>
      <x:c r="O354" s="38" t="str">
        <x:v>汐雀王</x:v>
      </x:c>
      <x:c r="P354" s="38" t="str"/>
      <x:c r="Q354" s="38" t="str">
        <x:v>Derived design profile from Anchor; exact Patch 16.2 source item identity remains unresolved.</x:v>
      </x:c>
      <x:c r="R354" s="38" t="str">
        <x:v>BazaarDB 231物品查询与可导出138定义之间的93条差额；使用同品质 donor anchor 的关系与标签画像生成，未冒充精确原名。</x:v>
      </x:c>
    </x:row>
    <x:row r="355">
      <x:c r="A355" s="38" t="str">
        <x:v>bz_van_354</x:v>
      </x:c>
      <x:c r="B355" s="38" t="n">
        <x:v>354</x:v>
      </x:c>
      <x:c r="C355" s="38" t="str">
        <x:v>item_gap</x:v>
      </x:c>
      <x:c r="D355" s="38" t="str">
        <x:v>derived_gap_profile</x:v>
      </x:c>
      <x:c r="E355" s="38" t="str">
        <x:v>vanessa-query-gap-gold-02</x:v>
      </x:c>
      <x:c r="F355" s="38" t="str">
        <x:v>Vanessa Query Gap 黄金 02</x:v>
      </x:c>
      <x:c r="G355" s="38" t="str">
        <x:v>gold</x:v>
      </x:c>
      <x:c r="H355" s="38" t="str">
        <x:v>large</x:v>
      </x:c>
      <x:c r="I355" s="38" t="str">
        <x:v>weapon, damage, ammo</x:v>
      </x:c>
      <x:c r="J355" s="38" t="n">
        <x:v>10</x:v>
      </x:c>
      <x:c r="K355" s="38" t="n">
        <x:v>10</x:v>
      </x:c>
      <x:c r="L355" s="38" t="str">
        <x:v>night_base, elem_火, elem_水, elem_草, elem_雷, elem_冰, elem_龙, elem_无, role_坦克, role_机动压制</x:v>
      </x:c>
      <x:c r="M355" s="38" t="str">
        <x:v>Deadly</x:v>
      </x:c>
      <x:c r="N355" s="38" t="str">
        <x:v>pal_354</x:v>
      </x:c>
      <x:c r="O355" s="38" t="str">
        <x:v>雷隼王</x:v>
      </x:c>
      <x:c r="P355" s="38" t="str"/>
      <x:c r="Q355" s="38" t="str">
        <x:v>Derived design profile from Ballista; exact Patch 16.2 source item identity remains unresolved.</x:v>
      </x:c>
      <x:c r="R355" s="38" t="str">
        <x:v>BazaarDB 231物品查询与可导出138定义之间的93条差额；使用同品质 donor ballista 的关系与标签画像生成，未冒充精确原名。</x:v>
      </x:c>
    </x:row>
    <x:row r="356">
      <x:c r="A356" s="38" t="str">
        <x:v>bz_van_355</x:v>
      </x:c>
      <x:c r="B356" s="38" t="n">
        <x:v>355</x:v>
      </x:c>
      <x:c r="C356" s="38" t="str">
        <x:v>item_gap</x:v>
      </x:c>
      <x:c r="D356" s="38" t="str">
        <x:v>derived_gap_profile</x:v>
      </x:c>
      <x:c r="E356" s="38" t="str">
        <x:v>vanessa-query-gap-gold-03</x:v>
      </x:c>
      <x:c r="F356" s="38" t="str">
        <x:v>Vanessa Query Gap 黄金 03</x:v>
      </x:c>
      <x:c r="G356" s="38" t="str">
        <x:v>gold</x:v>
      </x:c>
      <x:c r="H356" s="38" t="str">
        <x:v>small</x:v>
      </x:c>
      <x:c r="I356" s="38" t="str">
        <x:v>weapon, relic, damage, poison</x:v>
      </x:c>
      <x:c r="J356" s="38" t="n">
        <x:v>10</x:v>
      </x:c>
      <x:c r="K356" s="38" t="n">
        <x:v>10</x:v>
      </x:c>
      <x:c r="L356" s="38" t="str">
        <x:v>night_base, elem_火, elem_水, elem_草, elem_雷, elem_地, elem_暗, elem_无, role_召唤, role_重甲抗压</x:v>
      </x:c>
      <x:c r="M356" s="38" t="str">
        <x:v>Toxic</x:v>
      </x:c>
      <x:c r="N356" s="38" t="str">
        <x:v>pal_355</x:v>
      </x:c>
      <x:c r="O356" s="38" t="str">
        <x:v>森蛙侯</x:v>
      </x:c>
      <x:c r="P356" s="38" t="str"/>
      <x:c r="Q356" s="38" t="str">
        <x:v>Derived design profile from Blowgun; exact Patch 16.2 source item identity remains unresolved.</x:v>
      </x:c>
      <x:c r="R356" s="38" t="str">
        <x:v>BazaarDB 231物品查询与可导出138定义之间的93条差额；使用同品质 donor blowgun 的关系与标签画像生成，未冒充精确原名。</x:v>
      </x:c>
    </x:row>
    <x:row r="357">
      <x:c r="A357" s="38" t="str">
        <x:v>bz_van_356</x:v>
      </x:c>
      <x:c r="B357" s="38" t="n">
        <x:v>356</x:v>
      </x:c>
      <x:c r="C357" s="38" t="str">
        <x:v>item_gap</x:v>
      </x:c>
      <x:c r="D357" s="38" t="str">
        <x:v>derived_gap_profile</x:v>
      </x:c>
      <x:c r="E357" s="38" t="str">
        <x:v>vanessa-query-gap-gold-04</x:v>
      </x:c>
      <x:c r="F357" s="38" t="str">
        <x:v>Vanessa Query Gap 黄金 04</x:v>
      </x:c>
      <x:c r="G357" s="38" t="str">
        <x:v>gold</x:v>
      </x:c>
      <x:c r="H357" s="38" t="str">
        <x:v>medium</x:v>
      </x:c>
      <x:c r="I357" s="38" t="str">
        <x:v>weapon, damage, ammo, burnreference</x:v>
      </x:c>
      <x:c r="J357" s="38" t="n">
        <x:v>10</x:v>
      </x:c>
      <x:c r="K357" s="38" t="n">
        <x:v>10</x:v>
      </x:c>
      <x:c r="L357" s="38" t="str">
        <x:v>night_base, elem_火, elem_水, elem_雷, elem_冰, elem_地, elem_无, role_坦克, role_控制, role_机动</x:v>
      </x:c>
      <x:c r="M357" s="38" t="str">
        <x:v>Fiery</x:v>
      </x:c>
      <x:c r="N357" s="38" t="str">
        <x:v>pal_356</x:v>
      </x:c>
      <x:c r="O357" s="38" t="str">
        <x:v>焰鲨侯</x:v>
      </x:c>
      <x:c r="P357" s="38" t="str"/>
      <x:c r="Q357" s="38" t="str">
        <x:v>Derived design profile from Blunderbuss; exact Patch 16.2 source item identity remains unresolved.</x:v>
      </x:c>
      <x:c r="R357" s="38" t="str">
        <x:v>BazaarDB 231物品查询与可导出138定义之间的93条差额；使用同品质 donor blunderbuss 的关系与标签画像生成，未冒充精确原名。</x:v>
      </x:c>
    </x:row>
    <x:row r="358">
      <x:c r="A358" s="38" t="str">
        <x:v>bz_van_357</x:v>
      </x:c>
      <x:c r="B358" s="38" t="n">
        <x:v>357</x:v>
      </x:c>
      <x:c r="C358" s="38" t="str">
        <x:v>item_gap</x:v>
      </x:c>
      <x:c r="D358" s="38" t="str">
        <x:v>derived_gap_profile</x:v>
      </x:c>
      <x:c r="E358" s="38" t="str">
        <x:v>vanessa-query-gap-gold-05</x:v>
      </x:c>
      <x:c r="F358" s="38" t="str">
        <x:v>Vanessa Query Gap 黄金 05</x:v>
      </x:c>
      <x:c r="G358" s="38" t="str">
        <x:v>gold</x:v>
      </x:c>
      <x:c r="H358" s="38" t="str">
        <x:v>large</x:v>
      </x:c>
      <x:c r="I358" s="38" t="str">
        <x:v>weapon, damage</x:v>
      </x:c>
      <x:c r="J358" s="38" t="n">
        <x:v>10</x:v>
      </x:c>
      <x:c r="K358" s="38" t="n">
        <x:v>10</x:v>
      </x:c>
      <x:c r="L358" s="38" t="str">
        <x:v>night_base, elem_火, elem_水, elem_草, elem_雷, elem_冰, elem_龙, elem_无, role_机动, role_机动压制</x:v>
      </x:c>
      <x:c r="M358" s="38" t="str">
        <x:v>Deadly</x:v>
      </x:c>
      <x:c r="N358" s="38" t="str">
        <x:v>pal_357</x:v>
      </x:c>
      <x:c r="O358" s="38" t="str">
        <x:v>霆鹰尊</x:v>
      </x:c>
      <x:c r="P358" s="38" t="str"/>
      <x:c r="Q358" s="38" t="str">
        <x:v>Derived design profile from Cannonade; exact Patch 16.2 source item identity remains unresolved.</x:v>
      </x:c>
      <x:c r="R358" s="38" t="str">
        <x:v>BazaarDB 231物品查询与可导出138定义之间的93条差额；使用同品质 donor cannonade 的关系与标签画像生成，未冒充精确原名。</x:v>
      </x:c>
    </x:row>
    <x:row r="359">
      <x:c r="A359" s="38" t="str">
        <x:v>bz_van_358</x:v>
      </x:c>
      <x:c r="B359" s="38" t="n">
        <x:v>358</x:v>
      </x:c>
      <x:c r="C359" s="38" t="str">
        <x:v>item_gap</x:v>
      </x:c>
      <x:c r="D359" s="38" t="str">
        <x:v>derived_gap_profile</x:v>
      </x:c>
      <x:c r="E359" s="38" t="str">
        <x:v>vanessa-query-gap-gold-06</x:v>
      </x:c>
      <x:c r="F359" s="38" t="str">
        <x:v>Vanessa Query Gap 黄金 06</x:v>
      </x:c>
      <x:c r="G359" s="38" t="str">
        <x:v>gold</x:v>
      </x:c>
      <x:c r="H359" s="38" t="str">
        <x:v>large</x:v>
      </x:c>
      <x:c r="I359" s="38" t="str">
        <x:v>aquatic, property</x:v>
      </x:c>
      <x:c r="J359" s="38" t="n">
        <x:v>10</x:v>
      </x:c>
      <x:c r="K359" s="38" t="n">
        <x:v>10</x:v>
      </x:c>
      <x:c r="L359" s="38" t="str">
        <x:v>night_base, elem_火, elem_水, elem_草, elem_雷, elem_冰, elem_地, elem_暗, elem_龙, role_机动压制</x:v>
      </x:c>
      <x:c r="M359" s="38" t="str">
        <x:v>Shiny</x:v>
      </x:c>
      <x:c r="N359" s="38" t="str">
        <x:v>pal_358</x:v>
      </x:c>
      <x:c r="O359" s="38" t="str">
        <x:v>碧鹰尊</x:v>
      </x:c>
      <x:c r="P359" s="38" t="str"/>
      <x:c r="Q359" s="38" t="str">
        <x:v>Derived design profile from Dam; exact Patch 16.2 source item identity remains unresolved.</x:v>
      </x:c>
      <x:c r="R359" s="38" t="str">
        <x:v>BazaarDB 231物品查询与可导出138定义之间的93条差额；使用同品质 donor dam 的关系与标签画像生成，未冒充精确原名。</x:v>
      </x:c>
    </x:row>
    <x:row r="360">
      <x:c r="A360" s="38" t="str">
        <x:v>bz_van_359</x:v>
      </x:c>
      <x:c r="B360" s="38" t="n">
        <x:v>359</x:v>
      </x:c>
      <x:c r="C360" s="38" t="str">
        <x:v>item_gap</x:v>
      </x:c>
      <x:c r="D360" s="38" t="str">
        <x:v>derived_gap_profile</x:v>
      </x:c>
      <x:c r="E360" s="38" t="str">
        <x:v>vanessa-query-gap-gold-07</x:v>
      </x:c>
      <x:c r="F360" s="38" t="str">
        <x:v>Vanessa Query Gap 黄金 07</x:v>
      </x:c>
      <x:c r="G360" s="38" t="str">
        <x:v>gold</x:v>
      </x:c>
      <x:c r="H360" s="38" t="str">
        <x:v>medium</x:v>
      </x:c>
      <x:c r="I360" s="38" t="str">
        <x:v>aquatic, tool, apparel, shield, charge</x:v>
      </x:c>
      <x:c r="J360" s="38" t="n">
        <x:v>10</x:v>
      </x:c>
      <x:c r="K360" s="38" t="n">
        <x:v>10</x:v>
      </x:c>
      <x:c r="L360" s="38" t="str">
        <x:v>night_base, elem_火, elem_水, elem_冰, elem_暗, elem_龙, role_控制, special_merchant, tier_pT3, role_召唤铺场</x:v>
      </x:c>
      <x:c r="M360" s="38" t="str">
        <x:v>Turbo</x:v>
      </x:c>
      <x:c r="N360" s="38" t="str">
        <x:v>pal_359</x:v>
      </x:c>
      <x:c r="O360" s="38" t="str">
        <x:v>汐獒君</x:v>
      </x:c>
      <x:c r="P360" s="38" t="str"/>
      <x:c r="Q360" s="38" t="str">
        <x:v>Derived design profile from Diving Helmet; exact Patch 16.2 source item identity remains unresolved.</x:v>
      </x:c>
      <x:c r="R360" s="38" t="str">
        <x:v>BazaarDB 231物品查询与可导出138定义之间的93条差额；使用同品质 donor diving-helmet 的关系与标签画像生成，未冒充精确原名。</x:v>
      </x:c>
    </x:row>
    <x:row r="361">
      <x:c r="A361" s="38" t="str">
        <x:v>bz_van_360</x:v>
      </x:c>
      <x:c r="B361" s="38" t="n">
        <x:v>360</x:v>
      </x:c>
      <x:c r="C361" s="38" t="str">
        <x:v>item_gap</x:v>
      </x:c>
      <x:c r="D361" s="38" t="str">
        <x:v>derived_gap_profile</x:v>
      </x:c>
      <x:c r="E361" s="38" t="str">
        <x:v>vanessa-query-gap-gold-08</x:v>
      </x:c>
      <x:c r="F361" s="38" t="str">
        <x:v>Vanessa Query Gap 黄金 08</x:v>
      </x:c>
      <x:c r="G361" s="38" t="str">
        <x:v>gold</x:v>
      </x:c>
      <x:c r="H361" s="38" t="str">
        <x:v>large</x:v>
      </x:c>
      <x:c r="I361" s="38" t="str">
        <x:v>aquatic, weapon, friend, damage, slow</x:v>
      </x:c>
      <x:c r="J361" s="38" t="n">
        <x:v>10</x:v>
      </x:c>
      <x:c r="K361" s="38" t="n">
        <x:v>10</x:v>
      </x:c>
      <x:c r="L361" s="38" t="str">
        <x:v>night_base, elem_火, elem_水, elem_草, elem_冰, elem_龙, elem_无, role_治疗, elite_high, tier_pT2</x:v>
      </x:c>
      <x:c r="M361" s="38" t="str">
        <x:v>Icy</x:v>
      </x:c>
      <x:c r="N361" s="38" t="str">
        <x:v>pal_360</x:v>
      </x:c>
      <x:c r="O361" s="38" t="str">
        <x:v>潮蟒君</x:v>
      </x:c>
      <x:c r="P361" s="38" t="str"/>
      <x:c r="Q361" s="38" t="str">
        <x:v>Derived design profile from Electric Eels; exact Patch 16.2 source item identity remains unresolved.</x:v>
      </x:c>
      <x:c r="R361" s="38" t="str">
        <x:v>BazaarDB 231物品查询与可导出138定义之间的93条差额；使用同品质 donor electric-eels 的关系与标签画像生成，未冒充精确原名。</x:v>
      </x:c>
    </x:row>
    <x:row r="362">
      <x:c r="A362" s="38" t="str">
        <x:v>bz_van_361</x:v>
      </x:c>
      <x:c r="B362" s="38" t="n">
        <x:v>361</x:v>
      </x:c>
      <x:c r="C362" s="38" t="str">
        <x:v>item_gap</x:v>
      </x:c>
      <x:c r="D362" s="38" t="str">
        <x:v>derived_gap_profile</x:v>
      </x:c>
      <x:c r="E362" s="38" t="str">
        <x:v>vanessa-query-gap-gold-09</x:v>
      </x:c>
      <x:c r="F362" s="38" t="str">
        <x:v>Vanessa Query Gap 黄金 09</x:v>
      </x:c>
      <x:c r="G362" s="38" t="str">
        <x:v>gold</x:v>
      </x:c>
      <x:c r="H362" s="38" t="str">
        <x:v>large</x:v>
      </x:c>
      <x:c r="I362" s="38" t="str">
        <x:v>property, aquatic, burn, slow</x:v>
      </x:c>
      <x:c r="J362" s="38" t="n">
        <x:v>10</x:v>
      </x:c>
      <x:c r="K362" s="38" t="n">
        <x:v>10</x:v>
      </x:c>
      <x:c r="L362" s="38" t="str">
        <x:v>night_base, elem_火, elem_水, elem_草, elem_冰, elem_暗, elem_龙, role_治疗, role_机动, elite_high</x:v>
      </x:c>
      <x:c r="M362" s="38" t="str">
        <x:v>Fiery</x:v>
      </x:c>
      <x:c r="N362" s="38" t="str">
        <x:v>pal_361</x:v>
      </x:c>
      <x:c r="O362" s="38" t="str">
        <x:v>燎蛙王</x:v>
      </x:c>
      <x:c r="P362" s="38" t="str"/>
      <x:c r="Q362" s="38" t="str">
        <x:v>Derived design profile from Lighthouse; exact Patch 16.2 source item identity remains unresolved.</x:v>
      </x:c>
      <x:c r="R362" s="38" t="str">
        <x:v>BazaarDB 231物品查询与可导出138定义之间的93条差额；使用同品质 donor lighthouse 的关系与标签画像生成，未冒充精确原名。</x:v>
      </x:c>
    </x:row>
    <x:row r="363">
      <x:c r="A363" s="38" t="str">
        <x:v>bz_van_362</x:v>
      </x:c>
      <x:c r="B363" s="38" t="n">
        <x:v>362</x:v>
      </x:c>
      <x:c r="C363" s="38" t="str">
        <x:v>item_gap</x:v>
      </x:c>
      <x:c r="D363" s="38" t="str">
        <x:v>derived_gap_profile</x:v>
      </x:c>
      <x:c r="E363" s="38" t="str">
        <x:v>vanessa-query-gap-gold-10</x:v>
      </x:c>
      <x:c r="F363" s="38" t="str">
        <x:v>Vanessa Query Gap 黄金 10</x:v>
      </x:c>
      <x:c r="G363" s="38" t="str">
        <x:v>gold</x:v>
      </x:c>
      <x:c r="H363" s="38" t="str">
        <x:v>medium</x:v>
      </x:c>
      <x:c r="I363" s="38" t="str">
        <x:v>haste</x:v>
      </x:c>
      <x:c r="J363" s="38" t="n">
        <x:v>10</x:v>
      </x:c>
      <x:c r="K363" s="38" t="n">
        <x:v>10</x:v>
      </x:c>
      <x:c r="L363" s="38" t="str">
        <x:v>night_base, elem_火, elem_水, elem_雷, elem_冰, elem_地, elem_暗, role_控制, role_治疗, role_经济</x:v>
      </x:c>
      <x:c r="M363" s="38" t="str">
        <x:v>Turbo</x:v>
      </x:c>
      <x:c r="N363" s="38" t="str">
        <x:v>pal_362</x:v>
      </x:c>
      <x:c r="O363" s="38" t="str">
        <x:v>沙雀尊</x:v>
      </x:c>
      <x:c r="P363" s="38" t="str"/>
      <x:c r="Q363" s="38" t="str">
        <x:v>Derived design profile from Piano; exact Patch 16.2 source item identity remains unresolved.</x:v>
      </x:c>
      <x:c r="R363" s="38" t="str">
        <x:v>BazaarDB 231物品查询与可导出138定义之间的93条差额；使用同品质 donor piano 的关系与标签画像生成，未冒充精确原名。</x:v>
      </x:c>
    </x:row>
    <x:row r="364">
      <x:c r="A364" s="38" t="str">
        <x:v>bz_van_363</x:v>
      </x:c>
      <x:c r="B364" s="38" t="n">
        <x:v>363</x:v>
      </x:c>
      <x:c r="C364" s="38" t="str">
        <x:v>item_gap</x:v>
      </x:c>
      <x:c r="D364" s="38" t="str">
        <x:v>derived_gap_profile</x:v>
      </x:c>
      <x:c r="E364" s="38" t="str">
        <x:v>vanessa-query-gap-gold-11</x:v>
      </x:c>
      <x:c r="F364" s="38" t="str">
        <x:v>Vanessa Query Gap 黄金 11</x:v>
      </x:c>
      <x:c r="G364" s="38" t="str">
        <x:v>gold</x:v>
      </x:c>
      <x:c r="H364" s="38" t="str">
        <x:v>medium</x:v>
      </x:c>
      <x:c r="I364" s="38" t="str">
        <x:v>weapon, damage, ammo</x:v>
      </x:c>
      <x:c r="J364" s="38" t="n">
        <x:v>10</x:v>
      </x:c>
      <x:c r="K364" s="38" t="n">
        <x:v>10</x:v>
      </x:c>
      <x:c r="L364" s="38" t="str">
        <x:v>night_base, elem_火, elem_水, elem_雷, elem_冰, elem_地, elem_龙, elem_无, role_坦克, role_控制</x:v>
      </x:c>
      <x:c r="M364" s="38" t="str">
        <x:v>Deadly</x:v>
      </x:c>
      <x:c r="N364" s="38" t="str">
        <x:v>pal_363</x:v>
      </x:c>
      <x:c r="O364" s="38" t="str">
        <x:v>震鹰侯</x:v>
      </x:c>
      <x:c r="P364" s="38" t="str"/>
      <x:c r="Q364" s="38" t="str">
        <x:v>Derived design profile from Pistol Sword; exact Patch 16.2 source item identity remains unresolved.</x:v>
      </x:c>
      <x:c r="R364" s="38" t="str">
        <x:v>BazaarDB 231物品查询与可导出138定义之间的93条差额；使用同品质 donor pistol-sword 的关系与标签画像生成，未冒充精确原名。</x:v>
      </x:c>
    </x:row>
    <x:row r="365">
      <x:c r="A365" s="38" t="str">
        <x:v>bz_van_364</x:v>
      </x:c>
      <x:c r="B365" s="38" t="n">
        <x:v>364</x:v>
      </x:c>
      <x:c r="C365" s="38" t="str">
        <x:v>item_gap</x:v>
      </x:c>
      <x:c r="D365" s="38" t="str">
        <x:v>derived_gap_profile</x:v>
      </x:c>
      <x:c r="E365" s="38" t="str">
        <x:v>vanessa-query-gap-gold-12</x:v>
      </x:c>
      <x:c r="F365" s="38" t="str">
        <x:v>Vanessa Query Gap 黄金 12</x:v>
      </x:c>
      <x:c r="G365" s="38" t="str">
        <x:v>gold</x:v>
      </x:c>
      <x:c r="H365" s="38" t="str">
        <x:v>medium</x:v>
      </x:c>
      <x:c r="I365" s="38" t="str">
        <x:v>weapon, damage, burnreference</x:v>
      </x:c>
      <x:c r="J365" s="38" t="n">
        <x:v>10</x:v>
      </x:c>
      <x:c r="K365" s="38" t="n">
        <x:v>10</x:v>
      </x:c>
      <x:c r="L365" s="38" t="str">
        <x:v>night_base, elem_火, elem_水, elem_雷, elem_冰, elem_地, elem_龙, elem_无, role_控制, role_机动</x:v>
      </x:c>
      <x:c r="M365" s="38" t="str">
        <x:v>Fiery</x:v>
      </x:c>
      <x:c r="N365" s="38" t="str">
        <x:v>pal_364</x:v>
      </x:c>
      <x:c r="O365" s="38" t="str">
        <x:v>炎鹰侯</x:v>
      </x:c>
      <x:c r="P365" s="38" t="str"/>
      <x:c r="Q365" s="38" t="str">
        <x:v>Derived design profile from Powder Keg; exact Patch 16.2 source item identity remains unresolved.</x:v>
      </x:c>
      <x:c r="R365" s="38" t="str">
        <x:v>BazaarDB 231物品查询与可导出138定义之间的93条差额；使用同品质 donor powder-keg 的关系与标签画像生成，未冒充精确原名。</x:v>
      </x:c>
    </x:row>
    <x:row r="366">
      <x:c r="A366" s="38" t="str">
        <x:v>bz_van_365</x:v>
      </x:c>
      <x:c r="B366" s="38" t="n">
        <x:v>365</x:v>
      </x:c>
      <x:c r="C366" s="38" t="str">
        <x:v>item_gap</x:v>
      </x:c>
      <x:c r="D366" s="38" t="str">
        <x:v>derived_gap_profile</x:v>
      </x:c>
      <x:c r="E366" s="38" t="str">
        <x:v>vanessa-query-gap-gold-13</x:v>
      </x:c>
      <x:c r="F366" s="38" t="str">
        <x:v>Vanessa Query Gap 黄金 13</x:v>
      </x:c>
      <x:c r="G366" s="38" t="str">
        <x:v>gold</x:v>
      </x:c>
      <x:c r="H366" s="38" t="str">
        <x:v>medium</x:v>
      </x:c>
      <x:c r="I366" s="38" t="str">
        <x:v>aquatic, vehicle, charge, cooldown</x:v>
      </x:c>
      <x:c r="J366" s="38" t="n">
        <x:v>10</x:v>
      </x:c>
      <x:c r="K366" s="38" t="n">
        <x:v>10</x:v>
      </x:c>
      <x:c r="L366" s="38" t="str">
        <x:v>night_base, elem_火, elem_水, elem_冰, elem_地, elem_暗, elem_龙, role_控制, role_治疗, role_风系牵制</x:v>
      </x:c>
      <x:c r="M366" s="38" t="str">
        <x:v>Turbo</x:v>
      </x:c>
      <x:c r="N366" s="38" t="str">
        <x:v>pal_365</x:v>
      </x:c>
      <x:c r="O366" s="38" t="str">
        <x:v>沧蜂王</x:v>
      </x:c>
      <x:c r="P366" s="38" t="str"/>
      <x:c r="Q366" s="38" t="str">
        <x:v>Derived design profile from Rowboat; exact Patch 16.2 source item identity remains unresolved.</x:v>
      </x:c>
      <x:c r="R366" s="38" t="str">
        <x:v>BazaarDB 231物品查询与可导出138定义之间的93条差额；使用同品质 donor rowboat 的关系与标签画像生成，未冒充精确原名。</x:v>
      </x:c>
    </x:row>
    <x:row r="367">
      <x:c r="A367" s="38" t="str">
        <x:v>bz_van_366</x:v>
      </x:c>
      <x:c r="B367" s="38" t="n">
        <x:v>366</x:v>
      </x:c>
      <x:c r="C367" s="38" t="str">
        <x:v>item_gap</x:v>
      </x:c>
      <x:c r="D367" s="38" t="str">
        <x:v>derived_gap_profile</x:v>
      </x:c>
      <x:c r="E367" s="38" t="str">
        <x:v>vanessa-query-gap-gold-14</x:v>
      </x:c>
      <x:c r="F367" s="38" t="str">
        <x:v>Vanessa Query Gap 黄金 14</x:v>
      </x:c>
      <x:c r="G367" s="38" t="str">
        <x:v>gold</x:v>
      </x:c>
      <x:c r="H367" s="38" t="str">
        <x:v>large</x:v>
      </x:c>
      <x:c r="I367" s="38" t="str">
        <x:v>friend, aquatic, weapon, relic, poisonreference, freezereference, burnreference, damage</x:v>
      </x:c>
      <x:c r="J367" s="38" t="n">
        <x:v>10</x:v>
      </x:c>
      <x:c r="K367" s="38" t="n">
        <x:v>10</x:v>
      </x:c>
      <x:c r="L367" s="38" t="str">
        <x:v>night_base, elem_火, elem_水, elem_冰, elem_龙, elem_无, role_机动, tier_pT2, role_抗压承伤, role_重甲抗压</x:v>
      </x:c>
      <x:c r="M367" s="38" t="str">
        <x:v>Fiery</x:v>
      </x:c>
      <x:c r="N367" s="38" t="str">
        <x:v>pal_366</x:v>
      </x:c>
      <x:c r="O367" s="38" t="str">
        <x:v>赤蝎君</x:v>
      </x:c>
      <x:c r="P367" s="38" t="str"/>
      <x:c r="Q367" s="38" t="str">
        <x:v>Derived design profile from Slumbering Primordial; exact Patch 16.2 source item identity remains unresolved.</x:v>
      </x:c>
      <x:c r="R367" s="38" t="str">
        <x:v>BazaarDB 231物品查询与可导出138定义之间的93条差额；使用同品质 donor slumbering-primordial 的关系与标签画像生成，未冒充精确原名。</x:v>
      </x:c>
    </x:row>
    <x:row r="368">
      <x:c r="A368" s="38" t="str">
        <x:v>bz_van_367</x:v>
      </x:c>
      <x:c r="B368" s="38" t="n">
        <x:v>367</x:v>
      </x:c>
      <x:c r="C368" s="38" t="str">
        <x:v>item_gap</x:v>
      </x:c>
      <x:c r="D368" s="38" t="str">
        <x:v>derived_gap_profile</x:v>
      </x:c>
      <x:c r="E368" s="38" t="str">
        <x:v>vanessa-query-gap-gold-15</x:v>
      </x:c>
      <x:c r="F368" s="38" t="str">
        <x:v>Vanessa Query Gap 黄金 15</x:v>
      </x:c>
      <x:c r="G368" s="38" t="str">
        <x:v>gold</x:v>
      </x:c>
      <x:c r="H368" s="38" t="str">
        <x:v>medium</x:v>
      </x:c>
      <x:c r="I368" s="38" t="str">
        <x:v>weapon, damage</x:v>
      </x:c>
      <x:c r="J368" s="38" t="n">
        <x:v>10</x:v>
      </x:c>
      <x:c r="K368" s="38" t="n">
        <x:v>10</x:v>
      </x:c>
      <x:c r="L368" s="38" t="str">
        <x:v>night_base, elem_火, elem_水, elem_雷, elem_冰, elem_地, elem_龙, elem_无, role_控制, role_机动</x:v>
      </x:c>
      <x:c r="M368" s="38" t="str">
        <x:v>Deadly</x:v>
      </x:c>
      <x:c r="N368" s="38" t="str">
        <x:v>pal_367</x:v>
      </x:c>
      <x:c r="O368" s="38" t="str">
        <x:v>青隼君</x:v>
      </x:c>
      <x:c r="P368" s="38" t="str"/>
      <x:c r="Q368" s="38" t="str">
        <x:v>Derived design profile from Sniper Rifle; exact Patch 16.2 source item identity remains unresolved.</x:v>
      </x:c>
      <x:c r="R368" s="38" t="str">
        <x:v>BazaarDB 231物品查询与可导出138定义之间的93条差额；使用同品质 donor sniper-rifle 的关系与标签画像生成，未冒充精确原名。</x:v>
      </x:c>
    </x:row>
    <x:row r="369">
      <x:c r="A369" s="38" t="str">
        <x:v>bz_van_368</x:v>
      </x:c>
      <x:c r="B369" s="38" t="n">
        <x:v>368</x:v>
      </x:c>
      <x:c r="C369" s="38" t="str">
        <x:v>item_gap</x:v>
      </x:c>
      <x:c r="D369" s="38" t="str">
        <x:v>derived_gap_profile</x:v>
      </x:c>
      <x:c r="E369" s="38" t="str">
        <x:v>vanessa-query-gap-gold-16</x:v>
      </x:c>
      <x:c r="F369" s="38" t="str">
        <x:v>Vanessa Query Gap 黄金 16</x:v>
      </x:c>
      <x:c r="G369" s="38" t="str">
        <x:v>gold</x:v>
      </x:c>
      <x:c r="H369" s="38" t="str">
        <x:v>medium</x:v>
      </x:c>
      <x:c r="I369" s="38" t="str">
        <x:v>tool, crit, cooldown, slowreference</x:v>
      </x:c>
      <x:c r="J369" s="38" t="n">
        <x:v>10</x:v>
      </x:c>
      <x:c r="K369" s="38" t="n">
        <x:v>10</x:v>
      </x:c>
      <x:c r="L369" s="38" t="str">
        <x:v>night_base, elem_火, elem_水, elem_冰, elem_暗, role_控制, role_治疗, role_输出, elite_high, role_召唤铺场</x:v>
      </x:c>
      <x:c r="M369" s="38" t="str">
        <x:v>Icy</x:v>
      </x:c>
      <x:c r="N369" s="38" t="str">
        <x:v>pal_368</x:v>
      </x:c>
      <x:c r="O369" s="38" t="str">
        <x:v>鸣鳗君</x:v>
      </x:c>
      <x:c r="P369" s="38" t="str"/>
      <x:c r="Q369" s="38" t="str">
        <x:v>Derived design profile from Spyglass; exact Patch 16.2 source item identity remains unresolved.</x:v>
      </x:c>
      <x:c r="R369" s="38" t="str">
        <x:v>BazaarDB 231物品查询与可导出138定义之间的93条差额；使用同品质 donor spyglass 的关系与标签画像生成，未冒充精确原名。</x:v>
      </x:c>
    </x:row>
    <x:row r="370">
      <x:c r="A370" s="38" t="str">
        <x:v>bz_van_369</x:v>
      </x:c>
      <x:c r="B370" s="38" t="n">
        <x:v>369</x:v>
      </x:c>
      <x:c r="C370" s="38" t="str">
        <x:v>item_gap</x:v>
      </x:c>
      <x:c r="D370" s="38" t="str">
        <x:v>derived_gap_profile</x:v>
      </x:c>
      <x:c r="E370" s="38" t="str">
        <x:v>vanessa-query-gap-diamond-01</x:v>
      </x:c>
      <x:c r="F370" s="38" t="str">
        <x:v>Vanessa Query Gap 钻石 01</x:v>
      </x:c>
      <x:c r="G370" s="38" t="str">
        <x:v>diamond</x:v>
      </x:c>
      <x:c r="H370" s="38" t="str">
        <x:v>large</x:v>
      </x:c>
      <x:c r="I370" s="38" t="str">
        <x:v>aquatic, property, freeze</x:v>
      </x:c>
      <x:c r="J370" s="38" t="n">
        <x:v>10</x:v>
      </x:c>
      <x:c r="K370" s="38" t="n">
        <x:v>10</x:v>
      </x:c>
      <x:c r="L370" s="38" t="str">
        <x:v>elem_火, elem_水, elem_草, elem_雷, elem_冰, elem_地, elem_暗, elem_龙, role_机动压制, role_抗压承伤</x:v>
      </x:c>
      <x:c r="M370" s="38" t="str">
        <x:v>Icy</x:v>
      </x:c>
      <x:c r="N370" s="38" t="str">
        <x:v>pal_369</x:v>
      </x:c>
      <x:c r="O370" s="38" t="str">
        <x:v>雪蝎圣</x:v>
      </x:c>
      <x:c r="P370" s="38" t="str"/>
      <x:c r="Q370" s="38" t="str">
        <x:v>Derived design profile from Iceberg; exact Patch 16.2 source item identity remains unresolved.</x:v>
      </x:c>
      <x:c r="R370" s="38" t="str">
        <x:v>BazaarDB 231物品查询与可导出138定义之间的93条差额；使用同品质 donor iceberg 的关系与标签画像生成，未冒充精确原名。</x:v>
      </x:c>
    </x:row>
  </x:sheetData>
  <x:pageMargins left="0.7" right="0.7" top="0.75" bottom="0.75" header="0.3" footer="0.3"/>
  <x:tableParts count="1">
    <x:tablePart xmlns:r="http://schemas.openxmlformats.org/officeDocument/2006/relationships" r:id="R3a89d51d63504f9c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16" hidden="0" customWidth="1"/>
    <x:col min="7" max="7" width="18" hidden="0" customWidth="1"/>
    <x:col min="8" max="8" width="72" hidden="0" customWidth="1"/>
  </x:cols>
  <x:sheetData>
    <x:row r="1" ht="32" customHeight="1">
      <x:c r="A1" s="108" t="str">
        <x:v>source_node_type</x:v>
      </x:c>
      <x:c r="B1" s="108" t="str">
        <x:v>source_slug</x:v>
      </x:c>
      <x:c r="C1" s="108" t="str">
        <x:v>source_name</x:v>
      </x:c>
      <x:c r="D1" s="108" t="str">
        <x:v>source_rule</x:v>
      </x:c>
      <x:c r="E1" s="108" t="str">
        <x:v>source_object_count</x:v>
      </x:c>
      <x:c r="F1" s="108" t="str">
        <x:v>local_shop_id</x:v>
      </x:c>
      <x:c r="G1" s="108" t="str">
        <x:v>local_shop_name</x:v>
      </x:c>
      <x:c r="H1" s="108" t="str">
        <x:v>mapping_rule</x:v>
      </x:c>
    </x:row>
    <x:row r="2">
      <x:c r="A2" s="38" t="str">
        <x:v>merchant</x:v>
      </x:c>
      <x:c r="B2" s="38" t="str">
        <x:v>goldie</x:v>
      </x:c>
      <x:c r="C2" s="38" t="str">
        <x:v>Goldie</x:v>
      </x:c>
      <x:c r="D2" s="38" t="str">
        <x:v>sells gold-tier items</x:v>
      </x:c>
      <x:c r="E2" s="38" t="n">
        <x:v>223</x:v>
      </x:c>
      <x:c r="F2" s="38" t="str">
        <x:v>night_base</x:v>
      </x:c>
      <x:c r="G2" s="38" t="str">
        <x:v>寅将军</x:v>
      </x:c>
      <x:c r="H2" s="38" t="str">
        <x:v>冲突图着色：同一来源对象共同出现的商人/训练师不折叠到同一西游商店。</x:v>
      </x:c>
    </x:row>
    <x:row r="3">
      <x:c r="A3" s="38" t="str">
        <x:v>trainer</x:v>
      </x:c>
      <x:c r="B3" s="38" t="str">
        <x:v>adira</x:v>
      </x:c>
      <x:c r="C3" s="38" t="str">
        <x:v>Adira</x:v>
      </x:c>
      <x:c r="D3" s="38" t="str">
        <x:v>teaches diamond-tier skills</x:v>
      </x:c>
      <x:c r="E3" s="38" t="n">
        <x:v>138</x:v>
      </x:c>
      <x:c r="F3" s="38" t="str">
        <x:v>night_base</x:v>
      </x:c>
      <x:c r="G3" s="38" t="str">
        <x:v>寅将军</x:v>
      </x:c>
      <x:c r="H3" s="38" t="str">
        <x:v>冲突图着色：同一来源对象共同出现的商人/训练师不折叠到同一西游商店。</x:v>
      </x:c>
    </x:row>
    <x:row r="4">
      <x:c r="A4" s="38" t="str">
        <x:v>merchant</x:v>
      </x:c>
      <x:c r="B4" s="38" t="str">
        <x:v>jay-jay</x:v>
      </x:c>
      <x:c r="C4" s="38" t="str">
        <x:v>Jay Jay</x:v>
      </x:c>
      <x:c r="D4" s="38" t="str">
        <x:v>sells items.</x:v>
      </x:c>
      <x:c r="E4" s="38" t="n">
        <x:v>226</x:v>
      </x:c>
      <x:c r="F4" s="38" t="str">
        <x:v>elem_火</x:v>
      </x:c>
      <x:c r="G4" s="38" t="str">
        <x:v>熊山君</x:v>
      </x:c>
      <x:c r="H4" s="38" t="str">
        <x:v>冲突图着色：同一来源对象共同出现的商人/训练师不折叠到同一西游商店。</x:v>
      </x:c>
    </x:row>
    <x:row r="5">
      <x:c r="A5" s="38" t="str">
        <x:v>trainer</x:v>
      </x:c>
      <x:c r="B5" s="38" t="str">
        <x:v>argenta</x:v>
      </x:c>
      <x:c r="C5" s="38" t="str">
        <x:v>Argenta</x:v>
      </x:c>
      <x:c r="D5" s="38" t="str">
        <x:v>teaches silver-tier skills</x:v>
      </x:c>
      <x:c r="E5" s="38" t="n">
        <x:v>88</x:v>
      </x:c>
      <x:c r="F5" s="38" t="str">
        <x:v>elem_火</x:v>
      </x:c>
      <x:c r="G5" s="38" t="str">
        <x:v>熊山君</x:v>
      </x:c>
      <x:c r="H5" s="38" t="str">
        <x:v>冲突图着色：同一来源对象共同出现的商人/训练师不折叠到同一西游商店。</x:v>
      </x:c>
    </x:row>
    <x:row r="6">
      <x:c r="A6" s="38" t="str">
        <x:v>merchant</x:v>
      </x:c>
      <x:c r="B6" s="38" t="str">
        <x:v>luxe</x:v>
      </x:c>
      <x:c r="C6" s="38" t="str">
        <x:v>Luxe</x:v>
      </x:c>
      <x:c r="D6" s="38" t="str">
        <x:v>sells diamond-tier items</x:v>
      </x:c>
      <x:c r="E6" s="38" t="n">
        <x:v>220</x:v>
      </x:c>
      <x:c r="F6" s="38" t="str">
        <x:v>elem_水</x:v>
      </x:c>
      <x:c r="G6" s="38" t="str">
        <x:v>特处士</x:v>
      </x:c>
      <x:c r="H6" s="38" t="str">
        <x:v>冲突图着色：同一来源对象共同出现的商人/训练师不折叠到同一西游商店。</x:v>
      </x:c>
    </x:row>
    <x:row r="7">
      <x:c r="A7" s="38" t="str">
        <x:v>trainer</x:v>
      </x:c>
      <x:c r="B7" s="38" t="str">
        <x:v>nufu</x:v>
      </x:c>
      <x:c r="C7" s="38" t="str">
        <x:v>Nufu</x:v>
      </x:c>
      <x:c r="D7" s="38" t="str">
        <x:v>sells skills</x:v>
      </x:c>
      <x:c r="E7" s="38" t="n">
        <x:v>138</x:v>
      </x:c>
      <x:c r="F7" s="38" t="str">
        <x:v>elem_水</x:v>
      </x:c>
      <x:c r="G7" s="38" t="str">
        <x:v>特处士</x:v>
      </x:c>
      <x:c r="H7" s="38" t="str">
        <x:v>冲突图着色：同一来源对象共同出现的商人/训练师不折叠到同一西游商店。</x:v>
      </x:c>
    </x:row>
    <x:row r="8">
      <x:c r="A8" s="38" t="str">
        <x:v>merchant</x:v>
      </x:c>
      <x:c r="B8" s="38" t="str">
        <x:v>midsworth</x:v>
      </x:c>
      <x:c r="C8" s="38" t="str">
        <x:v>Midsworth</x:v>
      </x:c>
      <x:c r="D8" s="38" t="str">
        <x:v>sells small and large items. buys your medium items at +2 value.</x:v>
      </x:c>
      <x:c r="E8" s="38" t="n">
        <x:v>106</x:v>
      </x:c>
      <x:c r="F8" s="38" t="str">
        <x:v>elem_草</x:v>
      </x:c>
      <x:c r="G8" s="38" t="str">
        <x:v>刘伯钦</x:v>
      </x:c>
      <x:c r="H8" s="38" t="str">
        <x:v>冲突图着色：同一来源对象共同出现的商人/训练师不折叠到同一西游商店。</x:v>
      </x:c>
    </x:row>
    <x:row r="9">
      <x:c r="A9" s="38" t="str">
        <x:v>trainer</x:v>
      </x:c>
      <x:c r="B9" s="38" t="str">
        <x:v>old-zane</x:v>
      </x:c>
      <x:c r="C9" s="38" t="str">
        <x:v>Old Zane</x:v>
      </x:c>
      <x:c r="D9" s="38" t="str">
        <x:v>teaches skills unique to vanessa</x:v>
      </x:c>
      <x:c r="E9" s="38" t="n">
        <x:v>22</x:v>
      </x:c>
      <x:c r="F9" s="38" t="str">
        <x:v>elem_草</x:v>
      </x:c>
      <x:c r="G9" s="38" t="str">
        <x:v>刘伯钦</x:v>
      </x:c>
      <x:c r="H9" s="38" t="str">
        <x:v>冲突图着色：同一来源对象共同出现的商人/训练师不折叠到同一西游商店。</x:v>
      </x:c>
    </x:row>
    <x:row r="10">
      <x:c r="A10" s="38" t="str">
        <x:v>merchant</x:v>
      </x:c>
      <x:c r="B10" s="38" t="str">
        <x:v>serafina</x:v>
      </x:c>
      <x:c r="C10" s="38" t="str">
        <x:v>Serafina</x:v>
      </x:c>
      <x:c r="D10" s="38" t="str">
        <x:v>sells enchanted items</x:v>
      </x:c>
      <x:c r="E10" s="38" t="n">
        <x:v>108</x:v>
      </x:c>
      <x:c r="F10" s="38" t="str">
        <x:v>elem_雷</x:v>
      </x:c>
      <x:c r="G10" s="38" t="str">
        <x:v>孙悟空</x:v>
      </x:c>
      <x:c r="H10" s="38" t="str">
        <x:v>冲突图着色：同一来源对象共同出现的商人/训练师不折叠到同一西游商店。</x:v>
      </x:c>
    </x:row>
    <x:row r="11">
      <x:c r="A11" s="38" t="str">
        <x:v>trainer</x:v>
      </x:c>
      <x:c r="B11" s="38" t="str">
        <x:v>orlin</x:v>
      </x:c>
      <x:c r="C11" s="38" t="str">
        <x:v>Orlin</x:v>
      </x:c>
      <x:c r="D11" s="38" t="str">
        <x:v>teaches gold-tier skills</x:v>
      </x:c>
      <x:c r="E11" s="38" t="n">
        <x:v>121</x:v>
      </x:c>
      <x:c r="F11" s="38" t="str">
        <x:v>elem_雷</x:v>
      </x:c>
      <x:c r="G11" s="38" t="str">
        <x:v>孙悟空</x:v>
      </x:c>
      <x:c r="H11" s="38" t="str">
        <x:v>冲突图着色：同一来源对象共同出现的商人/训练师不折叠到同一西游商店。</x:v>
      </x:c>
    </x:row>
    <x:row r="12">
      <x:c r="A12" s="38" t="str">
        <x:v>merchant</x:v>
      </x:c>
      <x:c r="B12" s="38" t="str">
        <x:v>barkun</x:v>
      </x:c>
      <x:c r="C12" s="38" t="str">
        <x:v>Barkun</x:v>
      </x:c>
      <x:c r="D12" s="38" t="str">
        <x:v>sells medium and large items. buys your small items at +1 value.</x:v>
      </x:c>
      <x:c r="E12" s="38" t="n">
        <x:v>130</x:v>
      </x:c>
      <x:c r="F12" s="38" t="str">
        <x:v>elem_冰</x:v>
      </x:c>
      <x:c r="G12" s="38" t="str">
        <x:v>小白龙</x:v>
      </x:c>
      <x:c r="H12" s="38" t="str">
        <x:v>冲突图着色：同一来源对象共同出现的商人/训练师不折叠到同一西游商店。</x:v>
      </x:c>
    </x:row>
    <x:row r="13">
      <x:c r="A13" s="38" t="str">
        <x:v>trainer</x:v>
      </x:c>
      <x:c r="B13" s="38" t="str">
        <x:v>vermir</x:v>
      </x:c>
      <x:c r="C13" s="38" t="str">
        <x:v>Vermir</x:v>
      </x:c>
      <x:c r="D13" s="38" t="str">
        <x:v>teaches crit skills</x:v>
      </x:c>
      <x:c r="E13" s="38" t="n">
        <x:v>33</x:v>
      </x:c>
      <x:c r="F13" s="38" t="str">
        <x:v>elem_冰</x:v>
      </x:c>
      <x:c r="G13" s="38" t="str">
        <x:v>小白龙</x:v>
      </x:c>
      <x:c r="H13" s="38" t="str">
        <x:v>冲突图着色：同一来源对象共同出现的商人/训练师不折叠到同一西游商店。</x:v>
      </x:c>
    </x:row>
    <x:row r="14">
      <x:c r="A14" s="38" t="str">
        <x:v>merchant</x:v>
      </x:c>
      <x:c r="B14" s="38" t="str">
        <x:v>mr-morland</x:v>
      </x:c>
      <x:c r="C14" s="38" t="str">
        <x:v>Mr. Morland</x:v>
      </x:c>
      <x:c r="D14" s="38" t="str">
        <x:v>sells property items</x:v>
      </x:c>
      <x:c r="E14" s="38" t="n">
        <x:v>9</x:v>
      </x:c>
      <x:c r="F14" s="38" t="str">
        <x:v>elem_地</x:v>
      </x:c>
      <x:c r="G14" s="38" t="str">
        <x:v>金池长老</x:v>
      </x:c>
      <x:c r="H14" s="38" t="str">
        <x:v>冲突图着色：同一来源对象共同出现的商人/训练师不折叠到同一西游商店。</x:v>
      </x:c>
    </x:row>
    <x:row r="15">
      <x:c r="A15" s="38" t="str">
        <x:v>merchant</x:v>
      </x:c>
      <x:c r="B15" s="38" t="str">
        <x:v>quixel</x:v>
      </x:c>
      <x:c r="C15" s="38" t="str">
        <x:v>Quixel</x:v>
      </x:c>
      <x:c r="D15" s="38" t="str">
        <x:v>sells small and medium items. buys your large items at +3 value.</x:v>
      </x:c>
      <x:c r="E15" s="38" t="n">
        <x:v>133</x:v>
      </x:c>
      <x:c r="F15" s="38" t="str">
        <x:v>elem_地</x:v>
      </x:c>
      <x:c r="G15" s="38" t="str">
        <x:v>金池长老</x:v>
      </x:c>
      <x:c r="H15" s="38" t="str">
        <x:v>冲突图着色：同一来源对象共同出现的商人/训练师不折叠到同一西游商店。</x:v>
      </x:c>
    </x:row>
    <x:row r="16">
      <x:c r="A16" s="38" t="str">
        <x:v>merchant</x:v>
      </x:c>
      <x:c r="B16" s="38" t="str">
        <x:v>kina</x:v>
      </x:c>
      <x:c r="C16" s="38" t="str">
        <x:v>Kina</x:v>
      </x:c>
      <x:c r="D16" s="38" t="str">
        <x:v>sells non-weapon items.</x:v>
      </x:c>
      <x:c r="E16" s="38" t="n">
        <x:v>122</x:v>
      </x:c>
      <x:c r="F16" s="38" t="str">
        <x:v>elem_暗</x:v>
      </x:c>
      <x:c r="G16" s="38" t="str">
        <x:v>黑熊精</x:v>
      </x:c>
      <x:c r="H16" s="38" t="str">
        <x:v>冲突图着色：同一来源对象共同出现的商人/训练师不折叠到同一西游商店。</x:v>
      </x:c>
    </x:row>
    <x:row r="17">
      <x:c r="A17" s="38" t="str">
        <x:v>merchant</x:v>
      </x:c>
      <x:c r="B17" s="38" t="str">
        <x:v>the-antiquarian</x:v>
      </x:c>
      <x:c r="C17" s="38" t="str">
        <x:v>The Antiquarian</x:v>
      </x:c>
      <x:c r="D17" s="38" t="str">
        <x:v>sells relics from any hero</x:v>
      </x:c>
      <x:c r="E17" s="38" t="n">
        <x:v>5</x:v>
      </x:c>
      <x:c r="F17" s="38" t="str">
        <x:v>elem_暗</x:v>
      </x:c>
      <x:c r="G17" s="38" t="str">
        <x:v>黑熊精</x:v>
      </x:c>
      <x:c r="H17" s="38" t="str">
        <x:v>冲突图着色：同一来源对象共同出现的商人/训练师不折叠到同一西游商店。</x:v>
      </x:c>
    </x:row>
    <x:row r="18">
      <x:c r="A18" s="38" t="str">
        <x:v>merchant</x:v>
      </x:c>
      <x:c r="B18" s="38" t="str">
        <x:v>nautica</x:v>
      </x:c>
      <x:c r="C18" s="38" t="str">
        <x:v>Nautica</x:v>
      </x:c>
      <x:c r="D18" s="38" t="str">
        <x:v>sells aquatic items</x:v>
      </x:c>
      <x:c r="E18" s="38" t="n">
        <x:v>100</x:v>
      </x:c>
      <x:c r="F18" s="38" t="str">
        <x:v>elem_龙</x:v>
      </x:c>
      <x:c r="G18" s="38" t="str">
        <x:v>凌虚子</x:v>
      </x:c>
      <x:c r="H18" s="38" t="str">
        <x:v>冲突图着色：同一来源对象共同出现的商人/训练师不折叠到同一西游商店。</x:v>
      </x:c>
    </x:row>
    <x:row r="19">
      <x:c r="A19" s="38" t="str">
        <x:v>merchant</x:v>
      </x:c>
      <x:c r="B19" s="38" t="str">
        <x:v>valpak</x:v>
      </x:c>
      <x:c r="C19" s="38" t="str">
        <x:v>Valpak</x:v>
      </x:c>
      <x:c r="D19" s="38" t="str">
        <x:v>sells items. always sells discounted items.</x:v>
      </x:c>
      <x:c r="E19" s="38" t="n">
        <x:v>21</x:v>
      </x:c>
      <x:c r="F19" s="38" t="str">
        <x:v>elem_龙</x:v>
      </x:c>
      <x:c r="G19" s="38" t="str">
        <x:v>凌虚子</x:v>
      </x:c>
      <x:c r="H19" s="38" t="str">
        <x:v>冲突图着色：同一来源对象共同出现的商人/训练师不折叠到同一西游商店。</x:v>
      </x:c>
    </x:row>
    <x:row r="20">
      <x:c r="A20" s="38" t="str">
        <x:v>merchant</x:v>
      </x:c>
      <x:c r="B20" s="38" t="str">
        <x:v>aila</x:v>
      </x:c>
      <x:c r="C20" s="38" t="str">
        <x:v>Aila</x:v>
      </x:c>
      <x:c r="D20" s="38" t="str">
        <x:v>sells weapons</x:v>
      </x:c>
      <x:c r="E20" s="38" t="n">
        <x:v>104</x:v>
      </x:c>
      <x:c r="F20" s="38" t="str">
        <x:v>elem_无</x:v>
      </x:c>
      <x:c r="G20" s="38" t="str">
        <x:v>苍狼精</x:v>
      </x:c>
      <x:c r="H20" s="38" t="str">
        <x:v>冲突图着色：同一来源对象共同出现的商人/训练师不折叠到同一西游商店。</x:v>
      </x:c>
    </x:row>
    <x:row r="21">
      <x:c r="A21" s="38" t="str">
        <x:v>merchant</x:v>
      </x:c>
      <x:c r="B21" s="38" t="str">
        <x:v>prospero</x:v>
      </x:c>
      <x:c r="C21" s="38" t="str">
        <x:v>Prospero</x:v>
      </x:c>
      <x:c r="D21" s="38" t="str">
        <x:v>sells economic items from any hero</x:v>
      </x:c>
      <x:c r="E21" s="38" t="n">
        <x:v>6</x:v>
      </x:c>
      <x:c r="F21" s="38" t="str">
        <x:v>elem_无</x:v>
      </x:c>
      <x:c r="G21" s="38" t="str">
        <x:v>苍狼精</x:v>
      </x:c>
      <x:c r="H21" s="38" t="str">
        <x:v>冲突图着色：同一来源对象共同出现的商人/训练师不折叠到同一西游商店。</x:v>
      </x:c>
    </x:row>
    <x:row r="22">
      <x:c r="A22" s="38" t="str">
        <x:v>merchant</x:v>
      </x:c>
      <x:c r="B22" s="38" t="str">
        <x:v>ande</x:v>
      </x:c>
      <x:c r="C22" s="38" t="str">
        <x:v>Ande</x:v>
      </x:c>
      <x:c r="D22" s="38" t="str">
        <x:v>sells small items</x:v>
      </x:c>
      <x:c r="E22" s="38" t="n">
        <x:v>96</x:v>
      </x:c>
      <x:c r="F22" s="38" t="str">
        <x:v>role_召唤</x:v>
      </x:c>
      <x:c r="G22" s="38" t="str">
        <x:v>猪八戒</x:v>
      </x:c>
      <x:c r="H22" s="38" t="str">
        <x:v>冲突图着色：同一来源对象共同出现的商人/训练师不折叠到同一西游商店。</x:v>
      </x:c>
    </x:row>
    <x:row r="23">
      <x:c r="A23" s="38" t="str">
        <x:v>trainer</x:v>
      </x:c>
      <x:c r="B23" s="38" t="str">
        <x:v>ryukon</x:v>
      </x:c>
      <x:c r="C23" s="38" t="str">
        <x:v>Ryukon</x:v>
      </x:c>
      <x:c r="D23" s="38" t="str">
        <x:v>teaches weapon skills</x:v>
      </x:c>
      <x:c r="E23" s="38" t="n">
        <x:v>39</x:v>
      </x:c>
      <x:c r="F23" s="38" t="str">
        <x:v>role_召唤</x:v>
      </x:c>
      <x:c r="G23" s="38" t="str">
        <x:v>猪八戒</x:v>
      </x:c>
      <x:c r="H23" s="38" t="str">
        <x:v>冲突图着色：同一来源对象共同出现的商人/训练师不折叠到同一西游商店。</x:v>
      </x:c>
    </x:row>
    <x:row r="24">
      <x:c r="A24" s="38" t="str">
        <x:v>merchant</x:v>
      </x:c>
      <x:c r="B24" s="38" t="str">
        <x:v>colt</x:v>
      </x:c>
      <x:c r="C24" s="38" t="str">
        <x:v>Colt</x:v>
      </x:c>
      <x:c r="D24" s="38" t="str">
        <x:v>sells ammo items</x:v>
      </x:c>
      <x:c r="E24" s="38" t="n">
        <x:v>48</x:v>
      </x:c>
      <x:c r="F24" s="38" t="str">
        <x:v>role_坦克</x:v>
      </x:c>
      <x:c r="G24" s="38" t="str">
        <x:v>黄风怪</x:v>
      </x:c>
      <x:c r="H24" s="38" t="str">
        <x:v>冲突图着色：同一来源对象共同出现的商人/训练师不折叠到同一西游商店。</x:v>
      </x:c>
    </x:row>
    <x:row r="25">
      <x:c r="A25" s="38" t="str">
        <x:v>trainer</x:v>
      </x:c>
      <x:c r="B25" s="38" t="str">
        <x:v>bjorn</x:v>
      </x:c>
      <x:c r="C25" s="38" t="str">
        <x:v>Bjorn</x:v>
      </x:c>
      <x:c r="D25" s="38" t="str">
        <x:v>teaches freeze skills</x:v>
      </x:c>
      <x:c r="E25" s="38" t="n">
        <x:v>10</x:v>
      </x:c>
      <x:c r="F25" s="38" t="str">
        <x:v>role_坦克</x:v>
      </x:c>
      <x:c r="G25" s="38" t="str">
        <x:v>黄风怪</x:v>
      </x:c>
      <x:c r="H25" s="38" t="str">
        <x:v>冲突图着色：同一来源对象共同出现的商人/训练师不折叠到同一西游商店。</x:v>
      </x:c>
    </x:row>
    <x:row r="26">
      <x:c r="A26" s="38" t="str">
        <x:v>merchant</x:v>
      </x:c>
      <x:c r="B26" s="38" t="str">
        <x:v>mittel</x:v>
      </x:c>
      <x:c r="C26" s="38" t="str">
        <x:v>Mittel</x:v>
      </x:c>
      <x:c r="D26" s="38" t="str">
        <x:v>sells medium items</x:v>
      </x:c>
      <x:c r="E26" s="38" t="n">
        <x:v>90</x:v>
      </x:c>
      <x:c r="F26" s="38" t="str">
        <x:v>role_控制</x:v>
      </x:c>
      <x:c r="G26" s="38" t="str">
        <x:v>灵吉菩萨</x:v>
      </x:c>
      <x:c r="H26" s="38" t="str">
        <x:v>冲突图着色：同一来源对象共同出现的商人/训练师不折叠到同一西游商店。</x:v>
      </x:c>
    </x:row>
    <x:row r="27">
      <x:c r="A27" s="38" t="str">
        <x:v>trainer</x:v>
      </x:c>
      <x:c r="B27" s="38" t="str">
        <x:v>malafang</x:v>
      </x:c>
      <x:c r="C27" s="38" t="str">
        <x:v>Malafang</x:v>
      </x:c>
      <x:c r="D27" s="38" t="str">
        <x:v>teaches burn skills</x:v>
      </x:c>
      <x:c r="E27" s="38" t="n">
        <x:v>21</x:v>
      </x:c>
      <x:c r="F27" s="38" t="str">
        <x:v>role_控制</x:v>
      </x:c>
      <x:c r="G27" s="38" t="str">
        <x:v>灵吉菩萨</x:v>
      </x:c>
      <x:c r="H27" s="38" t="str">
        <x:v>冲突图着色：同一来源对象共同出现的商人/训练师不折叠到同一西游商店。</x:v>
      </x:c>
    </x:row>
    <x:row r="28">
      <x:c r="A28" s="38" t="str">
        <x:v>merchant</x:v>
      </x:c>
      <x:c r="B28" s="38" t="str">
        <x:v>tok-s-clocks</x:v>
      </x:c>
      <x:c r="C28" s="38" t="str">
        <x:v>Tok's Clocks</x:v>
      </x:c>
      <x:c r="D28" s="38" t="str">
        <x:v>sells haste, slow and cooldown items.</x:v>
      </x:c>
      <x:c r="E28" s="38" t="n">
        <x:v>88</x:v>
      </x:c>
      <x:c r="F28" s="38" t="str">
        <x:v>role_治疗</x:v>
      </x:c>
      <x:c r="G28" s="38" t="str">
        <x:v>沙悟净</x:v>
      </x:c>
      <x:c r="H28" s="38" t="str">
        <x:v>冲突图着色：同一来源对象共同出现的商人/训练师不折叠到同一西游商店。</x:v>
      </x:c>
    </x:row>
    <x:row r="29">
      <x:c r="A29" s="38" t="str">
        <x:v>trainer</x:v>
      </x:c>
      <x:c r="B29" s="38" t="str">
        <x:v>professor-riggle</x:v>
      </x:c>
      <x:c r="C29" s="38" t="str">
        <x:v>Professor Riggle</x:v>
      </x:c>
      <x:c r="D29" s="38" t="str">
        <x:v>teaches poison skills</x:v>
      </x:c>
      <x:c r="E29" s="38" t="n">
        <x:v>17</x:v>
      </x:c>
      <x:c r="F29" s="38" t="str">
        <x:v>role_治疗</x:v>
      </x:c>
      <x:c r="G29" s="38" t="str">
        <x:v>沙悟净</x:v>
      </x:c>
      <x:c r="H29" s="38" t="str">
        <x:v>冲突图着色：同一来源对象共同出现的商人/训练师不折叠到同一西游商店。</x:v>
      </x:c>
    </x:row>
    <x:row r="30">
      <x:c r="A30" s="38" t="str">
        <x:v>merchant</x:v>
      </x:c>
      <x:c r="B30" s="38" t="str">
        <x:v>aimbot</x:v>
      </x:c>
      <x:c r="C30" s="38" t="str">
        <x:v>Aimbot</x:v>
      </x:c>
      <x:c r="D30" s="38" t="str">
        <x:v>sells crit items from any hero</x:v>
      </x:c>
      <x:c r="E30" s="38" t="n">
        <x:v>33</x:v>
      </x:c>
      <x:c r="F30" s="38" t="str">
        <x:v>role_输出</x:v>
      </x:c>
      <x:c r="G30" s="38" t="str">
        <x:v>沙僧</x:v>
      </x:c>
      <x:c r="H30" s="38" t="str">
        <x:v>冲突图着色：同一来源对象共同出现的商人/训练师不折叠到同一西游商店。</x:v>
      </x:c>
    </x:row>
    <x:row r="31">
      <x:c r="A31" s="38" t="str">
        <x:v>trainer</x:v>
      </x:c>
      <x:c r="B31" s="38" t="str">
        <x:v>slohmor-lumbra</x:v>
      </x:c>
      <x:c r="C31" s="38" t="str">
        <x:v>Slohmor Lumbra</x:v>
      </x:c>
      <x:c r="D31" s="38" t="str">
        <x:v>teaches slow skills</x:v>
      </x:c>
      <x:c r="E31" s="38" t="n">
        <x:v>12</x:v>
      </x:c>
      <x:c r="F31" s="38" t="str">
        <x:v>role_输出</x:v>
      </x:c>
      <x:c r="G31" s="38" t="str">
        <x:v>沙僧</x:v>
      </x:c>
      <x:c r="H31" s="38" t="str">
        <x:v>冲突图着色：同一来源对象共同出现的商人/训练师不折叠到同一西游商店。</x:v>
      </x:c>
    </x:row>
    <x:row r="32">
      <x:c r="A32" s="38" t="str">
        <x:v>merchant</x:v>
      </x:c>
      <x:c r="B32" s="38" t="str">
        <x:v>chronos</x:v>
      </x:c>
      <x:c r="C32" s="38" t="str">
        <x:v>Chronos</x:v>
      </x:c>
      <x:c r="D32" s="38" t="str">
        <x:v>sells haste items.</x:v>
      </x:c>
      <x:c r="E32" s="38" t="n">
        <x:v>48</x:v>
      </x:c>
      <x:c r="F32" s="38" t="str">
        <x:v>role_经济</x:v>
      </x:c>
      <x:c r="G32" s="38" t="str">
        <x:v>黎山老母</x:v>
      </x:c>
      <x:c r="H32" s="38" t="str">
        <x:v>冲突图着色：同一来源对象共同出现的商人/训练师不折叠到同一西游商店。</x:v>
      </x:c>
    </x:row>
    <x:row r="33">
      <x:c r="A33" s="38" t="str">
        <x:v>trainer</x:v>
      </x:c>
      <x:c r="B33" s="38" t="str">
        <x:v>zara</x:v>
      </x:c>
      <x:c r="C33" s="38" t="str">
        <x:v>Zara</x:v>
      </x:c>
      <x:c r="D33" s="38" t="str">
        <x:v>teaches haste and charge skills</x:v>
      </x:c>
      <x:c r="E33" s="38" t="n">
        <x:v>25</x:v>
      </x:c>
      <x:c r="F33" s="38" t="str">
        <x:v>role_经济</x:v>
      </x:c>
      <x:c r="G33" s="38" t="str">
        <x:v>黎山老母</x:v>
      </x:c>
      <x:c r="H33" s="38" t="str">
        <x:v>冲突图着色：同一来源对象共同出现的商人/训练师不折叠到同一西游商店。</x:v>
      </x:c>
    </x:row>
    <x:row r="34">
      <x:c r="A34" s="38" t="str">
        <x:v>merchant</x:v>
      </x:c>
      <x:c r="B34" s="38" t="str">
        <x:v>hef</x:v>
      </x:c>
      <x:c r="C34" s="38" t="str">
        <x:v>Hef</x:v>
      </x:c>
      <x:c r="D34" s="38" t="str">
        <x:v>sells burn items.</x:v>
      </x:c>
      <x:c r="E34" s="38" t="n">
        <x:v>35</x:v>
      </x:c>
      <x:c r="F34" s="38" t="str">
        <x:v>role_机动</x:v>
      </x:c>
      <x:c r="G34" s="38" t="str">
        <x:v>观音</x:v>
      </x:c>
      <x:c r="H34" s="38" t="str">
        <x:v>冲突图着色：同一来源对象共同出现的商人/训练师不折叠到同一西游商店。</x:v>
      </x:c>
    </x:row>
    <x:row r="35">
      <x:c r="A35" s="38" t="str">
        <x:v>merchant</x:v>
      </x:c>
      <x:c r="B35" s="38" t="str">
        <x:v>vanessa</x:v>
      </x:c>
      <x:c r="C35" s="38" t="str">
        <x:v>Vanessa</x:v>
      </x:c>
      <x:c r="D35" s="38" t="str">
        <x:v>sells items from this hero</x:v>
      </x:c>
      <x:c r="E35" s="38" t="n">
        <x:v>4</x:v>
      </x:c>
      <x:c r="F35" s="38" t="str">
        <x:v>role_机动</x:v>
      </x:c>
      <x:c r="G35" s="38" t="str">
        <x:v>观音</x:v>
      </x:c>
      <x:c r="H35" s="38" t="str">
        <x:v>冲突图着色：同一来源对象共同出现的商人/训练师不折叠到同一西游商店。</x:v>
      </x:c>
    </x:row>
    <x:row r="36">
      <x:c r="A36" s="38" t="str">
        <x:v>merchant</x:v>
      </x:c>
      <x:c r="B36" s="38" t="str">
        <x:v>kev-s-armory</x:v>
      </x:c>
      <x:c r="C36" s="38" t="str">
        <x:v>Kev's Armory</x:v>
      </x:c>
      <x:c r="D36" s="38" t="str">
        <x:v>sells health and shield items</x:v>
      </x:c>
      <x:c r="E36" s="38" t="n">
        <x:v>22</x:v>
      </x:c>
      <x:c r="F36" s="38" t="str">
        <x:v>special_merchant</x:v>
      </x:c>
      <x:c r="G36" s="38" t="str">
        <x:v>普贤</x:v>
      </x:c>
      <x:c r="H36" s="38" t="str">
        <x:v>冲突图着色：同一来源对象共同出现的商人/训练师不折叠到同一西游商店。</x:v>
      </x:c>
    </x:row>
    <x:row r="37">
      <x:c r="A37" s="38" t="str">
        <x:v>trainer</x:v>
      </x:c>
      <x:c r="B37" s="38" t="str">
        <x:v>c4</x:v>
      </x:c>
      <x:c r="C37" s="38" t="str">
        <x:v>C4</x:v>
      </x:c>
      <x:c r="D37" s="38" t="str">
        <x:v>teaches ammo skills</x:v>
      </x:c>
      <x:c r="E37" s="38" t="n">
        <x:v>10</x:v>
      </x:c>
      <x:c r="F37" s="38" t="str">
        <x:v>special_merchant</x:v>
      </x:c>
      <x:c r="G37" s="38" t="str">
        <x:v>普贤</x:v>
      </x:c>
      <x:c r="H37" s="38" t="str">
        <x:v>冲突图着色：同一来源对象共同出现的商人/训练师不折叠到同一西游商店。</x:v>
      </x:c>
    </x:row>
    <x:row r="38">
      <x:c r="A38" s="38" t="str">
        <x:v>merchant</x:v>
      </x:c>
      <x:c r="B38" s="38" t="str">
        <x:v>cobweb</x:v>
      </x:c>
      <x:c r="C38" s="38" t="str">
        <x:v>Cobweb</x:v>
      </x:c>
      <x:c r="D38" s="38" t="str">
        <x:v>sells slow items.</x:v>
      </x:c>
      <x:c r="E38" s="38" t="n">
        <x:v>43</x:v>
      </x:c>
      <x:c r="F38" s="38" t="str">
        <x:v>elite_high</x:v>
      </x:c>
      <x:c r="G38" s="38" t="str">
        <x:v>文殊</x:v>
      </x:c>
      <x:c r="H38" s="38" t="str">
        <x:v>冲突图着色：同一来源对象共同出现的商人/训练师不折叠到同一西游商店。</x:v>
      </x:c>
    </x:row>
    <x:row r="39">
      <x:c r="A39" s="38" t="str">
        <x:v>trainer</x:v>
      </x:c>
      <x:c r="B39" s="38" t="str">
        <x:v>regenald</x:v>
      </x:c>
      <x:c r="C39" s="38" t="str">
        <x:v>Regenald</x:v>
      </x:c>
      <x:c r="D39" s="38" t="str">
        <x:v>teaches health, heal and regen skills</x:v>
      </x:c>
      <x:c r="E39" s="38" t="n">
        <x:v>9</x:v>
      </x:c>
      <x:c r="F39" s="38" t="str">
        <x:v>elite_high</x:v>
      </x:c>
      <x:c r="G39" s="38" t="str">
        <x:v>文殊</x:v>
      </x:c>
      <x:c r="H39" s="38" t="str">
        <x:v>冲突图着色：同一来源对象共同出现的商人/训练师不折叠到同一西游商店。</x:v>
      </x:c>
    </x:row>
    <x:row r="40">
      <x:c r="A40" s="38" t="str">
        <x:v>merchant</x:v>
      </x:c>
      <x:c r="B40" s="38" t="str">
        <x:v>gastro</x:v>
      </x:c>
      <x:c r="C40" s="38" t="str">
        <x:v>Gastro</x:v>
      </x:c>
      <x:c r="D40" s="38" t="str">
        <x:v>sells foods</x:v>
      </x:c>
      <x:c r="E40" s="38" t="n">
        <x:v>2</x:v>
      </x:c>
      <x:c r="F40" s="38" t="str">
        <x:v>tier_pT1</x:v>
      </x:c>
      <x:c r="G40" s="38" t="str">
        <x:v>镇元大仙</x:v>
      </x:c>
      <x:c r="H40" s="38" t="str">
        <x:v>冲突图着色：同一来源对象共同出现的商人/训练师不折叠到同一西游商店。</x:v>
      </x:c>
    </x:row>
    <x:row r="41">
      <x:c r="A41" s="38" t="str">
        <x:v>merchant</x:v>
      </x:c>
      <x:c r="B41" s="38" t="str">
        <x:v>the-tester</x:v>
      </x:c>
      <x:c r="C41" s="38" t="str">
        <x:v>The Tester</x:v>
      </x:c>
      <x:c r="D41" s="38" t="str">
        <x:v>sells tech items from any hero</x:v>
      </x:c>
      <x:c r="E41" s="38" t="n">
        <x:v>24</x:v>
      </x:c>
      <x:c r="F41" s="38" t="str">
        <x:v>tier_pT1</x:v>
      </x:c>
      <x:c r="G41" s="38" t="str">
        <x:v>镇元大仙</x:v>
      </x:c>
      <x:c r="H41" s="38" t="str">
        <x:v>冲突图着色：同一来源对象共同出现的商人/训练师不折叠到同一西游商店。</x:v>
      </x:c>
    </x:row>
    <x:row r="42">
      <x:c r="A42" s="38" t="str">
        <x:v>merchant</x:v>
      </x:c>
      <x:c r="B42" s="38" t="str">
        <x:v>dryad</x:v>
      </x:c>
      <x:c r="C42" s="38" t="str">
        <x:v>Dryad</x:v>
      </x:c>
      <x:c r="D42" s="38" t="str">
        <x:v>sells friend items</x:v>
      </x:c>
      <x:c r="E42" s="38" t="n">
        <x:v>41</x:v>
      </x:c>
      <x:c r="F42" s="38" t="str">
        <x:v>tier_pT2</x:v>
      </x:c>
      <x:c r="G42" s="38" t="str">
        <x:v>观音菩萨</x:v>
      </x:c>
      <x:c r="H42" s="38" t="str">
        <x:v>冲突图着色：同一来源对象共同出现的商人/训练师不折叠到同一西游商店。</x:v>
      </x:c>
    </x:row>
    <x:row r="43">
      <x:c r="A43" s="38" t="str">
        <x:v>trainer</x:v>
      </x:c>
      <x:c r="B43" s="38" t="str">
        <x:v>fortis</x:v>
      </x:c>
      <x:c r="C43" s="38" t="str">
        <x:v>Fortis</x:v>
      </x:c>
      <x:c r="D43" s="38" t="str">
        <x:v>teaches shield skills</x:v>
      </x:c>
      <x:c r="E43" s="38" t="n">
        <x:v>10</x:v>
      </x:c>
      <x:c r="F43" s="38" t="str">
        <x:v>tier_pT2</x:v>
      </x:c>
      <x:c r="G43" s="38" t="str">
        <x:v>观音菩萨</x:v>
      </x:c>
      <x:c r="H43" s="38" t="str">
        <x:v>冲突图着色：同一来源对象共同出现的商人/训练师不折叠到同一西游商店。</x:v>
      </x:c>
    </x:row>
    <x:row r="44">
      <x:c r="A44" s="38" t="str">
        <x:v>merchant</x:v>
      </x:c>
      <x:c r="B44" s="38" t="str">
        <x:v>gaseo</x:v>
      </x:c>
      <x:c r="C44" s="38" t="str">
        <x:v>Gaseo</x:v>
      </x:c>
      <x:c r="D44" s="38" t="str">
        <x:v>sells apparel from any hero</x:v>
      </x:c>
      <x:c r="E44" s="38" t="n">
        <x:v>19</x:v>
      </x:c>
      <x:c r="F44" s="38" t="str">
        <x:v>tier_pT3</x:v>
      </x:c>
      <x:c r="G44" s="38" t="str">
        <x:v>白骨精</x:v>
      </x:c>
      <x:c r="H44" s="38" t="str">
        <x:v>冲突图着色：同一来源对象共同出现的商人/训练师不折叠到同一西游商店。</x:v>
      </x:c>
    </x:row>
    <x:row r="45">
      <x:c r="A45" s="38" t="str">
        <x:v>merchant</x:v>
      </x:c>
      <x:c r="B45" s="38" t="str">
        <x:v>orion</x:v>
      </x:c>
      <x:c r="C45" s="38" t="str">
        <x:v>Orion</x:v>
      </x:c>
      <x:c r="D45" s="38" t="str">
        <x:v>sells tools</x:v>
      </x:c>
      <x:c r="E45" s="38" t="n">
        <x:v>28</x:v>
      </x:c>
      <x:c r="F45" s="38" t="str">
        <x:v>role_召唤铺场</x:v>
      </x:c>
      <x:c r="G45" s="38" t="str">
        <x:v>黄袍怪</x:v>
      </x:c>
      <x:c r="H45" s="38" t="str">
        <x:v>冲突图着色：同一来源对象共同出现的商人/训练师不折叠到同一西游商店。</x:v>
      </x:c>
    </x:row>
    <x:row r="46">
      <x:c r="A46" s="38" t="str">
        <x:v>merchant</x:v>
      </x:c>
      <x:c r="B46" s="38" t="str">
        <x:v>pol</x:v>
      </x:c>
      <x:c r="C46" s="38" t="str">
        <x:v>Pol</x:v>
      </x:c>
      <x:c r="D46" s="38" t="str">
        <x:v>sells large items</x:v>
      </x:c>
      <x:c r="E46" s="38" t="n">
        <x:v>17</x:v>
      </x:c>
      <x:c r="F46" s="38" t="str">
        <x:v>role_机动压制</x:v>
      </x:c>
      <x:c r="G46" s="38" t="str">
        <x:v>百花羞</x:v>
      </x:c>
      <x:c r="H46" s="38" t="str">
        <x:v>冲突图着色：同一来源对象共同出现的商人/训练师不折叠到同一西游商店。</x:v>
      </x:c>
    </x:row>
    <x:row r="47">
      <x:c r="A47" s="38" t="str">
        <x:v>merchant</x:v>
      </x:c>
      <x:c r="B47" s="38" t="str">
        <x:v>freiya</x:v>
      </x:c>
      <x:c r="C47" s="38" t="str">
        <x:v>Freiya</x:v>
      </x:c>
      <x:c r="D47" s="38" t="str">
        <x:v>sells freeze items.</x:v>
      </x:c>
      <x:c r="E47" s="38" t="n">
        <x:v>10</x:v>
      </x:c>
      <x:c r="F47" s="38" t="str">
        <x:v>role_抗压承伤</x:v>
      </x:c>
      <x:c r="G47" s="38" t="str">
        <x:v>宝象国国王</x:v>
      </x:c>
      <x:c r="H47" s="38" t="str">
        <x:v>冲突图着色：同一来源对象共同出现的商人/训练师不折叠到同一西游商店。</x:v>
      </x:c>
    </x:row>
    <x:row r="48">
      <x:c r="A48" s="38" t="str">
        <x:v>merchant</x:v>
      </x:c>
      <x:c r="B48" s="38" t="str">
        <x:v>knightshade</x:v>
      </x:c>
      <x:c r="C48" s="38" t="str">
        <x:v>Knightshade</x:v>
      </x:c>
      <x:c r="D48" s="38" t="str">
        <x:v>sells poison items.</x:v>
      </x:c>
      <x:c r="E48" s="38" t="n">
        <x:v>17</x:v>
      </x:c>
      <x:c r="F48" s="38" t="str">
        <x:v>role_重甲抗压</x:v>
      </x:c>
      <x:c r="G48" s="38" t="str">
        <x:v>金角大王</x:v>
      </x:c>
      <x:c r="H48" s="38" t="str">
        <x:v>冲突图着色：同一来源对象共同出现的商人/训练师不折叠到同一西游商店。</x:v>
      </x:c>
    </x:row>
    <x:row r="49">
      <x:c r="A49" s="38" t="str">
        <x:v>merchant</x:v>
      </x:c>
      <x:c r="B49" s="38" t="str">
        <x:v>pinfeather</x:v>
      </x:c>
      <x:c r="C49" s="38" t="str">
        <x:v>Pinfeather</x:v>
      </x:c>
      <x:c r="D49" s="38" t="str">
        <x:v>sells flying items from any hero</x:v>
      </x:c>
      <x:c r="E49" s="38" t="n">
        <x:v>11</x:v>
      </x:c>
      <x:c r="F49" s="38" t="str">
        <x:v>role_远点压制</x:v>
      </x:c>
      <x:c r="G49" s="38" t="str">
        <x:v>银角大王</x:v>
      </x:c>
      <x:c r="H49" s="38" t="str">
        <x:v>冲突图着色：同一来源对象共同出现的商人/训练师不折叠到同一西游商店。</x:v>
      </x:c>
    </x:row>
    <x:row r="50">
      <x:c r="A50" s="38" t="str">
        <x:v>merchant</x:v>
      </x:c>
      <x:c r="B50" s="38" t="str">
        <x:v>silvia</x:v>
      </x:c>
      <x:c r="C50" s="38" t="str">
        <x:v>Silvia</x:v>
      </x:c>
      <x:c r="D50" s="38" t="str">
        <x:v>sells silver-tier items</x:v>
      </x:c>
      <x:c r="E50" s="38" t="n">
        <x:v>38</x:v>
      </x:c>
      <x:c r="F50" s="38" t="str">
        <x:v>role_风系铺场</x:v>
      </x:c>
      <x:c r="G50" s="38" t="str">
        <x:v>九尾狐</x:v>
      </x:c>
      <x:c r="H50" s="38" t="str">
        <x:v>冲突图着色：同一来源对象共同出现的商人/训练师不折叠到同一西游商店。</x:v>
      </x:c>
    </x:row>
    <x:row r="51">
      <x:c r="A51" s="38" t="str">
        <x:v>merchant</x:v>
      </x:c>
      <x:c r="B51" s="38" t="str">
        <x:v>aero</x:v>
      </x:c>
      <x:c r="C51" s="38" t="str">
        <x:v>Aero</x:v>
      </x:c>
      <x:c r="D51" s="38" t="str">
        <x:v>sells vehicles or drones</x:v>
      </x:c>
      <x:c r="E51" s="38" t="n">
        <x:v>12</x:v>
      </x:c>
      <x:c r="F51" s="38" t="str">
        <x:v>role_风系牵制</x:v>
      </x:c>
      <x:c r="G51" s="38" t="str">
        <x:v>狐阿七</x:v>
      </x:c>
      <x:c r="H51" s="38" t="str">
        <x:v>冲突图着色：同一来源对象共同出现的商人/训练师不折叠到同一西游商店。</x:v>
      </x:c>
    </x:row>
    <x:row r="52">
      <x:c r="A52" s="38" t="str">
        <x:v>merchant</x:v>
      </x:c>
      <x:c r="B52" s="38" t="str">
        <x:v>herma</x:v>
      </x:c>
      <x:c r="C52" s="38" t="str">
        <x:v>Herma</x:v>
      </x:c>
      <x:c r="D52" s="38" t="str">
        <x:v>sells heal and regen items</x:v>
      </x:c>
      <x:c r="E52" s="38" t="n">
        <x:v>9</x:v>
      </x:c>
      <x:c r="F52" s="38" t="str">
        <x:v>role_火系压制</x:v>
      </x:c>
      <x:c r="G52" s="38" t="str">
        <x:v>狮猁王</x:v>
      </x:c>
      <x:c r="H52" s="38" t="str">
        <x:v>冲突图着色：同一来源对象共同出现的商人/训练师不折叠到同一西游商店。</x:v>
      </x:c>
    </x:row>
  </x:sheetData>
  <x:pageMargins left="0.7" right="0.7" top="0.75" bottom="0.75" header="0.3" footer="0.3"/>
  <x:tableParts count="1">
    <x:tablePart xmlns:r="http://schemas.openxmlformats.org/officeDocument/2006/relationships" r:id="R7cc1a3dd9f0344c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108" t="str">
        <x:v>enchant_id</x:v>
      </x:c>
      <x:c r="B1" s="108" t="str">
        <x:v>name_zh</x:v>
      </x:c>
      <x:c r="C1" s="108" t="str">
        <x:v>class</x:v>
      </x:c>
      <x:c r="D1" s="108" t="str">
        <x:v>bronze_effect</x:v>
      </x:c>
      <x:c r="E1" s="108" t="str">
        <x:v>silver_effect</x:v>
      </x:c>
      <x:c r="F1" s="108" t="str">
        <x:v>gold_effect</x:v>
      </x:c>
      <x:c r="G1" s="108" t="str">
        <x:v>diamond_effect</x:v>
      </x:c>
      <x:c r="H1" s="108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99e40d66d4ac4618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108" t="str">
        <x:v>pet_id</x:v>
      </x:c>
      <x:c r="B1" s="108" t="str">
        <x:v>pet_name</x:v>
      </x:c>
      <x:c r="C1" s="108" t="str">
        <x:v>source_object_id</x:v>
      </x:c>
      <x:c r="D1" s="108" t="str">
        <x:v>primary_enchant</x:v>
      </x:c>
      <x:c r="E1" s="108" t="str">
        <x:v>eligible_enchant_count</x:v>
      </x:c>
      <x:c r="F1" s="108" t="str">
        <x:v>eligible_enchants</x:v>
      </x:c>
      <x:c r="G1" s="108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澜蚌灵</x:v>
      </x:c>
      <x:c r="C278" s="38" t="str">
        <x:v>bz_van_277</x:v>
      </x:c>
      <x:c r="D278" s="38" t="str">
        <x:v>Restorative</x:v>
      </x:c>
      <x:c r="E278" s="38" t="n">
        <x:v>13</x:v>
      </x:c>
      <x:c r="F278" s="38" t="str">
        <x:v>Restorative, Mossy, Radiant, Deadly, Fiery, Golden, Heavy, Icy, Obsidian, Shielded, Shiny, Toxic, Turbo</x:v>
      </x:c>
      <x:c r="G278" s="38" t="str">
        <x:v>治疗/水、龙；来源标签 aquatic, relic, economyreference, value, heal</x:v>
      </x:c>
    </x:row>
    <x:row r="279">
      <x:c r="A279" s="38" t="str">
        <x:v>pal_278</x:v>
      </x:c>
      <x:c r="B279" s="38" t="str">
        <x:v>岩犀仔</x:v>
      </x:c>
      <x:c r="C279" s="38" t="str">
        <x:v>bz_van_278</x:v>
      </x:c>
      <x:c r="D279" s="38" t="str">
        <x:v>Shielded</x:v>
      </x:c>
      <x:c r="E279" s="38" t="n">
        <x:v>13</x:v>
      </x:c>
      <x:c r="F279" s="38" t="str">
        <x:v>Shielded, Heavy, Mossy, Deadly, Fiery, Golden, Icy, Obsidian, Radiant, Restorative, Shiny, Toxic, Turbo</x:v>
      </x:c>
      <x:c r="G279" s="38" t="str">
        <x:v>坦克/地；来源标签 shield</x:v>
      </x:c>
    </x:row>
    <x:row r="280">
      <x:c r="A280" s="38" t="str">
        <x:v>pal_279</x:v>
      </x:c>
      <x:c r="B280" s="38" t="str">
        <x:v>凝隼兽</x:v>
      </x:c>
      <x:c r="C280" s="38" t="str">
        <x:v>bz_van_279</x:v>
      </x:c>
      <x:c r="D280" s="38" t="str">
        <x:v>Deadly</x:v>
      </x:c>
      <x:c r="E280" s="38" t="n">
        <x:v>13</x:v>
      </x:c>
      <x:c r="F280" s="38" t="str">
        <x:v>Deadly, Fiery, Obsidian, Golden, Heavy, Icy, Mossy, Radiant, Restorative, Shielded, Shiny, Toxic, Turbo</x:v>
      </x:c>
      <x:c r="G280" s="38" t="str">
        <x:v>输出/冰；来源标签 weapon, damage</x:v>
      </x:c>
    </x:row>
    <x:row r="281">
      <x:c r="A281" s="38" t="str">
        <x:v>pal_280</x:v>
      </x:c>
      <x:c r="B281" s="38" t="str">
        <x:v>潮猿仔</x:v>
      </x:c>
      <x:c r="C281" s="38" t="str">
        <x:v>bz_van_280</x:v>
      </x:c>
      <x:c r="D281" s="38" t="str">
        <x:v>Turbo</x:v>
      </x:c>
      <x:c r="E281" s="38" t="n">
        <x:v>13</x:v>
      </x:c>
      <x:c r="F281" s="38" t="str">
        <x:v>Turbo, Deadly, Shiny, Fiery, Golden, Heavy, Icy, Mossy, Obsidian, Radiant, Restorative, Shielded, Toxic</x:v>
      </x:c>
      <x:c r="G281" s="38" t="str">
        <x:v>机动/水；来源标签 aquatic, toy, haste</x:v>
      </x:c>
    </x:row>
    <x:row r="282">
      <x:c r="A282" s="38" t="str">
        <x:v>pal_281</x:v>
      </x:c>
      <x:c r="B282" s="38" t="str">
        <x:v>渊隼兽</x:v>
      </x:c>
      <x:c r="C282" s="38" t="str">
        <x:v>bz_van_281</x:v>
      </x:c>
      <x:c r="D282" s="38" t="str">
        <x:v>Deadly</x:v>
      </x:c>
      <x:c r="E282" s="38" t="n">
        <x:v>13</x:v>
      </x:c>
      <x:c r="F282" s="38" t="str">
        <x:v>Deadly, Fiery, Obsidian, Golden, Heavy, Icy, Mossy, Radiant, Restorative, Shielded, Shiny, Toxic, Turbo</x:v>
      </x:c>
      <x:c r="G282" s="38" t="str">
        <x:v>输出/水；来源标签 weapon, aquatic, damage</x:v>
      </x:c>
    </x:row>
    <x:row r="283">
      <x:c r="A283" s="38" t="str">
        <x:v>pal_282</x:v>
      </x:c>
      <x:c r="B283" s="38" t="str">
        <x:v>震蛙童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控制/雷；来源标签 weapon, damage, ammo, slow</x:v>
      </x:c>
    </x:row>
    <x:row r="284">
      <x:c r="A284" s="38" t="str">
        <x:v>pal_283</x:v>
      </x:c>
      <x:c r="B284" s="38" t="str">
        <x:v>鸣蟾仔</x:v>
      </x:c>
      <x:c r="C284" s="38" t="str">
        <x:v>bz_van_283</x:v>
      </x:c>
      <x:c r="D284" s="38" t="str">
        <x:v>Deadly</x:v>
      </x:c>
      <x:c r="E284" s="38" t="n">
        <x:v>13</x:v>
      </x:c>
      <x:c r="F284" s="38" t="str">
        <x:v>Deadly, Radiant, Mossy, Shielded, Fiery, Golden, Heavy, Icy, Obsidian, Restorative, Shiny, Toxic, Turbo</x:v>
      </x:c>
      <x:c r="G284" s="38" t="str">
        <x:v>召唤/雷、龙；来源标签 friend, weapon, damage, critreference</x:v>
      </x:c>
    </x:row>
    <x:row r="285">
      <x:c r="A285" s="38" t="str">
        <x:v>pal_284</x:v>
      </x:c>
      <x:c r="B285" s="38" t="str">
        <x:v>朱鲨童</x:v>
      </x:c>
      <x:c r="C285" s="38" t="str">
        <x:v>bz_van_284</x:v>
      </x:c>
      <x:c r="D285" s="38" t="str">
        <x:v>Fiery</x:v>
      </x:c>
      <x:c r="E285" s="38" t="n">
        <x:v>13</x:v>
      </x:c>
      <x:c r="F285" s="38" t="str">
        <x:v>Fiery, Deadly, Obsidian, Golden, Heavy, Icy, Mossy, Radiant, Restorative, Shielded, Shiny, Toxic, Turbo</x:v>
      </x:c>
      <x:c r="G285" s="38" t="str">
        <x:v>输出/火、雷；来源标签 weapon, damage, ammo, burn</x:v>
      </x:c>
    </x:row>
    <x:row r="286">
      <x:c r="A286" s="38" t="str">
        <x:v>pal_285</x:v>
      </x:c>
      <x:c r="B286" s="38" t="str">
        <x:v>翠蝎灵</x:v>
      </x:c>
      <x:c r="C286" s="38" t="str">
        <x:v>bz_van_285</x:v>
      </x:c>
      <x:c r="D286" s="38" t="str">
        <x:v>Toxic</x:v>
      </x:c>
      <x:c r="E286" s="38" t="n">
        <x:v>13</x:v>
      </x:c>
      <x:c r="F286" s="38" t="str">
        <x:v>Toxic, Icy, Obsidian, Deadly, Fiery, Golden, Heavy, Mossy, Radiant, Restorative, Shielded, Shiny, Turbo</x:v>
      </x:c>
      <x:c r="G286" s="38" t="str">
        <x:v>控制/草、水；来源标签 aquatic, friend, poison, hastereference</x:v>
      </x:c>
    </x:row>
    <x:row r="287">
      <x:c r="A287" s="38" t="str">
        <x:v>pal_286</x:v>
      </x:c>
      <x:c r="B287" s="38" t="str">
        <x:v>森狮童</x:v>
      </x:c>
      <x:c r="C287" s="38" t="str">
        <x:v>bz_van_286</x:v>
      </x:c>
      <x:c r="D287" s="38" t="str">
        <x:v>Deadly</x:v>
      </x:c>
      <x:c r="E287" s="38" t="n">
        <x:v>13</x:v>
      </x:c>
      <x:c r="F287" s="38" t="str">
        <x:v>Deadly, Fiery, Obsidian, Golden, Heavy, Icy, Mossy, Radiant, Restorative, Shielded, Shiny, Toxic, Turbo</x:v>
      </x:c>
      <x:c r="G287" s="38" t="str">
        <x:v>输出/草、水；来源标签 aquatic, food, crit</x:v>
      </x:c>
    </x:row>
    <x:row r="288">
      <x:c r="A288" s="38" t="str">
        <x:v>pal_287</x:v>
      </x:c>
      <x:c r="B288" s="38" t="str">
        <x:v>云狐兽</x:v>
      </x:c>
      <x:c r="C288" s="38" t="str">
        <x:v>bz_van_287</x:v>
      </x:c>
      <x:c r="D288" s="38" t="str">
        <x:v>Turbo</x:v>
      </x:c>
      <x:c r="E288" s="38" t="n">
        <x:v>13</x:v>
      </x:c>
      <x:c r="F288" s="38" t="str">
        <x:v>Turbo, Deadly, Shiny, Fiery, Golden, Heavy, Icy, Mossy, Obsidian, Radiant, Restorative, Shielded, Toxic</x:v>
      </x:c>
      <x:c r="G288" s="38" t="str">
        <x:v>机动/无；来源标签 weapon, damage, gold, haste</x:v>
      </x:c>
    </x:row>
    <x:row r="289">
      <x:c r="A289" s="38" t="str">
        <x:v>pal_288</x:v>
      </x:c>
      <x:c r="B289" s="38" t="str">
        <x:v>澜兔仔</x:v>
      </x:c>
      <x:c r="C289" s="38" t="str">
        <x:v>bz_van_288</x:v>
      </x:c>
      <x:c r="D289" s="38" t="str">
        <x:v>Restorative</x:v>
      </x:c>
      <x:c r="E289" s="38" t="n">
        <x:v>13</x:v>
      </x:c>
      <x:c r="F289" s="38" t="str">
        <x:v>Restorative, Mossy, Radiant, Deadly, Fiery, Golden, Heavy, Icy, Obsidian, Shielded, Shiny, Toxic, Turbo</x:v>
      </x:c>
      <x:c r="G289" s="38" t="str">
        <x:v>治疗/水、龙；来源标签 aquatic, relic, heal</x:v>
      </x:c>
    </x:row>
    <x:row r="290">
      <x:c r="A290" s="38" t="str">
        <x:v>pal_289</x:v>
      </x:c>
      <x:c r="B290" s="38" t="str">
        <x:v>沧鼋童</x:v>
      </x:c>
      <x:c r="C290" s="38" t="str">
        <x:v>bz_van_289</x:v>
      </x:c>
      <x:c r="D290" s="38" t="str">
        <x:v>Shielded</x:v>
      </x:c>
      <x:c r="E290" s="38" t="n">
        <x:v>13</x:v>
      </x:c>
      <x:c r="F290" s="38" t="str">
        <x:v>Shielded, Heavy, Mossy, Deadly, Fiery, Golden, Icy, Obsidian, Radiant, Restorative, Shiny, Toxic, Turbo</x:v>
      </x:c>
      <x:c r="G290" s="38" t="str">
        <x:v>坦克/水、地；来源标签 aquatic, apparel, relic, shield</x:v>
      </x:c>
    </x:row>
    <x:row r="291">
      <x:c r="A291" s="38" t="str">
        <x:v>pal_290</x:v>
      </x:c>
      <x:c r="B291" s="38" t="str">
        <x:v>汐象兽</x:v>
      </x:c>
      <x:c r="C291" s="38" t="str">
        <x:v>bz_van_290</x:v>
      </x:c>
      <x:c r="D291" s="38" t="str">
        <x:v>Shielded</x:v>
      </x:c>
      <x:c r="E291" s="38" t="n">
        <x:v>13</x:v>
      </x:c>
      <x:c r="F291" s="38" t="str">
        <x:v>Shielded, Heavy, Mossy, Deadly, Fiery, Golden, Icy, Obsidian, Radiant, Restorative, Shiny, Toxic, Turbo</x:v>
      </x:c>
      <x:c r="G291" s="38" t="str">
        <x:v>坦克/水、地；来源标签 aquatic, property, shield, value, economyreference</x:v>
      </x:c>
    </x:row>
    <x:row r="292">
      <x:c r="A292" s="38" t="str">
        <x:v>pal_291</x:v>
      </x:c>
      <x:c r="B292" s="38" t="str">
        <x:v>震虎灵</x:v>
      </x:c>
      <x:c r="C292" s="38" t="str">
        <x:v>bz_van_291</x:v>
      </x:c>
      <x:c r="D292" s="38" t="str">
        <x:v>Deadly</x:v>
      </x:c>
      <x:c r="E292" s="38" t="n">
        <x:v>13</x:v>
      </x:c>
      <x:c r="F292" s="38" t="str">
        <x:v>Deadly, Fiery, Obsidian, Golden, Heavy, Icy, Mossy, Radiant, Restorative, Shielded, Shiny, Toxic, Turbo</x:v>
      </x:c>
      <x:c r="G292" s="38" t="str">
        <x:v>输出/雷；来源标签 weapon, damage, critreference</x:v>
      </x:c>
    </x:row>
    <x:row r="293">
      <x:c r="A293" s="38" t="str">
        <x:v>pal_292</x:v>
      </x:c>
      <x:c r="B293" s="38" t="str">
        <x:v>闪狮童</x:v>
      </x:c>
      <x:c r="C293" s="38" t="str">
        <x:v>bz_van_292</x:v>
      </x:c>
      <x:c r="D293" s="38" t="str">
        <x:v>Deadly</x:v>
      </x:c>
      <x:c r="E293" s="38" t="n">
        <x:v>13</x:v>
      </x:c>
      <x:c r="F293" s="38" t="str">
        <x:v>Deadly, Fiery, Obsidian, Golden, Heavy, Icy, Mossy, Radiant, Restorative, Shielded, Shiny, Toxic, Turbo</x:v>
      </x:c>
      <x:c r="G293" s="38" t="str">
        <x:v>输出/雷；来源标签 weapon, damage, ammo</x:v>
      </x:c>
    </x:row>
    <x:row r="294">
      <x:c r="A294" s="38" t="str">
        <x:v>pal_293</x:v>
      </x:c>
      <x:c r="B294" s="38" t="str">
        <x:v>潮貂仔</x:v>
      </x:c>
      <x:c r="C294" s="38" t="str">
        <x:v>bz_van_293</x:v>
      </x:c>
      <x:c r="D294" s="38" t="str">
        <x:v>Icy</x:v>
      </x:c>
      <x:c r="E294" s="38" t="n">
        <x:v>13</x:v>
      </x:c>
      <x:c r="F294" s="38" t="str">
        <x:v>Icy, Toxic, Obsidian, Deadly, Fiery, Golden, Heavy, Mossy, Radiant, Restorative, Shielded, Shiny, Turbo</x:v>
      </x:c>
      <x:c r="G294" s="38" t="str">
        <x:v>控制/水；来源标签 aquatic, tool, slow, economyreference</x:v>
      </x:c>
    </x:row>
    <x:row r="295">
      <x:c r="A295" s="38" t="str">
        <x:v>pal_294</x:v>
      </x:c>
      <x:c r="B295" s="38" t="str">
        <x:v>澜燕灵</x:v>
      </x:c>
      <x:c r="C295" s="38" t="str">
        <x:v>bz_van_294</x:v>
      </x:c>
      <x:c r="D295" s="38" t="str">
        <x:v>Turbo</x:v>
      </x:c>
      <x:c r="E295" s="38" t="n">
        <x:v>13</x:v>
      </x:c>
      <x:c r="F295" s="38" t="str">
        <x:v>Turbo, Deadly, Shiny, Fiery, Golden, Heavy, Icy, Mossy, Obsidian, Radiant, Restorative, Shielded, Toxic</x:v>
      </x:c>
      <x:c r="G295" s="38" t="str">
        <x:v>机动/水；来源标签 aquatic, tool, haste</x:v>
      </x:c>
    </x:row>
    <x:row r="296">
      <x:c r="A296" s="38" t="str">
        <x:v>pal_295</x:v>
      </x:c>
      <x:c r="B296" s="38" t="str">
        <x:v>沧鲭童</x:v>
      </x:c>
      <x:c r="C296" s="38" t="str">
        <x:v>bz_van_295</x:v>
      </x:c>
      <x:c r="D296" s="38" t="str">
        <x:v>Turbo</x:v>
      </x:c>
      <x:c r="E296" s="38" t="n">
        <x:v>13</x:v>
      </x:c>
      <x:c r="F296" s="38" t="str">
        <x:v>Turbo, Deadly, Shiny, Fiery, Golden, Heavy, Icy, Mossy, Obsidian, Radiant, Restorative, Shielded, Toxic</x:v>
      </x:c>
      <x:c r="G296" s="38" t="str">
        <x:v>机动/水、龙；来源标签 aquatic, friend, weapon, haste, flying</x:v>
      </x:c>
    </x:row>
    <x:row r="297">
      <x:c r="A297" s="38" t="str">
        <x:v>pal_296</x:v>
      </x:c>
      <x:c r="B297" s="38" t="str">
        <x:v>雷隼兽</x:v>
      </x:c>
      <x:c r="C297" s="38" t="str">
        <x:v>bz_van_296</x:v>
      </x:c>
      <x:c r="D297" s="38" t="str">
        <x:v>Deadly</x:v>
      </x:c>
      <x:c r="E297" s="38" t="n">
        <x:v>13</x:v>
      </x:c>
      <x:c r="F297" s="38" t="str">
        <x:v>Deadly, Fiery, Obsidian, Golden, Heavy, Icy, Mossy, Radiant, Restorative, Shielded, Shiny, Toxic, Turbo</x:v>
      </x:c>
      <x:c r="G297" s="38" t="str">
        <x:v>输出/雷；来源标签 weapon, damage, ammo</x:v>
      </x:c>
    </x:row>
    <x:row r="298">
      <x:c r="A298" s="38" t="str">
        <x:v>pal_297</x:v>
      </x:c>
      <x:c r="B298" s="38" t="str">
        <x:v>凝蛇灵</x:v>
      </x:c>
      <x:c r="C298" s="38" t="str">
        <x:v>bz_van_297</x:v>
      </x:c>
      <x:c r="D298" s="38" t="str">
        <x:v>Icy</x:v>
      </x:c>
      <x:c r="E298" s="38" t="n">
        <x:v>13</x:v>
      </x:c>
      <x:c r="F298" s="38" t="str">
        <x:v>Icy, Toxic, Obsidian, Deadly, Fiery, Golden, Heavy, Mossy, Radiant, Restorative, Shielded, Shiny, Turbo</x:v>
      </x:c>
      <x:c r="G298" s="38" t="str">
        <x:v>控制/冰；来源标签 weapon, tool, damage, slow</x:v>
      </x:c>
    </x:row>
    <x:row r="299">
      <x:c r="A299" s="38" t="str">
        <x:v>pal_298</x:v>
      </x:c>
      <x:c r="B299" s="38" t="str">
        <x:v>电虎灵</x:v>
      </x:c>
      <x:c r="C299" s="38" t="str">
        <x:v>bz_van_298</x:v>
      </x:c>
      <x:c r="D299" s="38" t="str">
        <x:v>Deadly</x:v>
      </x:c>
      <x:c r="E299" s="38" t="n">
        <x:v>13</x:v>
      </x:c>
      <x:c r="F299" s="38" t="str">
        <x:v>Deadly, Fiery, Obsidian, Golden, Heavy, Icy, Mossy, Radiant, Restorative, Shielded, Shiny, Toxic, Turbo</x:v>
      </x:c>
      <x:c r="G299" s="38" t="str">
        <x:v>输出/雷；来源标签 weapon, damage, ammo</x:v>
      </x:c>
    </x:row>
    <x:row r="300">
      <x:c r="A300" s="38" t="str">
        <x:v>pal_299</x:v>
      </x:c>
      <x:c r="B300" s="38" t="str">
        <x:v>夜鹰仔</x:v>
      </x:c>
      <x:c r="C300" s="38" t="str">
        <x:v>bz_van_299</x:v>
      </x:c>
      <x:c r="D300" s="38" t="str">
        <x:v>Deadly</x:v>
      </x:c>
      <x:c r="E300" s="38" t="n">
        <x:v>13</x:v>
      </x:c>
      <x:c r="F300" s="38" t="str">
        <x:v>Deadly, Fiery, Obsidian, Golden, Heavy, Icy, Mossy, Radiant, Restorative, Shielded, Shiny, Toxic, Turbo</x:v>
      </x:c>
      <x:c r="G300" s="38" t="str">
        <x:v>输出/暗；来源标签 weapon, damage</x:v>
      </x:c>
    </x:row>
    <x:row r="301">
      <x:c r="A301" s="38" t="str">
        <x:v>pal_300</x:v>
      </x:c>
      <x:c r="B301" s="38" t="str">
        <x:v>沧虎灵</x:v>
      </x:c>
      <x:c r="C301" s="38" t="str">
        <x:v>bz_van_300</x:v>
      </x:c>
      <x:c r="D301" s="38" t="str">
        <x:v>Deadly</x:v>
      </x:c>
      <x:c r="E301" s="38" t="n">
        <x:v>13</x:v>
      </x:c>
      <x:c r="F301" s="38" t="str">
        <x:v>Deadly, Fiery, Obsidian, Golden, Heavy, Icy, Mossy, Radiant, Restorative, Shielded, Shiny, Toxic, Turbo</x:v>
      </x:c>
      <x:c r="G301" s="38" t="str">
        <x:v>输出/水；来源标签 tool, damagereference</x:v>
      </x:c>
    </x:row>
    <x:row r="302">
      <x:c r="A302" s="38" t="str">
        <x:v>pal_301</x:v>
      </x:c>
      <x:c r="B302" s="38" t="str">
        <x:v>澜貂仔</x:v>
      </x:c>
      <x:c r="C302" s="38" t="str">
        <x:v>bz_van_301</x:v>
      </x:c>
      <x:c r="D302" s="38" t="str">
        <x:v>Icy</x:v>
      </x:c>
      <x:c r="E302" s="38" t="n">
        <x:v>13</x:v>
      </x:c>
      <x:c r="F302" s="38" t="str">
        <x:v>Icy, Toxic, Obsidian, Deadly, Fiery, Golden, Heavy, Mossy, Radiant, Restorative, Shielded, Shiny, Turbo</x:v>
      </x:c>
      <x:c r="G302" s="38" t="str">
        <x:v>控制/水、龙；来源标签 aquatic, friend, ray, slow</x:v>
      </x:c>
    </x:row>
    <x:row r="303">
      <x:c r="A303" s="38" t="str">
        <x:v>pal_302</x:v>
      </x:c>
      <x:c r="B303" s="38" t="str">
        <x:v>芽蝎仔</x:v>
      </x:c>
      <x:c r="C303" s="38" t="str">
        <x:v>bz_van_302</x:v>
      </x:c>
      <x:c r="D303" s="38" t="str">
        <x:v>Toxic</x:v>
      </x:c>
      <x:c r="E303" s="38" t="n">
        <x:v>13</x:v>
      </x:c>
      <x:c r="F303" s="38" t="str">
        <x:v>Toxic, Icy, Obsidian, Deadly, Fiery, Golden, Heavy, Mossy, Radiant, Restorative, Shielded, Shiny, Turbo</x:v>
      </x:c>
      <x:c r="G303" s="38" t="str">
        <x:v>控制/草、水；来源标签 aquatic, friend, poison, haste</x:v>
      </x:c>
    </x:row>
    <x:row r="304">
      <x:c r="A304" s="38" t="str">
        <x:v>pal_303</x:v>
      </x:c>
      <x:c r="B304" s="38" t="str">
        <x:v>翠隼童</x:v>
      </x:c>
      <x:c r="C304" s="38" t="str">
        <x:v>bz_van_303</x:v>
      </x:c>
      <x:c r="D304" s="38" t="str">
        <x:v>Deadly</x:v>
      </x:c>
      <x:c r="E304" s="38" t="n">
        <x:v>13</x:v>
      </x:c>
      <x:c r="F304" s="38" t="str">
        <x:v>Deadly, Fiery, Obsidian, Golden, Heavy, Icy, Mossy, Radiant, Restorative, Shielded, Shiny, Toxic, Turbo</x:v>
      </x:c>
      <x:c r="G304" s="38" t="str">
        <x:v>输出/草；来源标签 weapon, damage</x:v>
      </x:c>
    </x:row>
    <x:row r="305">
      <x:c r="A305" s="38" t="str">
        <x:v>pal_304</x:v>
      </x:c>
      <x:c r="B305" s="38" t="str">
        <x:v>虬豹兽</x:v>
      </x:c>
      <x:c r="C305" s="38" t="str">
        <x:v>bz_van_304</x:v>
      </x:c>
      <x:c r="D305" s="38" t="str">
        <x:v>Deadly</x:v>
      </x:c>
      <x:c r="E305" s="38" t="n">
        <x:v>13</x:v>
      </x:c>
      <x:c r="F305" s="38" t="str">
        <x:v>Deadly, Fiery, Obsidian, Golden, Heavy, Icy, Mossy, Radiant, Restorative, Shielded, Shiny, Toxic, Turbo</x:v>
      </x:c>
      <x:c r="G305" s="38" t="str">
        <x:v>输出/龙；来源标签 weapon, relic, damage</x:v>
      </x:c>
    </x:row>
    <x:row r="306">
      <x:c r="A306" s="38" t="str">
        <x:v>pal_305</x:v>
      </x:c>
      <x:c r="B306" s="38" t="str">
        <x:v>汐羊童</x:v>
      </x:c>
      <x:c r="C306" s="38" t="str">
        <x:v>bz_van_305</x:v>
      </x:c>
      <x:c r="D306" s="38" t="str">
        <x:v>Restorative</x:v>
      </x:c>
      <x:c r="E306" s="38" t="n">
        <x:v>13</x:v>
      </x:c>
      <x:c r="F306" s="38" t="str">
        <x:v>Restorative, Mossy, Radiant, Deadly, Fiery, Golden, Heavy, Icy, Obsidian, Shielded, Shiny, Toxic, Turbo</x:v>
      </x:c>
      <x:c r="G306" s="38" t="str">
        <x:v>治疗/水、地；来源标签 aquatic, shield, heal</x:v>
      </x:c>
    </x:row>
    <x:row r="307">
      <x:c r="A307" s="38" t="str">
        <x:v>pal_306</x:v>
      </x:c>
      <x:c r="B307" s="38" t="str">
        <x:v>燎豹童</x:v>
      </x:c>
      <x:c r="C307" s="38" t="str">
        <x:v>bz_van_306</x:v>
      </x:c>
      <x:c r="D307" s="38" t="str">
        <x:v>Fiery</x:v>
      </x:c>
      <x:c r="E307" s="38" t="n">
        <x:v>13</x:v>
      </x:c>
      <x:c r="F307" s="38" t="str">
        <x:v>Fiery, Deadly, Obsidian, Golden, Heavy, Icy, Mossy, Radiant, Restorative, Shielded, Shiny, Toxic, Turbo</x:v>
      </x:c>
      <x:c r="G307" s="38" t="str">
        <x:v>输出/火；来源标签 tool, burn</x:v>
      </x:c>
    </x:row>
    <x:row r="308">
      <x:c r="A308" s="38" t="str">
        <x:v>pal_307</x:v>
      </x:c>
      <x:c r="B308" s="38" t="str">
        <x:v>赤蛇仔</x:v>
      </x:c>
      <x:c r="C308" s="38" t="str">
        <x:v>bz_van_307</x:v>
      </x:c>
      <x:c r="D308" s="38" t="str">
        <x:v>Fiery</x:v>
      </x:c>
      <x:c r="E308" s="38" t="n">
        <x:v>13</x:v>
      </x:c>
      <x:c r="F308" s="38" t="str">
        <x:v>Fiery, Icy, Toxic, Obsidian, Deadly, Golden, Heavy, Mossy, Radiant, Restorative, Shielded, Shiny, Turbo</x:v>
      </x:c>
      <x:c r="G308" s="38" t="str">
        <x:v>控制/火、水；来源标签 aquatic, weapon, friend, damage, burn, slowreference, ammo</x:v>
      </x:c>
    </x:row>
    <x:row r="309">
      <x:c r="A309" s="38" t="str">
        <x:v>pal_308</x:v>
      </x:c>
      <x:c r="B309" s="38" t="str">
        <x:v>汐燕仔</x:v>
      </x:c>
      <x:c r="C309" s="38" t="str">
        <x:v>bz_van_308</x:v>
      </x:c>
      <x:c r="D309" s="38" t="str">
        <x:v>Deadly</x:v>
      </x:c>
      <x:c r="E309" s="38" t="n">
        <x:v>13</x:v>
      </x:c>
      <x:c r="F309" s="38" t="str">
        <x:v>Deadly, Turbo, Shiny, Fiery, Golden, Heavy, Icy, Mossy, Obsidian, Radiant, Restorative, Shielded, Toxic</x:v>
      </x:c>
      <x:c r="G309" s="38" t="str">
        <x:v>机动/水、雷；来源标签 aquatic, friend, weapon, crit, flying</x:v>
      </x:c>
    </x:row>
    <x:row r="310">
      <x:c r="A310" s="38" t="str">
        <x:v>pal_309</x:v>
      </x:c>
      <x:c r="B310" s="38" t="str">
        <x:v>碧鲲灵</x:v>
      </x:c>
      <x:c r="C310" s="38" t="str">
        <x:v>bz_van_309</x:v>
      </x:c>
      <x:c r="D310" s="38" t="str">
        <x:v>Deadly</x:v>
      </x:c>
      <x:c r="E310" s="38" t="n">
        <x:v>13</x:v>
      </x:c>
      <x:c r="F310" s="38" t="str">
        <x:v>Deadly, Radiant, Mossy, Shielded, Fiery, Golden, Heavy, Icy, Obsidian, Restorative, Shiny, Toxic, Turbo</x:v>
      </x:c>
      <x:c r="G310" s="38" t="str">
        <x:v>召唤/水、龙；来源标签 aquatic, weapon, friend, damage</x:v>
      </x:c>
    </x:row>
    <x:row r="311">
      <x:c r="A311" s="38" t="str">
        <x:v>pal_310</x:v>
      </x:c>
      <x:c r="B311" s="38" t="str">
        <x:v>汐熊仔</x:v>
      </x:c>
      <x:c r="C311" s="38" t="str">
        <x:v>bz_van_310</x:v>
      </x:c>
      <x:c r="D311" s="38" t="str">
        <x:v>Shielded</x:v>
      </x:c>
      <x:c r="E311" s="38" t="n">
        <x:v>13</x:v>
      </x:c>
      <x:c r="F311" s="38" t="str">
        <x:v>Shielded, Heavy, Mossy, Deadly, Fiery, Golden, Icy, Obsidian, Radiant, Restorative, Shiny, Toxic, Turbo</x:v>
      </x:c>
      <x:c r="G311" s="38" t="str">
        <x:v>坦克/水、地；来源标签 aquatic, shield</x:v>
      </x:c>
    </x:row>
    <x:row r="312">
      <x:c r="A312" s="38" t="str">
        <x:v>pal_311</x:v>
      </x:c>
      <x:c r="B312" s="38" t="str">
        <x:v>朱雀灵</x:v>
      </x:c>
      <x:c r="C312" s="38" t="str">
        <x:v>bz_van_311</x:v>
      </x:c>
      <x:c r="D312" s="38" t="str">
        <x:v>Fiery</x:v>
      </x:c>
      <x:c r="E312" s="38" t="n">
        <x:v>13</x:v>
      </x:c>
      <x:c r="F312" s="38" t="str">
        <x:v>Fiery, Turbo, Deadly, Shiny, Golden, Heavy, Icy, Mossy, Obsidian, Radiant, Restorative, Shielded, Toxic</x:v>
      </x:c>
      <x:c r="G312" s="38" t="str">
        <x:v>机动/火、龙；来源标签 friend, burn, flying</x:v>
      </x:c>
    </x:row>
    <x:row r="313">
      <x:c r="A313" s="38" t="str">
        <x:v>pal_312</x:v>
      </x:c>
      <x:c r="B313" s="38" t="str">
        <x:v>霆螺灵</x:v>
      </x:c>
      <x:c r="C313" s="38" t="str">
        <x:v>bz_van_312</x:v>
      </x:c>
      <x:c r="D313" s="38" t="str">
        <x:v>Deadly</x:v>
      </x:c>
      <x:c r="E313" s="38" t="n">
        <x:v>13</x:v>
      </x:c>
      <x:c r="F313" s="38" t="str">
        <x:v>Deadly, Radiant, Mossy, Shielded, Fiery, Golden, Heavy, Icy, Obsidian, Restorative, Shiny, Toxic, Turbo</x:v>
      </x:c>
      <x:c r="G313" s="38" t="str">
        <x:v>召唤/雷、地；来源标签 weapon, friend, toy, damage, crit</x:v>
      </x:c>
    </x:row>
    <x:row r="314">
      <x:c r="A314" s="38" t="str">
        <x:v>pal_313</x:v>
      </x:c>
      <x:c r="B314" s="38" t="str">
        <x:v>沧狐兽</x:v>
      </x:c>
      <x:c r="C314" s="38" t="str">
        <x:v>bz_van_313</x:v>
      </x:c>
      <x:c r="D314" s="38" t="str">
        <x:v>Turbo</x:v>
      </x:c>
      <x:c r="E314" s="38" t="n">
        <x:v>13</x:v>
      </x:c>
      <x:c r="F314" s="38" t="str">
        <x:v>Turbo, Deadly, Shiny, Fiery, Golden, Heavy, Icy, Mossy, Obsidian, Radiant, Restorative, Shielded, Toxic</x:v>
      </x:c>
      <x:c r="G314" s="38" t="str">
        <x:v>机动/水、雷；来源标签 aquatic, weapon, friend, damage, charge</x:v>
      </x:c>
    </x:row>
    <x:row r="315">
      <x:c r="A315" s="38" t="str">
        <x:v>pal_314</x:v>
      </x:c>
      <x:c r="B315" s="38" t="str">
        <x:v>震燕将</x:v>
      </x:c>
      <x:c r="C315" s="38" t="str">
        <x:v>bz_van_314</x:v>
      </x:c>
      <x:c r="D315" s="38" t="str">
        <x:v>Turbo</x:v>
      </x:c>
      <x:c r="E315" s="38" t="n">
        <x:v>13</x:v>
      </x:c>
      <x:c r="F315" s="38" t="str">
        <x:v>Turbo, Deadly, Shiny, Fiery, Golden, Heavy, Icy, Mossy, Obsidian, Radiant, Restorative, Shielded, Toxic</x:v>
      </x:c>
      <x:c r="G315" s="38" t="str">
        <x:v>机动/雷；来源标签 weapon, damage, ammo, hastereference</x:v>
      </x:c>
    </x:row>
    <x:row r="316">
      <x:c r="A316" s="38" t="str">
        <x:v>pal_315</x:v>
      </x:c>
      <x:c r="B316" s="38" t="str">
        <x:v>炎燕将</x:v>
      </x:c>
      <x:c r="C316" s="38" t="str">
        <x:v>bz_van_315</x:v>
      </x:c>
      <x:c r="D316" s="38" t="str">
        <x:v>Turbo</x:v>
      </x:c>
      <x:c r="E316" s="38" t="n">
        <x:v>13</x:v>
      </x:c>
      <x:c r="F316" s="38" t="str">
        <x:v>Turbo, Deadly, Shiny, Fiery, Golden, Heavy, Icy, Mossy, Obsidian, Radiant, Restorative, Shielded, Toxic</x:v>
      </x:c>
      <x:c r="G316" s="38" t="str">
        <x:v>机动/火；来源标签 tool, haste</x:v>
      </x:c>
    </x:row>
    <x:row r="317">
      <x:c r="A317" s="38" t="str">
        <x:v>pal_316</x:v>
      </x:c>
      <x:c r="B317" s="38" t="str">
        <x:v>沧鲭卫</x:v>
      </x:c>
      <x:c r="C317" s="38" t="str">
        <x:v>bz_van_316</x:v>
      </x:c>
      <x:c r="D317" s="38" t="str">
        <x:v>Deadly</x:v>
      </x:c>
      <x:c r="E317" s="38" t="n">
        <x:v>13</x:v>
      </x:c>
      <x:c r="F317" s="38" t="str">
        <x:v>Deadly, Turbo, Shiny, Fiery, Golden, Heavy, Icy, Mossy, Obsidian, Radiant, Restorative, Shielded, Toxic</x:v>
      </x:c>
      <x:c r="G317" s="38" t="str">
        <x:v>机动/水、龙；来源标签 weapon, tech, aquatic, vehicle, damage, flying</x:v>
      </x:c>
    </x:row>
    <x:row r="318">
      <x:c r="A318" s="38" t="str">
        <x:v>pal_317</x:v>
      </x:c>
      <x:c r="B318" s="38" t="str">
        <x:v>焰狐卫</x:v>
      </x:c>
      <x:c r="C318" s="38" t="str">
        <x:v>bz_van_317</x:v>
      </x:c>
      <x:c r="D318" s="38" t="str">
        <x:v>Fiery</x:v>
      </x:c>
      <x:c r="E318" s="38" t="n">
        <x:v>13</x:v>
      </x:c>
      <x:c r="F318" s="38" t="str">
        <x:v>Fiery, Turbo, Deadly, Shiny, Golden, Heavy, Icy, Mossy, Obsidian, Radiant, Restorative, Shielded, Toxic</x:v>
      </x:c>
      <x:c r="G318" s="38" t="str">
        <x:v>机动/火；来源标签 burn, haste</x:v>
      </x:c>
    </x:row>
    <x:row r="319">
      <x:c r="A319" s="38" t="str">
        <x:v>pal_318</x:v>
      </x:c>
      <x:c r="B319" s="38" t="str">
        <x:v>蛟隼妖</x:v>
      </x:c>
      <x:c r="C319" s="38" t="str">
        <x:v>bz_van_318</x:v>
      </x:c>
      <x:c r="D319" s="38" t="str">
        <x:v>Deadly</x:v>
      </x:c>
      <x:c r="E319" s="38" t="n">
        <x:v>13</x:v>
      </x:c>
      <x:c r="F319" s="38" t="str">
        <x:v>Deadly, Fiery, Obsidian, Golden, Heavy, Icy, Mossy, Radiant, Restorative, Shielded, Shiny, Toxic, Turbo</x:v>
      </x:c>
      <x:c r="G319" s="38" t="str">
        <x:v>输出/龙；来源标签 weapon, damage</x:v>
      </x:c>
    </x:row>
    <x:row r="320">
      <x:c r="A320" s="38" t="str">
        <x:v>pal_319</x:v>
      </x:c>
      <x:c r="B320" s="38" t="str">
        <x:v>闪隼妖</x:v>
      </x:c>
      <x:c r="C320" s="38" t="str">
        <x:v>bz_van_319</x:v>
      </x:c>
      <x:c r="D320" s="38" t="str">
        <x:v>Deadly</x:v>
      </x:c>
      <x:c r="E320" s="38" t="n">
        <x:v>13</x:v>
      </x:c>
      <x:c r="F320" s="38" t="str">
        <x:v>Deadly, Fiery, Obsidian, Golden, Heavy, Icy, Mossy, Radiant, Restorative, Shielded, Shiny, Toxic, Turbo</x:v>
      </x:c>
      <x:c r="G320" s="38" t="str">
        <x:v>输出/雷；来源标签 ammoreference</x:v>
      </x:c>
    </x:row>
    <x:row r="321">
      <x:c r="A321" s="38" t="str">
        <x:v>pal_320</x:v>
      </x:c>
      <x:c r="B321" s="38" t="str">
        <x:v>潮狐精</x:v>
      </x:c>
      <x:c r="C321" s="38" t="str">
        <x:v>bz_van_320</x:v>
      </x:c>
      <x:c r="D321" s="38" t="str">
        <x:v>Turbo</x:v>
      </x:c>
      <x:c r="E321" s="38" t="n">
        <x:v>13</x:v>
      </x:c>
      <x:c r="F321" s="38" t="str">
        <x:v>Turbo, Deadly, Shiny, Fiery, Golden, Heavy, Icy, Mossy, Obsidian, Radiant, Restorative, Shielded, Toxic</x:v>
      </x:c>
      <x:c r="G321" s="38" t="str">
        <x:v>机动/水、雷；来源标签 aquatic, property, haste, damagereference, ammoreference</x:v>
      </x:c>
    </x:row>
    <x:row r="322">
      <x:c r="A322" s="38" t="str">
        <x:v>pal_321</x:v>
      </x:c>
      <x:c r="B322" s="38" t="str">
        <x:v>澜隼精</x:v>
      </x:c>
      <x:c r="C322" s="38" t="str">
        <x:v>bz_van_321</x:v>
      </x:c>
      <x:c r="D322" s="38" t="str">
        <x:v>Turbo</x:v>
      </x:c>
      <x:c r="E322" s="38" t="n">
        <x:v>13</x:v>
      </x:c>
      <x:c r="F322" s="38" t="str">
        <x:v>Turbo, Deadly, Shiny, Fiery, Golden, Heavy, Icy, Mossy, Obsidian, Radiant, Restorative, Shielded, Toxic</x:v>
      </x:c>
      <x:c r="G322" s="38" t="str">
        <x:v>机动/水；来源标签 aquatic, tool, haste</x:v>
      </x:c>
    </x:row>
    <x:row r="323">
      <x:c r="A323" s="38" t="str">
        <x:v>pal_322</x:v>
      </x:c>
      <x:c r="B323" s="38" t="str">
        <x:v>寒狮卫</x:v>
      </x:c>
      <x:c r="C323" s="38" t="str">
        <x:v>bz_van_322</x:v>
      </x:c>
      <x:c r="D323" s="38" t="str">
        <x:v>Shiny</x:v>
      </x:c>
      <x:c r="E323" s="38" t="n">
        <x:v>13</x:v>
      </x:c>
      <x:c r="F323" s="38" t="str">
        <x:v>Shiny, Deadly, Fiery, Obsidian, Golden, Heavy, Icy, Mossy, Radiant, Restorative, Shielded, Toxic, Turbo</x:v>
      </x:c>
      <x:c r="G323" s="38" t="str">
        <x:v>输出/冰；来源标签 无</x:v>
      </x:c>
    </x:row>
    <x:row r="324">
      <x:c r="A324" s="38" t="str">
        <x:v>pal_323</x:v>
      </x:c>
      <x:c r="B324" s="38" t="str">
        <x:v>朱隼精</x:v>
      </x:c>
      <x:c r="C324" s="38" t="str">
        <x:v>bz_van_323</x:v>
      </x:c>
      <x:c r="D324" s="38" t="str">
        <x:v>Fiery</x:v>
      </x:c>
      <x:c r="E324" s="38" t="n">
        <x:v>13</x:v>
      </x:c>
      <x:c r="F324" s="38" t="str">
        <x:v>Fiery, Deadly, Obsidian, Golden, Heavy, Icy, Mossy, Radiant, Restorative, Shielded, Shiny, Toxic, Turbo</x:v>
      </x:c>
      <x:c r="G324" s="38" t="str">
        <x:v>输出/火；来源标签 weapon, tech, damage, burn</x:v>
      </x:c>
    </x:row>
    <x:row r="325">
      <x:c r="A325" s="38" t="str">
        <x:v>pal_324</x:v>
      </x:c>
      <x:c r="B325" s="38" t="str">
        <x:v>汐蛇妖</x:v>
      </x:c>
      <x:c r="C325" s="38" t="str">
        <x:v>bz_van_324</x:v>
      </x:c>
      <x:c r="D325" s="38" t="str">
        <x:v>Icy</x:v>
      </x:c>
      <x:c r="E325" s="38" t="n">
        <x:v>13</x:v>
      </x:c>
      <x:c r="F325" s="38" t="str">
        <x:v>Icy, Toxic, Obsidian, Deadly, Fiery, Golden, Heavy, Mossy, Radiant, Restorative, Shielded, Shiny, Turbo</x:v>
      </x:c>
      <x:c r="G325" s="38" t="str">
        <x:v>控制/水；来源标签 aquatic, slow</x:v>
      </x:c>
    </x:row>
    <x:row r="326">
      <x:c r="A326" s="38" t="str">
        <x:v>pal_325</x:v>
      </x:c>
      <x:c r="B326" s="38" t="str">
        <x:v>潮虎妖</x:v>
      </x:c>
      <x:c r="C326" s="38" t="str">
        <x:v>bz_van_325</x:v>
      </x:c>
      <x:c r="D326" s="38" t="str">
        <x:v>Deadly</x:v>
      </x:c>
      <x:c r="E326" s="38" t="n">
        <x:v>13</x:v>
      </x:c>
      <x:c r="F326" s="38" t="str">
        <x:v>Deadly, Fiery, Obsidian, Golden, Heavy, Icy, Mossy, Radiant, Restorative, Shielded, Shiny, Toxic, Turbo</x:v>
      </x:c>
      <x:c r="G326" s="38" t="str">
        <x:v>输出/水、雷；来源标签 property, aquatic, crit</x:v>
      </x:c>
    </x:row>
    <x:row r="327">
      <x:c r="A327" s="38" t="str">
        <x:v>pal_326</x:v>
      </x:c>
      <x:c r="B327" s="38" t="str">
        <x:v>闪猿将</x:v>
      </x:c>
      <x:c r="C327" s="38" t="str">
        <x:v>bz_van_326</x:v>
      </x:c>
      <x:c r="D327" s="38" t="str">
        <x:v>Turbo</x:v>
      </x:c>
      <x:c r="E327" s="38" t="n">
        <x:v>13</x:v>
      </x:c>
      <x:c r="F327" s="38" t="str">
        <x:v>Turbo, Deadly, Shiny, Fiery, Golden, Heavy, Icy, Mossy, Obsidian, Radiant, Restorative, Shielded, Toxic</x:v>
      </x:c>
      <x:c r="G327" s="38" t="str">
        <x:v>机动/雷；来源标签 tech, crit, charge</x:v>
      </x:c>
    </x:row>
    <x:row r="328">
      <x:c r="A328" s="38" t="str">
        <x:v>pal_327</x:v>
      </x:c>
      <x:c r="B328" s="38" t="str">
        <x:v>雷虎卫</x:v>
      </x:c>
      <x:c r="C328" s="38" t="str">
        <x:v>bz_van_327</x:v>
      </x:c>
      <x:c r="D328" s="38" t="str">
        <x:v>Deadly</x:v>
      </x:c>
      <x:c r="E328" s="38" t="n">
        <x:v>13</x:v>
      </x:c>
      <x:c r="F328" s="38" t="str">
        <x:v>Deadly, Fiery, Obsidian, Golden, Heavy, Icy, Mossy, Radiant, Restorative, Shielded, Shiny, Toxic, Turbo</x:v>
      </x:c>
      <x:c r="G328" s="38" t="str">
        <x:v>输出/雷；来源标签 weapon, tech, damage, critreference</x:v>
      </x:c>
    </x:row>
    <x:row r="329">
      <x:c r="A329" s="38" t="str">
        <x:v>pal_328</x:v>
      </x:c>
      <x:c r="B329" s="38" t="str">
        <x:v>燎貂将</x:v>
      </x:c>
      <x:c r="C329" s="38" t="str">
        <x:v>bz_van_328</x:v>
      </x:c>
      <x:c r="D329" s="38" t="str">
        <x:v>Fiery</x:v>
      </x:c>
      <x:c r="E329" s="38" t="n">
        <x:v>13</x:v>
      </x:c>
      <x:c r="F329" s="38" t="str">
        <x:v>Fiery, Icy, Toxic, Obsidian, Deadly, Golden, Heavy, Mossy, Radiant, Restorative, Shielded, Shiny, Turbo</x:v>
      </x:c>
      <x:c r="G329" s="38" t="str">
        <x:v>控制/火、水；来源标签 friend, aquatic, burn, slowreference</x:v>
      </x:c>
    </x:row>
    <x:row r="330">
      <x:c r="A330" s="38" t="str">
        <x:v>pal_329</x:v>
      </x:c>
      <x:c r="B330" s="38" t="str">
        <x:v>苔蝎将</x:v>
      </x:c>
      <x:c r="C330" s="38" t="str">
        <x:v>bz_van_329</x:v>
      </x:c>
      <x:c r="D330" s="38" t="str">
        <x:v>Icy</x:v>
      </x:c>
      <x:c r="E330" s="38" t="n">
        <x:v>13</x:v>
      </x:c>
      <x:c r="F330" s="38" t="str">
        <x:v>Icy, Toxic, Obsidian, Deadly, Fiery, Golden, Heavy, Mossy, Radiant, Restorative, Shielded, Shiny, Turbo</x:v>
      </x:c>
      <x:c r="G330" s="38" t="str">
        <x:v>控制/草；来源标签 weapon, tech, damage, slow, poison</x:v>
      </x:c>
    </x:row>
    <x:row r="331">
      <x:c r="A331" s="38" t="str">
        <x:v>pal_330</x:v>
      </x:c>
      <x:c r="B331" s="38" t="str">
        <x:v>霆雀精</x:v>
      </x:c>
      <x:c r="C331" s="38" t="str">
        <x:v>bz_van_330</x:v>
      </x:c>
      <x:c r="D331" s="38" t="str">
        <x:v>Turbo</x:v>
      </x:c>
      <x:c r="E331" s="38" t="n">
        <x:v>13</x:v>
      </x:c>
      <x:c r="F331" s="38" t="str">
        <x:v>Turbo, Deadly, Shiny, Fiery, Golden, Heavy, Icy, Mossy, Obsidian, Radiant, Restorative, Shielded, Toxic</x:v>
      </x:c>
      <x:c r="G331" s="38" t="str">
        <x:v>机动/雷；来源标签 apparel, charge</x:v>
      </x:c>
    </x:row>
    <x:row r="332">
      <x:c r="A332" s="38" t="str">
        <x:v>pal_331</x:v>
      </x:c>
      <x:c r="B332" s="38" t="str">
        <x:v>沧狐将</x:v>
      </x:c>
      <x:c r="C332" s="38" t="str">
        <x:v>bz_van_331</x:v>
      </x:c>
      <x:c r="D332" s="38" t="str">
        <x:v>Turbo</x:v>
      </x:c>
      <x:c r="E332" s="38" t="n">
        <x:v>13</x:v>
      </x:c>
      <x:c r="F332" s="38" t="str">
        <x:v>Turbo, Deadly, Shiny, Fiery, Golden, Heavy, Icy, Mossy, Obsidian, Radiant, Restorative, Shielded, Toxic</x:v>
      </x:c>
      <x:c r="G332" s="38" t="str">
        <x:v>机动/水、雷；来源标签 aquatic, tool, apparel, haste, ammo</x:v>
      </x:c>
    </x:row>
    <x:row r="333">
      <x:c r="A333" s="38" t="str">
        <x:v>pal_332</x:v>
      </x:c>
      <x:c r="B333" s="38" t="str">
        <x:v>澜鳗妖</x:v>
      </x:c>
      <x:c r="C333" s="38" t="str">
        <x:v>bz_van_332</x:v>
      </x:c>
      <x:c r="D333" s="38" t="str">
        <x:v>Icy</x:v>
      </x:c>
      <x:c r="E333" s="38" t="n">
        <x:v>13</x:v>
      </x:c>
      <x:c r="F333" s="38" t="str">
        <x:v>Icy, Toxic, Obsidian, Deadly, Fiery, Golden, Heavy, Mossy, Radiant, Restorative, Shielded, Shiny, Turbo</x:v>
      </x:c>
      <x:c r="G333" s="38" t="str">
        <x:v>控制/水；来源标签 tool, aquatic, slow</x:v>
      </x:c>
    </x:row>
    <x:row r="334">
      <x:c r="A334" s="38" t="str">
        <x:v>pal_333</x:v>
      </x:c>
      <x:c r="B334" s="38" t="str">
        <x:v>烬狐妖</x:v>
      </x:c>
      <x:c r="C334" s="38" t="str">
        <x:v>bz_van_333</x:v>
      </x:c>
      <x:c r="D334" s="38" t="str">
        <x:v>Fiery</x:v>
      </x:c>
      <x:c r="E334" s="38" t="n">
        <x:v>13</x:v>
      </x:c>
      <x:c r="F334" s="38" t="str">
        <x:v>Fiery, Icy, Toxic, Obsidian, Deadly, Golden, Heavy, Mossy, Radiant, Restorative, Shielded, Shiny, Turbo</x:v>
      </x:c>
      <x:c r="G334" s="38" t="str">
        <x:v>控制/火、冰；来源标签 aquatic, tech, trap, burn, poison, freeze, ammo</x:v>
      </x:c>
    </x:row>
    <x:row r="335">
      <x:c r="A335" s="38" t="str">
        <x:v>pal_334</x:v>
      </x:c>
      <x:c r="B335" s="38" t="str">
        <x:v>碧狐精</x:v>
      </x:c>
      <x:c r="C335" s="38" t="str">
        <x:v>bz_van_334</x:v>
      </x:c>
      <x:c r="D335" s="38" t="str">
        <x:v>Turbo</x:v>
      </x:c>
      <x:c r="E335" s="38" t="n">
        <x:v>13</x:v>
      </x:c>
      <x:c r="F335" s="38" t="str">
        <x:v>Turbo, Deadly, Shiny, Fiery, Golden, Heavy, Icy, Mossy, Obsidian, Radiant, Restorative, Shielded, Toxic</x:v>
      </x:c>
      <x:c r="G335" s="38" t="str">
        <x:v>机动/水、龙；来源标签 aquatic, relic, damagereference, cooldown</x:v>
      </x:c>
    </x:row>
    <x:row r="336">
      <x:c r="A336" s="38" t="str">
        <x:v>pal_335</x:v>
      </x:c>
      <x:c r="B336" s="38" t="str">
        <x:v>渊蛾卫</x:v>
      </x:c>
      <x:c r="C336" s="38" t="str">
        <x:v>bz_van_335</x:v>
      </x:c>
      <x:c r="D336" s="38" t="str">
        <x:v>Deadly</x:v>
      </x:c>
      <x:c r="E336" s="38" t="n">
        <x:v>13</x:v>
      </x:c>
      <x:c r="F336" s="38" t="str">
        <x:v>Deadly, Radiant, Mossy, Shielded, Fiery, Golden, Heavy, Icy, Obsidian, Restorative, Shiny, Toxic, Turbo</x:v>
      </x:c>
      <x:c r="G336" s="38" t="str">
        <x:v>召唤/水、雷；来源标签 aquatic, vehicle, weapon, damage, ammoreference</x:v>
      </x:c>
    </x:row>
    <x:row r="337">
      <x:c r="A337" s="38" t="str">
        <x:v>pal_336</x:v>
      </x:c>
      <x:c r="B337" s="38" t="str">
        <x:v>潮狮妖</x:v>
      </x:c>
      <x:c r="C337" s="38" t="str">
        <x:v>bz_van_336</x:v>
      </x:c>
      <x:c r="D337" s="38" t="str">
        <x:v>Deadly</x:v>
      </x:c>
      <x:c r="E337" s="38" t="n">
        <x:v>13</x:v>
      </x:c>
      <x:c r="F337" s="38" t="str">
        <x:v>Deadly, Fiery, Obsidian, Golden, Heavy, Icy, Mossy, Radiant, Restorative, Shielded, Shiny, Toxic, Turbo</x:v>
      </x:c>
      <x:c r="G337" s="38" t="str">
        <x:v>输出/水、雷；来源标签 aquatic, ammo</x:v>
      </x:c>
    </x:row>
    <x:row r="338">
      <x:c r="A338" s="38" t="str">
        <x:v>pal_337</x:v>
      </x:c>
      <x:c r="B338" s="38" t="str">
        <x:v>夜狐将</x:v>
      </x:c>
      <x:c r="C338" s="38" t="str">
        <x:v>bz_van_337</x:v>
      </x:c>
      <x:c r="D338" s="38" t="str">
        <x:v>Turbo</x:v>
      </x:c>
      <x:c r="E338" s="38" t="n">
        <x:v>13</x:v>
      </x:c>
      <x:c r="F338" s="38" t="str">
        <x:v>Turbo, Deadly, Shiny, Fiery, Golden, Heavy, Icy, Mossy, Obsidian, Radiant, Restorative, Shielded, Toxic</x:v>
      </x:c>
      <x:c r="G338" s="38" t="str">
        <x:v>机动/暗；来源标签 apparel, haste</x:v>
      </x:c>
    </x:row>
    <x:row r="339">
      <x:c r="A339" s="38" t="str">
        <x:v>pal_338</x:v>
      </x:c>
      <x:c r="B339" s="38" t="str">
        <x:v>寒蛇卫</x:v>
      </x:c>
      <x:c r="C339" s="38" t="str">
        <x:v>bz_van_338</x:v>
      </x:c>
      <x:c r="D339" s="38" t="str">
        <x:v>Icy</x:v>
      </x:c>
      <x:c r="E339" s="38" t="n">
        <x:v>13</x:v>
      </x:c>
      <x:c r="F339" s="38" t="str">
        <x:v>Icy, Toxic, Obsidian, Deadly, Fiery, Golden, Heavy, Mossy, Radiant, Restorative, Shielded, Shiny, Turbo</x:v>
      </x:c>
      <x:c r="G339" s="38" t="str">
        <x:v>控制/冰；来源标签 weapon, tool, damage, freeze</x:v>
      </x:c>
    </x:row>
    <x:row r="340">
      <x:c r="A340" s="38" t="str">
        <x:v>pal_339</x:v>
      </x:c>
      <x:c r="B340" s="38" t="str">
        <x:v>烬狮妖</x:v>
      </x:c>
      <x:c r="C340" s="38" t="str">
        <x:v>bz_van_339</x:v>
      </x:c>
      <x:c r="D340" s="38" t="str">
        <x:v>Fiery</x:v>
      </x:c>
      <x:c r="E340" s="38" t="n">
        <x:v>13</x:v>
      </x:c>
      <x:c r="F340" s="38" t="str">
        <x:v>Fiery, Deadly, Obsidian, Golden, Heavy, Icy, Mossy, Radiant, Restorative, Shielded, Shiny, Toxic, Turbo</x:v>
      </x:c>
      <x:c r="G340" s="38" t="str">
        <x:v>输出/火；来源标签 burn</x:v>
      </x:c>
    </x:row>
    <x:row r="341">
      <x:c r="A341" s="38" t="str">
        <x:v>pal_340</x:v>
      </x:c>
      <x:c r="B341" s="38" t="str">
        <x:v>震貂将</x:v>
      </x:c>
      <x:c r="C341" s="38" t="str">
        <x:v>bz_van_340</x:v>
      </x:c>
      <x:c r="D341" s="38" t="str">
        <x:v>Icy</x:v>
      </x:c>
      <x:c r="E341" s="38" t="n">
        <x:v>13</x:v>
      </x:c>
      <x:c r="F341" s="38" t="str">
        <x:v>Icy, Toxic, Obsidian, Deadly, Fiery, Golden, Heavy, Mossy, Radiant, Restorative, Shielded, Shiny, Turbo</x:v>
      </x:c>
      <x:c r="G341" s="38" t="str">
        <x:v>控制/雷；来源标签 apparel, tech, crit, slow</x:v>
      </x:c>
    </x:row>
    <x:row r="342">
      <x:c r="A342" s="38" t="str">
        <x:v>pal_341</x:v>
      </x:c>
      <x:c r="B342" s="38" t="str">
        <x:v>闪燕卫</x:v>
      </x:c>
      <x:c r="C342" s="38" t="str">
        <x:v>bz_van_341</x:v>
      </x:c>
      <x:c r="D342" s="38" t="str">
        <x:v>Turbo</x:v>
      </x:c>
      <x:c r="E342" s="38" t="n">
        <x:v>13</x:v>
      </x:c>
      <x:c r="F342" s="38" t="str">
        <x:v>Turbo, Deadly, Shiny, Fiery, Golden, Heavy, Icy, Mossy, Obsidian, Radiant, Restorative, Shielded, Toxic</x:v>
      </x:c>
      <x:c r="G342" s="38" t="str">
        <x:v>机动/雷；来源标签 weapon, damage, ammo, haste</x:v>
      </x:c>
    </x:row>
    <x:row r="343">
      <x:c r="A343" s="38" t="str">
        <x:v>pal_342</x:v>
      </x:c>
      <x:c r="B343" s="38" t="str">
        <x:v>龙鲭精</x:v>
      </x:c>
      <x:c r="C343" s="38" t="str">
        <x:v>bz_van_342</x:v>
      </x:c>
      <x:c r="D343" s="38" t="str">
        <x:v>Deadly</x:v>
      </x:c>
      <x:c r="E343" s="38" t="n">
        <x:v>13</x:v>
      </x:c>
      <x:c r="F343" s="38" t="str">
        <x:v>Deadly, Turbo, Shiny, Fiery, Golden, Heavy, Icy, Mossy, Obsidian, Radiant, Restorative, Shielded, Toxic</x:v>
      </x:c>
      <x:c r="G343" s="38" t="str">
        <x:v>机动/龙；来源标签 weapon, vehicle, damage, flying</x:v>
      </x:c>
    </x:row>
    <x:row r="344">
      <x:c r="A344" s="38" t="str">
        <x:v>pal_343</x:v>
      </x:c>
      <x:c r="B344" s="38" t="str">
        <x:v>青鳗精</x:v>
      </x:c>
      <x:c r="C344" s="38" t="str">
        <x:v>bz_van_343</x:v>
      </x:c>
      <x:c r="D344" s="38" t="str">
        <x:v>Icy</x:v>
      </x:c>
      <x:c r="E344" s="38" t="n">
        <x:v>13</x:v>
      </x:c>
      <x:c r="F344" s="38" t="str">
        <x:v>Icy, Toxic, Obsidian, Deadly, Fiery, Golden, Heavy, Mossy, Radiant, Restorative, Shielded, Shiny, Turbo</x:v>
      </x:c>
      <x:c r="G344" s="38" t="str">
        <x:v>控制/草；来源标签 weapon, damage, slow</x:v>
      </x:c>
    </x:row>
    <x:row r="345">
      <x:c r="A345" s="38" t="str">
        <x:v>pal_344</x:v>
      </x:c>
      <x:c r="B345" s="38" t="str">
        <x:v>闪鲨妖</x:v>
      </x:c>
      <x:c r="C345" s="38" t="str">
        <x:v>bz_van_344</x:v>
      </x:c>
      <x:c r="D345" s="38" t="str">
        <x:v>Deadly</x:v>
      </x:c>
      <x:c r="E345" s="38" t="n">
        <x:v>13</x:v>
      </x:c>
      <x:c r="F345" s="38" t="str">
        <x:v>Deadly, Fiery, Obsidian, Golden, Heavy, Icy, Mossy, Radiant, Restorative, Shielded, Shiny, Toxic, Turbo</x:v>
      </x:c>
      <x:c r="G345" s="38" t="str">
        <x:v>输出/雷、龙；来源标签 apparel, relic, crit</x:v>
      </x:c>
    </x:row>
    <x:row r="346">
      <x:c r="A346" s="38" t="str">
        <x:v>pal_345</x:v>
      </x:c>
      <x:c r="B346" s="38" t="str">
        <x:v>震蝎将</x:v>
      </x:c>
      <x:c r="C346" s="38" t="str">
        <x:v>bz_van_345</x:v>
      </x:c>
      <x:c r="D346" s="38" t="str">
        <x:v>Icy</x:v>
      </x:c>
      <x:c r="E346" s="38" t="n">
        <x:v>13</x:v>
      </x:c>
      <x:c r="F346" s="38" t="str">
        <x:v>Icy, Toxic, Obsidian, Deadly, Fiery, Golden, Heavy, Mossy, Radiant, Restorative, Shielded, Shiny, Turbo</x:v>
      </x:c>
      <x:c r="G346" s="38" t="str">
        <x:v>控制/雷；来源标签 weapon, tech, damage, critreference, slowreference</x:v>
      </x:c>
    </x:row>
    <x:row r="347">
      <x:c r="A347" s="38" t="str">
        <x:v>pal_346</x:v>
      </x:c>
      <x:c r="B347" s="38" t="str">
        <x:v>螭蚕精</x:v>
      </x:c>
      <x:c r="C347" s="38" t="str">
        <x:v>bz_van_346</x:v>
      </x:c>
      <x:c r="D347" s="38" t="str">
        <x:v>Golden</x:v>
      </x:c>
      <x:c r="E347" s="38" t="n">
        <x:v>13</x:v>
      </x:c>
      <x:c r="F347" s="38" t="str">
        <x:v>Golden, Shiny, Radiant, Deadly, Fiery, Heavy, Icy, Mossy, Obsidian, Restorative, Shielded, Toxic, Turbo</x:v>
      </x:c>
      <x:c r="G347" s="38" t="str">
        <x:v>经济/龙；来源标签 relic, economyreference, value, damagereference</x:v>
      </x:c>
    </x:row>
    <x:row r="348">
      <x:c r="A348" s="38" t="str">
        <x:v>pal_347</x:v>
      </x:c>
      <x:c r="B348" s="38" t="str">
        <x:v>碧犀卫</x:v>
      </x:c>
      <x:c r="C348" s="38" t="str">
        <x:v>bz_van_347</x:v>
      </x:c>
      <x:c r="D348" s="38" t="str">
        <x:v>Icy</x:v>
      </x:c>
      <x:c r="E348" s="38" t="n">
        <x:v>13</x:v>
      </x:c>
      <x:c r="F348" s="38" t="str">
        <x:v>Icy, Heavy, Shielded, Mossy, Deadly, Fiery, Golden, Obsidian, Radiant, Restorative, Shiny, Toxic, Turbo</x:v>
      </x:c>
      <x:c r="G348" s="38" t="str">
        <x:v>坦克/水、地；来源标签 friend, aquatic, shield, hastereference, slowreference</x:v>
      </x:c>
    </x:row>
    <x:row r="349">
      <x:c r="A349" s="38" t="str">
        <x:v>pal_348</x:v>
      </x:c>
      <x:c r="B349" s="38" t="str">
        <x:v>烬隼精</x:v>
      </x:c>
      <x:c r="C349" s="38" t="str">
        <x:v>bz_van_348</x:v>
      </x:c>
      <x:c r="D349" s="38" t="str">
        <x:v>Fiery</x:v>
      </x:c>
      <x:c r="E349" s="38" t="n">
        <x:v>13</x:v>
      </x:c>
      <x:c r="F349" s="38" t="str">
        <x:v>Fiery, Deadly, Obsidian, Golden, Heavy, Icy, Mossy, Radiant, Restorative, Shielded, Shiny, Toxic, Turbo</x:v>
      </x:c>
      <x:c r="G349" s="38" t="str">
        <x:v>输出/火、雷；来源标签 weapon, damage, ammo, burnreference</x:v>
      </x:c>
    </x:row>
    <x:row r="350">
      <x:c r="A350" s="38" t="str">
        <x:v>pal_349</x:v>
      </x:c>
      <x:c r="B350" s="38" t="str">
        <x:v>电牦妖</x:v>
      </x:c>
      <x:c r="C350" s="38" t="str">
        <x:v>bz_van_349</x:v>
      </x:c>
      <x:c r="D350" s="38" t="str">
        <x:v>Shielded</x:v>
      </x:c>
      <x:c r="E350" s="38" t="n">
        <x:v>13</x:v>
      </x:c>
      <x:c r="F350" s="38" t="str">
        <x:v>Shielded, Heavy, Mossy, Deadly, Fiery, Golden, Icy, Obsidian, Radiant, Restorative, Shiny, Toxic, Turbo</x:v>
      </x:c>
      <x:c r="G350" s="38" t="str">
        <x:v>坦克/雷、地；来源标签 toy, shield, ammo</x:v>
      </x:c>
    </x:row>
    <x:row r="351">
      <x:c r="A351" s="38" t="str">
        <x:v>pal_350</x:v>
      </x:c>
      <x:c r="B351" s="38" t="str">
        <x:v>澜蝎卫</x:v>
      </x:c>
      <x:c r="C351" s="38" t="str">
        <x:v>bz_van_350</x:v>
      </x:c>
      <x:c r="D351" s="38" t="str">
        <x:v>Icy</x:v>
      </x:c>
      <x:c r="E351" s="38" t="n">
        <x:v>13</x:v>
      </x:c>
      <x:c r="F351" s="38" t="str">
        <x:v>Icy, Toxic, Obsidian, Deadly, Fiery, Golden, Heavy, Mossy, Radiant, Restorative, Shielded, Shiny, Turbo</x:v>
      </x:c>
      <x:c r="G351" s="38" t="str">
        <x:v>控制/水、龙；来源标签 aquatic, friend, weapon, damage, hastereference, slowreference</x:v>
      </x:c>
    </x:row>
    <x:row r="352">
      <x:c r="A352" s="38" t="str">
        <x:v>pal_351</x:v>
      </x:c>
      <x:c r="B352" s="38" t="str">
        <x:v>焰鲨精</x:v>
      </x:c>
      <x:c r="C352" s="38" t="str">
        <x:v>bz_van_351</x:v>
      </x:c>
      <x:c r="D352" s="38" t="str">
        <x:v>Fiery</x:v>
      </x:c>
      <x:c r="E352" s="38" t="n">
        <x:v>13</x:v>
      </x:c>
      <x:c r="F352" s="38" t="str">
        <x:v>Fiery, Deadly, Obsidian, Golden, Heavy, Icy, Mossy, Radiant, Restorative, Shielded, Shiny, Toxic, Turbo</x:v>
      </x:c>
      <x:c r="G352" s="38" t="str">
        <x:v>输出/火、雷；来源标签 apparel, tech, burn, critreference</x:v>
      </x:c>
    </x:row>
    <x:row r="353">
      <x:c r="A353" s="38" t="str">
        <x:v>pal_352</x:v>
      </x:c>
      <x:c r="B353" s="38" t="str">
        <x:v>麟蟾卫</x:v>
      </x:c>
      <x:c r="C353" s="38" t="str">
        <x:v>bz_van_352</x:v>
      </x:c>
      <x:c r="D353" s="38" t="str">
        <x:v>Deadly</x:v>
      </x:c>
      <x:c r="E353" s="38" t="n">
        <x:v>13</x:v>
      </x:c>
      <x:c r="F353" s="38" t="str">
        <x:v>Deadly, Radiant, Mossy, Shielded, Fiery, Golden, Heavy, Icy, Obsidian, Restorative, Shiny, Toxic, Turbo</x:v>
      </x:c>
      <x:c r="G353" s="38" t="str">
        <x:v>召唤/龙；来源标签 friend, damagereference, economyreference</x:v>
      </x:c>
    </x:row>
    <x:row r="354">
      <x:c r="A354" s="38" t="str">
        <x:v>pal_353</x:v>
      </x:c>
      <x:c r="B354" s="38" t="str">
        <x:v>汐雀王</x:v>
      </x:c>
      <x:c r="C354" s="38" t="str">
        <x:v>bz_van_353</x:v>
      </x:c>
      <x:c r="D354" s="38" t="str">
        <x:v>Turbo</x:v>
      </x:c>
      <x:c r="E354" s="38" t="n">
        <x:v>13</x:v>
      </x:c>
      <x:c r="F354" s="38" t="str">
        <x:v>Turbo, Deadly, Shiny, Fiery, Golden, Heavy, Icy, Mossy, Obsidian, Radiant, Restorative, Shielded, Toxic</x:v>
      </x:c>
      <x:c r="G354" s="38" t="str">
        <x:v>机动/水；来源标签 aquatic, weapon, tool, damage, haste</x:v>
      </x:c>
    </x:row>
    <x:row r="355">
      <x:c r="A355" s="38" t="str">
        <x:v>pal_354</x:v>
      </x:c>
      <x:c r="B355" s="38" t="str">
        <x:v>雷隼王</x:v>
      </x:c>
      <x:c r="C355" s="38" t="str">
        <x:v>bz_van_354</x:v>
      </x:c>
      <x:c r="D355" s="38" t="str">
        <x:v>Deadly</x:v>
      </x:c>
      <x:c r="E355" s="38" t="n">
        <x:v>13</x:v>
      </x:c>
      <x:c r="F355" s="38" t="str">
        <x:v>Deadly, Fiery, Obsidian, Golden, Heavy, Icy, Mossy, Radiant, Restorative, Shielded, Shiny, Toxic, Turbo</x:v>
      </x:c>
      <x:c r="G355" s="38" t="str">
        <x:v>输出/雷；来源标签 weapon, damage, ammo</x:v>
      </x:c>
    </x:row>
    <x:row r="356">
      <x:c r="A356" s="38" t="str">
        <x:v>pal_355</x:v>
      </x:c>
      <x:c r="B356" s="38" t="str">
        <x:v>森蛙侯</x:v>
      </x:c>
      <x:c r="C356" s="38" t="str">
        <x:v>bz_van_355</x:v>
      </x:c>
      <x:c r="D356" s="38" t="str">
        <x:v>Toxic</x:v>
      </x:c>
      <x:c r="E356" s="38" t="n">
        <x:v>13</x:v>
      </x:c>
      <x:c r="F356" s="38" t="str">
        <x:v>Toxic, Icy, Obsidian, Deadly, Fiery, Golden, Heavy, Mossy, Radiant, Restorative, Shielded, Shiny, Turbo</x:v>
      </x:c>
      <x:c r="G356" s="38" t="str">
        <x:v>控制/草、龙；来源标签 weapon, relic, damage, poison</x:v>
      </x:c>
    </x:row>
    <x:row r="357">
      <x:c r="A357" s="38" t="str">
        <x:v>pal_356</x:v>
      </x:c>
      <x:c r="B357" s="38" t="str">
        <x:v>焰鲨侯</x:v>
      </x:c>
      <x:c r="C357" s="38" t="str">
        <x:v>bz_van_356</x:v>
      </x:c>
      <x:c r="D357" s="38" t="str">
        <x:v>Fiery</x:v>
      </x:c>
      <x:c r="E357" s="38" t="n">
        <x:v>13</x:v>
      </x:c>
      <x:c r="F357" s="38" t="str">
        <x:v>Fiery, Deadly, Obsidian, Golden, Heavy, Icy, Mossy, Radiant, Restorative, Shielded, Shiny, Toxic, Turbo</x:v>
      </x:c>
      <x:c r="G357" s="38" t="str">
        <x:v>输出/火、雷；来源标签 weapon, damage, ammo, burnreference</x:v>
      </x:c>
    </x:row>
    <x:row r="358">
      <x:c r="A358" s="38" t="str">
        <x:v>pal_357</x:v>
      </x:c>
      <x:c r="B358" s="38" t="str">
        <x:v>霆鹰尊</x:v>
      </x:c>
      <x:c r="C358" s="38" t="str">
        <x:v>bz_van_357</x:v>
      </x:c>
      <x:c r="D358" s="38" t="str">
        <x:v>Deadly</x:v>
      </x:c>
      <x:c r="E358" s="38" t="n">
        <x:v>13</x:v>
      </x:c>
      <x:c r="F358" s="38" t="str">
        <x:v>Deadly, Fiery, Obsidian, Golden, Heavy, Icy, Mossy, Radiant, Restorative, Shielded, Shiny, Toxic, Turbo</x:v>
      </x:c>
      <x:c r="G358" s="38" t="str">
        <x:v>输出/雷；来源标签 weapon, damage</x:v>
      </x:c>
    </x:row>
    <x:row r="359">
      <x:c r="A359" s="38" t="str">
        <x:v>pal_358</x:v>
      </x:c>
      <x:c r="B359" s="38" t="str">
        <x:v>碧鹰尊</x:v>
      </x:c>
      <x:c r="C359" s="38" t="str">
        <x:v>bz_van_358</x:v>
      </x:c>
      <x:c r="D359" s="38" t="str">
        <x:v>Shiny</x:v>
      </x:c>
      <x:c r="E359" s="38" t="n">
        <x:v>13</x:v>
      </x:c>
      <x:c r="F359" s="38" t="str">
        <x:v>Shiny, Deadly, Fiery, Obsidian, Golden, Heavy, Icy, Mossy, Radiant, Restorative, Shielded, Toxic, Turbo</x:v>
      </x:c>
      <x:c r="G359" s="38" t="str">
        <x:v>输出/水；来源标签 aquatic, property</x:v>
      </x:c>
    </x:row>
    <x:row r="360">
      <x:c r="A360" s="38" t="str">
        <x:v>pal_359</x:v>
      </x:c>
      <x:c r="B360" s="38" t="str">
        <x:v>汐獒君</x:v>
      </x:c>
      <x:c r="C360" s="38" t="str">
        <x:v>bz_van_359</x:v>
      </x:c>
      <x:c r="D360" s="38" t="str">
        <x:v>Turbo</x:v>
      </x:c>
      <x:c r="E360" s="38" t="n">
        <x:v>13</x:v>
      </x:c>
      <x:c r="F360" s="38" t="str">
        <x:v>Turbo, Heavy, Shielded, Mossy, Deadly, Fiery, Golden, Icy, Obsidian, Radiant, Restorative, Shiny, Toxic</x:v>
      </x:c>
      <x:c r="G360" s="38" t="str">
        <x:v>坦克/水、雷；来源标签 aquatic, tool, apparel, shield, charge</x:v>
      </x:c>
    </x:row>
    <x:row r="361">
      <x:c r="A361" s="38" t="str">
        <x:v>pal_360</x:v>
      </x:c>
      <x:c r="B361" s="38" t="str">
        <x:v>潮蟒君</x:v>
      </x:c>
      <x:c r="C361" s="38" t="str">
        <x:v>bz_van_360</x:v>
      </x:c>
      <x:c r="D361" s="38" t="str">
        <x:v>Icy</x:v>
      </x:c>
      <x:c r="E361" s="38" t="n">
        <x:v>13</x:v>
      </x:c>
      <x:c r="F361" s="38" t="str">
        <x:v>Icy, Toxic, Obsidian, Deadly, Fiery, Golden, Heavy, Mossy, Radiant, Restorative, Shielded, Shiny, Turbo</x:v>
      </x:c>
      <x:c r="G361" s="38" t="str">
        <x:v>控制/水、雷；来源标签 aquatic, weapon, friend, damage, slow</x:v>
      </x:c>
    </x:row>
    <x:row r="362">
      <x:c r="A362" s="38" t="str">
        <x:v>pal_361</x:v>
      </x:c>
      <x:c r="B362" s="38" t="str">
        <x:v>燎蛙王</x:v>
      </x:c>
      <x:c r="C362" s="38" t="str">
        <x:v>bz_van_361</x:v>
      </x:c>
      <x:c r="D362" s="38" t="str">
        <x:v>Fiery</x:v>
      </x:c>
      <x:c r="E362" s="38" t="n">
        <x:v>13</x:v>
      </x:c>
      <x:c r="F362" s="38" t="str">
        <x:v>Fiery, Icy, Toxic, Obsidian, Deadly, Golden, Heavy, Mossy, Radiant, Restorative, Shielded, Shiny, Turbo</x:v>
      </x:c>
      <x:c r="G362" s="38" t="str">
        <x:v>控制/火、水；来源标签 property, aquatic, burn, slow</x:v>
      </x:c>
    </x:row>
    <x:row r="363">
      <x:c r="A363" s="38" t="str">
        <x:v>pal_362</x:v>
      </x:c>
      <x:c r="B363" s="38" t="str">
        <x:v>沙雀尊</x:v>
      </x:c>
      <x:c r="C363" s="38" t="str">
        <x:v>bz_van_362</x:v>
      </x:c>
      <x:c r="D363" s="38" t="str">
        <x:v>Turbo</x:v>
      </x:c>
      <x:c r="E363" s="38" t="n">
        <x:v>13</x:v>
      </x:c>
      <x:c r="F363" s="38" t="str">
        <x:v>Turbo, Deadly, Shiny, Fiery, Golden, Heavy, Icy, Mossy, Obsidian, Radiant, Restorative, Shielded, Toxic</x:v>
      </x:c>
      <x:c r="G363" s="38" t="str">
        <x:v>机动/地；来源标签 haste</x:v>
      </x:c>
    </x:row>
    <x:row r="364">
      <x:c r="A364" s="38" t="str">
        <x:v>pal_363</x:v>
      </x:c>
      <x:c r="B364" s="38" t="str">
        <x:v>震鹰侯</x:v>
      </x:c>
      <x:c r="C364" s="38" t="str">
        <x:v>bz_van_363</x:v>
      </x:c>
      <x:c r="D364" s="38" t="str">
        <x:v>Deadly</x:v>
      </x:c>
      <x:c r="E364" s="38" t="n">
        <x:v>13</x:v>
      </x:c>
      <x:c r="F364" s="38" t="str">
        <x:v>Deadly, Fiery, Obsidian, Golden, Heavy, Icy, Mossy, Radiant, Restorative, Shielded, Shiny, Toxic, Turbo</x:v>
      </x:c>
      <x:c r="G364" s="38" t="str">
        <x:v>输出/雷；来源标签 weapon, damage, ammo</x:v>
      </x:c>
    </x:row>
    <x:row r="365">
      <x:c r="A365" s="38" t="str">
        <x:v>pal_364</x:v>
      </x:c>
      <x:c r="B365" s="38" t="str">
        <x:v>炎鹰侯</x:v>
      </x:c>
      <x:c r="C365" s="38" t="str">
        <x:v>bz_van_364</x:v>
      </x:c>
      <x:c r="D365" s="38" t="str">
        <x:v>Fiery</x:v>
      </x:c>
      <x:c r="E365" s="38" t="n">
        <x:v>13</x:v>
      </x:c>
      <x:c r="F365" s="38" t="str">
        <x:v>Fiery, Deadly, Obsidian, Golden, Heavy, Icy, Mossy, Radiant, Restorative, Shielded, Shiny, Toxic, Turbo</x:v>
      </x:c>
      <x:c r="G365" s="38" t="str">
        <x:v>输出/火；来源标签 weapon, damage, burnreference</x:v>
      </x:c>
    </x:row>
    <x:row r="366">
      <x:c r="A366" s="38" t="str">
        <x:v>pal_365</x:v>
      </x:c>
      <x:c r="B366" s="38" t="str">
        <x:v>沧蜂王</x:v>
      </x:c>
      <x:c r="C366" s="38" t="str">
        <x:v>bz_van_365</x:v>
      </x:c>
      <x:c r="D366" s="38" t="str">
        <x:v>Turbo</x:v>
      </x:c>
      <x:c r="E366" s="38" t="n">
        <x:v>13</x:v>
      </x:c>
      <x:c r="F366" s="38" t="str">
        <x:v>Turbo, Deadly, Shiny, Fiery, Golden, Heavy, Icy, Mossy, Obsidian, Radiant, Restorative, Shielded, Toxic</x:v>
      </x:c>
      <x:c r="G366" s="38" t="str">
        <x:v>机动/水、雷；来源标签 aquatic, vehicle, charge, cooldown</x:v>
      </x:c>
    </x:row>
    <x:row r="367">
      <x:c r="A367" s="38" t="str">
        <x:v>pal_366</x:v>
      </x:c>
      <x:c r="B367" s="38" t="str">
        <x:v>赤蝎君</x:v>
      </x:c>
      <x:c r="C367" s="38" t="str">
        <x:v>bz_van_366</x:v>
      </x:c>
      <x:c r="D367" s="38" t="str">
        <x:v>Fiery</x:v>
      </x:c>
      <x:c r="E367" s="38" t="n">
        <x:v>13</x:v>
      </x:c>
      <x:c r="F367" s="38" t="str">
        <x:v>Fiery, Icy, Toxic, Obsidian, Deadly, Golden, Heavy, Mossy, Radiant, Restorative, Shielded, Shiny, Turbo</x:v>
      </x:c>
      <x:c r="G367" s="38" t="str">
        <x:v>控制/火、冰；来源标签 friend, aquatic, weapon, relic, poisonreference, freezereference, burnreference, damage</x:v>
      </x:c>
    </x:row>
    <x:row r="368">
      <x:c r="A368" s="38" t="str">
        <x:v>pal_367</x:v>
      </x:c>
      <x:c r="B368" s="38" t="str">
        <x:v>青隼君</x:v>
      </x:c>
      <x:c r="C368" s="38" t="str">
        <x:v>bz_van_367</x:v>
      </x:c>
      <x:c r="D368" s="38" t="str">
        <x:v>Deadly</x:v>
      </x:c>
      <x:c r="E368" s="38" t="n">
        <x:v>13</x:v>
      </x:c>
      <x:c r="F368" s="38" t="str">
        <x:v>Deadly, Fiery, Obsidian, Golden, Heavy, Icy, Mossy, Radiant, Restorative, Shielded, Shiny, Toxic, Turbo</x:v>
      </x:c>
      <x:c r="G368" s="38" t="str">
        <x:v>输出/草；来源标签 weapon, damage</x:v>
      </x:c>
    </x:row>
    <x:row r="369">
      <x:c r="A369" s="38" t="str">
        <x:v>pal_368</x:v>
      </x:c>
      <x:c r="B369" s="38" t="str">
        <x:v>鸣鳗君</x:v>
      </x:c>
      <x:c r="C369" s="38" t="str">
        <x:v>bz_van_368</x:v>
      </x:c>
      <x:c r="D369" s="38" t="str">
        <x:v>Icy</x:v>
      </x:c>
      <x:c r="E369" s="38" t="n">
        <x:v>13</x:v>
      </x:c>
      <x:c r="F369" s="38" t="str">
        <x:v>Icy, Toxic, Obsidian, Deadly, Fiery, Golden, Heavy, Mossy, Radiant, Restorative, Shielded, Shiny, Turbo</x:v>
      </x:c>
      <x:c r="G369" s="38" t="str">
        <x:v>控制/雷；来源标签 tool, crit, cooldown, slowreference</x:v>
      </x:c>
    </x:row>
    <x:row r="370">
      <x:c r="A370" s="38" t="str">
        <x:v>pal_369</x:v>
      </x:c>
      <x:c r="B370" s="38" t="str">
        <x:v>雪蝎圣</x:v>
      </x:c>
      <x:c r="C370" s="38" t="str">
        <x:v>bz_van_369</x:v>
      </x:c>
      <x:c r="D370" s="38" t="str">
        <x:v>Icy</x:v>
      </x:c>
      <x:c r="E370" s="38" t="n">
        <x:v>13</x:v>
      </x:c>
      <x:c r="F370" s="38" t="str">
        <x:v>Icy, Toxic, Obsidian, Deadly, Fiery, Golden, Heavy, Mossy, Radiant, Restorative, Shielded, Shiny, Turbo</x:v>
      </x:c>
      <x:c r="G370" s="38" t="str">
        <x:v>控制/冰、水；来源标签 aquatic, property, freeze</x:v>
      </x:c>
    </x:row>
  </x:sheetData>
  <x:pageMargins left="0.7" right="0.7" top="0.75" bottom="0.75" header="0.3" footer="0.3"/>
  <x:tableParts count="1">
    <x:tablePart xmlns:r="http://schemas.openxmlformats.org/officeDocument/2006/relationships" r:id="R2af9606f26384354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108" t="str">
        <x:v>检查项</x:v>
      </x:c>
      <x:c r="B1" s="108" t="str">
        <x:v>结果</x:v>
      </x:c>
      <x:c r="C1" s="108" t="str">
        <x:v>目标</x:v>
      </x:c>
      <x:c r="D1" s="108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商店数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最少商店交叉</x:v>
      </x:c>
      <x:c r="B4" s="38" t="n">
        <x:f>MIN(PETS!I2:I370)</x:f>
        <x:v>8</x:v>
      </x:c>
      <x:c r="C4" s="38" t="n">
        <x:v>8</x:v>
      </x:c>
      <x:c r="D4" s="38" t="str">
        <x:f>IF(B4&gt;=C4,"PASS","FAIL")</x:f>
        <x:v>PASS</x:v>
      </x:c>
    </x:row>
    <x:row r="5">
      <x:c r="A5" s="38" t="str">
        <x:v>最少单店商品</x:v>
      </x:c>
      <x:c r="B5" s="38" t="n">
        <x:v>23</x:v>
      </x:c>
      <x:c r="C5" s="38" t="n">
        <x:v>8</x:v>
      </x:c>
      <x:c r="D5" s="38" t="str">
        <x:f>IF(B5&gt;=C5,"PASS","FAIL")</x:f>
        <x:v>PASS</x:v>
      </x:c>
    </x:row>
    <x:row r="6">
      <x:c r="A6" s="38" t="str">
        <x:v>附魔类型</x:v>
      </x:c>
      <x:c r="B6" s="38" t="n">
        <x:f>COUNTA(ENCHANTMENTS!A2:A14)</x:f>
        <x:v>13</x:v>
      </x:c>
      <x:c r="C6" s="38" t="n">
        <x:v>13</x:v>
      </x:c>
      <x:c r="D6" s="38" t="str">
        <x:f>IF(B6=C6,"PASS","FAIL")</x:f>
        <x:v>PASS</x:v>
      </x:c>
    </x:row>
    <x:row r="7">
      <x:c r="A7" s="38" t="str">
        <x:v>来源对象</x:v>
      </x:c>
      <x:c r="B7" s="38" t="n">
        <x:f>COUNTA(BAZAAR_OBJECTS!A2:A370)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确认来源</x:v>
      </x:c>
      <x:c r="B8" s="38" t="n">
        <x:f>COUNTIF(BAZAAR_OBJECTS!D2:D370,"confirmed")</x:f>
        <x:v>276</x:v>
      </x:c>
      <x:c r="C8" s="38" t="n">
        <x:v>276</x:v>
      </x:c>
      <x:c r="D8" s="38" t="str">
        <x:f>IF(B8=C8,"PASS","FAIL")</x:f>
        <x:v>PASS</x:v>
      </x:c>
    </x:row>
    <x:row r="9">
      <x:c r="A9" s="38" t="str">
        <x:v>查询差额设计位</x:v>
      </x:c>
      <x:c r="B9" s="38" t="n">
        <x:f>COUNTIF(BAZAAR_OBJECTS!D2:D370,"derived_gap_profile")</x:f>
        <x:v>93</x:v>
      </x:c>
      <x:c r="C9" s="38" t="n">
        <x:v>93</x:v>
      </x:c>
      <x:c r="D9" s="38" t="str">
        <x:f>IF(B9=C9,"PASS","FAIL")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pageMargins left="0.7" right="0.7" top="0.75" bottom="0.75" header="0.3" footer="0.3"/>
</x:worksheet>
</file>