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04b8c1e9154f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1500ace974644558"/>
    <x:sheet xmlns:r="http://schemas.openxmlformats.org/officeDocument/2006/relationships" name="PETS" sheetId="2" r:id="R3a83d7386a6d4a70"/>
    <x:sheet xmlns:r="http://schemas.openxmlformats.org/officeDocument/2006/relationships" name="SHOP_STORES" sheetId="3" r:id="R32b78535b27e4e6b"/>
    <x:sheet xmlns:r="http://schemas.openxmlformats.org/officeDocument/2006/relationships" name="WAVES" sheetId="4" r:id="R53a0bd6b7d0f4e87"/>
    <x:sheet xmlns:r="http://schemas.openxmlformats.org/officeDocument/2006/relationships" name="SHOP_ITEMS" sheetId="5" r:id="R9f5166aa689c4598"/>
    <x:sheet xmlns:r="http://schemas.openxmlformats.org/officeDocument/2006/relationships" name="MECHANICS_QUALITY" sheetId="6" r:id="R2064d9423a404c43"/>
    <x:sheet xmlns:r="http://schemas.openxmlformats.org/officeDocument/2006/relationships" name="SHAPES_TRIALS" sheetId="7" r:id="Rb7dd5fa0837c4c53"/>
    <x:sheet xmlns:r="http://schemas.openxmlformats.org/officeDocument/2006/relationships" name="BAZAAR_OBJECTS" sheetId="8" r:id="R8c84ce976b15446d"/>
    <x:sheet xmlns:r="http://schemas.openxmlformats.org/officeDocument/2006/relationships" name="SHOP_MAPPING" sheetId="9" r:id="R3aadef658e554a65"/>
    <x:sheet xmlns:r="http://schemas.openxmlformats.org/officeDocument/2006/relationships" name="ENCHANTMENTS" sheetId="10" r:id="R09bb652a17bd44e6"/>
    <x:sheet xmlns:r="http://schemas.openxmlformats.org/officeDocument/2006/relationships" name="PET_ENCHANTMENTS" sheetId="11" r:id="R4ffdb3d821d64dd3"/>
    <x:sheet xmlns:r="http://schemas.openxmlformats.org/officeDocument/2006/relationships" name="AUDIT" sheetId="12" r:id="R472ee0d647fb4daf"/>
    <x:sheet xmlns:r="http://schemas.openxmlformats.org/officeDocument/2006/relationships" name="ATTRIBUTES_EFFECTS" sheetId="13" r:id="Rd5944648ab1f4e8a"/>
    <x:sheet xmlns:r="http://schemas.openxmlformats.org/officeDocument/2006/relationships" name="PET_STAT_RULES" sheetId="14" r:id="Rb220e2827c254270"/>
    <x:sheet xmlns:r="http://schemas.openxmlformats.org/officeDocument/2006/relationships" name="ROUTE" sheetId="15" r:id="R25eb1adb86624b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2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  <x:font>
      <x:sz val="11"/>
      <x:color rgb="FF17365D"/>
      <x:name val="Calibri"/>
    </x:font>
    <x:font>
      <x:sz val="11"/>
      <x:color rgb="FF1F2937"/>
      <x:name val="Calibri"/>
    </x:font>
    <x:font>
      <x:b/>
      <x:sz val="10"/>
      <x:color rgb="FFFFFFFF"/>
      <x:name val="Calibri"/>
    </x:font>
  </x:fonts>
  <x:fills count="10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</x:fills>
  <x:borders count="10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72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horizontal="left"/>
    </x:xf>
    <x:xf numFmtId="0" fontId="2" fillId="95" borderId="0" xfId="0" applyNumberFormat="1" applyFont="1" applyFill="1" applyBorder="1" applyAlignment="1">
      <x:alignment horizontal="left" vertical="center"/>
    </x:xf>
    <x:xf numFmtId="0" fontId="0" fillId="96" borderId="0" xfId="0" applyNumberFormat="1" applyFont="1" applyFill="1" applyBorder="1"/>
    <x:xf numFmtId="0" fontId="9" fillId="96" borderId="0" xfId="0" applyNumberFormat="1" applyFont="1" applyFill="1" applyBorder="1"/>
    <x:xf numFmtId="0" fontId="9" fillId="96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2" fillId="97" borderId="0" xfId="0" applyNumberFormat="1" applyFont="1" applyFill="1" applyBorder="1"/>
    <x:xf numFmtId="0" fontId="2" fillId="97" borderId="0" xfId="0" applyNumberFormat="1" applyFont="1" applyFill="1" applyBorder="1" applyAlignment="1">
      <x:alignment horizontal="center"/>
    </x:xf>
    <x:xf numFmtId="0" fontId="2" fillId="97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10" fillId="0" borderId="5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0" fontId="10" fillId="0" borderId="6" xfId="0" applyNumberFormat="1" applyFont="1" applyFill="1" applyBorder="1"/>
    <x:xf numFmtId="200" fontId="0" fillId="0" borderId="6" xfId="0" applyNumberFormat="1" applyFont="1" applyFill="1" applyBorder="1" applyAlignment="1">
      <x:alignment horizontal="right"/>
    </x:xf>
    <x:xf numFmtId="0" fontId="10" fillId="0" borderId="7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2" fillId="98" borderId="0" xfId="0" applyNumberFormat="1" applyFont="1" applyFill="1" applyBorder="1" applyAlignment="1">
      <x:alignment vertical="center"/>
    </x:xf>
    <x:xf numFmtId="0" fontId="0" fillId="99" borderId="0" xfId="0" applyNumberFormat="1" applyFont="1" applyFill="1" applyBorder="1"/>
    <x:xf numFmtId="0" fontId="11" fillId="99" borderId="0" xfId="0" applyNumberFormat="1" applyFont="1" applyFill="1" applyBorder="1"/>
    <x:xf numFmtId="0" fontId="11" fillId="99" borderId="0" xfId="0" applyNumberFormat="1" applyFont="1" applyFill="1" applyBorder="1" applyAlignment="1">
      <x:alignment wrapText="1"/>
    </x:xf>
    <x:xf numFmtId="0" fontId="11" fillId="99" borderId="8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2" fillId="98" borderId="0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2" fillId="100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 applyAlignment="1">
      <x:alignment wrapText="1"/>
    </x:xf>
    <x:xf numFmtId="0" fontId="0" fillId="100" borderId="0" xfId="0" applyNumberFormat="1" applyFont="1" applyFill="1" applyBorder="1"/>
    <x:xf numFmtId="0" fontId="2" fillId="100" borderId="0" xfId="0" applyNumberFormat="1" applyFont="1" applyFill="1" applyBorder="1" applyAlignment="1">
      <x:alignment wrapText="1"/>
    </x:xf>
    <x:xf numFmtId="0" fontId="2" fillId="100" borderId="0" xfId="0" applyNumberFormat="1" applyFont="1" applyFill="1" applyBorder="1"/>
    <x:xf numFmtId="0" fontId="11" fillId="101" borderId="8" xfId="0" applyNumberFormat="1" applyFont="1" applyFill="1" applyBorder="1" applyAlignment="1">
      <x:alignment wrapText="1"/>
    </x:xf>
    <x:xf numFmtId="0" fontId="0" fillId="101" borderId="0" xfId="0" applyNumberFormat="1" applyFont="1" applyFill="1" applyBorder="1" applyAlignment="1">
      <x:alignment wrapText="1"/>
    </x:xf>
    <x:xf numFmtId="0" fontId="0" fillId="101" borderId="0" xfId="0" applyNumberFormat="1" applyFont="1" applyFill="1" applyBorder="1"/>
    <x:xf numFmtId="0" fontId="2" fillId="101" borderId="0" xfId="0" applyNumberFormat="1" applyFont="1" applyFill="1" applyBorder="1" applyAlignment="1">
      <x:alignment wrapText="1"/>
    </x:xf>
    <x:xf numFmtId="0" fontId="2" fillId="101" borderId="0" xfId="0" applyNumberFormat="1" applyFont="1" applyFill="1" applyBorder="1"/>
    <x:xf numFmtId="0" fontId="11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9" xfId="0" applyNumberFormat="1" applyFont="1" applyFill="1" applyBorder="1"/>
    <x:xf numFmtId="0" fontId="2" fillId="2" borderId="9" xfId="0" applyNumberFormat="1" applyFont="1" applyFill="1" applyBorder="1" applyAlignment="1">
      <x:alignment wrapText="1"/>
    </x:xf>
    <x:xf numFmtId="0" fontId="2" fillId="2" borderId="9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10" fillId="0" borderId="9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05db3ae59046bc" /><Relationship Type="http://schemas.openxmlformats.org/officeDocument/2006/relationships/theme" Target="/xl/theme/theme1.xml" Id="R96a395e82c5145cd" /><Relationship Type="http://schemas.openxmlformats.org/officeDocument/2006/relationships/sharedStrings" Target="/xl/sharedStrings.xml" Id="R896107fef5cc4216" /><Relationship Type="http://schemas.openxmlformats.org/officeDocument/2006/relationships/worksheet" Target="/xl/worksheets/sheet1.xml" Id="R1500ace974644558" /><Relationship Type="http://schemas.openxmlformats.org/officeDocument/2006/relationships/worksheet" Target="/xl/worksheets/sheet2.xml" Id="R3a83d7386a6d4a70" /><Relationship Type="http://schemas.openxmlformats.org/officeDocument/2006/relationships/worksheet" Target="/xl/worksheets/sheet3.xml" Id="R32b78535b27e4e6b" /><Relationship Type="http://schemas.openxmlformats.org/officeDocument/2006/relationships/worksheet" Target="/xl/worksheets/sheet4.xml" Id="R53a0bd6b7d0f4e87" /><Relationship Type="http://schemas.openxmlformats.org/officeDocument/2006/relationships/worksheet" Target="/xl/worksheets/sheet5.xml" Id="R9f5166aa689c4598" /><Relationship Type="http://schemas.openxmlformats.org/officeDocument/2006/relationships/worksheet" Target="/xl/worksheets/sheet6.xml" Id="R2064d9423a404c43" /><Relationship Type="http://schemas.openxmlformats.org/officeDocument/2006/relationships/worksheet" Target="/xl/worksheets/sheet7.xml" Id="Rb7dd5fa0837c4c53" /><Relationship Type="http://schemas.openxmlformats.org/officeDocument/2006/relationships/worksheet" Target="/xl/worksheets/sheet8.xml" Id="R8c84ce976b15446d" /><Relationship Type="http://schemas.openxmlformats.org/officeDocument/2006/relationships/worksheet" Target="/xl/worksheets/sheet9.xml" Id="R3aadef658e554a65" /><Relationship Type="http://schemas.openxmlformats.org/officeDocument/2006/relationships/worksheet" Target="/xl/worksheets/sheet10.xml" Id="R09bb652a17bd44e6" /><Relationship Type="http://schemas.openxmlformats.org/officeDocument/2006/relationships/worksheet" Target="/xl/worksheets/sheet11.xml" Id="R4ffdb3d821d64dd3" /><Relationship Type="http://schemas.openxmlformats.org/officeDocument/2006/relationships/worksheet" Target="/xl/worksheets/sheet12.xml" Id="R472ee0d647fb4daf" /><Relationship Type="http://schemas.openxmlformats.org/officeDocument/2006/relationships/worksheet" Target="/xl/worksheets/sheet13.xml" Id="Rd5944648ab1f4e8a" /><Relationship Type="http://schemas.openxmlformats.org/officeDocument/2006/relationships/worksheet" Target="/xl/worksheets/sheet14.xml" Id="Rb220e2827c254270" /><Relationship Type="http://schemas.openxmlformats.org/officeDocument/2006/relationships/worksheet" Target="/xl/worksheets/sheet15.xml" Id="R25eb1adb86624bba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3" name="PetStatRulesTable" displayName="PetStatRulesTable" ref="A4:G88" headerRowCount="1" totalsRowCount="0" totalsRowShown="0">
  <x:tableColumns count="7">
    <x:tableColumn id="1" name="rule_key"/>
    <x:tableColumn id="2" name="设计维度"/>
    <x:tableColumn id="3" name="hp"/>
    <x:tableColumn id="4" name="atk"/>
    <x:tableColumn id="5" name="def"/>
    <x:tableColumn id="6" name="shield"/>
    <x:tableColumn id="7" name="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5249364dc79427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980dabbeab1409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191233b48623427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7ff472815960402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e7e7ed236484488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bc952c039a6144fd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af517df422924c06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8.xml" Id="Rfe5c92ce01a3428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  <x:c r="W1" t="str">
        <x:v>def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40" t="n">
        <x:v>20</x:v>
      </x:c>
      <x:c r="K2" s="340" t="n">
        <x:v>8</x:v>
      </x:c>
      <x:c r="L2" s="340" t="n">
        <x:v>0</x:v>
      </x:c>
      <x:c r="M2" s="340" t="n">
        <x:f>XLOOKUP($D2&amp;"|"&amp;$E2&amp;"|"&amp;$F2,'PET_STAT_RULES'!$A$5:$A$88,'PET_STAT_RULES'!$G$5:$G$88)</x:f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  <x:c r="W2" s="332" t="n">
        <x:v>0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40" t="n">
        <x:v>22</x:v>
      </x:c>
      <x:c r="K3" s="340" t="n">
        <x:v>5</x:v>
      </x:c>
      <x:c r="L3" s="340" t="n">
        <x:v>0</x:v>
      </x:c>
      <x:c r="M3" s="340" t="n">
        <x:f>XLOOKUP($D3&amp;"|"&amp;$E3&amp;"|"&amp;$F3,'PET_STAT_RULES'!$A$5:$A$88,'PET_STAT_RULES'!$G$5:$G$88)</x:f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  <x:c r="W3" s="332" t="n">
        <x:v>0</x:v>
      </x:c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40" t="n">
        <x:v>22</x:v>
      </x:c>
      <x:c r="K4" s="340" t="n">
        <x:v>5</x:v>
      </x:c>
      <x:c r="L4" s="340" t="n">
        <x:v>0</x:v>
      </x:c>
      <x:c r="M4" s="340" t="n">
        <x:f>XLOOKUP($D4&amp;"|"&amp;$E4&amp;"|"&amp;$F4,'PET_STAT_RULES'!$A$5:$A$88,'PET_STAT_RULES'!$G$5:$G$88)</x:f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  <x:c r="W4" s="332" t="n">
        <x:v>0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40" t="n">
        <x:v>18</x:v>
      </x:c>
      <x:c r="K5" s="340" t="n">
        <x:v>4</x:v>
      </x:c>
      <x:c r="L5" s="340" t="n">
        <x:v>0</x:v>
      </x:c>
      <x:c r="M5" s="340" t="n">
        <x:f>XLOOKUP($D5&amp;"|"&amp;$E5&amp;"|"&amp;$F5,'PET_STAT_RULES'!$A$5:$A$88,'PET_STAT_RULES'!$G$5:$G$88)</x:f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  <x:c r="W5" s="332" t="n">
        <x:v>0</x:v>
      </x:c>
    </x:row>
    <x:row r="6">
      <x:c r="A6" s="38" t="str">
        <x:v>pal_005</x:v>
      </x:c>
      <x:c r="B6" s="38" t="str">
        <x:v>赤尾狐</x:v>
      </x:c>
      <x:c r="C6" s="38" t="str">
        <x:v>火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elem_火, role_输出, tier_pT3</x:v>
      </x:c>
      <x:c r="I6" s="38" t="n">
        <x:v>10</x:v>
      </x:c>
      <x:c r="J6" s="340" t="n">
        <x:v>18</x:v>
      </x:c>
      <x:c r="K6" s="340" t="n">
        <x:v>4</x:v>
      </x:c>
      <x:c r="L6" s="340" t="n">
        <x:v>0</x:v>
      </x:c>
      <x:c r="M6" s="340" t="n">
        <x:f>XLOOKUP($D6&amp;"|"&amp;$E6&amp;"|"&amp;$F6,'PET_STAT_RULES'!$A$5:$A$88,'PET_STAT_RULES'!$G$5:$G$88)</x:f>
        <x:v>2</x:v>
      </x:c>
      <x:c r="N6" s="38" t="n">
        <x:v>3</x:v>
      </x:c>
      <x:c r="O6" s="38" t="str">
        <x:v>mech_fire_ignite_bonus</x:v>
      </x:c>
      <x:c r="P6" s="38" t="str">
        <x:v>13 形状13</x:v>
      </x:c>
      <x:c r="Q6" s="38" t="str">
        <x:v>Deadly</x:v>
      </x:c>
      <x:c r="R6" s="38" t="str">
        <x:v>第一套·核心；玩家效果：火种地形结算时，每层额外造成1点伤害。火种不附着单位，回合末统一结算。来源=Ballista。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  <x:c r="W6" s="332" t="n">
        <x:v>0</x:v>
      </x:c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40" t="n">
        <x:v>22</x:v>
      </x:c>
      <x:c r="K7" s="340" t="n">
        <x:v>5</x:v>
      </x:c>
      <x:c r="L7" s="340" t="n">
        <x:v>0</x:v>
      </x:c>
      <x:c r="M7" s="340" t="n">
        <x:f>XLOOKUP($D7&amp;"|"&amp;$E7&amp;"|"&amp;$F7,'PET_STAT_RULES'!$A$5:$A$88,'PET_STAT_RULES'!$G$5:$G$88)</x:f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  <x:c r="W7" s="332" t="n">
        <x:v>0</x:v>
      </x:c>
    </x:row>
    <x:row r="8">
      <x:c r="A8" s="38" t="str">
        <x:v>pal_007</x:v>
      </x:c>
      <x:c r="B8" s="38" t="str">
        <x:v>雷须猫</x:v>
      </x:c>
      <x:c r="C8" s="38" t="str">
        <x:v>雷、火</x:v>
      </x:c>
      <x:c r="D8" s="259" t="str">
        <x:v>青铜</x:v>
      </x:c>
      <x:c r="E8" s="38" t="str">
        <x:v>控制</x:v>
      </x:c>
      <x:c r="F8" s="38" t="str">
        <x:v>一格</x:v>
      </x:c>
      <x:c r="G8" s="38" t="str">
        <x:v>bz_van_007</x:v>
      </x:c>
      <x:c r="H8" s="38" t="str">
        <x:v>night_base, elem_火, elem_雷, role_控制, tier_pT1</x:v>
      </x:c>
      <x:c r="I8" s="38" t="n">
        <x:v>10</x:v>
      </x:c>
      <x:c r="J8" s="340" t="n">
        <x:v>20</x:v>
      </x:c>
      <x:c r="K8" s="340" t="n">
        <x:v>8</x:v>
      </x:c>
      <x:c r="L8" s="340" t="n">
        <x:v>0</x:v>
      </x:c>
      <x:c r="M8" s="340" t="n">
        <x:f>XLOOKUP($D8&amp;"|"&amp;$E8&amp;"|"&amp;$F8,'PET_STAT_RULES'!$A$5:$A$88,'PET_STAT_RULES'!$G$5:$G$88)</x:f>
        <x:v>4</x:v>
      </x:c>
      <x:c r="N8" s="38" t="n">
        <x:v>1</x:v>
      </x:c>
      <x:c r="O8" s="38" t="str">
        <x:v>mech_element_spread_adjacent</x:v>
      </x:c>
      <x:c r="P8" s="38" t="str">
        <x:v>04 形状04</x:v>
      </x:c>
      <x:c r="Q8" s="38" t="str">
        <x:v>Deadly</x:v>
      </x:c>
      <x:c r="R8" s="38" t="str">
        <x:v>第一套·扩散辅助；玩家效果：每当自身铺设火种地形，其上下左右相邻格各获得1层火种。来源=Bayonet。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  <x:c r="W8" s="332" t="n">
        <x:v>0</x:v>
      </x:c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40" t="n">
        <x:v>18</x:v>
      </x:c>
      <x:c r="K9" s="340" t="n">
        <x:v>4</x:v>
      </x:c>
      <x:c r="L9" s="340" t="n">
        <x:v>0</x:v>
      </x:c>
      <x:c r="M9" s="340" t="n">
        <x:f>XLOOKUP($D9&amp;"|"&amp;$E9&amp;"|"&amp;$F9,'PET_STAT_RULES'!$A$5:$A$88,'PET_STAT_RULES'!$G$5:$G$88)</x:f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  <x:c r="W9" s="332" t="n">
        <x:v>0</x:v>
      </x:c>
    </x:row>
    <x:row r="10">
      <x:c r="A10" s="38" t="str">
        <x:v>pal_009</x:v>
      </x:c>
      <x:c r="B10" s="38" t="str">
        <x:v>火角鹿</x:v>
      </x:c>
      <x:c r="C10" s="38" t="str">
        <x:v>火</x:v>
      </x:c>
      <x:c r="D10" s="259" t="str">
        <x:v>青铜</x:v>
      </x:c>
      <x:c r="E10" s="38" t="str">
        <x:v>召唤</x:v>
      </x:c>
      <x:c r="F10" s="38" t="str">
        <x:v>一格</x:v>
      </x:c>
      <x:c r="G10" s="38" t="str">
        <x:v>bz_van_009</x:v>
      </x:c>
      <x:c r="H10" s="38" t="str">
        <x:v>night_base, elem_火, role_召唤, tier_pT1</x:v>
      </x:c>
      <x:c r="I10" s="38" t="n">
        <x:v>10</x:v>
      </x:c>
      <x:c r="J10" s="340" t="n">
        <x:v>20</x:v>
      </x:c>
      <x:c r="K10" s="340" t="n">
        <x:v>8</x:v>
      </x:c>
      <x:c r="L10" s="340" t="n">
        <x:v>0</x:v>
      </x:c>
      <x:c r="M10" s="340" t="n">
        <x:f>XLOOKUP($D10&amp;"|"&amp;$E10&amp;"|"&amp;$F10,'PET_STAT_RULES'!$A$5:$A$88,'PET_STAT_RULES'!$G$5:$G$88)</x:f>
        <x:v>3</x:v>
      </x:c>
      <x:c r="N10" s="38" t="n">
        <x:v>1</x:v>
      </x:c>
      <x:c r="O10" s="38" t="str">
        <x:v>mech_element_apply_bonus</x:v>
      </x:c>
      <x:c r="P10" s="38" t="str">
        <x:v>01 形状01</x:v>
      </x:c>
      <x:c r="Q10" s="38" t="str">
        <x:v>Deadly</x:v>
      </x:c>
      <x:c r="R10" s="38" t="str">
        <x:v>第一套·火种供应；玩家效果：每当自身铺设火种地形，该格额外获得1层火种。来源=Bilge Worm。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  <x:c r="W10" s="332" t="n">
        <x:v>0</x:v>
      </x:c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40" t="n">
        <x:v>22</x:v>
      </x:c>
      <x:c r="K11" s="340" t="n">
        <x:v>5</x:v>
      </x:c>
      <x:c r="L11" s="340" t="n">
        <x:v>0</x:v>
      </x:c>
      <x:c r="M11" s="340" t="n">
        <x:f>XLOOKUP($D11&amp;"|"&amp;$E11&amp;"|"&amp;$F11,'PET_STAT_RULES'!$A$5:$A$88,'PET_STAT_RULES'!$G$5:$G$88)</x:f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  <x:c r="W11" s="332" t="n">
        <x:v>0</x:v>
      </x:c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40" t="n">
        <x:v>22</x:v>
      </x:c>
      <x:c r="K12" s="340" t="n">
        <x:v>5</x:v>
      </x:c>
      <x:c r="L12" s="340" t="n">
        <x:v>0</x:v>
      </x:c>
      <x:c r="M12" s="340" t="n">
        <x:f>XLOOKUP($D12&amp;"|"&amp;$E12&amp;"|"&amp;$F12,'PET_STAT_RULES'!$A$5:$A$88,'PET_STAT_RULES'!$G$5:$G$88)</x:f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  <x:c r="W12" s="332" t="n">
        <x:v>0</x:v>
      </x:c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elem_火, elem_雷, role_输出, tier_pT3</x:v>
      </x:c>
      <x:c r="I13" s="38" t="n">
        <x:v>10</x:v>
      </x:c>
      <x:c r="J13" s="340" t="n">
        <x:v>18</x:v>
      </x:c>
      <x:c r="K13" s="340" t="n">
        <x:v>4</x:v>
      </x:c>
      <x:c r="L13" s="340" t="n">
        <x:v>0</x:v>
      </x:c>
      <x:c r="M13" s="340" t="n">
        <x:f>XLOOKUP($D13&amp;"|"&amp;$E13&amp;"|"&amp;$F13,'PET_STAT_RULES'!$A$5:$A$88,'PET_STAT_RULES'!$G$5:$G$88)</x:f>
        <x:v>3</x:v>
      </x:c>
      <x:c r="N13" s="38" t="n">
        <x:v>3</x:v>
      </x:c>
      <x:c r="O13" s="38" t="str">
        <x:v>mech_element_pair_bonus</x:v>
      </x:c>
      <x:c r="P13" s="38" t="str">
        <x:v>17 形状17</x:v>
      </x:c>
      <x:c r="Q13" s="38" t="str">
        <x:v>Fiery</x:v>
      </x:c>
      <x:c r="R13" s="38" t="str">
        <x:v>第一套·双元素副核；玩家效果：同格同时有火种和雷地形时，火种统一结算按配对层数每层额外造成2点伤害。来源=Blunderbuss。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  <x:c r="W13" s="332" t="n">
        <x:v>0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40" t="n">
        <x:v>22</x:v>
      </x:c>
      <x:c r="K14" s="340" t="n">
        <x:v>5</x:v>
      </x:c>
      <x:c r="L14" s="340" t="n">
        <x:v>0</x:v>
      </x:c>
      <x:c r="M14" s="340" t="n">
        <x:f>XLOOKUP($D14&amp;"|"&amp;$E14&amp;"|"&amp;$F14,'PET_STAT_RULES'!$A$5:$A$88,'PET_STAT_RULES'!$G$5:$G$88)</x:f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  <x:c r="W14" s="332" t="n">
        <x:v>0</x:v>
      </x:c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经济</x:v>
      </x:c>
      <x:c r="F15" s="38" t="str">
        <x:v>两格</x:v>
      </x:c>
      <x:c r="G15" s="38" t="str">
        <x:v>bz_van_014</x:v>
      </x:c>
      <x:c r="H15" s="38" t="str">
        <x:v>night_base, elem_火, role_经济, tier_pT2</x:v>
      </x:c>
      <x:c r="I15" s="38" t="n">
        <x:v>10</x:v>
      </x:c>
      <x:c r="J15" s="340" t="n">
        <x:v>22</x:v>
      </x:c>
      <x:c r="K15" s="340" t="n">
        <x:v>5</x:v>
      </x:c>
      <x:c r="L15" s="340" t="n">
        <x:v>0</x:v>
      </x:c>
      <x:c r="M15" s="340" t="n">
        <x:f>XLOOKUP($D15&amp;"|"&amp;$E15&amp;"|"&amp;$F15,'PET_STAT_RULES'!$A$5:$A$88,'PET_STAT_RULES'!$G$5:$G$88)</x:f>
        <x:v>3</x:v>
      </x:c>
      <x:c r="N15" s="38" t="n">
        <x:v>2</x:v>
      </x:c>
      <x:c r="O15" s="38" t="str">
        <x:v>mech_win_gold_bonus</x:v>
      </x:c>
      <x:c r="P15" s="38" t="str">
        <x:v>09 形状09</x:v>
      </x:c>
      <x:c r="Q15" s="38" t="str">
        <x:v>Fiery</x:v>
      </x:c>
      <x:c r="R15" s="38" t="str">
        <x:v>第一套·经济辅助；玩家效果：战斗胜利且自身存活时，额外获得1金币。来源=Bonfire。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  <x:c r="W15" s="332" t="n">
        <x:v>0</x:v>
      </x:c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40" t="n">
        <x:v>22</x:v>
      </x:c>
      <x:c r="K16" s="340" t="n">
        <x:v>5</x:v>
      </x:c>
      <x:c r="L16" s="340" t="n">
        <x:v>0</x:v>
      </x:c>
      <x:c r="M16" s="340" t="n">
        <x:f>XLOOKUP($D16&amp;"|"&amp;$E16&amp;"|"&amp;$F16,'PET_STAT_RULES'!$A$5:$A$88,'PET_STAT_RULES'!$G$5:$G$88)</x:f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  <x:c r="W16" s="332" t="n">
        <x:v>0</x:v>
      </x:c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40" t="n">
        <x:v>22</x:v>
      </x:c>
      <x:c r="K17" s="340" t="n">
        <x:v>5</x:v>
      </x:c>
      <x:c r="L17" s="340" t="n">
        <x:v>0</x:v>
      </x:c>
      <x:c r="M17" s="340" t="n">
        <x:f>XLOOKUP($D17&amp;"|"&amp;$E17&amp;"|"&amp;$F17,'PET_STAT_RULES'!$A$5:$A$88,'PET_STAT_RULES'!$G$5:$G$88)</x:f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  <x:c r="W17" s="332" t="n">
        <x:v>0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坦克</x:v>
      </x:c>
      <x:c r="F18" s="38" t="str">
        <x:v>两格</x:v>
      </x:c>
      <x:c r="G18" s="38" t="str">
        <x:v>bz_van_017</x:v>
      </x:c>
      <x:c r="H18" s="38" t="str">
        <x:v>night_base, elem_火, elem_雷, role_坦克, tier_pT1</x:v>
      </x:c>
      <x:c r="I18" s="38" t="n">
        <x:v>10</x:v>
      </x:c>
      <x:c r="J18" s="340" t="n">
        <x:v>20</x:v>
      </x:c>
      <x:c r="K18" s="340" t="n">
        <x:v>8</x:v>
      </x:c>
      <x:c r="L18" s="340" t="n">
        <x:v>0</x:v>
      </x:c>
      <x:c r="M18" s="340" t="n">
        <x:f>XLOOKUP($D18&amp;"|"&amp;$E18&amp;"|"&amp;$F18,'PET_STAT_RULES'!$A$5:$A$88,'PET_STAT_RULES'!$G$5:$G$88)</x:f>
        <x:v>3</x:v>
      </x:c>
      <x:c r="N18" s="38" t="n">
        <x:v>1</x:v>
      </x:c>
      <x:c r="O18" s="38" t="str">
        <x:v>mech_wind_push_on_hit</x:v>
      </x:c>
      <x:c r="P18" s="38" t="str">
        <x:v>01 形状01</x:v>
      </x:c>
      <x:c r="Q18" s="38" t="str">
        <x:v>Fiery</x:v>
      </x:c>
      <x:c r="R18" s="38" t="str">
        <x:v>第一套·站位辅助；玩家效果：火攻击命中后将存活目标沿攻击方向推动1格；推动不会提前结算火种。来源=Cannon。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  <x:c r="W18" s="332" t="n">
        <x:v>0</x:v>
      </x:c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40" t="n">
        <x:v>22</x:v>
      </x:c>
      <x:c r="K19" s="340" t="n">
        <x:v>5</x:v>
      </x:c>
      <x:c r="L19" s="340" t="n">
        <x:v>0</x:v>
      </x:c>
      <x:c r="M19" s="340" t="n">
        <x:f>XLOOKUP($D19&amp;"|"&amp;$E19&amp;"|"&amp;$F19,'PET_STAT_RULES'!$A$5:$A$88,'PET_STAT_RULES'!$G$5:$G$88)</x:f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  <x:c r="W19" s="332" t="n">
        <x:v>0</x:v>
      </x:c>
    </x:row>
    <x:row r="20">
      <x:c r="A20" s="38" t="str">
        <x:v>pal_019</x:v>
      </x:c>
      <x:c r="B20" s="38" t="str">
        <x:v>夜穴鼹</x:v>
      </x:c>
      <x:c r="C20" s="38" t="str">
        <x:v>暗、火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night_base, elem_火, elem_暗, role_输出, tier_pT2</x:v>
      </x:c>
      <x:c r="I20" s="38" t="n">
        <x:v>10</x:v>
      </x:c>
      <x:c r="J20" s="340" t="n">
        <x:v>18</x:v>
      </x:c>
      <x:c r="K20" s="340" t="n">
        <x:v>4</x:v>
      </x:c>
      <x:c r="L20" s="340" t="n">
        <x:v>0</x:v>
      </x:c>
      <x:c r="M20" s="340" t="n">
        <x:f>XLOOKUP($D20&amp;"|"&amp;$E20&amp;"|"&amp;$F20,'PET_STAT_RULES'!$A$5:$A$88,'PET_STAT_RULES'!$G$5:$G$88)</x:f>
        <x:v>3</x:v>
      </x:c>
      <x:c r="N20" s="38" t="n">
        <x:v>3</x:v>
      </x:c>
      <x:c r="O20" s="38" t="str">
        <x:v>mech_element_layer_threshold_bonus</x:v>
      </x:c>
      <x:c r="P20" s="38" t="str">
        <x:v>13 形状13</x:v>
      </x:c>
      <x:c r="Q20" s="38" t="str">
        <x:v>Deadly</x:v>
      </x:c>
      <x:c r="R20" s="38" t="str">
        <x:v>第一套·延迟副核；玩家效果：火种地形达到3层时，统一结算额外造成5点伤害。来源=Cannonball。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  <x:c r="W20" s="332" t="n">
        <x:v>0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40" t="n">
        <x:v>22</x:v>
      </x:c>
      <x:c r="K21" s="340" t="n">
        <x:v>5</x:v>
      </x:c>
      <x:c r="L21" s="340" t="n">
        <x:v>0</x:v>
      </x:c>
      <x:c r="M21" s="340" t="n">
        <x:f>XLOOKUP($D21&amp;"|"&amp;$E21&amp;"|"&amp;$F21,'PET_STAT_RULES'!$A$5:$A$88,'PET_STAT_RULES'!$G$5:$G$88)</x:f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  <x:c r="W21" s="332" t="n">
        <x:v>0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40" t="n">
        <x:f>XLOOKUP($D22&amp;"|"&amp;$E22&amp;"|"&amp;$F22,'PET_STAT_RULES'!$A$5:$A$88,'PET_STAT_RULES'!$C$5:$C$88)</x:f>
        <x:v>40</x:v>
      </x:c>
      <x:c r="K22" s="340" t="n">
        <x:f>XLOOKUP($D22&amp;"|"&amp;$E22&amp;"|"&amp;$F22,'PET_STAT_RULES'!$A$5:$A$88,'PET_STAT_RULES'!$D$5:$D$88)</x:f>
        <x:v>12</x:v>
      </x:c>
      <x:c r="L22" s="340" t="n">
        <x:f>XLOOKUP($D22&amp;"|"&amp;$E22&amp;"|"&amp;$F22,'PET_STAT_RULES'!$A$5:$A$88,'PET_STAT_RULES'!$F$5:$F$88)</x:f>
        <x:v>0</x:v>
      </x:c>
      <x:c r="M22" s="340" t="n">
        <x:f>XLOOKUP($D22&amp;"|"&amp;$E22&amp;"|"&amp;$F22,'PET_STAT_RULES'!$A$5:$A$88,'PET_STAT_RULES'!$G$5:$G$88)</x:f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  <x:c r="W22" s="332" t="n">
        <x:f>XLOOKUP($D22&amp;"|"&amp;$E22&amp;"|"&amp;$F22,'PET_STAT_RULES'!$A$5:$A$88,'PET_STAT_RULES'!$E$5:$E$88)</x:f>
        <x:v>0</x:v>
      </x:c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40" t="n">
        <x:f>XLOOKUP($D23&amp;"|"&amp;$E23&amp;"|"&amp;$F23,'PET_STAT_RULES'!$A$5:$A$88,'PET_STAT_RULES'!$C$5:$C$88)</x:f>
        <x:v>40</x:v>
      </x:c>
      <x:c r="K23" s="340" t="n">
        <x:f>XLOOKUP($D23&amp;"|"&amp;$E23&amp;"|"&amp;$F23,'PET_STAT_RULES'!$A$5:$A$88,'PET_STAT_RULES'!$D$5:$D$88)</x:f>
        <x:v>12</x:v>
      </x:c>
      <x:c r="L23" s="340" t="n">
        <x:f>XLOOKUP($D23&amp;"|"&amp;$E23&amp;"|"&amp;$F23,'PET_STAT_RULES'!$A$5:$A$88,'PET_STAT_RULES'!$F$5:$F$88)</x:f>
        <x:v>0</x:v>
      </x:c>
      <x:c r="M23" s="340" t="n">
        <x:f>XLOOKUP($D23&amp;"|"&amp;$E23&amp;"|"&amp;$F23,'PET_STAT_RULES'!$A$5:$A$88,'PET_STAT_RULES'!$G$5:$G$88)</x:f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  <x:c r="W23" s="332" t="n">
        <x:f>XLOOKUP($D23&amp;"|"&amp;$E23&amp;"|"&amp;$F23,'PET_STAT_RULES'!$A$5:$A$88,'PET_STAT_RULES'!$E$5:$E$88)</x:f>
        <x:v>0</x:v>
      </x:c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40" t="n">
        <x:f>XLOOKUP($D24&amp;"|"&amp;$E24&amp;"|"&amp;$F24,'PET_STAT_RULES'!$A$5:$A$88,'PET_STAT_RULES'!$C$5:$C$88)</x:f>
        <x:v>26</x:v>
      </x:c>
      <x:c r="K24" s="340" t="n">
        <x:f>XLOOKUP($D24&amp;"|"&amp;$E24&amp;"|"&amp;$F24,'PET_STAT_RULES'!$A$5:$A$88,'PET_STAT_RULES'!$D$5:$D$88)</x:f>
        <x:v>10</x:v>
      </x:c>
      <x:c r="L24" s="340" t="n">
        <x:f>XLOOKUP($D24&amp;"|"&amp;$E24&amp;"|"&amp;$F24,'PET_STAT_RULES'!$A$5:$A$88,'PET_STAT_RULES'!$F$5:$F$88)</x:f>
        <x:v>0</x:v>
      </x:c>
      <x:c r="M24" s="340" t="n">
        <x:f>XLOOKUP($D24&amp;"|"&amp;$E24&amp;"|"&amp;$F24,'PET_STAT_RULES'!$A$5:$A$88,'PET_STAT_RULES'!$G$5:$G$88)</x:f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  <x:c r="W24" s="332" t="n">
        <x:f>XLOOKUP($D24&amp;"|"&amp;$E24&amp;"|"&amp;$F24,'PET_STAT_RULES'!$A$5:$A$88,'PET_STAT_RULES'!$E$5:$E$88)</x:f>
        <x:v>0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40" t="n">
        <x:f>XLOOKUP($D25&amp;"|"&amp;$E25&amp;"|"&amp;$F25,'PET_STAT_RULES'!$A$5:$A$88,'PET_STAT_RULES'!$C$5:$C$88)</x:f>
        <x:v>44</x:v>
      </x:c>
      <x:c r="K25" s="340" t="n">
        <x:f>XLOOKUP($D25&amp;"|"&amp;$E25&amp;"|"&amp;$F25,'PET_STAT_RULES'!$A$5:$A$88,'PET_STAT_RULES'!$D$5:$D$88)</x:f>
        <x:v>14</x:v>
      </x:c>
      <x:c r="L25" s="340" t="n">
        <x:f>XLOOKUP($D25&amp;"|"&amp;$E25&amp;"|"&amp;$F25,'PET_STAT_RULES'!$A$5:$A$88,'PET_STAT_RULES'!$F$5:$F$88)</x:f>
        <x:v>0</x:v>
      </x:c>
      <x:c r="M25" s="340" t="n">
        <x:f>XLOOKUP($D25&amp;"|"&amp;$E25&amp;"|"&amp;$F25,'PET_STAT_RULES'!$A$5:$A$88,'PET_STAT_RULES'!$G$5:$G$88)</x:f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  <x:c r="W25" s="332" t="n">
        <x:f>XLOOKUP($D25&amp;"|"&amp;$E25&amp;"|"&amp;$F25,'PET_STAT_RULES'!$A$5:$A$88,'PET_STAT_RULES'!$E$5:$E$88)</x:f>
        <x:v>0</x:v>
      </x:c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40" t="n">
        <x:f>XLOOKUP($D26&amp;"|"&amp;$E26&amp;"|"&amp;$F26,'PET_STAT_RULES'!$A$5:$A$88,'PET_STAT_RULES'!$C$5:$C$88)</x:f>
        <x:v>22</x:v>
      </x:c>
      <x:c r="K26" s="340" t="n">
        <x:f>XLOOKUP($D26&amp;"|"&amp;$E26&amp;"|"&amp;$F26,'PET_STAT_RULES'!$A$5:$A$88,'PET_STAT_RULES'!$D$5:$D$88)</x:f>
        <x:v>8</x:v>
      </x:c>
      <x:c r="L26" s="340" t="n">
        <x:f>XLOOKUP($D26&amp;"|"&amp;$E26&amp;"|"&amp;$F26,'PET_STAT_RULES'!$A$5:$A$88,'PET_STAT_RULES'!$F$5:$F$88)</x:f>
        <x:v>0</x:v>
      </x:c>
      <x:c r="M26" s="340" t="n">
        <x:f>XLOOKUP($D26&amp;"|"&amp;$E26&amp;"|"&amp;$F26,'PET_STAT_RULES'!$A$5:$A$88,'PET_STAT_RULES'!$G$5:$G$88)</x:f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  <x:c r="W26" s="332" t="n">
        <x:f>XLOOKUP($D26&amp;"|"&amp;$E26&amp;"|"&amp;$F26,'PET_STAT_RULES'!$A$5:$A$88,'PET_STAT_RULES'!$E$5:$E$88)</x:f>
        <x:v>0</x:v>
      </x:c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40" t="n">
        <x:f>XLOOKUP($D27&amp;"|"&amp;$E27&amp;"|"&amp;$F27,'PET_STAT_RULES'!$A$5:$A$88,'PET_STAT_RULES'!$C$5:$C$88)</x:f>
        <x:v>38</x:v>
      </x:c>
      <x:c r="K27" s="340" t="n">
        <x:f>XLOOKUP($D27&amp;"|"&amp;$E27&amp;"|"&amp;$F27,'PET_STAT_RULES'!$A$5:$A$88,'PET_STAT_RULES'!$D$5:$D$88)</x:f>
        <x:v>16</x:v>
      </x:c>
      <x:c r="L27" s="340" t="n">
        <x:f>XLOOKUP($D27&amp;"|"&amp;$E27&amp;"|"&amp;$F27,'PET_STAT_RULES'!$A$5:$A$88,'PET_STAT_RULES'!$F$5:$F$88)</x:f>
        <x:v>0</x:v>
      </x:c>
      <x:c r="M27" s="340" t="n">
        <x:f>XLOOKUP($D27&amp;"|"&amp;$E27&amp;"|"&amp;$F27,'PET_STAT_RULES'!$A$5:$A$88,'PET_STAT_RULES'!$G$5:$G$88)</x:f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  <x:c r="W27" s="332" t="n">
        <x:f>XLOOKUP($D27&amp;"|"&amp;$E27&amp;"|"&amp;$F27,'PET_STAT_RULES'!$A$5:$A$88,'PET_STAT_RULES'!$E$5:$E$88)</x:f>
        <x:v>0</x:v>
      </x:c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40" t="n">
        <x:f>XLOOKUP($D28&amp;"|"&amp;$E28&amp;"|"&amp;$F28,'PET_STAT_RULES'!$A$5:$A$88,'PET_STAT_RULES'!$C$5:$C$88)</x:f>
        <x:v>22</x:v>
      </x:c>
      <x:c r="K28" s="340" t="n">
        <x:f>XLOOKUP($D28&amp;"|"&amp;$E28&amp;"|"&amp;$F28,'PET_STAT_RULES'!$A$5:$A$88,'PET_STAT_RULES'!$D$5:$D$88)</x:f>
        <x:v>8</x:v>
      </x:c>
      <x:c r="L28" s="340" t="n">
        <x:f>XLOOKUP($D28&amp;"|"&amp;$E28&amp;"|"&amp;$F28,'PET_STAT_RULES'!$A$5:$A$88,'PET_STAT_RULES'!$F$5:$F$88)</x:f>
        <x:v>0</x:v>
      </x:c>
      <x:c r="M28" s="340" t="n">
        <x:f>XLOOKUP($D28&amp;"|"&amp;$E28&amp;"|"&amp;$F28,'PET_STAT_RULES'!$A$5:$A$88,'PET_STAT_RULES'!$G$5:$G$88)</x:f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  <x:c r="W28" s="332" t="n">
        <x:f>XLOOKUP($D28&amp;"|"&amp;$E28&amp;"|"&amp;$F28,'PET_STAT_RULES'!$A$5:$A$88,'PET_STAT_RULES'!$E$5:$E$88)</x:f>
        <x:v>0</x:v>
      </x:c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40" t="n">
        <x:f>XLOOKUP($D29&amp;"|"&amp;$E29&amp;"|"&amp;$F29,'PET_STAT_RULES'!$A$5:$A$88,'PET_STAT_RULES'!$C$5:$C$88)</x:f>
        <x:v>28</x:v>
      </x:c>
      <x:c r="K29" s="340" t="n">
        <x:f>XLOOKUP($D29&amp;"|"&amp;$E29&amp;"|"&amp;$F29,'PET_STAT_RULES'!$A$5:$A$88,'PET_STAT_RULES'!$D$5:$D$88)</x:f>
        <x:v>8</x:v>
      </x:c>
      <x:c r="L29" s="340" t="n">
        <x:f>XLOOKUP($D29&amp;"|"&amp;$E29&amp;"|"&amp;$F29,'PET_STAT_RULES'!$A$5:$A$88,'PET_STAT_RULES'!$F$5:$F$88)</x:f>
        <x:v>2</x:v>
      </x:c>
      <x:c r="M29" s="340" t="n">
        <x:f>XLOOKUP($D29&amp;"|"&amp;$E29&amp;"|"&amp;$F29,'PET_STAT_RULES'!$A$5:$A$88,'PET_STAT_RULES'!$G$5:$G$88)</x:f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  <x:c r="W29" s="332" t="n">
        <x:f>XLOOKUP($D29&amp;"|"&amp;$E29&amp;"|"&amp;$F29,'PET_STAT_RULES'!$A$5:$A$88,'PET_STAT_RULES'!$E$5:$E$88)</x:f>
        <x:v>0</x:v>
      </x:c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40" t="n">
        <x:f>XLOOKUP($D30&amp;"|"&amp;$E30&amp;"|"&amp;$F30,'PET_STAT_RULES'!$A$5:$A$88,'PET_STAT_RULES'!$C$5:$C$88)</x:f>
        <x:v>42</x:v>
      </x:c>
      <x:c r="K30" s="340" t="n">
        <x:f>XLOOKUP($D30&amp;"|"&amp;$E30&amp;"|"&amp;$F30,'PET_STAT_RULES'!$A$5:$A$88,'PET_STAT_RULES'!$D$5:$D$88)</x:f>
        <x:v>6</x:v>
      </x:c>
      <x:c r="L30" s="340" t="n">
        <x:f>XLOOKUP($D30&amp;"|"&amp;$E30&amp;"|"&amp;$F30,'PET_STAT_RULES'!$A$5:$A$88,'PET_STAT_RULES'!$F$5:$F$88)</x:f>
        <x:v>6</x:v>
      </x:c>
      <x:c r="M30" s="340" t="n">
        <x:f>XLOOKUP($D30&amp;"|"&amp;$E30&amp;"|"&amp;$F30,'PET_STAT_RULES'!$A$5:$A$88,'PET_STAT_RULES'!$G$5:$G$88)</x:f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  <x:c r="W30" s="332" t="n">
        <x:f>XLOOKUP($D30&amp;"|"&amp;$E30&amp;"|"&amp;$F30,'PET_STAT_RULES'!$A$5:$A$88,'PET_STAT_RULES'!$E$5:$E$88)</x:f>
        <x:v>0</x:v>
      </x:c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40" t="n">
        <x:f>XLOOKUP($D31&amp;"|"&amp;$E31&amp;"|"&amp;$F31,'PET_STAT_RULES'!$A$5:$A$88,'PET_STAT_RULES'!$C$5:$C$88)</x:f>
        <x:v>48</x:v>
      </x:c>
      <x:c r="K31" s="340" t="n">
        <x:f>XLOOKUP($D31&amp;"|"&amp;$E31&amp;"|"&amp;$F31,'PET_STAT_RULES'!$A$5:$A$88,'PET_STAT_RULES'!$D$5:$D$88)</x:f>
        <x:v>4</x:v>
      </x:c>
      <x:c r="L31" s="340" t="n">
        <x:f>XLOOKUP($D31&amp;"|"&amp;$E31&amp;"|"&amp;$F31,'PET_STAT_RULES'!$A$5:$A$88,'PET_STAT_RULES'!$F$5:$F$88)</x:f>
        <x:v>6</x:v>
      </x:c>
      <x:c r="M31" s="340" t="n">
        <x:f>XLOOKUP($D31&amp;"|"&amp;$E31&amp;"|"&amp;$F31,'PET_STAT_RULES'!$A$5:$A$88,'PET_STAT_RULES'!$G$5:$G$88)</x:f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  <x:c r="W31" s="332" t="n">
        <x:f>XLOOKUP($D31&amp;"|"&amp;$E31&amp;"|"&amp;$F31,'PET_STAT_RULES'!$A$5:$A$88,'PET_STAT_RULES'!$E$5:$E$88)</x:f>
        <x:v>0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40" t="n">
        <x:f>XLOOKUP($D32&amp;"|"&amp;$E32&amp;"|"&amp;$F32,'PET_STAT_RULES'!$A$5:$A$88,'PET_STAT_RULES'!$C$5:$C$88)</x:f>
        <x:v>52</x:v>
      </x:c>
      <x:c r="K32" s="340" t="n">
        <x:f>XLOOKUP($D32&amp;"|"&amp;$E32&amp;"|"&amp;$F32,'PET_STAT_RULES'!$A$5:$A$88,'PET_STAT_RULES'!$D$5:$D$88)</x:f>
        <x:v>10</x:v>
      </x:c>
      <x:c r="L32" s="340" t="n">
        <x:f>XLOOKUP($D32&amp;"|"&amp;$E32&amp;"|"&amp;$F32,'PET_STAT_RULES'!$A$5:$A$88,'PET_STAT_RULES'!$F$5:$F$88)</x:f>
        <x:v>4</x:v>
      </x:c>
      <x:c r="M32" s="340" t="n">
        <x:f>XLOOKUP($D32&amp;"|"&amp;$E32&amp;"|"&amp;$F32,'PET_STAT_RULES'!$A$5:$A$88,'PET_STAT_RULES'!$G$5:$G$88)</x:f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  <x:c r="W32" s="332" t="n">
        <x:f>XLOOKUP($D32&amp;"|"&amp;$E32&amp;"|"&amp;$F32,'PET_STAT_RULES'!$A$5:$A$88,'PET_STAT_RULES'!$E$5:$E$88)</x:f>
        <x:v>0</x:v>
      </x:c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40" t="n">
        <x:f>XLOOKUP($D33&amp;"|"&amp;$E33&amp;"|"&amp;$F33,'PET_STAT_RULES'!$A$5:$A$88,'PET_STAT_RULES'!$C$5:$C$88)</x:f>
        <x:v>34</x:v>
      </x:c>
      <x:c r="K33" s="340" t="n">
        <x:f>XLOOKUP($D33&amp;"|"&amp;$E33&amp;"|"&amp;$F33,'PET_STAT_RULES'!$A$5:$A$88,'PET_STAT_RULES'!$D$5:$D$88)</x:f>
        <x:v>14</x:v>
      </x:c>
      <x:c r="L33" s="340" t="n">
        <x:f>XLOOKUP($D33&amp;"|"&amp;$E33&amp;"|"&amp;$F33,'PET_STAT_RULES'!$A$5:$A$88,'PET_STAT_RULES'!$F$5:$F$88)</x:f>
        <x:v>0</x:v>
      </x:c>
      <x:c r="M33" s="340" t="n">
        <x:f>XLOOKUP($D33&amp;"|"&amp;$E33&amp;"|"&amp;$F33,'PET_STAT_RULES'!$A$5:$A$88,'PET_STAT_RULES'!$G$5:$G$88)</x:f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  <x:c r="W33" s="332" t="n">
        <x:f>XLOOKUP($D33&amp;"|"&amp;$E33&amp;"|"&amp;$F33,'PET_STAT_RULES'!$A$5:$A$88,'PET_STAT_RULES'!$E$5:$E$88)</x:f>
        <x:v>0</x:v>
      </x:c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40" t="n">
        <x:f>XLOOKUP($D34&amp;"|"&amp;$E34&amp;"|"&amp;$F34,'PET_STAT_RULES'!$A$5:$A$88,'PET_STAT_RULES'!$C$5:$C$88)</x:f>
        <x:v>32</x:v>
      </x:c>
      <x:c r="K34" s="340" t="n">
        <x:f>XLOOKUP($D34&amp;"|"&amp;$E34&amp;"|"&amp;$F34,'PET_STAT_RULES'!$A$5:$A$88,'PET_STAT_RULES'!$D$5:$D$88)</x:f>
        <x:v>8</x:v>
      </x:c>
      <x:c r="L34" s="340" t="n">
        <x:f>XLOOKUP($D34&amp;"|"&amp;$E34&amp;"|"&amp;$F34,'PET_STAT_RULES'!$A$5:$A$88,'PET_STAT_RULES'!$F$5:$F$88)</x:f>
        <x:v>0</x:v>
      </x:c>
      <x:c r="M34" s="340" t="n">
        <x:f>XLOOKUP($D34&amp;"|"&amp;$E34&amp;"|"&amp;$F34,'PET_STAT_RULES'!$A$5:$A$88,'PET_STAT_RULES'!$G$5:$G$88)</x:f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  <x:c r="W34" s="332" t="n">
        <x:f>XLOOKUP($D34&amp;"|"&amp;$E34&amp;"|"&amp;$F34,'PET_STAT_RULES'!$A$5:$A$88,'PET_STAT_RULES'!$E$5:$E$88)</x:f>
        <x:v>0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40" t="n">
        <x:f>XLOOKUP($D35&amp;"|"&amp;$E35&amp;"|"&amp;$F35,'PET_STAT_RULES'!$A$5:$A$88,'PET_STAT_RULES'!$C$5:$C$88)</x:f>
        <x:v>40</x:v>
      </x:c>
      <x:c r="K35" s="340" t="n">
        <x:f>XLOOKUP($D35&amp;"|"&amp;$E35&amp;"|"&amp;$F35,'PET_STAT_RULES'!$A$5:$A$88,'PET_STAT_RULES'!$D$5:$D$88)</x:f>
        <x:v>20</x:v>
      </x:c>
      <x:c r="L35" s="340" t="n">
        <x:f>XLOOKUP($D35&amp;"|"&amp;$E35&amp;"|"&amp;$F35,'PET_STAT_RULES'!$A$5:$A$88,'PET_STAT_RULES'!$F$5:$F$88)</x:f>
        <x:v>0</x:v>
      </x:c>
      <x:c r="M35" s="340" t="n">
        <x:f>XLOOKUP($D35&amp;"|"&amp;$E35&amp;"|"&amp;$F35,'PET_STAT_RULES'!$A$5:$A$88,'PET_STAT_RULES'!$G$5:$G$88)</x:f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  <x:c r="W35" s="332" t="n">
        <x:f>XLOOKUP($D35&amp;"|"&amp;$E35&amp;"|"&amp;$F35,'PET_STAT_RULES'!$A$5:$A$88,'PET_STAT_RULES'!$E$5:$E$88)</x:f>
        <x:v>0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40" t="n">
        <x:f>XLOOKUP($D36&amp;"|"&amp;$E36&amp;"|"&amp;$F36,'PET_STAT_RULES'!$A$5:$A$88,'PET_STAT_RULES'!$C$5:$C$88)</x:f>
        <x:v>62</x:v>
      </x:c>
      <x:c r="K36" s="340" t="n">
        <x:f>XLOOKUP($D36&amp;"|"&amp;$E36&amp;"|"&amp;$F36,'PET_STAT_RULES'!$A$5:$A$88,'PET_STAT_RULES'!$D$5:$D$88)</x:f>
        <x:v>18</x:v>
      </x:c>
      <x:c r="L36" s="340" t="n">
        <x:f>XLOOKUP($D36&amp;"|"&amp;$E36&amp;"|"&amp;$F36,'PET_STAT_RULES'!$A$5:$A$88,'PET_STAT_RULES'!$F$5:$F$88)</x:f>
        <x:v>0</x:v>
      </x:c>
      <x:c r="M36" s="340" t="n">
        <x:f>XLOOKUP($D36&amp;"|"&amp;$E36&amp;"|"&amp;$F36,'PET_STAT_RULES'!$A$5:$A$88,'PET_STAT_RULES'!$G$5:$G$88)</x:f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  <x:c r="W36" s="332" t="n">
        <x:f>XLOOKUP($D36&amp;"|"&amp;$E36&amp;"|"&amp;$F36,'PET_STAT_RULES'!$A$5:$A$88,'PET_STAT_RULES'!$E$5:$E$88)</x:f>
        <x:v>0</x:v>
      </x:c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40" t="n">
        <x:f>XLOOKUP($D37&amp;"|"&amp;$E37&amp;"|"&amp;$F37,'PET_STAT_RULES'!$A$5:$A$88,'PET_STAT_RULES'!$C$5:$C$88)</x:f>
        <x:v>44</x:v>
      </x:c>
      <x:c r="K37" s="340" t="n">
        <x:f>XLOOKUP($D37&amp;"|"&amp;$E37&amp;"|"&amp;$F37,'PET_STAT_RULES'!$A$5:$A$88,'PET_STAT_RULES'!$D$5:$D$88)</x:f>
        <x:v>14</x:v>
      </x:c>
      <x:c r="L37" s="340" t="n">
        <x:f>XLOOKUP($D37&amp;"|"&amp;$E37&amp;"|"&amp;$F37,'PET_STAT_RULES'!$A$5:$A$88,'PET_STAT_RULES'!$F$5:$F$88)</x:f>
        <x:v>0</x:v>
      </x:c>
      <x:c r="M37" s="340" t="n">
        <x:f>XLOOKUP($D37&amp;"|"&amp;$E37&amp;"|"&amp;$F37,'PET_STAT_RULES'!$A$5:$A$88,'PET_STAT_RULES'!$G$5:$G$88)</x:f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  <x:c r="W37" s="332" t="n">
        <x:f>XLOOKUP($D37&amp;"|"&amp;$E37&amp;"|"&amp;$F37,'PET_STAT_RULES'!$A$5:$A$88,'PET_STAT_RULES'!$E$5:$E$88)</x:f>
        <x:v>0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40" t="n">
        <x:f>XLOOKUP($D38&amp;"|"&amp;$E38&amp;"|"&amp;$F38,'PET_STAT_RULES'!$A$5:$A$88,'PET_STAT_RULES'!$C$5:$C$88)</x:f>
        <x:v>38</x:v>
      </x:c>
      <x:c r="K38" s="340" t="n">
        <x:f>XLOOKUP($D38&amp;"|"&amp;$E38&amp;"|"&amp;$F38,'PET_STAT_RULES'!$A$5:$A$88,'PET_STAT_RULES'!$D$5:$D$88)</x:f>
        <x:v>16</x:v>
      </x:c>
      <x:c r="L38" s="340" t="n">
        <x:f>XLOOKUP($D38&amp;"|"&amp;$E38&amp;"|"&amp;$F38,'PET_STAT_RULES'!$A$5:$A$88,'PET_STAT_RULES'!$F$5:$F$88)</x:f>
        <x:v>0</x:v>
      </x:c>
      <x:c r="M38" s="340" t="n">
        <x:f>XLOOKUP($D38&amp;"|"&amp;$E38&amp;"|"&amp;$F38,'PET_STAT_RULES'!$A$5:$A$88,'PET_STAT_RULES'!$G$5:$G$88)</x:f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  <x:c r="W38" s="332" t="n">
        <x:f>XLOOKUP($D38&amp;"|"&amp;$E38&amp;"|"&amp;$F38,'PET_STAT_RULES'!$A$5:$A$88,'PET_STAT_RULES'!$E$5:$E$88)</x:f>
        <x:v>0</x:v>
      </x:c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40" t="n">
        <x:f>XLOOKUP($D39&amp;"|"&amp;$E39&amp;"|"&amp;$F39,'PET_STAT_RULES'!$A$5:$A$88,'PET_STAT_RULES'!$C$5:$C$88)</x:f>
        <x:v>40</x:v>
      </x:c>
      <x:c r="K39" s="340" t="n">
        <x:f>XLOOKUP($D39&amp;"|"&amp;$E39&amp;"|"&amp;$F39,'PET_STAT_RULES'!$A$5:$A$88,'PET_STAT_RULES'!$D$5:$D$88)</x:f>
        <x:v>12</x:v>
      </x:c>
      <x:c r="L39" s="340" t="n">
        <x:f>XLOOKUP($D39&amp;"|"&amp;$E39&amp;"|"&amp;$F39,'PET_STAT_RULES'!$A$5:$A$88,'PET_STAT_RULES'!$F$5:$F$88)</x:f>
        <x:v>0</x:v>
      </x:c>
      <x:c r="M39" s="340" t="n">
        <x:f>XLOOKUP($D39&amp;"|"&amp;$E39&amp;"|"&amp;$F39,'PET_STAT_RULES'!$A$5:$A$88,'PET_STAT_RULES'!$G$5:$G$88)</x:f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  <x:c r="W39" s="332" t="n">
        <x:f>XLOOKUP($D39&amp;"|"&amp;$E39&amp;"|"&amp;$F39,'PET_STAT_RULES'!$A$5:$A$88,'PET_STAT_RULES'!$E$5:$E$88)</x:f>
        <x:v>0</x:v>
      </x:c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40" t="n">
        <x:f>XLOOKUP($D40&amp;"|"&amp;$E40&amp;"|"&amp;$F40,'PET_STAT_RULES'!$A$5:$A$88,'PET_STAT_RULES'!$C$5:$C$88)</x:f>
        <x:v>34</x:v>
      </x:c>
      <x:c r="K40" s="340" t="n">
        <x:f>XLOOKUP($D40&amp;"|"&amp;$E40&amp;"|"&amp;$F40,'PET_STAT_RULES'!$A$5:$A$88,'PET_STAT_RULES'!$D$5:$D$88)</x:f>
        <x:v>14</x:v>
      </x:c>
      <x:c r="L40" s="340" t="n">
        <x:f>XLOOKUP($D40&amp;"|"&amp;$E40&amp;"|"&amp;$F40,'PET_STAT_RULES'!$A$5:$A$88,'PET_STAT_RULES'!$F$5:$F$88)</x:f>
        <x:v>0</x:v>
      </x:c>
      <x:c r="M40" s="340" t="n">
        <x:f>XLOOKUP($D40&amp;"|"&amp;$E40&amp;"|"&amp;$F40,'PET_STAT_RULES'!$A$5:$A$88,'PET_STAT_RULES'!$G$5:$G$88)</x:f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  <x:c r="W40" s="332" t="n">
        <x:f>XLOOKUP($D40&amp;"|"&amp;$E40&amp;"|"&amp;$F40,'PET_STAT_RULES'!$A$5:$A$88,'PET_STAT_RULES'!$E$5:$E$88)</x:f>
        <x:v>0</x:v>
      </x:c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40" t="n">
        <x:f>XLOOKUP($D41&amp;"|"&amp;$E41&amp;"|"&amp;$F41,'PET_STAT_RULES'!$A$5:$A$88,'PET_STAT_RULES'!$C$5:$C$88)</x:f>
        <x:v>66</x:v>
      </x:c>
      <x:c r="K41" s="340" t="n">
        <x:f>XLOOKUP($D41&amp;"|"&amp;$E41&amp;"|"&amp;$F41,'PET_STAT_RULES'!$A$5:$A$88,'PET_STAT_RULES'!$D$5:$D$88)</x:f>
        <x:v>18</x:v>
      </x:c>
      <x:c r="L41" s="340" t="n">
        <x:f>XLOOKUP($D41&amp;"|"&amp;$E41&amp;"|"&amp;$F41,'PET_STAT_RULES'!$A$5:$A$88,'PET_STAT_RULES'!$F$5:$F$88)</x:f>
        <x:v>14</x:v>
      </x:c>
      <x:c r="M41" s="340" t="n">
        <x:f>XLOOKUP($D41&amp;"|"&amp;$E41&amp;"|"&amp;$F41,'PET_STAT_RULES'!$A$5:$A$88,'PET_STAT_RULES'!$G$5:$G$88)</x:f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  <x:c r="W41" s="332" t="n">
        <x:f>XLOOKUP($D41&amp;"|"&amp;$E41&amp;"|"&amp;$F41,'PET_STAT_RULES'!$A$5:$A$88,'PET_STAT_RULES'!$E$5:$E$88)</x:f>
        <x:v>0</x:v>
      </x:c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40" t="n">
        <x:f>XLOOKUP($D42&amp;"|"&amp;$E42&amp;"|"&amp;$F42,'PET_STAT_RULES'!$A$5:$A$88,'PET_STAT_RULES'!$C$5:$C$88)</x:f>
        <x:v>44</x:v>
      </x:c>
      <x:c r="K42" s="340" t="n">
        <x:f>XLOOKUP($D42&amp;"|"&amp;$E42&amp;"|"&amp;$F42,'PET_STAT_RULES'!$A$5:$A$88,'PET_STAT_RULES'!$D$5:$D$88)</x:f>
        <x:v>14</x:v>
      </x:c>
      <x:c r="L42" s="340" t="n">
        <x:f>XLOOKUP($D42&amp;"|"&amp;$E42&amp;"|"&amp;$F42,'PET_STAT_RULES'!$A$5:$A$88,'PET_STAT_RULES'!$F$5:$F$88)</x:f>
        <x:v>0</x:v>
      </x:c>
      <x:c r="M42" s="340" t="n">
        <x:f>XLOOKUP($D42&amp;"|"&amp;$E42&amp;"|"&amp;$F42,'PET_STAT_RULES'!$A$5:$A$88,'PET_STAT_RULES'!$G$5:$G$88)</x:f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  <x:c r="W42" s="332" t="n">
        <x:f>XLOOKUP($D42&amp;"|"&amp;$E42&amp;"|"&amp;$F42,'PET_STAT_RULES'!$A$5:$A$88,'PET_STAT_RULES'!$E$5:$E$88)</x:f>
        <x:v>0</x:v>
      </x:c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40" t="n">
        <x:f>XLOOKUP($D43&amp;"|"&amp;$E43&amp;"|"&amp;$F43,'PET_STAT_RULES'!$A$5:$A$88,'PET_STAT_RULES'!$C$5:$C$88)</x:f>
        <x:v>28</x:v>
      </x:c>
      <x:c r="K43" s="340" t="n">
        <x:f>XLOOKUP($D43&amp;"|"&amp;$E43&amp;"|"&amp;$F43,'PET_STAT_RULES'!$A$5:$A$88,'PET_STAT_RULES'!$D$5:$D$88)</x:f>
        <x:v>12</x:v>
      </x:c>
      <x:c r="L43" s="340" t="n">
        <x:f>XLOOKUP($D43&amp;"|"&amp;$E43&amp;"|"&amp;$F43,'PET_STAT_RULES'!$A$5:$A$88,'PET_STAT_RULES'!$F$5:$F$88)</x:f>
        <x:v>0</x:v>
      </x:c>
      <x:c r="M43" s="340" t="n">
        <x:f>XLOOKUP($D43&amp;"|"&amp;$E43&amp;"|"&amp;$F43,'PET_STAT_RULES'!$A$5:$A$88,'PET_STAT_RULES'!$G$5:$G$88)</x:f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  <x:c r="W43" s="332" t="n">
        <x:f>XLOOKUP($D43&amp;"|"&amp;$E43&amp;"|"&amp;$F43,'PET_STAT_RULES'!$A$5:$A$88,'PET_STAT_RULES'!$E$5:$E$88)</x:f>
        <x:v>0</x:v>
      </x:c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40" t="n">
        <x:f>XLOOKUP($D44&amp;"|"&amp;$E44&amp;"|"&amp;$F44,'PET_STAT_RULES'!$A$5:$A$88,'PET_STAT_RULES'!$C$5:$C$88)</x:f>
        <x:v>62</x:v>
      </x:c>
      <x:c r="K44" s="340" t="n">
        <x:f>XLOOKUP($D44&amp;"|"&amp;$E44&amp;"|"&amp;$F44,'PET_STAT_RULES'!$A$5:$A$88,'PET_STAT_RULES'!$D$5:$D$88)</x:f>
        <x:v>18</x:v>
      </x:c>
      <x:c r="L44" s="340" t="n">
        <x:f>XLOOKUP($D44&amp;"|"&amp;$E44&amp;"|"&amp;$F44,'PET_STAT_RULES'!$A$5:$A$88,'PET_STAT_RULES'!$F$5:$F$88)</x:f>
        <x:v>0</x:v>
      </x:c>
      <x:c r="M44" s="340" t="n">
        <x:f>XLOOKUP($D44&amp;"|"&amp;$E44&amp;"|"&amp;$F44,'PET_STAT_RULES'!$A$5:$A$88,'PET_STAT_RULES'!$G$5:$G$88)</x:f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  <x:c r="W44" s="332" t="n">
        <x:f>XLOOKUP($D44&amp;"|"&amp;$E44&amp;"|"&amp;$F44,'PET_STAT_RULES'!$A$5:$A$88,'PET_STAT_RULES'!$E$5:$E$88)</x:f>
        <x:v>0</x:v>
      </x:c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40" t="n">
        <x:f>XLOOKUP($D45&amp;"|"&amp;$E45&amp;"|"&amp;$F45,'PET_STAT_RULES'!$A$5:$A$88,'PET_STAT_RULES'!$C$5:$C$88)</x:f>
        <x:v>44</x:v>
      </x:c>
      <x:c r="K45" s="340" t="n">
        <x:f>XLOOKUP($D45&amp;"|"&amp;$E45&amp;"|"&amp;$F45,'PET_STAT_RULES'!$A$5:$A$88,'PET_STAT_RULES'!$D$5:$D$88)</x:f>
        <x:v>14</x:v>
      </x:c>
      <x:c r="L45" s="340" t="n">
        <x:f>XLOOKUP($D45&amp;"|"&amp;$E45&amp;"|"&amp;$F45,'PET_STAT_RULES'!$A$5:$A$88,'PET_STAT_RULES'!$F$5:$F$88)</x:f>
        <x:v>0</x:v>
      </x:c>
      <x:c r="M45" s="340" t="n">
        <x:f>XLOOKUP($D45&amp;"|"&amp;$E45&amp;"|"&amp;$F45,'PET_STAT_RULES'!$A$5:$A$88,'PET_STAT_RULES'!$G$5:$G$88)</x:f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  <x:c r="W45" s="332" t="n">
        <x:f>XLOOKUP($D45&amp;"|"&amp;$E45&amp;"|"&amp;$F45,'PET_STAT_RULES'!$A$5:$A$88,'PET_STAT_RULES'!$E$5:$E$88)</x:f>
        <x:v>0</x:v>
      </x:c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40" t="n">
        <x:f>XLOOKUP($D46&amp;"|"&amp;$E46&amp;"|"&amp;$F46,'PET_STAT_RULES'!$A$5:$A$88,'PET_STAT_RULES'!$C$5:$C$88)</x:f>
        <x:v>40</x:v>
      </x:c>
      <x:c r="K46" s="340" t="n">
        <x:f>XLOOKUP($D46&amp;"|"&amp;$E46&amp;"|"&amp;$F46,'PET_STAT_RULES'!$A$5:$A$88,'PET_STAT_RULES'!$D$5:$D$88)</x:f>
        <x:v>12</x:v>
      </x:c>
      <x:c r="L46" s="340" t="n">
        <x:f>XLOOKUP($D46&amp;"|"&amp;$E46&amp;"|"&amp;$F46,'PET_STAT_RULES'!$A$5:$A$88,'PET_STAT_RULES'!$F$5:$F$88)</x:f>
        <x:v>0</x:v>
      </x:c>
      <x:c r="M46" s="340" t="n">
        <x:f>XLOOKUP($D46&amp;"|"&amp;$E46&amp;"|"&amp;$F46,'PET_STAT_RULES'!$A$5:$A$88,'PET_STAT_RULES'!$G$5:$G$88)</x:f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  <x:c r="W46" s="332" t="n">
        <x:f>XLOOKUP($D46&amp;"|"&amp;$E46&amp;"|"&amp;$F46,'PET_STAT_RULES'!$A$5:$A$88,'PET_STAT_RULES'!$E$5:$E$88)</x:f>
        <x:v>0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40" t="n">
        <x:f>XLOOKUP($D47&amp;"|"&amp;$E47&amp;"|"&amp;$F47,'PET_STAT_RULES'!$A$5:$A$88,'PET_STAT_RULES'!$C$5:$C$88)</x:f>
        <x:v>32</x:v>
      </x:c>
      <x:c r="K47" s="340" t="n">
        <x:f>XLOOKUP($D47&amp;"|"&amp;$E47&amp;"|"&amp;$F47,'PET_STAT_RULES'!$A$5:$A$88,'PET_STAT_RULES'!$D$5:$D$88)</x:f>
        <x:v>8</x:v>
      </x:c>
      <x:c r="L47" s="340" t="n">
        <x:f>XLOOKUP($D47&amp;"|"&amp;$E47&amp;"|"&amp;$F47,'PET_STAT_RULES'!$A$5:$A$88,'PET_STAT_RULES'!$F$5:$F$88)</x:f>
        <x:v>0</x:v>
      </x:c>
      <x:c r="M47" s="340" t="n">
        <x:f>XLOOKUP($D47&amp;"|"&amp;$E47&amp;"|"&amp;$F47,'PET_STAT_RULES'!$A$5:$A$88,'PET_STAT_RULES'!$G$5:$G$88)</x:f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  <x:c r="W47" s="332" t="n">
        <x:f>XLOOKUP($D47&amp;"|"&amp;$E47&amp;"|"&amp;$F47,'PET_STAT_RULES'!$A$5:$A$88,'PET_STAT_RULES'!$E$5:$E$88)</x:f>
        <x:v>0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40" t="n">
        <x:f>XLOOKUP($D48&amp;"|"&amp;$E48&amp;"|"&amp;$F48,'PET_STAT_RULES'!$A$5:$A$88,'PET_STAT_RULES'!$C$5:$C$88)</x:f>
        <x:v>28</x:v>
      </x:c>
      <x:c r="K48" s="340" t="n">
        <x:f>XLOOKUP($D48&amp;"|"&amp;$E48&amp;"|"&amp;$F48,'PET_STAT_RULES'!$A$5:$A$88,'PET_STAT_RULES'!$D$5:$D$88)</x:f>
        <x:v>6</x:v>
      </x:c>
      <x:c r="L48" s="340" t="n">
        <x:f>XLOOKUP($D48&amp;"|"&amp;$E48&amp;"|"&amp;$F48,'PET_STAT_RULES'!$A$5:$A$88,'PET_STAT_RULES'!$F$5:$F$88)</x:f>
        <x:v>0</x:v>
      </x:c>
      <x:c r="M48" s="340" t="n">
        <x:f>XLOOKUP($D48&amp;"|"&amp;$E48&amp;"|"&amp;$F48,'PET_STAT_RULES'!$A$5:$A$88,'PET_STAT_RULES'!$G$5:$G$88)</x:f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  <x:c r="W48" s="332" t="n">
        <x:f>XLOOKUP($D48&amp;"|"&amp;$E48&amp;"|"&amp;$F48,'PET_STAT_RULES'!$A$5:$A$88,'PET_STAT_RULES'!$E$5:$E$88)</x:f>
        <x:v>0</x:v>
      </x:c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40" t="n">
        <x:f>XLOOKUP($D49&amp;"|"&amp;$E49&amp;"|"&amp;$F49,'PET_STAT_RULES'!$A$5:$A$88,'PET_STAT_RULES'!$C$5:$C$88)</x:f>
        <x:v>54</x:v>
      </x:c>
      <x:c r="K49" s="340" t="n">
        <x:f>XLOOKUP($D49&amp;"|"&amp;$E49&amp;"|"&amp;$F49,'PET_STAT_RULES'!$A$5:$A$88,'PET_STAT_RULES'!$D$5:$D$88)</x:f>
        <x:v>10</x:v>
      </x:c>
      <x:c r="L49" s="340" t="n">
        <x:f>XLOOKUP($D49&amp;"|"&amp;$E49&amp;"|"&amp;$F49,'PET_STAT_RULES'!$A$5:$A$88,'PET_STAT_RULES'!$F$5:$F$88)</x:f>
        <x:v>0</x:v>
      </x:c>
      <x:c r="M49" s="340" t="n">
        <x:f>XLOOKUP($D49&amp;"|"&amp;$E49&amp;"|"&amp;$F49,'PET_STAT_RULES'!$A$5:$A$88,'PET_STAT_RULES'!$G$5:$G$88)</x:f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  <x:c r="W49" s="332" t="n">
        <x:f>XLOOKUP($D49&amp;"|"&amp;$E49&amp;"|"&amp;$F49,'PET_STAT_RULES'!$A$5:$A$88,'PET_STAT_RULES'!$E$5:$E$88)</x:f>
        <x:v>0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40" t="n">
        <x:f>XLOOKUP($D50&amp;"|"&amp;$E50&amp;"|"&amp;$F50,'PET_STAT_RULES'!$A$5:$A$88,'PET_STAT_RULES'!$C$5:$C$88)</x:f>
        <x:v>22</x:v>
      </x:c>
      <x:c r="K50" s="340" t="n">
        <x:f>XLOOKUP($D50&amp;"|"&amp;$E50&amp;"|"&amp;$F50,'PET_STAT_RULES'!$A$5:$A$88,'PET_STAT_RULES'!$D$5:$D$88)</x:f>
        <x:v>8</x:v>
      </x:c>
      <x:c r="L50" s="340" t="n">
        <x:f>XLOOKUP($D50&amp;"|"&amp;$E50&amp;"|"&amp;$F50,'PET_STAT_RULES'!$A$5:$A$88,'PET_STAT_RULES'!$F$5:$F$88)</x:f>
        <x:v>0</x:v>
      </x:c>
      <x:c r="M50" s="340" t="n">
        <x:f>XLOOKUP($D50&amp;"|"&amp;$E50&amp;"|"&amp;$F50,'PET_STAT_RULES'!$A$5:$A$88,'PET_STAT_RULES'!$G$5:$G$88)</x:f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  <x:c r="W50" s="332" t="n">
        <x:f>XLOOKUP($D50&amp;"|"&amp;$E50&amp;"|"&amp;$F50,'PET_STAT_RULES'!$A$5:$A$88,'PET_STAT_RULES'!$E$5:$E$88)</x:f>
        <x:v>0</x:v>
      </x:c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40" t="n">
        <x:f>XLOOKUP($D51&amp;"|"&amp;$E51&amp;"|"&amp;$F51,'PET_STAT_RULES'!$A$5:$A$88,'PET_STAT_RULES'!$C$5:$C$88)</x:f>
        <x:v>22</x:v>
      </x:c>
      <x:c r="K51" s="340" t="n">
        <x:f>XLOOKUP($D51&amp;"|"&amp;$E51&amp;"|"&amp;$F51,'PET_STAT_RULES'!$A$5:$A$88,'PET_STAT_RULES'!$D$5:$D$88)</x:f>
        <x:v>14</x:v>
      </x:c>
      <x:c r="L51" s="340" t="n">
        <x:f>XLOOKUP($D51&amp;"|"&amp;$E51&amp;"|"&amp;$F51,'PET_STAT_RULES'!$A$5:$A$88,'PET_STAT_RULES'!$F$5:$F$88)</x:f>
        <x:v>0</x:v>
      </x:c>
      <x:c r="M51" s="340" t="n">
        <x:f>XLOOKUP($D51&amp;"|"&amp;$E51&amp;"|"&amp;$F51,'PET_STAT_RULES'!$A$5:$A$88,'PET_STAT_RULES'!$G$5:$G$88)</x:f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  <x:c r="W51" s="332" t="n">
        <x:f>XLOOKUP($D51&amp;"|"&amp;$E51&amp;"|"&amp;$F51,'PET_STAT_RULES'!$A$5:$A$88,'PET_STAT_RULES'!$E$5:$E$88)</x:f>
        <x:v>0</x:v>
      </x:c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40" t="n">
        <x:f>XLOOKUP($D52&amp;"|"&amp;$E52&amp;"|"&amp;$F52,'PET_STAT_RULES'!$A$5:$A$88,'PET_STAT_RULES'!$C$5:$C$88)</x:f>
        <x:v>26</x:v>
      </x:c>
      <x:c r="K52" s="340" t="n">
        <x:f>XLOOKUP($D52&amp;"|"&amp;$E52&amp;"|"&amp;$F52,'PET_STAT_RULES'!$A$5:$A$88,'PET_STAT_RULES'!$D$5:$D$88)</x:f>
        <x:v>10</x:v>
      </x:c>
      <x:c r="L52" s="340" t="n">
        <x:f>XLOOKUP($D52&amp;"|"&amp;$E52&amp;"|"&amp;$F52,'PET_STAT_RULES'!$A$5:$A$88,'PET_STAT_RULES'!$F$5:$F$88)</x:f>
        <x:v>0</x:v>
      </x:c>
      <x:c r="M52" s="340" t="n">
        <x:f>XLOOKUP($D52&amp;"|"&amp;$E52&amp;"|"&amp;$F52,'PET_STAT_RULES'!$A$5:$A$88,'PET_STAT_RULES'!$G$5:$G$88)</x:f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  <x:c r="W52" s="332" t="n">
        <x:f>XLOOKUP($D52&amp;"|"&amp;$E52&amp;"|"&amp;$F52,'PET_STAT_RULES'!$A$5:$A$88,'PET_STAT_RULES'!$E$5:$E$88)</x:f>
        <x:v>0</x:v>
      </x:c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40" t="n">
        <x:f>XLOOKUP($D53&amp;"|"&amp;$E53&amp;"|"&amp;$F53,'PET_STAT_RULES'!$A$5:$A$88,'PET_STAT_RULES'!$C$5:$C$88)</x:f>
        <x:v>22</x:v>
      </x:c>
      <x:c r="K53" s="340" t="n">
        <x:f>XLOOKUP($D53&amp;"|"&amp;$E53&amp;"|"&amp;$F53,'PET_STAT_RULES'!$A$5:$A$88,'PET_STAT_RULES'!$D$5:$D$88)</x:f>
        <x:v>14</x:v>
      </x:c>
      <x:c r="L53" s="340" t="n">
        <x:f>XLOOKUP($D53&amp;"|"&amp;$E53&amp;"|"&amp;$F53,'PET_STAT_RULES'!$A$5:$A$88,'PET_STAT_RULES'!$F$5:$F$88)</x:f>
        <x:v>0</x:v>
      </x:c>
      <x:c r="M53" s="340" t="n">
        <x:f>XLOOKUP($D53&amp;"|"&amp;$E53&amp;"|"&amp;$F53,'PET_STAT_RULES'!$A$5:$A$88,'PET_STAT_RULES'!$G$5:$G$88)</x:f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  <x:c r="W53" s="332" t="n">
        <x:f>XLOOKUP($D53&amp;"|"&amp;$E53&amp;"|"&amp;$F53,'PET_STAT_RULES'!$A$5:$A$88,'PET_STAT_RULES'!$E$5:$E$88)</x:f>
        <x:v>0</x:v>
      </x:c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40" t="n">
        <x:f>XLOOKUP($D54&amp;"|"&amp;$E54&amp;"|"&amp;$F54,'PET_STAT_RULES'!$A$5:$A$88,'PET_STAT_RULES'!$C$5:$C$88)</x:f>
        <x:v>22</x:v>
      </x:c>
      <x:c r="K54" s="340" t="n">
        <x:f>XLOOKUP($D54&amp;"|"&amp;$E54&amp;"|"&amp;$F54,'PET_STAT_RULES'!$A$5:$A$88,'PET_STAT_RULES'!$D$5:$D$88)</x:f>
        <x:v>14</x:v>
      </x:c>
      <x:c r="L54" s="340" t="n">
        <x:f>XLOOKUP($D54&amp;"|"&amp;$E54&amp;"|"&amp;$F54,'PET_STAT_RULES'!$A$5:$A$88,'PET_STAT_RULES'!$F$5:$F$88)</x:f>
        <x:v>0</x:v>
      </x:c>
      <x:c r="M54" s="340" t="n">
        <x:f>XLOOKUP($D54&amp;"|"&amp;$E54&amp;"|"&amp;$F54,'PET_STAT_RULES'!$A$5:$A$88,'PET_STAT_RULES'!$G$5:$G$88)</x:f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  <x:c r="W54" s="332" t="n">
        <x:f>XLOOKUP($D54&amp;"|"&amp;$E54&amp;"|"&amp;$F54,'PET_STAT_RULES'!$A$5:$A$88,'PET_STAT_RULES'!$E$5:$E$88)</x:f>
        <x:v>0</x:v>
      </x:c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40" t="n">
        <x:f>XLOOKUP($D55&amp;"|"&amp;$E55&amp;"|"&amp;$F55,'PET_STAT_RULES'!$A$5:$A$88,'PET_STAT_RULES'!$C$5:$C$88)</x:f>
        <x:v>44</x:v>
      </x:c>
      <x:c r="K55" s="340" t="n">
        <x:f>XLOOKUP($D55&amp;"|"&amp;$E55&amp;"|"&amp;$F55,'PET_STAT_RULES'!$A$5:$A$88,'PET_STAT_RULES'!$D$5:$D$88)</x:f>
        <x:v>14</x:v>
      </x:c>
      <x:c r="L55" s="340" t="n">
        <x:f>XLOOKUP($D55&amp;"|"&amp;$E55&amp;"|"&amp;$F55,'PET_STAT_RULES'!$A$5:$A$88,'PET_STAT_RULES'!$F$5:$F$88)</x:f>
        <x:v>0</x:v>
      </x:c>
      <x:c r="M55" s="340" t="n">
        <x:f>XLOOKUP($D55&amp;"|"&amp;$E55&amp;"|"&amp;$F55,'PET_STAT_RULES'!$A$5:$A$88,'PET_STAT_RULES'!$G$5:$G$88)</x:f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  <x:c r="W55" s="332" t="n">
        <x:f>XLOOKUP($D55&amp;"|"&amp;$E55&amp;"|"&amp;$F55,'PET_STAT_RULES'!$A$5:$A$88,'PET_STAT_RULES'!$E$5:$E$88)</x:f>
        <x:v>0</x:v>
      </x:c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40" t="n">
        <x:f>XLOOKUP($D56&amp;"|"&amp;$E56&amp;"|"&amp;$F56,'PET_STAT_RULES'!$A$5:$A$88,'PET_STAT_RULES'!$C$5:$C$88)</x:f>
        <x:v>34</x:v>
      </x:c>
      <x:c r="K56" s="340" t="n">
        <x:f>XLOOKUP($D56&amp;"|"&amp;$E56&amp;"|"&amp;$F56,'PET_STAT_RULES'!$A$5:$A$88,'PET_STAT_RULES'!$D$5:$D$88)</x:f>
        <x:v>14</x:v>
      </x:c>
      <x:c r="L56" s="340" t="n">
        <x:f>XLOOKUP($D56&amp;"|"&amp;$E56&amp;"|"&amp;$F56,'PET_STAT_RULES'!$A$5:$A$88,'PET_STAT_RULES'!$F$5:$F$88)</x:f>
        <x:v>0</x:v>
      </x:c>
      <x:c r="M56" s="340" t="n">
        <x:f>XLOOKUP($D56&amp;"|"&amp;$E56&amp;"|"&amp;$F56,'PET_STAT_RULES'!$A$5:$A$88,'PET_STAT_RULES'!$G$5:$G$88)</x:f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  <x:c r="W56" s="332" t="n">
        <x:f>XLOOKUP($D56&amp;"|"&amp;$E56&amp;"|"&amp;$F56,'PET_STAT_RULES'!$A$5:$A$88,'PET_STAT_RULES'!$E$5:$E$88)</x:f>
        <x:v>0</x:v>
      </x:c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40" t="n">
        <x:f>XLOOKUP($D57&amp;"|"&amp;$E57&amp;"|"&amp;$F57,'PET_STAT_RULES'!$A$5:$A$88,'PET_STAT_RULES'!$C$5:$C$88)</x:f>
        <x:v>22</x:v>
      </x:c>
      <x:c r="K57" s="340" t="n">
        <x:f>XLOOKUP($D57&amp;"|"&amp;$E57&amp;"|"&amp;$F57,'PET_STAT_RULES'!$A$5:$A$88,'PET_STAT_RULES'!$D$5:$D$88)</x:f>
        <x:v>14</x:v>
      </x:c>
      <x:c r="L57" s="340" t="n">
        <x:f>XLOOKUP($D57&amp;"|"&amp;$E57&amp;"|"&amp;$F57,'PET_STAT_RULES'!$A$5:$A$88,'PET_STAT_RULES'!$F$5:$F$88)</x:f>
        <x:v>0</x:v>
      </x:c>
      <x:c r="M57" s="340" t="n">
        <x:f>XLOOKUP($D57&amp;"|"&amp;$E57&amp;"|"&amp;$F57,'PET_STAT_RULES'!$A$5:$A$88,'PET_STAT_RULES'!$G$5:$G$88)</x:f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  <x:c r="W57" s="332" t="n">
        <x:f>XLOOKUP($D57&amp;"|"&amp;$E57&amp;"|"&amp;$F57,'PET_STAT_RULES'!$A$5:$A$88,'PET_STAT_RULES'!$E$5:$E$88)</x:f>
        <x:v>0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40" t="n">
        <x:f>XLOOKUP($D58&amp;"|"&amp;$E58&amp;"|"&amp;$F58,'PET_STAT_RULES'!$A$5:$A$88,'PET_STAT_RULES'!$C$5:$C$88)</x:f>
        <x:v>38</x:v>
      </x:c>
      <x:c r="K58" s="340" t="n">
        <x:f>XLOOKUP($D58&amp;"|"&amp;$E58&amp;"|"&amp;$F58,'PET_STAT_RULES'!$A$5:$A$88,'PET_STAT_RULES'!$D$5:$D$88)</x:f>
        <x:v>16</x:v>
      </x:c>
      <x:c r="L58" s="340" t="n">
        <x:f>XLOOKUP($D58&amp;"|"&amp;$E58&amp;"|"&amp;$F58,'PET_STAT_RULES'!$A$5:$A$88,'PET_STAT_RULES'!$F$5:$F$88)</x:f>
        <x:v>0</x:v>
      </x:c>
      <x:c r="M58" s="340" t="n">
        <x:f>XLOOKUP($D58&amp;"|"&amp;$E58&amp;"|"&amp;$F58,'PET_STAT_RULES'!$A$5:$A$88,'PET_STAT_RULES'!$G$5:$G$88)</x:f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  <x:c r="W58" s="332" t="n">
        <x:f>XLOOKUP($D58&amp;"|"&amp;$E58&amp;"|"&amp;$F58,'PET_STAT_RULES'!$A$5:$A$88,'PET_STAT_RULES'!$E$5:$E$88)</x:f>
        <x:v>0</x:v>
      </x:c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40" t="n">
        <x:f>XLOOKUP($D59&amp;"|"&amp;$E59&amp;"|"&amp;$F59,'PET_STAT_RULES'!$A$5:$A$88,'PET_STAT_RULES'!$C$5:$C$88)</x:f>
        <x:v>74</x:v>
      </x:c>
      <x:c r="K59" s="340" t="n">
        <x:f>XLOOKUP($D59&amp;"|"&amp;$E59&amp;"|"&amp;$F59,'PET_STAT_RULES'!$A$5:$A$88,'PET_STAT_RULES'!$D$5:$D$88)</x:f>
        <x:v>24</x:v>
      </x:c>
      <x:c r="L59" s="340" t="n">
        <x:f>XLOOKUP($D59&amp;"|"&amp;$E59&amp;"|"&amp;$F59,'PET_STAT_RULES'!$A$5:$A$88,'PET_STAT_RULES'!$F$5:$F$88)</x:f>
        <x:v>0</x:v>
      </x:c>
      <x:c r="M59" s="340" t="n">
        <x:f>XLOOKUP($D59&amp;"|"&amp;$E59&amp;"|"&amp;$F59,'PET_STAT_RULES'!$A$5:$A$88,'PET_STAT_RULES'!$G$5:$G$88)</x:f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  <x:c r="W59" s="332" t="n">
        <x:f>XLOOKUP($D59&amp;"|"&amp;$E59&amp;"|"&amp;$F59,'PET_STAT_RULES'!$A$5:$A$88,'PET_STAT_RULES'!$E$5:$E$88)</x:f>
        <x:v>0</x:v>
      </x:c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40" t="n">
        <x:f>XLOOKUP($D60&amp;"|"&amp;$E60&amp;"|"&amp;$F60,'PET_STAT_RULES'!$A$5:$A$88,'PET_STAT_RULES'!$C$5:$C$88)</x:f>
        <x:v>26</x:v>
      </x:c>
      <x:c r="K60" s="340" t="n">
        <x:f>XLOOKUP($D60&amp;"|"&amp;$E60&amp;"|"&amp;$F60,'PET_STAT_RULES'!$A$5:$A$88,'PET_STAT_RULES'!$D$5:$D$88)</x:f>
        <x:v>10</x:v>
      </x:c>
      <x:c r="L60" s="340" t="n">
        <x:f>XLOOKUP($D60&amp;"|"&amp;$E60&amp;"|"&amp;$F60,'PET_STAT_RULES'!$A$5:$A$88,'PET_STAT_RULES'!$F$5:$F$88)</x:f>
        <x:v>0</x:v>
      </x:c>
      <x:c r="M60" s="340" t="n">
        <x:f>XLOOKUP($D60&amp;"|"&amp;$E60&amp;"|"&amp;$F60,'PET_STAT_RULES'!$A$5:$A$88,'PET_STAT_RULES'!$G$5:$G$88)</x:f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  <x:c r="W60" s="332" t="n">
        <x:f>XLOOKUP($D60&amp;"|"&amp;$E60&amp;"|"&amp;$F60,'PET_STAT_RULES'!$A$5:$A$88,'PET_STAT_RULES'!$E$5:$E$88)</x:f>
        <x:v>0</x:v>
      </x:c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40" t="n">
        <x:f>XLOOKUP($D61&amp;"|"&amp;$E61&amp;"|"&amp;$F61,'PET_STAT_RULES'!$A$5:$A$88,'PET_STAT_RULES'!$C$5:$C$88)</x:f>
        <x:v>34</x:v>
      </x:c>
      <x:c r="K61" s="340" t="n">
        <x:f>XLOOKUP($D61&amp;"|"&amp;$E61&amp;"|"&amp;$F61,'PET_STAT_RULES'!$A$5:$A$88,'PET_STAT_RULES'!$D$5:$D$88)</x:f>
        <x:v>22</x:v>
      </x:c>
      <x:c r="L61" s="340" t="n">
        <x:f>XLOOKUP($D61&amp;"|"&amp;$E61&amp;"|"&amp;$F61,'PET_STAT_RULES'!$A$5:$A$88,'PET_STAT_RULES'!$F$5:$F$88)</x:f>
        <x:v>0</x:v>
      </x:c>
      <x:c r="M61" s="340" t="n">
        <x:f>XLOOKUP($D61&amp;"|"&amp;$E61&amp;"|"&amp;$F61,'PET_STAT_RULES'!$A$5:$A$88,'PET_STAT_RULES'!$G$5:$G$88)</x:f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  <x:c r="W61" s="332" t="n">
        <x:f>XLOOKUP($D61&amp;"|"&amp;$E61&amp;"|"&amp;$F61,'PET_STAT_RULES'!$A$5:$A$88,'PET_STAT_RULES'!$E$5:$E$88)</x:f>
        <x:v>0</x:v>
      </x:c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40" t="n">
        <x:f>XLOOKUP($D62&amp;"|"&amp;$E62&amp;"|"&amp;$F62,'PET_STAT_RULES'!$A$5:$A$88,'PET_STAT_RULES'!$C$5:$C$88)</x:f>
        <x:v>38</x:v>
      </x:c>
      <x:c r="K62" s="340" t="n">
        <x:f>XLOOKUP($D62&amp;"|"&amp;$E62&amp;"|"&amp;$F62,'PET_STAT_RULES'!$A$5:$A$88,'PET_STAT_RULES'!$D$5:$D$88)</x:f>
        <x:v>16</x:v>
      </x:c>
      <x:c r="L62" s="340" t="n">
        <x:f>XLOOKUP($D62&amp;"|"&amp;$E62&amp;"|"&amp;$F62,'PET_STAT_RULES'!$A$5:$A$88,'PET_STAT_RULES'!$F$5:$F$88)</x:f>
        <x:v>0</x:v>
      </x:c>
      <x:c r="M62" s="340" t="n">
        <x:f>XLOOKUP($D62&amp;"|"&amp;$E62&amp;"|"&amp;$F62,'PET_STAT_RULES'!$A$5:$A$88,'PET_STAT_RULES'!$G$5:$G$88)</x:f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  <x:c r="W62" s="332" t="n">
        <x:f>XLOOKUP($D62&amp;"|"&amp;$E62&amp;"|"&amp;$F62,'PET_STAT_RULES'!$A$5:$A$88,'PET_STAT_RULES'!$E$5:$E$88)</x:f>
        <x:v>0</x:v>
      </x:c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40" t="n">
        <x:f>XLOOKUP($D63&amp;"|"&amp;$E63&amp;"|"&amp;$F63,'PET_STAT_RULES'!$A$5:$A$88,'PET_STAT_RULES'!$C$5:$C$88)</x:f>
        <x:v>40</x:v>
      </x:c>
      <x:c r="K63" s="340" t="n">
        <x:f>XLOOKUP($D63&amp;"|"&amp;$E63&amp;"|"&amp;$F63,'PET_STAT_RULES'!$A$5:$A$88,'PET_STAT_RULES'!$D$5:$D$88)</x:f>
        <x:v>12</x:v>
      </x:c>
      <x:c r="L63" s="340" t="n">
        <x:f>XLOOKUP($D63&amp;"|"&amp;$E63&amp;"|"&amp;$F63,'PET_STAT_RULES'!$A$5:$A$88,'PET_STAT_RULES'!$F$5:$F$88)</x:f>
        <x:v>0</x:v>
      </x:c>
      <x:c r="M63" s="340" t="n">
        <x:f>XLOOKUP($D63&amp;"|"&amp;$E63&amp;"|"&amp;$F63,'PET_STAT_RULES'!$A$5:$A$88,'PET_STAT_RULES'!$G$5:$G$88)</x:f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  <x:c r="W63" s="332" t="n">
        <x:f>XLOOKUP($D63&amp;"|"&amp;$E63&amp;"|"&amp;$F63,'PET_STAT_RULES'!$A$5:$A$88,'PET_STAT_RULES'!$E$5:$E$88)</x:f>
        <x:v>0</x:v>
      </x:c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40" t="n">
        <x:f>XLOOKUP($D64&amp;"|"&amp;$E64&amp;"|"&amp;$F64,'PET_STAT_RULES'!$A$5:$A$88,'PET_STAT_RULES'!$C$5:$C$88)</x:f>
        <x:v>26</x:v>
      </x:c>
      <x:c r="K64" s="340" t="n">
        <x:f>XLOOKUP($D64&amp;"|"&amp;$E64&amp;"|"&amp;$F64,'PET_STAT_RULES'!$A$5:$A$88,'PET_STAT_RULES'!$D$5:$D$88)</x:f>
        <x:v>10</x:v>
      </x:c>
      <x:c r="L64" s="340" t="n">
        <x:f>XLOOKUP($D64&amp;"|"&amp;$E64&amp;"|"&amp;$F64,'PET_STAT_RULES'!$A$5:$A$88,'PET_STAT_RULES'!$F$5:$F$88)</x:f>
        <x:v>0</x:v>
      </x:c>
      <x:c r="M64" s="340" t="n">
        <x:f>XLOOKUP($D64&amp;"|"&amp;$E64&amp;"|"&amp;$F64,'PET_STAT_RULES'!$A$5:$A$88,'PET_STAT_RULES'!$G$5:$G$88)</x:f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  <x:c r="W64" s="332" t="n">
        <x:f>XLOOKUP($D64&amp;"|"&amp;$E64&amp;"|"&amp;$F64,'PET_STAT_RULES'!$A$5:$A$88,'PET_STAT_RULES'!$E$5:$E$88)</x:f>
        <x:v>0</x:v>
      </x:c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40" t="n">
        <x:f>XLOOKUP($D65&amp;"|"&amp;$E65&amp;"|"&amp;$F65,'PET_STAT_RULES'!$A$5:$A$88,'PET_STAT_RULES'!$C$5:$C$88)</x:f>
        <x:v>46</x:v>
      </x:c>
      <x:c r="K65" s="340" t="n">
        <x:f>XLOOKUP($D65&amp;"|"&amp;$E65&amp;"|"&amp;$F65,'PET_STAT_RULES'!$A$5:$A$88,'PET_STAT_RULES'!$D$5:$D$88)</x:f>
        <x:v>10</x:v>
      </x:c>
      <x:c r="L65" s="340" t="n">
        <x:f>XLOOKUP($D65&amp;"|"&amp;$E65&amp;"|"&amp;$F65,'PET_STAT_RULES'!$A$5:$A$88,'PET_STAT_RULES'!$F$5:$F$88)</x:f>
        <x:v>0</x:v>
      </x:c>
      <x:c r="M65" s="340" t="n">
        <x:f>XLOOKUP($D65&amp;"|"&amp;$E65&amp;"|"&amp;$F65,'PET_STAT_RULES'!$A$5:$A$88,'PET_STAT_RULES'!$G$5:$G$88)</x:f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  <x:c r="W65" s="332" t="n">
        <x:f>XLOOKUP($D65&amp;"|"&amp;$E65&amp;"|"&amp;$F65,'PET_STAT_RULES'!$A$5:$A$88,'PET_STAT_RULES'!$E$5:$E$88)</x:f>
        <x:v>0</x:v>
      </x:c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40" t="n">
        <x:f>XLOOKUP($D66&amp;"|"&amp;$E66&amp;"|"&amp;$F66,'PET_STAT_RULES'!$A$5:$A$88,'PET_STAT_RULES'!$C$5:$C$88)</x:f>
        <x:v>38</x:v>
      </x:c>
      <x:c r="K66" s="340" t="n">
        <x:f>XLOOKUP($D66&amp;"|"&amp;$E66&amp;"|"&amp;$F66,'PET_STAT_RULES'!$A$5:$A$88,'PET_STAT_RULES'!$D$5:$D$88)</x:f>
        <x:v>16</x:v>
      </x:c>
      <x:c r="L66" s="340" t="n">
        <x:f>XLOOKUP($D66&amp;"|"&amp;$E66&amp;"|"&amp;$F66,'PET_STAT_RULES'!$A$5:$A$88,'PET_STAT_RULES'!$F$5:$F$88)</x:f>
        <x:v>0</x:v>
      </x:c>
      <x:c r="M66" s="340" t="n">
        <x:f>XLOOKUP($D66&amp;"|"&amp;$E66&amp;"|"&amp;$F66,'PET_STAT_RULES'!$A$5:$A$88,'PET_STAT_RULES'!$G$5:$G$88)</x:f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  <x:c r="W66" s="332" t="n">
        <x:f>XLOOKUP($D66&amp;"|"&amp;$E66&amp;"|"&amp;$F66,'PET_STAT_RULES'!$A$5:$A$88,'PET_STAT_RULES'!$E$5:$E$88)</x:f>
        <x:v>0</x:v>
      </x:c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40" t="n">
        <x:f>XLOOKUP($D67&amp;"|"&amp;$E67&amp;"|"&amp;$F67,'PET_STAT_RULES'!$A$5:$A$88,'PET_STAT_RULES'!$C$5:$C$88)</x:f>
        <x:v>28</x:v>
      </x:c>
      <x:c r="K67" s="340" t="n">
        <x:f>XLOOKUP($D67&amp;"|"&amp;$E67&amp;"|"&amp;$F67,'PET_STAT_RULES'!$A$5:$A$88,'PET_STAT_RULES'!$D$5:$D$88)</x:f>
        <x:v>12</x:v>
      </x:c>
      <x:c r="L67" s="340" t="n">
        <x:f>XLOOKUP($D67&amp;"|"&amp;$E67&amp;"|"&amp;$F67,'PET_STAT_RULES'!$A$5:$A$88,'PET_STAT_RULES'!$F$5:$F$88)</x:f>
        <x:v>0</x:v>
      </x:c>
      <x:c r="M67" s="340" t="n">
        <x:f>XLOOKUP($D67&amp;"|"&amp;$E67&amp;"|"&amp;$F67,'PET_STAT_RULES'!$A$5:$A$88,'PET_STAT_RULES'!$G$5:$G$88)</x:f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  <x:c r="W67" s="332" t="n">
        <x:f>XLOOKUP($D67&amp;"|"&amp;$E67&amp;"|"&amp;$F67,'PET_STAT_RULES'!$A$5:$A$88,'PET_STAT_RULES'!$E$5:$E$88)</x:f>
        <x:v>0</x:v>
      </x:c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40" t="n">
        <x:f>XLOOKUP($D68&amp;"|"&amp;$E68&amp;"|"&amp;$F68,'PET_STAT_RULES'!$A$5:$A$88,'PET_STAT_RULES'!$C$5:$C$88)</x:f>
        <x:v>34</x:v>
      </x:c>
      <x:c r="K68" s="340" t="n">
        <x:f>XLOOKUP($D68&amp;"|"&amp;$E68&amp;"|"&amp;$F68,'PET_STAT_RULES'!$A$5:$A$88,'PET_STAT_RULES'!$D$5:$D$88)</x:f>
        <x:v>22</x:v>
      </x:c>
      <x:c r="L68" s="340" t="n">
        <x:f>XLOOKUP($D68&amp;"|"&amp;$E68&amp;"|"&amp;$F68,'PET_STAT_RULES'!$A$5:$A$88,'PET_STAT_RULES'!$F$5:$F$88)</x:f>
        <x:v>0</x:v>
      </x:c>
      <x:c r="M68" s="340" t="n">
        <x:f>XLOOKUP($D68&amp;"|"&amp;$E68&amp;"|"&amp;$F68,'PET_STAT_RULES'!$A$5:$A$88,'PET_STAT_RULES'!$G$5:$G$88)</x:f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  <x:c r="W68" s="332" t="n">
        <x:f>XLOOKUP($D68&amp;"|"&amp;$E68&amp;"|"&amp;$F68,'PET_STAT_RULES'!$A$5:$A$88,'PET_STAT_RULES'!$E$5:$E$88)</x:f>
        <x:v>0</x:v>
      </x:c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40" t="n">
        <x:f>XLOOKUP($D69&amp;"|"&amp;$E69&amp;"|"&amp;$F69,'PET_STAT_RULES'!$A$5:$A$88,'PET_STAT_RULES'!$C$5:$C$88)</x:f>
        <x:v>38</x:v>
      </x:c>
      <x:c r="K69" s="340" t="n">
        <x:f>XLOOKUP($D69&amp;"|"&amp;$E69&amp;"|"&amp;$F69,'PET_STAT_RULES'!$A$5:$A$88,'PET_STAT_RULES'!$D$5:$D$88)</x:f>
        <x:v>16</x:v>
      </x:c>
      <x:c r="L69" s="340" t="n">
        <x:f>XLOOKUP($D69&amp;"|"&amp;$E69&amp;"|"&amp;$F69,'PET_STAT_RULES'!$A$5:$A$88,'PET_STAT_RULES'!$F$5:$F$88)</x:f>
        <x:v>0</x:v>
      </x:c>
      <x:c r="M69" s="340" t="n">
        <x:f>XLOOKUP($D69&amp;"|"&amp;$E69&amp;"|"&amp;$F69,'PET_STAT_RULES'!$A$5:$A$88,'PET_STAT_RULES'!$G$5:$G$88)</x:f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  <x:c r="W69" s="332" t="n">
        <x:f>XLOOKUP($D69&amp;"|"&amp;$E69&amp;"|"&amp;$F69,'PET_STAT_RULES'!$A$5:$A$88,'PET_STAT_RULES'!$E$5:$E$88)</x:f>
        <x:v>0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40" t="n">
        <x:f>XLOOKUP($D70&amp;"|"&amp;$E70&amp;"|"&amp;$F70,'PET_STAT_RULES'!$A$5:$A$88,'PET_STAT_RULES'!$C$5:$C$88)</x:f>
        <x:v>28</x:v>
      </x:c>
      <x:c r="K70" s="340" t="n">
        <x:f>XLOOKUP($D70&amp;"|"&amp;$E70&amp;"|"&amp;$F70,'PET_STAT_RULES'!$A$5:$A$88,'PET_STAT_RULES'!$D$5:$D$88)</x:f>
        <x:v>12</x:v>
      </x:c>
      <x:c r="L70" s="340" t="n">
        <x:f>XLOOKUP($D70&amp;"|"&amp;$E70&amp;"|"&amp;$F70,'PET_STAT_RULES'!$A$5:$A$88,'PET_STAT_RULES'!$F$5:$F$88)</x:f>
        <x:v>0</x:v>
      </x:c>
      <x:c r="M70" s="340" t="n">
        <x:f>XLOOKUP($D70&amp;"|"&amp;$E70&amp;"|"&amp;$F70,'PET_STAT_RULES'!$A$5:$A$88,'PET_STAT_RULES'!$G$5:$G$88)</x:f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  <x:c r="W70" s="332" t="n">
        <x:f>XLOOKUP($D70&amp;"|"&amp;$E70&amp;"|"&amp;$F70,'PET_STAT_RULES'!$A$5:$A$88,'PET_STAT_RULES'!$E$5:$E$88)</x:f>
        <x:v>0</x:v>
      </x:c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40" t="n">
        <x:f>XLOOKUP($D71&amp;"|"&amp;$E71&amp;"|"&amp;$F71,'PET_STAT_RULES'!$A$5:$A$88,'PET_STAT_RULES'!$C$5:$C$88)</x:f>
        <x:v>34</x:v>
      </x:c>
      <x:c r="K71" s="340" t="n">
        <x:f>XLOOKUP($D71&amp;"|"&amp;$E71&amp;"|"&amp;$F71,'PET_STAT_RULES'!$A$5:$A$88,'PET_STAT_RULES'!$D$5:$D$88)</x:f>
        <x:v>6</x:v>
      </x:c>
      <x:c r="L71" s="340" t="n">
        <x:f>XLOOKUP($D71&amp;"|"&amp;$E71&amp;"|"&amp;$F71,'PET_STAT_RULES'!$A$5:$A$88,'PET_STAT_RULES'!$F$5:$F$88)</x:f>
        <x:v>2</x:v>
      </x:c>
      <x:c r="M71" s="340" t="n">
        <x:f>XLOOKUP($D71&amp;"|"&amp;$E71&amp;"|"&amp;$F71,'PET_STAT_RULES'!$A$5:$A$88,'PET_STAT_RULES'!$G$5:$G$88)</x:f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  <x:c r="W71" s="332" t="n">
        <x:f>XLOOKUP($D71&amp;"|"&amp;$E71&amp;"|"&amp;$F71,'PET_STAT_RULES'!$A$5:$A$88,'PET_STAT_RULES'!$E$5:$E$88)</x:f>
        <x:v>0</x:v>
      </x:c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40" t="n">
        <x:f>XLOOKUP($D72&amp;"|"&amp;$E72&amp;"|"&amp;$F72,'PET_STAT_RULES'!$A$5:$A$88,'PET_STAT_RULES'!$C$5:$C$88)</x:f>
        <x:v>22</x:v>
      </x:c>
      <x:c r="K72" s="340" t="n">
        <x:f>XLOOKUP($D72&amp;"|"&amp;$E72&amp;"|"&amp;$F72,'PET_STAT_RULES'!$A$5:$A$88,'PET_STAT_RULES'!$D$5:$D$88)</x:f>
        <x:v>14</x:v>
      </x:c>
      <x:c r="L72" s="340" t="n">
        <x:f>XLOOKUP($D72&amp;"|"&amp;$E72&amp;"|"&amp;$F72,'PET_STAT_RULES'!$A$5:$A$88,'PET_STAT_RULES'!$F$5:$F$88)</x:f>
        <x:v>0</x:v>
      </x:c>
      <x:c r="M72" s="340" t="n">
        <x:f>XLOOKUP($D72&amp;"|"&amp;$E72&amp;"|"&amp;$F72,'PET_STAT_RULES'!$A$5:$A$88,'PET_STAT_RULES'!$G$5:$G$88)</x:f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  <x:c r="W72" s="332" t="n">
        <x:f>XLOOKUP($D72&amp;"|"&amp;$E72&amp;"|"&amp;$F72,'PET_STAT_RULES'!$A$5:$A$88,'PET_STAT_RULES'!$E$5:$E$88)</x:f>
        <x:v>0</x:v>
      </x:c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40" t="n">
        <x:f>XLOOKUP($D73&amp;"|"&amp;$E73&amp;"|"&amp;$F73,'PET_STAT_RULES'!$A$5:$A$88,'PET_STAT_RULES'!$C$5:$C$88)</x:f>
        <x:v>62</x:v>
      </x:c>
      <x:c r="K73" s="340" t="n">
        <x:f>XLOOKUP($D73&amp;"|"&amp;$E73&amp;"|"&amp;$F73,'PET_STAT_RULES'!$A$5:$A$88,'PET_STAT_RULES'!$D$5:$D$88)</x:f>
        <x:v>18</x:v>
      </x:c>
      <x:c r="L73" s="340" t="n">
        <x:f>XLOOKUP($D73&amp;"|"&amp;$E73&amp;"|"&amp;$F73,'PET_STAT_RULES'!$A$5:$A$88,'PET_STAT_RULES'!$F$5:$F$88)</x:f>
        <x:v>0</x:v>
      </x:c>
      <x:c r="M73" s="340" t="n">
        <x:f>XLOOKUP($D73&amp;"|"&amp;$E73&amp;"|"&amp;$F73,'PET_STAT_RULES'!$A$5:$A$88,'PET_STAT_RULES'!$G$5:$G$88)</x:f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  <x:c r="W73" s="332" t="n">
        <x:f>XLOOKUP($D73&amp;"|"&amp;$E73&amp;"|"&amp;$F73,'PET_STAT_RULES'!$A$5:$A$88,'PET_STAT_RULES'!$E$5:$E$88)</x:f>
        <x:v>0</x:v>
      </x:c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40" t="n">
        <x:f>XLOOKUP($D74&amp;"|"&amp;$E74&amp;"|"&amp;$F74,'PET_STAT_RULES'!$A$5:$A$88,'PET_STAT_RULES'!$C$5:$C$88)</x:f>
        <x:v>40</x:v>
      </x:c>
      <x:c r="K74" s="340" t="n">
        <x:f>XLOOKUP($D74&amp;"|"&amp;$E74&amp;"|"&amp;$F74,'PET_STAT_RULES'!$A$5:$A$88,'PET_STAT_RULES'!$D$5:$D$88)</x:f>
        <x:v>12</x:v>
      </x:c>
      <x:c r="L74" s="340" t="n">
        <x:f>XLOOKUP($D74&amp;"|"&amp;$E74&amp;"|"&amp;$F74,'PET_STAT_RULES'!$A$5:$A$88,'PET_STAT_RULES'!$F$5:$F$88)</x:f>
        <x:v>0</x:v>
      </x:c>
      <x:c r="M74" s="340" t="n">
        <x:f>XLOOKUP($D74&amp;"|"&amp;$E74&amp;"|"&amp;$F74,'PET_STAT_RULES'!$A$5:$A$88,'PET_STAT_RULES'!$G$5:$G$88)</x:f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  <x:c r="W74" s="332" t="n">
        <x:f>XLOOKUP($D74&amp;"|"&amp;$E74&amp;"|"&amp;$F74,'PET_STAT_RULES'!$A$5:$A$88,'PET_STAT_RULES'!$E$5:$E$88)</x:f>
        <x:v>0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40" t="n">
        <x:f>XLOOKUP($D75&amp;"|"&amp;$E75&amp;"|"&amp;$F75,'PET_STAT_RULES'!$A$5:$A$88,'PET_STAT_RULES'!$C$5:$C$88)</x:f>
        <x:v>26</x:v>
      </x:c>
      <x:c r="K75" s="340" t="n">
        <x:f>XLOOKUP($D75&amp;"|"&amp;$E75&amp;"|"&amp;$F75,'PET_STAT_RULES'!$A$5:$A$88,'PET_STAT_RULES'!$D$5:$D$88)</x:f>
        <x:v>10</x:v>
      </x:c>
      <x:c r="L75" s="340" t="n">
        <x:f>XLOOKUP($D75&amp;"|"&amp;$E75&amp;"|"&amp;$F75,'PET_STAT_RULES'!$A$5:$A$88,'PET_STAT_RULES'!$F$5:$F$88)</x:f>
        <x:v>0</x:v>
      </x:c>
      <x:c r="M75" s="340" t="n">
        <x:f>XLOOKUP($D75&amp;"|"&amp;$E75&amp;"|"&amp;$F75,'PET_STAT_RULES'!$A$5:$A$88,'PET_STAT_RULES'!$G$5:$G$88)</x:f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  <x:c r="W75" s="332" t="n">
        <x:f>XLOOKUP($D75&amp;"|"&amp;$E75&amp;"|"&amp;$F75,'PET_STAT_RULES'!$A$5:$A$88,'PET_STAT_RULES'!$E$5:$E$88)</x:f>
        <x:v>0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40" t="n">
        <x:f>XLOOKUP($D76&amp;"|"&amp;$E76&amp;"|"&amp;$F76,'PET_STAT_RULES'!$A$5:$A$88,'PET_STAT_RULES'!$C$5:$C$88)</x:f>
        <x:v>28</x:v>
      </x:c>
      <x:c r="K76" s="340" t="n">
        <x:f>XLOOKUP($D76&amp;"|"&amp;$E76&amp;"|"&amp;$F76,'PET_STAT_RULES'!$A$5:$A$88,'PET_STAT_RULES'!$D$5:$D$88)</x:f>
        <x:v>6</x:v>
      </x:c>
      <x:c r="L76" s="340" t="n">
        <x:f>XLOOKUP($D76&amp;"|"&amp;$E76&amp;"|"&amp;$F76,'PET_STAT_RULES'!$A$5:$A$88,'PET_STAT_RULES'!$F$5:$F$88)</x:f>
        <x:v>0</x:v>
      </x:c>
      <x:c r="M76" s="340" t="n">
        <x:f>XLOOKUP($D76&amp;"|"&amp;$E76&amp;"|"&amp;$F76,'PET_STAT_RULES'!$A$5:$A$88,'PET_STAT_RULES'!$G$5:$G$88)</x:f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  <x:c r="W76" s="332" t="n">
        <x:f>XLOOKUP($D76&amp;"|"&amp;$E76&amp;"|"&amp;$F76,'PET_STAT_RULES'!$A$5:$A$88,'PET_STAT_RULES'!$E$5:$E$88)</x:f>
        <x:v>0</x:v>
      </x:c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40" t="n">
        <x:f>XLOOKUP($D77&amp;"|"&amp;$E77&amp;"|"&amp;$F77,'PET_STAT_RULES'!$A$5:$A$88,'PET_STAT_RULES'!$C$5:$C$88)</x:f>
        <x:v>48</x:v>
      </x:c>
      <x:c r="K77" s="340" t="n">
        <x:f>XLOOKUP($D77&amp;"|"&amp;$E77&amp;"|"&amp;$F77,'PET_STAT_RULES'!$A$5:$A$88,'PET_STAT_RULES'!$D$5:$D$88)</x:f>
        <x:v>14</x:v>
      </x:c>
      <x:c r="L77" s="340" t="n">
        <x:f>XLOOKUP($D77&amp;"|"&amp;$E77&amp;"|"&amp;$F77,'PET_STAT_RULES'!$A$5:$A$88,'PET_STAT_RULES'!$F$5:$F$88)</x:f>
        <x:v>10</x:v>
      </x:c>
      <x:c r="M77" s="340" t="n">
        <x:f>XLOOKUP($D77&amp;"|"&amp;$E77&amp;"|"&amp;$F77,'PET_STAT_RULES'!$A$5:$A$88,'PET_STAT_RULES'!$G$5:$G$88)</x:f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  <x:c r="W77" s="332" t="n">
        <x:f>XLOOKUP($D77&amp;"|"&amp;$E77&amp;"|"&amp;$F77,'PET_STAT_RULES'!$A$5:$A$88,'PET_STAT_RULES'!$E$5:$E$88)</x:f>
        <x:v>0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40" t="n">
        <x:f>XLOOKUP($D78&amp;"|"&amp;$E78&amp;"|"&amp;$F78,'PET_STAT_RULES'!$A$5:$A$88,'PET_STAT_RULES'!$C$5:$C$88)</x:f>
        <x:v>40</x:v>
      </x:c>
      <x:c r="K78" s="340" t="n">
        <x:f>XLOOKUP($D78&amp;"|"&amp;$E78&amp;"|"&amp;$F78,'PET_STAT_RULES'!$A$5:$A$88,'PET_STAT_RULES'!$D$5:$D$88)</x:f>
        <x:v>20</x:v>
      </x:c>
      <x:c r="L78" s="340" t="n">
        <x:f>XLOOKUP($D78&amp;"|"&amp;$E78&amp;"|"&amp;$F78,'PET_STAT_RULES'!$A$5:$A$88,'PET_STAT_RULES'!$F$5:$F$88)</x:f>
        <x:v>0</x:v>
      </x:c>
      <x:c r="M78" s="340" t="n">
        <x:f>XLOOKUP($D78&amp;"|"&amp;$E78&amp;"|"&amp;$F78,'PET_STAT_RULES'!$A$5:$A$88,'PET_STAT_RULES'!$G$5:$G$88)</x:f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  <x:c r="W78" s="332" t="n">
        <x:f>XLOOKUP($D78&amp;"|"&amp;$E78&amp;"|"&amp;$F78,'PET_STAT_RULES'!$A$5:$A$88,'PET_STAT_RULES'!$E$5:$E$88)</x:f>
        <x:v>0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40" t="n">
        <x:f>XLOOKUP($D79&amp;"|"&amp;$E79&amp;"|"&amp;$F79,'PET_STAT_RULES'!$A$5:$A$88,'PET_STAT_RULES'!$C$5:$C$88)</x:f>
        <x:v>30</x:v>
      </x:c>
      <x:c r="K79" s="340" t="n">
        <x:f>XLOOKUP($D79&amp;"|"&amp;$E79&amp;"|"&amp;$F79,'PET_STAT_RULES'!$A$5:$A$88,'PET_STAT_RULES'!$D$5:$D$88)</x:f>
        <x:v>8</x:v>
      </x:c>
      <x:c r="L79" s="340" t="n">
        <x:f>XLOOKUP($D79&amp;"|"&amp;$E79&amp;"|"&amp;$F79,'PET_STAT_RULES'!$A$5:$A$88,'PET_STAT_RULES'!$F$5:$F$88)</x:f>
        <x:v>0</x:v>
      </x:c>
      <x:c r="M79" s="340" t="n">
        <x:f>XLOOKUP($D79&amp;"|"&amp;$E79&amp;"|"&amp;$F79,'PET_STAT_RULES'!$A$5:$A$88,'PET_STAT_RULES'!$G$5:$G$88)</x:f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  <x:c r="W79" s="332" t="n">
        <x:f>XLOOKUP($D79&amp;"|"&amp;$E79&amp;"|"&amp;$F79,'PET_STAT_RULES'!$A$5:$A$88,'PET_STAT_RULES'!$E$5:$E$88)</x:f>
        <x:v>0</x:v>
      </x:c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40" t="n">
        <x:f>XLOOKUP($D80&amp;"|"&amp;$E80&amp;"|"&amp;$F80,'PET_STAT_RULES'!$A$5:$A$88,'PET_STAT_RULES'!$C$5:$C$88)</x:f>
        <x:v>48</x:v>
      </x:c>
      <x:c r="K80" s="340" t="n">
        <x:f>XLOOKUP($D80&amp;"|"&amp;$E80&amp;"|"&amp;$F80,'PET_STAT_RULES'!$A$5:$A$88,'PET_STAT_RULES'!$D$5:$D$88)</x:f>
        <x:v>14</x:v>
      </x:c>
      <x:c r="L80" s="340" t="n">
        <x:f>XLOOKUP($D80&amp;"|"&amp;$E80&amp;"|"&amp;$F80,'PET_STAT_RULES'!$A$5:$A$88,'PET_STAT_RULES'!$F$5:$F$88)</x:f>
        <x:v>10</x:v>
      </x:c>
      <x:c r="M80" s="340" t="n">
        <x:f>XLOOKUP($D80&amp;"|"&amp;$E80&amp;"|"&amp;$F80,'PET_STAT_RULES'!$A$5:$A$88,'PET_STAT_RULES'!$G$5:$G$88)</x:f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  <x:c r="W80" s="332" t="n">
        <x:f>XLOOKUP($D80&amp;"|"&amp;$E80&amp;"|"&amp;$F80,'PET_STAT_RULES'!$A$5:$A$88,'PET_STAT_RULES'!$E$5:$E$88)</x:f>
        <x:v>0</x:v>
      </x:c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40" t="n">
        <x:f>XLOOKUP($D81&amp;"|"&amp;$E81&amp;"|"&amp;$F81,'PET_STAT_RULES'!$A$5:$A$88,'PET_STAT_RULES'!$C$5:$C$88)</x:f>
        <x:v>38</x:v>
      </x:c>
      <x:c r="K81" s="340" t="n">
        <x:f>XLOOKUP($D81&amp;"|"&amp;$E81&amp;"|"&amp;$F81,'PET_STAT_RULES'!$A$5:$A$88,'PET_STAT_RULES'!$D$5:$D$88)</x:f>
        <x:v>16</x:v>
      </x:c>
      <x:c r="L81" s="340" t="n">
        <x:f>XLOOKUP($D81&amp;"|"&amp;$E81&amp;"|"&amp;$F81,'PET_STAT_RULES'!$A$5:$A$88,'PET_STAT_RULES'!$F$5:$F$88)</x:f>
        <x:v>0</x:v>
      </x:c>
      <x:c r="M81" s="340" t="n">
        <x:f>XLOOKUP($D81&amp;"|"&amp;$E81&amp;"|"&amp;$F81,'PET_STAT_RULES'!$A$5:$A$88,'PET_STAT_RULES'!$G$5:$G$88)</x:f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  <x:c r="W81" s="332" t="n">
        <x:f>XLOOKUP($D81&amp;"|"&amp;$E81&amp;"|"&amp;$F81,'PET_STAT_RULES'!$A$5:$A$88,'PET_STAT_RULES'!$E$5:$E$88)</x:f>
        <x:v>0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40" t="n">
        <x:f>XLOOKUP($D82&amp;"|"&amp;$E82&amp;"|"&amp;$F82,'PET_STAT_RULES'!$A$5:$A$88,'PET_STAT_RULES'!$C$5:$C$88)</x:f>
        <x:v>40</x:v>
      </x:c>
      <x:c r="K82" s="340" t="n">
        <x:f>XLOOKUP($D82&amp;"|"&amp;$E82&amp;"|"&amp;$F82,'PET_STAT_RULES'!$A$5:$A$88,'PET_STAT_RULES'!$D$5:$D$88)</x:f>
        <x:v>20</x:v>
      </x:c>
      <x:c r="L82" s="340" t="n">
        <x:f>XLOOKUP($D82&amp;"|"&amp;$E82&amp;"|"&amp;$F82,'PET_STAT_RULES'!$A$5:$A$88,'PET_STAT_RULES'!$F$5:$F$88)</x:f>
        <x:v>0</x:v>
      </x:c>
      <x:c r="M82" s="340" t="n">
        <x:f>XLOOKUP($D82&amp;"|"&amp;$E82&amp;"|"&amp;$F82,'PET_STAT_RULES'!$A$5:$A$88,'PET_STAT_RULES'!$G$5:$G$88)</x:f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  <x:c r="W82" s="332" t="n">
        <x:f>XLOOKUP($D82&amp;"|"&amp;$E82&amp;"|"&amp;$F82,'PET_STAT_RULES'!$A$5:$A$88,'PET_STAT_RULES'!$E$5:$E$88)</x:f>
        <x:v>0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40" t="n">
        <x:f>XLOOKUP($D83&amp;"|"&amp;$E83&amp;"|"&amp;$F83,'PET_STAT_RULES'!$A$5:$A$88,'PET_STAT_RULES'!$C$5:$C$88)</x:f>
        <x:v>40</x:v>
      </x:c>
      <x:c r="K83" s="340" t="n">
        <x:f>XLOOKUP($D83&amp;"|"&amp;$E83&amp;"|"&amp;$F83,'PET_STAT_RULES'!$A$5:$A$88,'PET_STAT_RULES'!$D$5:$D$88)</x:f>
        <x:v>12</x:v>
      </x:c>
      <x:c r="L83" s="340" t="n">
        <x:f>XLOOKUP($D83&amp;"|"&amp;$E83&amp;"|"&amp;$F83,'PET_STAT_RULES'!$A$5:$A$88,'PET_STAT_RULES'!$F$5:$F$88)</x:f>
        <x:v>0</x:v>
      </x:c>
      <x:c r="M83" s="340" t="n">
        <x:f>XLOOKUP($D83&amp;"|"&amp;$E83&amp;"|"&amp;$F83,'PET_STAT_RULES'!$A$5:$A$88,'PET_STAT_RULES'!$G$5:$G$88)</x:f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  <x:c r="W83" s="332" t="n">
        <x:f>XLOOKUP($D83&amp;"|"&amp;$E83&amp;"|"&amp;$F83,'PET_STAT_RULES'!$A$5:$A$88,'PET_STAT_RULES'!$E$5:$E$88)</x:f>
        <x:v>0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40" t="n">
        <x:f>XLOOKUP($D84&amp;"|"&amp;$E84&amp;"|"&amp;$F84,'PET_STAT_RULES'!$A$5:$A$88,'PET_STAT_RULES'!$C$5:$C$88)</x:f>
        <x:v>36</x:v>
      </x:c>
      <x:c r="K84" s="340" t="n">
        <x:f>XLOOKUP($D84&amp;"|"&amp;$E84&amp;"|"&amp;$F84,'PET_STAT_RULES'!$A$5:$A$88,'PET_STAT_RULES'!$D$5:$D$88)</x:f>
        <x:v>8</x:v>
      </x:c>
      <x:c r="L84" s="340" t="n">
        <x:f>XLOOKUP($D84&amp;"|"&amp;$E84&amp;"|"&amp;$F84,'PET_STAT_RULES'!$A$5:$A$88,'PET_STAT_RULES'!$F$5:$F$88)</x:f>
        <x:v>6</x:v>
      </x:c>
      <x:c r="M84" s="340" t="n">
        <x:f>XLOOKUP($D84&amp;"|"&amp;$E84&amp;"|"&amp;$F84,'PET_STAT_RULES'!$A$5:$A$88,'PET_STAT_RULES'!$G$5:$G$88)</x:f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  <x:c r="W84" s="332" t="n">
        <x:f>XLOOKUP($D84&amp;"|"&amp;$E84&amp;"|"&amp;$F84,'PET_STAT_RULES'!$A$5:$A$88,'PET_STAT_RULES'!$E$5:$E$88)</x:f>
        <x:v>0</x:v>
      </x:c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40" t="n">
        <x:f>XLOOKUP($D85&amp;"|"&amp;$E85&amp;"|"&amp;$F85,'PET_STAT_RULES'!$A$5:$A$88,'PET_STAT_RULES'!$C$5:$C$88)</x:f>
        <x:v>22</x:v>
      </x:c>
      <x:c r="K85" s="340" t="n">
        <x:f>XLOOKUP($D85&amp;"|"&amp;$E85&amp;"|"&amp;$F85,'PET_STAT_RULES'!$A$5:$A$88,'PET_STAT_RULES'!$D$5:$D$88)</x:f>
        <x:v>8</x:v>
      </x:c>
      <x:c r="L85" s="340" t="n">
        <x:f>XLOOKUP($D85&amp;"|"&amp;$E85&amp;"|"&amp;$F85,'PET_STAT_RULES'!$A$5:$A$88,'PET_STAT_RULES'!$F$5:$F$88)</x:f>
        <x:v>0</x:v>
      </x:c>
      <x:c r="M85" s="340" t="n">
        <x:f>XLOOKUP($D85&amp;"|"&amp;$E85&amp;"|"&amp;$F85,'PET_STAT_RULES'!$A$5:$A$88,'PET_STAT_RULES'!$G$5:$G$88)</x:f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  <x:c r="W85" s="332" t="n">
        <x:f>XLOOKUP($D85&amp;"|"&amp;$E85&amp;"|"&amp;$F85,'PET_STAT_RULES'!$A$5:$A$88,'PET_STAT_RULES'!$E$5:$E$88)</x:f>
        <x:v>0</x:v>
      </x:c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40" t="n">
        <x:f>XLOOKUP($D86&amp;"|"&amp;$E86&amp;"|"&amp;$F86,'PET_STAT_RULES'!$A$5:$A$88,'PET_STAT_RULES'!$C$5:$C$88)</x:f>
        <x:v>30</x:v>
      </x:c>
      <x:c r="K86" s="340" t="n">
        <x:f>XLOOKUP($D86&amp;"|"&amp;$E86&amp;"|"&amp;$F86,'PET_STAT_RULES'!$A$5:$A$88,'PET_STAT_RULES'!$D$5:$D$88)</x:f>
        <x:v>8</x:v>
      </x:c>
      <x:c r="L86" s="340" t="n">
        <x:f>XLOOKUP($D86&amp;"|"&amp;$E86&amp;"|"&amp;$F86,'PET_STAT_RULES'!$A$5:$A$88,'PET_STAT_RULES'!$F$5:$F$88)</x:f>
        <x:v>0</x:v>
      </x:c>
      <x:c r="M86" s="340" t="n">
        <x:f>XLOOKUP($D86&amp;"|"&amp;$E86&amp;"|"&amp;$F86,'PET_STAT_RULES'!$A$5:$A$88,'PET_STAT_RULES'!$G$5:$G$88)</x:f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  <x:c r="W86" s="332" t="n">
        <x:f>XLOOKUP($D86&amp;"|"&amp;$E86&amp;"|"&amp;$F86,'PET_STAT_RULES'!$A$5:$A$88,'PET_STAT_RULES'!$E$5:$E$88)</x:f>
        <x:v>0</x:v>
      </x:c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40" t="n">
        <x:f>XLOOKUP($D87&amp;"|"&amp;$E87&amp;"|"&amp;$F87,'PET_STAT_RULES'!$A$5:$A$88,'PET_STAT_RULES'!$C$5:$C$88)</x:f>
        <x:v>52</x:v>
      </x:c>
      <x:c r="K87" s="340" t="n">
        <x:f>XLOOKUP($D87&amp;"|"&amp;$E87&amp;"|"&amp;$F87,'PET_STAT_RULES'!$A$5:$A$88,'PET_STAT_RULES'!$D$5:$D$88)</x:f>
        <x:v>18</x:v>
      </x:c>
      <x:c r="L87" s="340" t="n">
        <x:f>XLOOKUP($D87&amp;"|"&amp;$E87&amp;"|"&amp;$F87,'PET_STAT_RULES'!$A$5:$A$88,'PET_STAT_RULES'!$F$5:$F$88)</x:f>
        <x:v>0</x:v>
      </x:c>
      <x:c r="M87" s="340" t="n">
        <x:f>XLOOKUP($D87&amp;"|"&amp;$E87&amp;"|"&amp;$F87,'PET_STAT_RULES'!$A$5:$A$88,'PET_STAT_RULES'!$G$5:$G$88)</x:f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  <x:c r="W87" s="332" t="n">
        <x:f>XLOOKUP($D87&amp;"|"&amp;$E87&amp;"|"&amp;$F87,'PET_STAT_RULES'!$A$5:$A$88,'PET_STAT_RULES'!$E$5:$E$88)</x:f>
        <x:v>0</x:v>
      </x:c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40" t="n">
        <x:f>XLOOKUP($D88&amp;"|"&amp;$E88&amp;"|"&amp;$F88,'PET_STAT_RULES'!$A$5:$A$88,'PET_STAT_RULES'!$C$5:$C$88)</x:f>
        <x:v>22</x:v>
      </x:c>
      <x:c r="K88" s="340" t="n">
        <x:f>XLOOKUP($D88&amp;"|"&amp;$E88&amp;"|"&amp;$F88,'PET_STAT_RULES'!$A$5:$A$88,'PET_STAT_RULES'!$D$5:$D$88)</x:f>
        <x:v>8</x:v>
      </x:c>
      <x:c r="L88" s="340" t="n">
        <x:f>XLOOKUP($D88&amp;"|"&amp;$E88&amp;"|"&amp;$F88,'PET_STAT_RULES'!$A$5:$A$88,'PET_STAT_RULES'!$F$5:$F$88)</x:f>
        <x:v>0</x:v>
      </x:c>
      <x:c r="M88" s="340" t="n">
        <x:f>XLOOKUP($D88&amp;"|"&amp;$E88&amp;"|"&amp;$F88,'PET_STAT_RULES'!$A$5:$A$88,'PET_STAT_RULES'!$G$5:$G$88)</x:f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  <x:c r="W88" s="332" t="n">
        <x:f>XLOOKUP($D88&amp;"|"&amp;$E88&amp;"|"&amp;$F88,'PET_STAT_RULES'!$A$5:$A$88,'PET_STAT_RULES'!$E$5:$E$88)</x:f>
        <x:v>0</x:v>
      </x:c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40" t="n">
        <x:f>XLOOKUP($D89&amp;"|"&amp;$E89&amp;"|"&amp;$F89,'PET_STAT_RULES'!$A$5:$A$88,'PET_STAT_RULES'!$C$5:$C$88)</x:f>
        <x:v>52</x:v>
      </x:c>
      <x:c r="K89" s="340" t="n">
        <x:f>XLOOKUP($D89&amp;"|"&amp;$E89&amp;"|"&amp;$F89,'PET_STAT_RULES'!$A$5:$A$88,'PET_STAT_RULES'!$D$5:$D$88)</x:f>
        <x:v>28</x:v>
      </x:c>
      <x:c r="L89" s="340" t="n">
        <x:f>XLOOKUP($D89&amp;"|"&amp;$E89&amp;"|"&amp;$F89,'PET_STAT_RULES'!$A$5:$A$88,'PET_STAT_RULES'!$F$5:$F$88)</x:f>
        <x:v>0</x:v>
      </x:c>
      <x:c r="M89" s="340" t="n">
        <x:f>XLOOKUP($D89&amp;"|"&amp;$E89&amp;"|"&amp;$F89,'PET_STAT_RULES'!$A$5:$A$88,'PET_STAT_RULES'!$G$5:$G$88)</x:f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  <x:c r="W89" s="332" t="n">
        <x:f>XLOOKUP($D89&amp;"|"&amp;$E89&amp;"|"&amp;$F89,'PET_STAT_RULES'!$A$5:$A$88,'PET_STAT_RULES'!$E$5:$E$88)</x:f>
        <x:v>0</x:v>
      </x:c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40" t="n">
        <x:f>XLOOKUP($D90&amp;"|"&amp;$E90&amp;"|"&amp;$F90,'PET_STAT_RULES'!$A$5:$A$88,'PET_STAT_RULES'!$C$5:$C$88)</x:f>
        <x:v>22</x:v>
      </x:c>
      <x:c r="K90" s="340" t="n">
        <x:f>XLOOKUP($D90&amp;"|"&amp;$E90&amp;"|"&amp;$F90,'PET_STAT_RULES'!$A$5:$A$88,'PET_STAT_RULES'!$D$5:$D$88)</x:f>
        <x:v>14</x:v>
      </x:c>
      <x:c r="L90" s="340" t="n">
        <x:f>XLOOKUP($D90&amp;"|"&amp;$E90&amp;"|"&amp;$F90,'PET_STAT_RULES'!$A$5:$A$88,'PET_STAT_RULES'!$F$5:$F$88)</x:f>
        <x:v>0</x:v>
      </x:c>
      <x:c r="M90" s="340" t="n">
        <x:f>XLOOKUP($D90&amp;"|"&amp;$E90&amp;"|"&amp;$F90,'PET_STAT_RULES'!$A$5:$A$88,'PET_STAT_RULES'!$G$5:$G$88)</x:f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  <x:c r="W90" s="332" t="n">
        <x:f>XLOOKUP($D90&amp;"|"&amp;$E90&amp;"|"&amp;$F90,'PET_STAT_RULES'!$A$5:$A$88,'PET_STAT_RULES'!$E$5:$E$88)</x:f>
        <x:v>0</x:v>
      </x:c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40" t="n">
        <x:f>XLOOKUP($D91&amp;"|"&amp;$E91&amp;"|"&amp;$F91,'PET_STAT_RULES'!$A$5:$A$88,'PET_STAT_RULES'!$C$5:$C$88)</x:f>
        <x:v>46</x:v>
      </x:c>
      <x:c r="K91" s="340" t="n">
        <x:f>XLOOKUP($D91&amp;"|"&amp;$E91&amp;"|"&amp;$F91,'PET_STAT_RULES'!$A$5:$A$88,'PET_STAT_RULES'!$D$5:$D$88)</x:f>
        <x:v>10</x:v>
      </x:c>
      <x:c r="L91" s="340" t="n">
        <x:f>XLOOKUP($D91&amp;"|"&amp;$E91&amp;"|"&amp;$F91,'PET_STAT_RULES'!$A$5:$A$88,'PET_STAT_RULES'!$F$5:$F$88)</x:f>
        <x:v>0</x:v>
      </x:c>
      <x:c r="M91" s="340" t="n">
        <x:f>XLOOKUP($D91&amp;"|"&amp;$E91&amp;"|"&amp;$F91,'PET_STAT_RULES'!$A$5:$A$88,'PET_STAT_RULES'!$G$5:$G$88)</x:f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  <x:c r="W91" s="332" t="n">
        <x:f>XLOOKUP($D91&amp;"|"&amp;$E91&amp;"|"&amp;$F91,'PET_STAT_RULES'!$A$5:$A$88,'PET_STAT_RULES'!$E$5:$E$88)</x:f>
        <x:v>0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40" t="n">
        <x:f>XLOOKUP($D92&amp;"|"&amp;$E92&amp;"|"&amp;$F92,'PET_STAT_RULES'!$A$5:$A$88,'PET_STAT_RULES'!$C$5:$C$88)</x:f>
        <x:v>22</x:v>
      </x:c>
      <x:c r="K92" s="340" t="n">
        <x:f>XLOOKUP($D92&amp;"|"&amp;$E92&amp;"|"&amp;$F92,'PET_STAT_RULES'!$A$5:$A$88,'PET_STAT_RULES'!$D$5:$D$88)</x:f>
        <x:v>14</x:v>
      </x:c>
      <x:c r="L92" s="340" t="n">
        <x:f>XLOOKUP($D92&amp;"|"&amp;$E92&amp;"|"&amp;$F92,'PET_STAT_RULES'!$A$5:$A$88,'PET_STAT_RULES'!$F$5:$F$88)</x:f>
        <x:v>0</x:v>
      </x:c>
      <x:c r="M92" s="340" t="n">
        <x:f>XLOOKUP($D92&amp;"|"&amp;$E92&amp;"|"&amp;$F92,'PET_STAT_RULES'!$A$5:$A$88,'PET_STAT_RULES'!$G$5:$G$88)</x:f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  <x:c r="W92" s="332" t="n">
        <x:f>XLOOKUP($D92&amp;"|"&amp;$E92&amp;"|"&amp;$F92,'PET_STAT_RULES'!$A$5:$A$88,'PET_STAT_RULES'!$E$5:$E$88)</x:f>
        <x:v>0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40" t="n">
        <x:f>XLOOKUP($D93&amp;"|"&amp;$E93&amp;"|"&amp;$F93,'PET_STAT_RULES'!$A$5:$A$88,'PET_STAT_RULES'!$C$5:$C$88)</x:f>
        <x:v>58</x:v>
      </x:c>
      <x:c r="K93" s="340" t="n">
        <x:f>XLOOKUP($D93&amp;"|"&amp;$E93&amp;"|"&amp;$F93,'PET_STAT_RULES'!$A$5:$A$88,'PET_STAT_RULES'!$D$5:$D$88)</x:f>
        <x:v>18</x:v>
      </x:c>
      <x:c r="L93" s="340" t="n">
        <x:f>XLOOKUP($D93&amp;"|"&amp;$E93&amp;"|"&amp;$F93,'PET_STAT_RULES'!$A$5:$A$88,'PET_STAT_RULES'!$F$5:$F$88)</x:f>
        <x:v>6</x:v>
      </x:c>
      <x:c r="M93" s="340" t="n">
        <x:f>XLOOKUP($D93&amp;"|"&amp;$E93&amp;"|"&amp;$F93,'PET_STAT_RULES'!$A$5:$A$88,'PET_STAT_RULES'!$G$5:$G$88)</x:f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  <x:c r="W93" s="332" t="n">
        <x:f>XLOOKUP($D93&amp;"|"&amp;$E93&amp;"|"&amp;$F93,'PET_STAT_RULES'!$A$5:$A$88,'PET_STAT_RULES'!$E$5:$E$88)</x:f>
        <x:v>0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40" t="n">
        <x:f>XLOOKUP($D94&amp;"|"&amp;$E94&amp;"|"&amp;$F94,'PET_STAT_RULES'!$A$5:$A$88,'PET_STAT_RULES'!$C$5:$C$88)</x:f>
        <x:v>44</x:v>
      </x:c>
      <x:c r="K94" s="340" t="n">
        <x:f>XLOOKUP($D94&amp;"|"&amp;$E94&amp;"|"&amp;$F94,'PET_STAT_RULES'!$A$5:$A$88,'PET_STAT_RULES'!$D$5:$D$88)</x:f>
        <x:v>14</x:v>
      </x:c>
      <x:c r="L94" s="340" t="n">
        <x:f>XLOOKUP($D94&amp;"|"&amp;$E94&amp;"|"&amp;$F94,'PET_STAT_RULES'!$A$5:$A$88,'PET_STAT_RULES'!$F$5:$F$88)</x:f>
        <x:v>0</x:v>
      </x:c>
      <x:c r="M94" s="340" t="n">
        <x:f>XLOOKUP($D94&amp;"|"&amp;$E94&amp;"|"&amp;$F94,'PET_STAT_RULES'!$A$5:$A$88,'PET_STAT_RULES'!$G$5:$G$88)</x:f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  <x:c r="W94" s="332" t="n">
        <x:f>XLOOKUP($D94&amp;"|"&amp;$E94&amp;"|"&amp;$F94,'PET_STAT_RULES'!$A$5:$A$88,'PET_STAT_RULES'!$E$5:$E$88)</x:f>
        <x:v>0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40" t="n">
        <x:f>XLOOKUP($D95&amp;"|"&amp;$E95&amp;"|"&amp;$F95,'PET_STAT_RULES'!$A$5:$A$88,'PET_STAT_RULES'!$C$5:$C$88)</x:f>
        <x:v>28</x:v>
      </x:c>
      <x:c r="K95" s="340" t="n">
        <x:f>XLOOKUP($D95&amp;"|"&amp;$E95&amp;"|"&amp;$F95,'PET_STAT_RULES'!$A$5:$A$88,'PET_STAT_RULES'!$D$5:$D$88)</x:f>
        <x:v>12</x:v>
      </x:c>
      <x:c r="L95" s="340" t="n">
        <x:f>XLOOKUP($D95&amp;"|"&amp;$E95&amp;"|"&amp;$F95,'PET_STAT_RULES'!$A$5:$A$88,'PET_STAT_RULES'!$F$5:$F$88)</x:f>
        <x:v>0</x:v>
      </x:c>
      <x:c r="M95" s="340" t="n">
        <x:f>XLOOKUP($D95&amp;"|"&amp;$E95&amp;"|"&amp;$F95,'PET_STAT_RULES'!$A$5:$A$88,'PET_STAT_RULES'!$G$5:$G$88)</x:f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  <x:c r="W95" s="332" t="n">
        <x:f>XLOOKUP($D95&amp;"|"&amp;$E95&amp;"|"&amp;$F95,'PET_STAT_RULES'!$A$5:$A$88,'PET_STAT_RULES'!$E$5:$E$88)</x:f>
        <x:v>0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40" t="n">
        <x:f>XLOOKUP($D96&amp;"|"&amp;$E96&amp;"|"&amp;$F96,'PET_STAT_RULES'!$A$5:$A$88,'PET_STAT_RULES'!$C$5:$C$88)</x:f>
        <x:v>40</x:v>
      </x:c>
      <x:c r="K96" s="340" t="n">
        <x:f>XLOOKUP($D96&amp;"|"&amp;$E96&amp;"|"&amp;$F96,'PET_STAT_RULES'!$A$5:$A$88,'PET_STAT_RULES'!$D$5:$D$88)</x:f>
        <x:v>20</x:v>
      </x:c>
      <x:c r="L96" s="340" t="n">
        <x:f>XLOOKUP($D96&amp;"|"&amp;$E96&amp;"|"&amp;$F96,'PET_STAT_RULES'!$A$5:$A$88,'PET_STAT_RULES'!$F$5:$F$88)</x:f>
        <x:v>0</x:v>
      </x:c>
      <x:c r="M96" s="340" t="n">
        <x:f>XLOOKUP($D96&amp;"|"&amp;$E96&amp;"|"&amp;$F96,'PET_STAT_RULES'!$A$5:$A$88,'PET_STAT_RULES'!$G$5:$G$88)</x:f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  <x:c r="W96" s="332" t="n">
        <x:f>XLOOKUP($D96&amp;"|"&amp;$E96&amp;"|"&amp;$F96,'PET_STAT_RULES'!$A$5:$A$88,'PET_STAT_RULES'!$E$5:$E$88)</x:f>
        <x:v>0</x:v>
      </x:c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40" t="n">
        <x:f>XLOOKUP($D97&amp;"|"&amp;$E97&amp;"|"&amp;$F97,'PET_STAT_RULES'!$A$5:$A$88,'PET_STAT_RULES'!$C$5:$C$88)</x:f>
        <x:v>22</x:v>
      </x:c>
      <x:c r="K97" s="340" t="n">
        <x:f>XLOOKUP($D97&amp;"|"&amp;$E97&amp;"|"&amp;$F97,'PET_STAT_RULES'!$A$5:$A$88,'PET_STAT_RULES'!$D$5:$D$88)</x:f>
        <x:v>14</x:v>
      </x:c>
      <x:c r="L97" s="340" t="n">
        <x:f>XLOOKUP($D97&amp;"|"&amp;$E97&amp;"|"&amp;$F97,'PET_STAT_RULES'!$A$5:$A$88,'PET_STAT_RULES'!$F$5:$F$88)</x:f>
        <x:v>0</x:v>
      </x:c>
      <x:c r="M97" s="340" t="n">
        <x:f>XLOOKUP($D97&amp;"|"&amp;$E97&amp;"|"&amp;$F97,'PET_STAT_RULES'!$A$5:$A$88,'PET_STAT_RULES'!$G$5:$G$88)</x:f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  <x:c r="W97" s="332" t="n">
        <x:f>XLOOKUP($D97&amp;"|"&amp;$E97&amp;"|"&amp;$F97,'PET_STAT_RULES'!$A$5:$A$88,'PET_STAT_RULES'!$E$5:$E$88)</x:f>
        <x:v>0</x:v>
      </x:c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40" t="n">
        <x:f>XLOOKUP($D98&amp;"|"&amp;$E98&amp;"|"&amp;$F98,'PET_STAT_RULES'!$A$5:$A$88,'PET_STAT_RULES'!$C$5:$C$88)</x:f>
        <x:v>28</x:v>
      </x:c>
      <x:c r="K98" s="340" t="n">
        <x:f>XLOOKUP($D98&amp;"|"&amp;$E98&amp;"|"&amp;$F98,'PET_STAT_RULES'!$A$5:$A$88,'PET_STAT_RULES'!$D$5:$D$88)</x:f>
        <x:v>12</x:v>
      </x:c>
      <x:c r="L98" s="340" t="n">
        <x:f>XLOOKUP($D98&amp;"|"&amp;$E98&amp;"|"&amp;$F98,'PET_STAT_RULES'!$A$5:$A$88,'PET_STAT_RULES'!$F$5:$F$88)</x:f>
        <x:v>0</x:v>
      </x:c>
      <x:c r="M98" s="340" t="n">
        <x:f>XLOOKUP($D98&amp;"|"&amp;$E98&amp;"|"&amp;$F98,'PET_STAT_RULES'!$A$5:$A$88,'PET_STAT_RULES'!$G$5:$G$88)</x:f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  <x:c r="W98" s="332" t="n">
        <x:f>XLOOKUP($D98&amp;"|"&amp;$E98&amp;"|"&amp;$F98,'PET_STAT_RULES'!$A$5:$A$88,'PET_STAT_RULES'!$E$5:$E$88)</x:f>
        <x:v>0</x:v>
      </x:c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40" t="n">
        <x:f>XLOOKUP($D99&amp;"|"&amp;$E99&amp;"|"&amp;$F99,'PET_STAT_RULES'!$A$5:$A$88,'PET_STAT_RULES'!$C$5:$C$88)</x:f>
        <x:v>52</x:v>
      </x:c>
      <x:c r="K99" s="340" t="n">
        <x:f>XLOOKUP($D99&amp;"|"&amp;$E99&amp;"|"&amp;$F99,'PET_STAT_RULES'!$A$5:$A$88,'PET_STAT_RULES'!$D$5:$D$88)</x:f>
        <x:v>18</x:v>
      </x:c>
      <x:c r="L99" s="340" t="n">
        <x:f>XLOOKUP($D99&amp;"|"&amp;$E99&amp;"|"&amp;$F99,'PET_STAT_RULES'!$A$5:$A$88,'PET_STAT_RULES'!$F$5:$F$88)</x:f>
        <x:v>0</x:v>
      </x:c>
      <x:c r="M99" s="340" t="n">
        <x:f>XLOOKUP($D99&amp;"|"&amp;$E99&amp;"|"&amp;$F99,'PET_STAT_RULES'!$A$5:$A$88,'PET_STAT_RULES'!$G$5:$G$88)</x:f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  <x:c r="W99" s="332" t="n">
        <x:f>XLOOKUP($D99&amp;"|"&amp;$E99&amp;"|"&amp;$F99,'PET_STAT_RULES'!$A$5:$A$88,'PET_STAT_RULES'!$E$5:$E$88)</x:f>
        <x:v>0</x:v>
      </x:c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40" t="n">
        <x:f>XLOOKUP($D100&amp;"|"&amp;$E100&amp;"|"&amp;$F100,'PET_STAT_RULES'!$A$5:$A$88,'PET_STAT_RULES'!$C$5:$C$88)</x:f>
        <x:v>44</x:v>
      </x:c>
      <x:c r="K100" s="340" t="n">
        <x:f>XLOOKUP($D100&amp;"|"&amp;$E100&amp;"|"&amp;$F100,'PET_STAT_RULES'!$A$5:$A$88,'PET_STAT_RULES'!$D$5:$D$88)</x:f>
        <x:v>14</x:v>
      </x:c>
      <x:c r="L100" s="340" t="n">
        <x:f>XLOOKUP($D100&amp;"|"&amp;$E100&amp;"|"&amp;$F100,'PET_STAT_RULES'!$A$5:$A$88,'PET_STAT_RULES'!$F$5:$F$88)</x:f>
        <x:v>0</x:v>
      </x:c>
      <x:c r="M100" s="340" t="n">
        <x:f>XLOOKUP($D100&amp;"|"&amp;$E100&amp;"|"&amp;$F100,'PET_STAT_RULES'!$A$5:$A$88,'PET_STAT_RULES'!$G$5:$G$88)</x:f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  <x:c r="W100" s="332" t="n">
        <x:f>XLOOKUP($D100&amp;"|"&amp;$E100&amp;"|"&amp;$F100,'PET_STAT_RULES'!$A$5:$A$88,'PET_STAT_RULES'!$E$5:$E$88)</x:f>
        <x:v>0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40" t="n">
        <x:f>XLOOKUP($D101&amp;"|"&amp;$E101&amp;"|"&amp;$F101,'PET_STAT_RULES'!$A$5:$A$88,'PET_STAT_RULES'!$C$5:$C$88)</x:f>
        <x:v>36</x:v>
      </x:c>
      <x:c r="K101" s="340" t="n">
        <x:f>XLOOKUP($D101&amp;"|"&amp;$E101&amp;"|"&amp;$F101,'PET_STAT_RULES'!$A$5:$A$88,'PET_STAT_RULES'!$D$5:$D$88)</x:f>
        <x:v>8</x:v>
      </x:c>
      <x:c r="L101" s="340" t="n">
        <x:f>XLOOKUP($D101&amp;"|"&amp;$E101&amp;"|"&amp;$F101,'PET_STAT_RULES'!$A$5:$A$88,'PET_STAT_RULES'!$F$5:$F$88)</x:f>
        <x:v>6</x:v>
      </x:c>
      <x:c r="M101" s="340" t="n">
        <x:f>XLOOKUP($D101&amp;"|"&amp;$E101&amp;"|"&amp;$F101,'PET_STAT_RULES'!$A$5:$A$88,'PET_STAT_RULES'!$G$5:$G$88)</x:f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  <x:c r="W101" s="332" t="n">
        <x:f>XLOOKUP($D101&amp;"|"&amp;$E101&amp;"|"&amp;$F101,'PET_STAT_RULES'!$A$5:$A$88,'PET_STAT_RULES'!$E$5:$E$88)</x:f>
        <x:v>0</x:v>
      </x:c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40" t="n">
        <x:f>XLOOKUP($D102&amp;"|"&amp;$E102&amp;"|"&amp;$F102,'PET_STAT_RULES'!$A$5:$A$88,'PET_STAT_RULES'!$C$5:$C$88)</x:f>
        <x:v>50</x:v>
      </x:c>
      <x:c r="K102" s="340" t="n">
        <x:f>XLOOKUP($D102&amp;"|"&amp;$E102&amp;"|"&amp;$F102,'PET_STAT_RULES'!$A$5:$A$88,'PET_STAT_RULES'!$D$5:$D$88)</x:f>
        <x:v>12</x:v>
      </x:c>
      <x:c r="L102" s="340" t="n">
        <x:f>XLOOKUP($D102&amp;"|"&amp;$E102&amp;"|"&amp;$F102,'PET_STAT_RULES'!$A$5:$A$88,'PET_STAT_RULES'!$F$5:$F$88)</x:f>
        <x:v>0</x:v>
      </x:c>
      <x:c r="M102" s="340" t="n">
        <x:f>XLOOKUP($D102&amp;"|"&amp;$E102&amp;"|"&amp;$F102,'PET_STAT_RULES'!$A$5:$A$88,'PET_STAT_RULES'!$G$5:$G$88)</x:f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  <x:c r="W102" s="332" t="n">
        <x:f>XLOOKUP($D102&amp;"|"&amp;$E102&amp;"|"&amp;$F102,'PET_STAT_RULES'!$A$5:$A$88,'PET_STAT_RULES'!$E$5:$E$88)</x:f>
        <x:v>0</x:v>
      </x:c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40" t="n">
        <x:f>XLOOKUP($D103&amp;"|"&amp;$E103&amp;"|"&amp;$F103,'PET_STAT_RULES'!$A$5:$A$88,'PET_STAT_RULES'!$C$5:$C$88)</x:f>
        <x:v>40</x:v>
      </x:c>
      <x:c r="K103" s="340" t="n">
        <x:f>XLOOKUP($D103&amp;"|"&amp;$E103&amp;"|"&amp;$F103,'PET_STAT_RULES'!$A$5:$A$88,'PET_STAT_RULES'!$D$5:$D$88)</x:f>
        <x:v>12</x:v>
      </x:c>
      <x:c r="L103" s="340" t="n">
        <x:f>XLOOKUP($D103&amp;"|"&amp;$E103&amp;"|"&amp;$F103,'PET_STAT_RULES'!$A$5:$A$88,'PET_STAT_RULES'!$F$5:$F$88)</x:f>
        <x:v>0</x:v>
      </x:c>
      <x:c r="M103" s="340" t="n">
        <x:f>XLOOKUP($D103&amp;"|"&amp;$E103&amp;"|"&amp;$F103,'PET_STAT_RULES'!$A$5:$A$88,'PET_STAT_RULES'!$G$5:$G$88)</x:f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  <x:c r="W103" s="332" t="n">
        <x:f>XLOOKUP($D103&amp;"|"&amp;$E103&amp;"|"&amp;$F103,'PET_STAT_RULES'!$A$5:$A$88,'PET_STAT_RULES'!$E$5:$E$88)</x:f>
        <x:v>0</x:v>
      </x:c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40" t="n">
        <x:f>XLOOKUP($D104&amp;"|"&amp;$E104&amp;"|"&amp;$F104,'PET_STAT_RULES'!$A$5:$A$88,'PET_STAT_RULES'!$C$5:$C$88)</x:f>
        <x:v>28</x:v>
      </x:c>
      <x:c r="K104" s="340" t="n">
        <x:f>XLOOKUP($D104&amp;"|"&amp;$E104&amp;"|"&amp;$F104,'PET_STAT_RULES'!$A$5:$A$88,'PET_STAT_RULES'!$D$5:$D$88)</x:f>
        <x:v>8</x:v>
      </x:c>
      <x:c r="L104" s="340" t="n">
        <x:f>XLOOKUP($D104&amp;"|"&amp;$E104&amp;"|"&amp;$F104,'PET_STAT_RULES'!$A$5:$A$88,'PET_STAT_RULES'!$F$5:$F$88)</x:f>
        <x:v>2</x:v>
      </x:c>
      <x:c r="M104" s="340" t="n">
        <x:f>XLOOKUP($D104&amp;"|"&amp;$E104&amp;"|"&amp;$F104,'PET_STAT_RULES'!$A$5:$A$88,'PET_STAT_RULES'!$G$5:$G$88)</x:f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  <x:c r="W104" s="332" t="n">
        <x:f>XLOOKUP($D104&amp;"|"&amp;$E104&amp;"|"&amp;$F104,'PET_STAT_RULES'!$A$5:$A$88,'PET_STAT_RULES'!$E$5:$E$88)</x:f>
        <x:v>0</x:v>
      </x:c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40" t="n">
        <x:f>XLOOKUP($D105&amp;"|"&amp;$E105&amp;"|"&amp;$F105,'PET_STAT_RULES'!$A$5:$A$88,'PET_STAT_RULES'!$C$5:$C$88)</x:f>
        <x:v>40</x:v>
      </x:c>
      <x:c r="K105" s="340" t="n">
        <x:f>XLOOKUP($D105&amp;"|"&amp;$E105&amp;"|"&amp;$F105,'PET_STAT_RULES'!$A$5:$A$88,'PET_STAT_RULES'!$D$5:$D$88)</x:f>
        <x:v>12</x:v>
      </x:c>
      <x:c r="L105" s="340" t="n">
        <x:f>XLOOKUP($D105&amp;"|"&amp;$E105&amp;"|"&amp;$F105,'PET_STAT_RULES'!$A$5:$A$88,'PET_STAT_RULES'!$F$5:$F$88)</x:f>
        <x:v>0</x:v>
      </x:c>
      <x:c r="M105" s="340" t="n">
        <x:f>XLOOKUP($D105&amp;"|"&amp;$E105&amp;"|"&amp;$F105,'PET_STAT_RULES'!$A$5:$A$88,'PET_STAT_RULES'!$G$5:$G$88)</x:f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  <x:c r="W105" s="332" t="n">
        <x:f>XLOOKUP($D105&amp;"|"&amp;$E105&amp;"|"&amp;$F105,'PET_STAT_RULES'!$A$5:$A$88,'PET_STAT_RULES'!$E$5:$E$88)</x:f>
        <x:v>0</x:v>
      </x:c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40" t="n">
        <x:f>XLOOKUP($D106&amp;"|"&amp;$E106&amp;"|"&amp;$F106,'PET_STAT_RULES'!$A$5:$A$88,'PET_STAT_RULES'!$C$5:$C$88)</x:f>
        <x:v>28</x:v>
      </x:c>
      <x:c r="K106" s="340" t="n">
        <x:f>XLOOKUP($D106&amp;"|"&amp;$E106&amp;"|"&amp;$F106,'PET_STAT_RULES'!$A$5:$A$88,'PET_STAT_RULES'!$D$5:$D$88)</x:f>
        <x:v>12</x:v>
      </x:c>
      <x:c r="L106" s="340" t="n">
        <x:f>XLOOKUP($D106&amp;"|"&amp;$E106&amp;"|"&amp;$F106,'PET_STAT_RULES'!$A$5:$A$88,'PET_STAT_RULES'!$F$5:$F$88)</x:f>
        <x:v>0</x:v>
      </x:c>
      <x:c r="M106" s="340" t="n">
        <x:f>XLOOKUP($D106&amp;"|"&amp;$E106&amp;"|"&amp;$F106,'PET_STAT_RULES'!$A$5:$A$88,'PET_STAT_RULES'!$G$5:$G$88)</x:f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  <x:c r="W106" s="332" t="n">
        <x:f>XLOOKUP($D106&amp;"|"&amp;$E106&amp;"|"&amp;$F106,'PET_STAT_RULES'!$A$5:$A$88,'PET_STAT_RULES'!$E$5:$E$88)</x:f>
        <x:v>0</x:v>
      </x:c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40" t="n">
        <x:f>XLOOKUP($D107&amp;"|"&amp;$E107&amp;"|"&amp;$F107,'PET_STAT_RULES'!$A$5:$A$88,'PET_STAT_RULES'!$C$5:$C$88)</x:f>
        <x:v>44</x:v>
      </x:c>
      <x:c r="K107" s="340" t="n">
        <x:f>XLOOKUP($D107&amp;"|"&amp;$E107&amp;"|"&amp;$F107,'PET_STAT_RULES'!$A$5:$A$88,'PET_STAT_RULES'!$D$5:$D$88)</x:f>
        <x:v>14</x:v>
      </x:c>
      <x:c r="L107" s="340" t="n">
        <x:f>XLOOKUP($D107&amp;"|"&amp;$E107&amp;"|"&amp;$F107,'PET_STAT_RULES'!$A$5:$A$88,'PET_STAT_RULES'!$F$5:$F$88)</x:f>
        <x:v>0</x:v>
      </x:c>
      <x:c r="M107" s="340" t="n">
        <x:f>XLOOKUP($D107&amp;"|"&amp;$E107&amp;"|"&amp;$F107,'PET_STAT_RULES'!$A$5:$A$88,'PET_STAT_RULES'!$G$5:$G$88)</x:f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  <x:c r="W107" s="332" t="n">
        <x:f>XLOOKUP($D107&amp;"|"&amp;$E107&amp;"|"&amp;$F107,'PET_STAT_RULES'!$A$5:$A$88,'PET_STAT_RULES'!$E$5:$E$88)</x:f>
        <x:v>0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40" t="n">
        <x:f>XLOOKUP($D108&amp;"|"&amp;$E108&amp;"|"&amp;$F108,'PET_STAT_RULES'!$A$5:$A$88,'PET_STAT_RULES'!$C$5:$C$88)</x:f>
        <x:v>78</x:v>
      </x:c>
      <x:c r="K108" s="340" t="n">
        <x:f>XLOOKUP($D108&amp;"|"&amp;$E108&amp;"|"&amp;$F108,'PET_STAT_RULES'!$A$5:$A$88,'PET_STAT_RULES'!$D$5:$D$88)</x:f>
        <x:v>22</x:v>
      </x:c>
      <x:c r="L108" s="340" t="n">
        <x:f>XLOOKUP($D108&amp;"|"&amp;$E108&amp;"|"&amp;$F108,'PET_STAT_RULES'!$A$5:$A$88,'PET_STAT_RULES'!$F$5:$F$88)</x:f>
        <x:v>0</x:v>
      </x:c>
      <x:c r="M108" s="340" t="n">
        <x:f>XLOOKUP($D108&amp;"|"&amp;$E108&amp;"|"&amp;$F108,'PET_STAT_RULES'!$A$5:$A$88,'PET_STAT_RULES'!$G$5:$G$88)</x:f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  <x:c r="W108" s="332" t="n">
        <x:f>XLOOKUP($D108&amp;"|"&amp;$E108&amp;"|"&amp;$F108,'PET_STAT_RULES'!$A$5:$A$88,'PET_STAT_RULES'!$E$5:$E$88)</x:f>
        <x:v>0</x:v>
      </x:c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40" t="n">
        <x:f>XLOOKUP($D109&amp;"|"&amp;$E109&amp;"|"&amp;$F109,'PET_STAT_RULES'!$A$5:$A$88,'PET_STAT_RULES'!$C$5:$C$88)</x:f>
        <x:v>22</x:v>
      </x:c>
      <x:c r="K109" s="340" t="n">
        <x:f>XLOOKUP($D109&amp;"|"&amp;$E109&amp;"|"&amp;$F109,'PET_STAT_RULES'!$A$5:$A$88,'PET_STAT_RULES'!$D$5:$D$88)</x:f>
        <x:v>14</x:v>
      </x:c>
      <x:c r="L109" s="340" t="n">
        <x:f>XLOOKUP($D109&amp;"|"&amp;$E109&amp;"|"&amp;$F109,'PET_STAT_RULES'!$A$5:$A$88,'PET_STAT_RULES'!$F$5:$F$88)</x:f>
        <x:v>0</x:v>
      </x:c>
      <x:c r="M109" s="340" t="n">
        <x:f>XLOOKUP($D109&amp;"|"&amp;$E109&amp;"|"&amp;$F109,'PET_STAT_RULES'!$A$5:$A$88,'PET_STAT_RULES'!$G$5:$G$88)</x:f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  <x:c r="W109" s="332" t="n">
        <x:f>XLOOKUP($D109&amp;"|"&amp;$E109&amp;"|"&amp;$F109,'PET_STAT_RULES'!$A$5:$A$88,'PET_STAT_RULES'!$E$5:$E$88)</x:f>
        <x:v>0</x:v>
      </x:c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40" t="n">
        <x:f>XLOOKUP($D110&amp;"|"&amp;$E110&amp;"|"&amp;$F110,'PET_STAT_RULES'!$A$5:$A$88,'PET_STAT_RULES'!$C$5:$C$88)</x:f>
        <x:v>38</x:v>
      </x:c>
      <x:c r="K110" s="340" t="n">
        <x:f>XLOOKUP($D110&amp;"|"&amp;$E110&amp;"|"&amp;$F110,'PET_STAT_RULES'!$A$5:$A$88,'PET_STAT_RULES'!$D$5:$D$88)</x:f>
        <x:v>16</x:v>
      </x:c>
      <x:c r="L110" s="340" t="n">
        <x:f>XLOOKUP($D110&amp;"|"&amp;$E110&amp;"|"&amp;$F110,'PET_STAT_RULES'!$A$5:$A$88,'PET_STAT_RULES'!$F$5:$F$88)</x:f>
        <x:v>0</x:v>
      </x:c>
      <x:c r="M110" s="340" t="n">
        <x:f>XLOOKUP($D110&amp;"|"&amp;$E110&amp;"|"&amp;$F110,'PET_STAT_RULES'!$A$5:$A$88,'PET_STAT_RULES'!$G$5:$G$88)</x:f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  <x:c r="W110" s="332" t="n">
        <x:f>XLOOKUP($D110&amp;"|"&amp;$E110&amp;"|"&amp;$F110,'PET_STAT_RULES'!$A$5:$A$88,'PET_STAT_RULES'!$E$5:$E$88)</x:f>
        <x:v>0</x:v>
      </x:c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40" t="n">
        <x:f>XLOOKUP($D111&amp;"|"&amp;$E111&amp;"|"&amp;$F111,'PET_STAT_RULES'!$A$5:$A$88,'PET_STAT_RULES'!$C$5:$C$88)</x:f>
        <x:v>28</x:v>
      </x:c>
      <x:c r="K111" s="340" t="n">
        <x:f>XLOOKUP($D111&amp;"|"&amp;$E111&amp;"|"&amp;$F111,'PET_STAT_RULES'!$A$5:$A$88,'PET_STAT_RULES'!$D$5:$D$88)</x:f>
        <x:v>12</x:v>
      </x:c>
      <x:c r="L111" s="340" t="n">
        <x:f>XLOOKUP($D111&amp;"|"&amp;$E111&amp;"|"&amp;$F111,'PET_STAT_RULES'!$A$5:$A$88,'PET_STAT_RULES'!$F$5:$F$88)</x:f>
        <x:v>0</x:v>
      </x:c>
      <x:c r="M111" s="340" t="n">
        <x:f>XLOOKUP($D111&amp;"|"&amp;$E111&amp;"|"&amp;$F111,'PET_STAT_RULES'!$A$5:$A$88,'PET_STAT_RULES'!$G$5:$G$88)</x:f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  <x:c r="W111" s="332" t="n">
        <x:f>XLOOKUP($D111&amp;"|"&amp;$E111&amp;"|"&amp;$F111,'PET_STAT_RULES'!$A$5:$A$88,'PET_STAT_RULES'!$E$5:$E$88)</x:f>
        <x:v>0</x:v>
      </x:c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40" t="n">
        <x:f>XLOOKUP($D112&amp;"|"&amp;$E112&amp;"|"&amp;$F112,'PET_STAT_RULES'!$A$5:$A$88,'PET_STAT_RULES'!$C$5:$C$88)</x:f>
        <x:v>22</x:v>
      </x:c>
      <x:c r="K112" s="340" t="n">
        <x:f>XLOOKUP($D112&amp;"|"&amp;$E112&amp;"|"&amp;$F112,'PET_STAT_RULES'!$A$5:$A$88,'PET_STAT_RULES'!$D$5:$D$88)</x:f>
        <x:v>14</x:v>
      </x:c>
      <x:c r="L112" s="340" t="n">
        <x:f>XLOOKUP($D112&amp;"|"&amp;$E112&amp;"|"&amp;$F112,'PET_STAT_RULES'!$A$5:$A$88,'PET_STAT_RULES'!$F$5:$F$88)</x:f>
        <x:v>0</x:v>
      </x:c>
      <x:c r="M112" s="340" t="n">
        <x:f>XLOOKUP($D112&amp;"|"&amp;$E112&amp;"|"&amp;$F112,'PET_STAT_RULES'!$A$5:$A$88,'PET_STAT_RULES'!$G$5:$G$88)</x:f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  <x:c r="W112" s="332" t="n">
        <x:f>XLOOKUP($D112&amp;"|"&amp;$E112&amp;"|"&amp;$F112,'PET_STAT_RULES'!$A$5:$A$88,'PET_STAT_RULES'!$E$5:$E$88)</x:f>
        <x:v>0</x:v>
      </x:c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40" t="n">
        <x:f>XLOOKUP($D113&amp;"|"&amp;$E113&amp;"|"&amp;$F113,'PET_STAT_RULES'!$A$5:$A$88,'PET_STAT_RULES'!$C$5:$C$88)</x:f>
        <x:v>62</x:v>
      </x:c>
      <x:c r="K113" s="340" t="n">
        <x:f>XLOOKUP($D113&amp;"|"&amp;$E113&amp;"|"&amp;$F113,'PET_STAT_RULES'!$A$5:$A$88,'PET_STAT_RULES'!$D$5:$D$88)</x:f>
        <x:v>18</x:v>
      </x:c>
      <x:c r="L113" s="340" t="n">
        <x:f>XLOOKUP($D113&amp;"|"&amp;$E113&amp;"|"&amp;$F113,'PET_STAT_RULES'!$A$5:$A$88,'PET_STAT_RULES'!$F$5:$F$88)</x:f>
        <x:v>0</x:v>
      </x:c>
      <x:c r="M113" s="340" t="n">
        <x:f>XLOOKUP($D113&amp;"|"&amp;$E113&amp;"|"&amp;$F113,'PET_STAT_RULES'!$A$5:$A$88,'PET_STAT_RULES'!$G$5:$G$88)</x:f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  <x:c r="W113" s="332" t="n">
        <x:f>XLOOKUP($D113&amp;"|"&amp;$E113&amp;"|"&amp;$F113,'PET_STAT_RULES'!$A$5:$A$88,'PET_STAT_RULES'!$E$5:$E$88)</x:f>
        <x:v>0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40" t="n">
        <x:f>XLOOKUP($D114&amp;"|"&amp;$E114&amp;"|"&amp;$F114,'PET_STAT_RULES'!$A$5:$A$88,'PET_STAT_RULES'!$C$5:$C$88)</x:f>
        <x:v>52</x:v>
      </x:c>
      <x:c r="K114" s="340" t="n">
        <x:f>XLOOKUP($D114&amp;"|"&amp;$E114&amp;"|"&amp;$F114,'PET_STAT_RULES'!$A$5:$A$88,'PET_STAT_RULES'!$D$5:$D$88)</x:f>
        <x:v>28</x:v>
      </x:c>
      <x:c r="L114" s="340" t="n">
        <x:f>XLOOKUP($D114&amp;"|"&amp;$E114&amp;"|"&amp;$F114,'PET_STAT_RULES'!$A$5:$A$88,'PET_STAT_RULES'!$F$5:$F$88)</x:f>
        <x:v>0</x:v>
      </x:c>
      <x:c r="M114" s="340" t="n">
        <x:f>XLOOKUP($D114&amp;"|"&amp;$E114&amp;"|"&amp;$F114,'PET_STAT_RULES'!$A$5:$A$88,'PET_STAT_RULES'!$G$5:$G$88)</x:f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  <x:c r="W114" s="332" t="n">
        <x:f>XLOOKUP($D114&amp;"|"&amp;$E114&amp;"|"&amp;$F114,'PET_STAT_RULES'!$A$5:$A$88,'PET_STAT_RULES'!$E$5:$E$88)</x:f>
        <x:v>0</x:v>
      </x:c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40" t="n">
        <x:f>XLOOKUP($D115&amp;"|"&amp;$E115&amp;"|"&amp;$F115,'PET_STAT_RULES'!$A$5:$A$88,'PET_STAT_RULES'!$C$5:$C$88)</x:f>
        <x:v>56</x:v>
      </x:c>
      <x:c r="K115" s="340" t="n">
        <x:f>XLOOKUP($D115&amp;"|"&amp;$E115&amp;"|"&amp;$F115,'PET_STAT_RULES'!$A$5:$A$88,'PET_STAT_RULES'!$D$5:$D$88)</x:f>
        <x:v>20</x:v>
      </x:c>
      <x:c r="L115" s="340" t="n">
        <x:f>XLOOKUP($D115&amp;"|"&amp;$E115&amp;"|"&amp;$F115,'PET_STAT_RULES'!$A$5:$A$88,'PET_STAT_RULES'!$F$5:$F$88)</x:f>
        <x:v>0</x:v>
      </x:c>
      <x:c r="M115" s="340" t="n">
        <x:f>XLOOKUP($D115&amp;"|"&amp;$E115&amp;"|"&amp;$F115,'PET_STAT_RULES'!$A$5:$A$88,'PET_STAT_RULES'!$G$5:$G$88)</x:f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  <x:c r="W115" s="332" t="n">
        <x:f>XLOOKUP($D115&amp;"|"&amp;$E115&amp;"|"&amp;$F115,'PET_STAT_RULES'!$A$5:$A$88,'PET_STAT_RULES'!$E$5:$E$88)</x:f>
        <x:v>0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40" t="n">
        <x:f>XLOOKUP($D116&amp;"|"&amp;$E116&amp;"|"&amp;$F116,'PET_STAT_RULES'!$A$5:$A$88,'PET_STAT_RULES'!$C$5:$C$88)</x:f>
        <x:v>28</x:v>
      </x:c>
      <x:c r="K116" s="340" t="n">
        <x:f>XLOOKUP($D116&amp;"|"&amp;$E116&amp;"|"&amp;$F116,'PET_STAT_RULES'!$A$5:$A$88,'PET_STAT_RULES'!$D$5:$D$88)</x:f>
        <x:v>6</x:v>
      </x:c>
      <x:c r="L116" s="340" t="n">
        <x:f>XLOOKUP($D116&amp;"|"&amp;$E116&amp;"|"&amp;$F116,'PET_STAT_RULES'!$A$5:$A$88,'PET_STAT_RULES'!$F$5:$F$88)</x:f>
        <x:v>0</x:v>
      </x:c>
      <x:c r="M116" s="340" t="n">
        <x:f>XLOOKUP($D116&amp;"|"&amp;$E116&amp;"|"&amp;$F116,'PET_STAT_RULES'!$A$5:$A$88,'PET_STAT_RULES'!$G$5:$G$88)</x:f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  <x:c r="W116" s="332" t="n">
        <x:f>XLOOKUP($D116&amp;"|"&amp;$E116&amp;"|"&amp;$F116,'PET_STAT_RULES'!$A$5:$A$88,'PET_STAT_RULES'!$E$5:$E$88)</x:f>
        <x:v>0</x:v>
      </x:c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40" t="n">
        <x:f>XLOOKUP($D117&amp;"|"&amp;$E117&amp;"|"&amp;$F117,'PET_STAT_RULES'!$A$5:$A$88,'PET_STAT_RULES'!$C$5:$C$88)</x:f>
        <x:v>46</x:v>
      </x:c>
      <x:c r="K117" s="340" t="n">
        <x:f>XLOOKUP($D117&amp;"|"&amp;$E117&amp;"|"&amp;$F117,'PET_STAT_RULES'!$A$5:$A$88,'PET_STAT_RULES'!$D$5:$D$88)</x:f>
        <x:v>10</x:v>
      </x:c>
      <x:c r="L117" s="340" t="n">
        <x:f>XLOOKUP($D117&amp;"|"&amp;$E117&amp;"|"&amp;$F117,'PET_STAT_RULES'!$A$5:$A$88,'PET_STAT_RULES'!$F$5:$F$88)</x:f>
        <x:v>0</x:v>
      </x:c>
      <x:c r="M117" s="340" t="n">
        <x:f>XLOOKUP($D117&amp;"|"&amp;$E117&amp;"|"&amp;$F117,'PET_STAT_RULES'!$A$5:$A$88,'PET_STAT_RULES'!$G$5:$G$88)</x:f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  <x:c r="W117" s="332" t="n">
        <x:f>XLOOKUP($D117&amp;"|"&amp;$E117&amp;"|"&amp;$F117,'PET_STAT_RULES'!$A$5:$A$88,'PET_STAT_RULES'!$E$5:$E$88)</x:f>
        <x:v>0</x:v>
      </x:c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40" t="n">
        <x:f>XLOOKUP($D118&amp;"|"&amp;$E118&amp;"|"&amp;$F118,'PET_STAT_RULES'!$A$5:$A$88,'PET_STAT_RULES'!$C$5:$C$88)</x:f>
        <x:v>60</x:v>
      </x:c>
      <x:c r="K118" s="340" t="n">
        <x:f>XLOOKUP($D118&amp;"|"&amp;$E118&amp;"|"&amp;$F118,'PET_STAT_RULES'!$A$5:$A$88,'PET_STAT_RULES'!$D$5:$D$88)</x:f>
        <x:v>10</x:v>
      </x:c>
      <x:c r="L118" s="340" t="n">
        <x:f>XLOOKUP($D118&amp;"|"&amp;$E118&amp;"|"&amp;$F118,'PET_STAT_RULES'!$A$5:$A$88,'PET_STAT_RULES'!$F$5:$F$88)</x:f>
        <x:v>10</x:v>
      </x:c>
      <x:c r="M118" s="340" t="n">
        <x:f>XLOOKUP($D118&amp;"|"&amp;$E118&amp;"|"&amp;$F118,'PET_STAT_RULES'!$A$5:$A$88,'PET_STAT_RULES'!$G$5:$G$88)</x:f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  <x:c r="W118" s="332" t="n">
        <x:f>XLOOKUP($D118&amp;"|"&amp;$E118&amp;"|"&amp;$F118,'PET_STAT_RULES'!$A$5:$A$88,'PET_STAT_RULES'!$E$5:$E$88)</x:f>
        <x:v>0</x:v>
      </x:c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40" t="n">
        <x:f>XLOOKUP($D119&amp;"|"&amp;$E119&amp;"|"&amp;$F119,'PET_STAT_RULES'!$A$5:$A$88,'PET_STAT_RULES'!$C$5:$C$88)</x:f>
        <x:v>54</x:v>
      </x:c>
      <x:c r="K119" s="340" t="n">
        <x:f>XLOOKUP($D119&amp;"|"&amp;$E119&amp;"|"&amp;$F119,'PET_STAT_RULES'!$A$5:$A$88,'PET_STAT_RULES'!$D$5:$D$88)</x:f>
        <x:v>12</x:v>
      </x:c>
      <x:c r="L119" s="340" t="n">
        <x:f>XLOOKUP($D119&amp;"|"&amp;$E119&amp;"|"&amp;$F119,'PET_STAT_RULES'!$A$5:$A$88,'PET_STAT_RULES'!$F$5:$F$88)</x:f>
        <x:v>10</x:v>
      </x:c>
      <x:c r="M119" s="340" t="n">
        <x:f>XLOOKUP($D119&amp;"|"&amp;$E119&amp;"|"&amp;$F119,'PET_STAT_RULES'!$A$5:$A$88,'PET_STAT_RULES'!$G$5:$G$88)</x:f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  <x:c r="W119" s="332" t="n">
        <x:f>XLOOKUP($D119&amp;"|"&amp;$E119&amp;"|"&amp;$F119,'PET_STAT_RULES'!$A$5:$A$88,'PET_STAT_RULES'!$E$5:$E$88)</x:f>
        <x:v>0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40" t="n">
        <x:f>XLOOKUP($D120&amp;"|"&amp;$E120&amp;"|"&amp;$F120,'PET_STAT_RULES'!$A$5:$A$88,'PET_STAT_RULES'!$C$5:$C$88)</x:f>
        <x:v>34</x:v>
      </x:c>
      <x:c r="K120" s="340" t="n">
        <x:f>XLOOKUP($D120&amp;"|"&amp;$E120&amp;"|"&amp;$F120,'PET_STAT_RULES'!$A$5:$A$88,'PET_STAT_RULES'!$D$5:$D$88)</x:f>
        <x:v>14</x:v>
      </x:c>
      <x:c r="L120" s="340" t="n">
        <x:f>XLOOKUP($D120&amp;"|"&amp;$E120&amp;"|"&amp;$F120,'PET_STAT_RULES'!$A$5:$A$88,'PET_STAT_RULES'!$F$5:$F$88)</x:f>
        <x:v>0</x:v>
      </x:c>
      <x:c r="M120" s="340" t="n">
        <x:f>XLOOKUP($D120&amp;"|"&amp;$E120&amp;"|"&amp;$F120,'PET_STAT_RULES'!$A$5:$A$88,'PET_STAT_RULES'!$G$5:$G$88)</x:f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  <x:c r="W120" s="332" t="n">
        <x:f>XLOOKUP($D120&amp;"|"&amp;$E120&amp;"|"&amp;$F120,'PET_STAT_RULES'!$A$5:$A$88,'PET_STAT_RULES'!$E$5:$E$88)</x:f>
        <x:v>0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40" t="n">
        <x:f>XLOOKUP($D121&amp;"|"&amp;$E121&amp;"|"&amp;$F121,'PET_STAT_RULES'!$A$5:$A$88,'PET_STAT_RULES'!$C$5:$C$88)</x:f>
        <x:v>58</x:v>
      </x:c>
      <x:c r="K121" s="340" t="n">
        <x:f>XLOOKUP($D121&amp;"|"&amp;$E121&amp;"|"&amp;$F121,'PET_STAT_RULES'!$A$5:$A$88,'PET_STAT_RULES'!$D$5:$D$88)</x:f>
        <x:v>18</x:v>
      </x:c>
      <x:c r="L121" s="340" t="n">
        <x:f>XLOOKUP($D121&amp;"|"&amp;$E121&amp;"|"&amp;$F121,'PET_STAT_RULES'!$A$5:$A$88,'PET_STAT_RULES'!$F$5:$F$88)</x:f>
        <x:v>6</x:v>
      </x:c>
      <x:c r="M121" s="340" t="n">
        <x:f>XLOOKUP($D121&amp;"|"&amp;$E121&amp;"|"&amp;$F121,'PET_STAT_RULES'!$A$5:$A$88,'PET_STAT_RULES'!$G$5:$G$88)</x:f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  <x:c r="W121" s="332" t="n">
        <x:f>XLOOKUP($D121&amp;"|"&amp;$E121&amp;"|"&amp;$F121,'PET_STAT_RULES'!$A$5:$A$88,'PET_STAT_RULES'!$E$5:$E$88)</x:f>
        <x:v>0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40" t="n">
        <x:f>XLOOKUP($D122&amp;"|"&amp;$E122&amp;"|"&amp;$F122,'PET_STAT_RULES'!$A$5:$A$88,'PET_STAT_RULES'!$C$5:$C$88)</x:f>
        <x:v>22</x:v>
      </x:c>
      <x:c r="K122" s="340" t="n">
        <x:f>XLOOKUP($D122&amp;"|"&amp;$E122&amp;"|"&amp;$F122,'PET_STAT_RULES'!$A$5:$A$88,'PET_STAT_RULES'!$D$5:$D$88)</x:f>
        <x:v>14</x:v>
      </x:c>
      <x:c r="L122" s="340" t="n">
        <x:f>XLOOKUP($D122&amp;"|"&amp;$E122&amp;"|"&amp;$F122,'PET_STAT_RULES'!$A$5:$A$88,'PET_STAT_RULES'!$F$5:$F$88)</x:f>
        <x:v>0</x:v>
      </x:c>
      <x:c r="M122" s="340" t="n">
        <x:f>XLOOKUP($D122&amp;"|"&amp;$E122&amp;"|"&amp;$F122,'PET_STAT_RULES'!$A$5:$A$88,'PET_STAT_RULES'!$G$5:$G$88)</x:f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  <x:c r="W122" s="332" t="n">
        <x:f>XLOOKUP($D122&amp;"|"&amp;$E122&amp;"|"&amp;$F122,'PET_STAT_RULES'!$A$5:$A$88,'PET_STAT_RULES'!$E$5:$E$88)</x:f>
        <x:v>0</x:v>
      </x:c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40" t="n">
        <x:f>XLOOKUP($D123&amp;"|"&amp;$E123&amp;"|"&amp;$F123,'PET_STAT_RULES'!$A$5:$A$88,'PET_STAT_RULES'!$C$5:$C$88)</x:f>
        <x:v>64</x:v>
      </x:c>
      <x:c r="K123" s="340" t="n">
        <x:f>XLOOKUP($D123&amp;"|"&amp;$E123&amp;"|"&amp;$F123,'PET_STAT_RULES'!$A$5:$A$88,'PET_STAT_RULES'!$D$5:$D$88)</x:f>
        <x:v>16</x:v>
      </x:c>
      <x:c r="L123" s="340" t="n">
        <x:f>XLOOKUP($D123&amp;"|"&amp;$E123&amp;"|"&amp;$F123,'PET_STAT_RULES'!$A$5:$A$88,'PET_STAT_RULES'!$F$5:$F$88)</x:f>
        <x:v>6</x:v>
      </x:c>
      <x:c r="M123" s="340" t="n">
        <x:f>XLOOKUP($D123&amp;"|"&amp;$E123&amp;"|"&amp;$F123,'PET_STAT_RULES'!$A$5:$A$88,'PET_STAT_RULES'!$G$5:$G$88)</x:f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  <x:c r="W123" s="332" t="n">
        <x:f>XLOOKUP($D123&amp;"|"&amp;$E123&amp;"|"&amp;$F123,'PET_STAT_RULES'!$A$5:$A$88,'PET_STAT_RULES'!$E$5:$E$88)</x:f>
        <x:v>0</x:v>
      </x:c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40" t="n">
        <x:f>XLOOKUP($D124&amp;"|"&amp;$E124&amp;"|"&amp;$F124,'PET_STAT_RULES'!$A$5:$A$88,'PET_STAT_RULES'!$C$5:$C$88)</x:f>
        <x:v>46</x:v>
      </x:c>
      <x:c r="K124" s="340" t="n">
        <x:f>XLOOKUP($D124&amp;"|"&amp;$E124&amp;"|"&amp;$F124,'PET_STAT_RULES'!$A$5:$A$88,'PET_STAT_RULES'!$D$5:$D$88)</x:f>
        <x:v>30</x:v>
      </x:c>
      <x:c r="L124" s="340" t="n">
        <x:f>XLOOKUP($D124&amp;"|"&amp;$E124&amp;"|"&amp;$F124,'PET_STAT_RULES'!$A$5:$A$88,'PET_STAT_RULES'!$F$5:$F$88)</x:f>
        <x:v>0</x:v>
      </x:c>
      <x:c r="M124" s="340" t="n">
        <x:f>XLOOKUP($D124&amp;"|"&amp;$E124&amp;"|"&amp;$F124,'PET_STAT_RULES'!$A$5:$A$88,'PET_STAT_RULES'!$G$5:$G$88)</x:f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  <x:c r="W124" s="332" t="n">
        <x:f>XLOOKUP($D124&amp;"|"&amp;$E124&amp;"|"&amp;$F124,'PET_STAT_RULES'!$A$5:$A$88,'PET_STAT_RULES'!$E$5:$E$88)</x:f>
        <x:v>0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40" t="n">
        <x:f>XLOOKUP($D125&amp;"|"&amp;$E125&amp;"|"&amp;$F125,'PET_STAT_RULES'!$A$5:$A$88,'PET_STAT_RULES'!$C$5:$C$88)</x:f>
        <x:v>22</x:v>
      </x:c>
      <x:c r="K125" s="340" t="n">
        <x:f>XLOOKUP($D125&amp;"|"&amp;$E125&amp;"|"&amp;$F125,'PET_STAT_RULES'!$A$5:$A$88,'PET_STAT_RULES'!$D$5:$D$88)</x:f>
        <x:v>14</x:v>
      </x:c>
      <x:c r="L125" s="340" t="n">
        <x:f>XLOOKUP($D125&amp;"|"&amp;$E125&amp;"|"&amp;$F125,'PET_STAT_RULES'!$A$5:$A$88,'PET_STAT_RULES'!$F$5:$F$88)</x:f>
        <x:v>0</x:v>
      </x:c>
      <x:c r="M125" s="340" t="n">
        <x:f>XLOOKUP($D125&amp;"|"&amp;$E125&amp;"|"&amp;$F125,'PET_STAT_RULES'!$A$5:$A$88,'PET_STAT_RULES'!$G$5:$G$88)</x:f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  <x:c r="W125" s="332" t="n">
        <x:f>XLOOKUP($D125&amp;"|"&amp;$E125&amp;"|"&amp;$F125,'PET_STAT_RULES'!$A$5:$A$88,'PET_STAT_RULES'!$E$5:$E$88)</x:f>
        <x:v>0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40" t="n">
        <x:f>XLOOKUP($D126&amp;"|"&amp;$E126&amp;"|"&amp;$F126,'PET_STAT_RULES'!$A$5:$A$88,'PET_STAT_RULES'!$C$5:$C$88)</x:f>
        <x:v>40</x:v>
      </x:c>
      <x:c r="K126" s="340" t="n">
        <x:f>XLOOKUP($D126&amp;"|"&amp;$E126&amp;"|"&amp;$F126,'PET_STAT_RULES'!$A$5:$A$88,'PET_STAT_RULES'!$D$5:$D$88)</x:f>
        <x:v>20</x:v>
      </x:c>
      <x:c r="L126" s="340" t="n">
        <x:f>XLOOKUP($D126&amp;"|"&amp;$E126&amp;"|"&amp;$F126,'PET_STAT_RULES'!$A$5:$A$88,'PET_STAT_RULES'!$F$5:$F$88)</x:f>
        <x:v>0</x:v>
      </x:c>
      <x:c r="M126" s="340" t="n">
        <x:f>XLOOKUP($D126&amp;"|"&amp;$E126&amp;"|"&amp;$F126,'PET_STAT_RULES'!$A$5:$A$88,'PET_STAT_RULES'!$G$5:$G$88)</x:f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  <x:c r="W126" s="332" t="n">
        <x:f>XLOOKUP($D126&amp;"|"&amp;$E126&amp;"|"&amp;$F126,'PET_STAT_RULES'!$A$5:$A$88,'PET_STAT_RULES'!$E$5:$E$88)</x:f>
        <x:v>0</x:v>
      </x:c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40" t="n">
        <x:f>XLOOKUP($D127&amp;"|"&amp;$E127&amp;"|"&amp;$F127,'PET_STAT_RULES'!$A$5:$A$88,'PET_STAT_RULES'!$C$5:$C$88)</x:f>
        <x:v>58</x:v>
      </x:c>
      <x:c r="K127" s="340" t="n">
        <x:f>XLOOKUP($D127&amp;"|"&amp;$E127&amp;"|"&amp;$F127,'PET_STAT_RULES'!$A$5:$A$88,'PET_STAT_RULES'!$D$5:$D$88)</x:f>
        <x:v>16</x:v>
      </x:c>
      <x:c r="L127" s="340" t="n">
        <x:f>XLOOKUP($D127&amp;"|"&amp;$E127&amp;"|"&amp;$F127,'PET_STAT_RULES'!$A$5:$A$88,'PET_STAT_RULES'!$F$5:$F$88)</x:f>
        <x:v>0</x:v>
      </x:c>
      <x:c r="M127" s="340" t="n">
        <x:f>XLOOKUP($D127&amp;"|"&amp;$E127&amp;"|"&amp;$F127,'PET_STAT_RULES'!$A$5:$A$88,'PET_STAT_RULES'!$G$5:$G$88)</x:f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  <x:c r="W127" s="332" t="n">
        <x:f>XLOOKUP($D127&amp;"|"&amp;$E127&amp;"|"&amp;$F127,'PET_STAT_RULES'!$A$5:$A$88,'PET_STAT_RULES'!$E$5:$E$88)</x:f>
        <x:v>0</x:v>
      </x:c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40" t="n">
        <x:f>XLOOKUP($D128&amp;"|"&amp;$E128&amp;"|"&amp;$F128,'PET_STAT_RULES'!$A$5:$A$88,'PET_STAT_RULES'!$C$5:$C$88)</x:f>
        <x:v>46</x:v>
      </x:c>
      <x:c r="K128" s="340" t="n">
        <x:f>XLOOKUP($D128&amp;"|"&amp;$E128&amp;"|"&amp;$F128,'PET_STAT_RULES'!$A$5:$A$88,'PET_STAT_RULES'!$D$5:$D$88)</x:f>
        <x:v>10</x:v>
      </x:c>
      <x:c r="L128" s="340" t="n">
        <x:f>XLOOKUP($D128&amp;"|"&amp;$E128&amp;"|"&amp;$F128,'PET_STAT_RULES'!$A$5:$A$88,'PET_STAT_RULES'!$F$5:$F$88)</x:f>
        <x:v>0</x:v>
      </x:c>
      <x:c r="M128" s="340" t="n">
        <x:f>XLOOKUP($D128&amp;"|"&amp;$E128&amp;"|"&amp;$F128,'PET_STAT_RULES'!$A$5:$A$88,'PET_STAT_RULES'!$G$5:$G$88)</x:f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  <x:c r="W128" s="332" t="n">
        <x:f>XLOOKUP($D128&amp;"|"&amp;$E128&amp;"|"&amp;$F128,'PET_STAT_RULES'!$A$5:$A$88,'PET_STAT_RULES'!$E$5:$E$88)</x:f>
        <x:v>0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40" t="n">
        <x:f>XLOOKUP($D129&amp;"|"&amp;$E129&amp;"|"&amp;$F129,'PET_STAT_RULES'!$A$5:$A$88,'PET_STAT_RULES'!$C$5:$C$88)</x:f>
        <x:v>56</x:v>
      </x:c>
      <x:c r="K129" s="340" t="n">
        <x:f>XLOOKUP($D129&amp;"|"&amp;$E129&amp;"|"&amp;$F129,'PET_STAT_RULES'!$A$5:$A$88,'PET_STAT_RULES'!$D$5:$D$88)</x:f>
        <x:v>20</x:v>
      </x:c>
      <x:c r="L129" s="340" t="n">
        <x:f>XLOOKUP($D129&amp;"|"&amp;$E129&amp;"|"&amp;$F129,'PET_STAT_RULES'!$A$5:$A$88,'PET_STAT_RULES'!$F$5:$F$88)</x:f>
        <x:v>0</x:v>
      </x:c>
      <x:c r="M129" s="340" t="n">
        <x:f>XLOOKUP($D129&amp;"|"&amp;$E129&amp;"|"&amp;$F129,'PET_STAT_RULES'!$A$5:$A$88,'PET_STAT_RULES'!$G$5:$G$88)</x:f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  <x:c r="W129" s="332" t="n">
        <x:f>XLOOKUP($D129&amp;"|"&amp;$E129&amp;"|"&amp;$F129,'PET_STAT_RULES'!$A$5:$A$88,'PET_STAT_RULES'!$E$5:$E$88)</x:f>
        <x:v>0</x:v>
      </x:c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40" t="n">
        <x:f>XLOOKUP($D130&amp;"|"&amp;$E130&amp;"|"&amp;$F130,'PET_STAT_RULES'!$A$5:$A$88,'PET_STAT_RULES'!$C$5:$C$88)</x:f>
        <x:v>64</x:v>
      </x:c>
      <x:c r="K130" s="340" t="n">
        <x:f>XLOOKUP($D130&amp;"|"&amp;$E130&amp;"|"&amp;$F130,'PET_STAT_RULES'!$A$5:$A$88,'PET_STAT_RULES'!$D$5:$D$88)</x:f>
        <x:v>16</x:v>
      </x:c>
      <x:c r="L130" s="340" t="n">
        <x:f>XLOOKUP($D130&amp;"|"&amp;$E130&amp;"|"&amp;$F130,'PET_STAT_RULES'!$A$5:$A$88,'PET_STAT_RULES'!$F$5:$F$88)</x:f>
        <x:v>6</x:v>
      </x:c>
      <x:c r="M130" s="340" t="n">
        <x:f>XLOOKUP($D130&amp;"|"&amp;$E130&amp;"|"&amp;$F130,'PET_STAT_RULES'!$A$5:$A$88,'PET_STAT_RULES'!$G$5:$G$88)</x:f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  <x:c r="W130" s="332" t="n">
        <x:f>XLOOKUP($D130&amp;"|"&amp;$E130&amp;"|"&amp;$F130,'PET_STAT_RULES'!$A$5:$A$88,'PET_STAT_RULES'!$E$5:$E$88)</x:f>
        <x:v>0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40" t="n">
        <x:f>XLOOKUP($D131&amp;"|"&amp;$E131&amp;"|"&amp;$F131,'PET_STAT_RULES'!$A$5:$A$88,'PET_STAT_RULES'!$C$5:$C$88)</x:f>
        <x:v>66</x:v>
      </x:c>
      <x:c r="K131" s="340" t="n">
        <x:f>XLOOKUP($D131&amp;"|"&amp;$E131&amp;"|"&amp;$F131,'PET_STAT_RULES'!$A$5:$A$88,'PET_STAT_RULES'!$D$5:$D$88)</x:f>
        <x:v>18</x:v>
      </x:c>
      <x:c r="L131" s="340" t="n">
        <x:f>XLOOKUP($D131&amp;"|"&amp;$E131&amp;"|"&amp;$F131,'PET_STAT_RULES'!$A$5:$A$88,'PET_STAT_RULES'!$F$5:$F$88)</x:f>
        <x:v>14</x:v>
      </x:c>
      <x:c r="M131" s="340" t="n">
        <x:f>XLOOKUP($D131&amp;"|"&amp;$E131&amp;"|"&amp;$F131,'PET_STAT_RULES'!$A$5:$A$88,'PET_STAT_RULES'!$G$5:$G$88)</x:f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  <x:c r="W131" s="332" t="n">
        <x:f>XLOOKUP($D131&amp;"|"&amp;$E131&amp;"|"&amp;$F131,'PET_STAT_RULES'!$A$5:$A$88,'PET_STAT_RULES'!$E$5:$E$88)</x:f>
        <x:v>0</x:v>
      </x:c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40" t="n">
        <x:f>XLOOKUP($D132&amp;"|"&amp;$E132&amp;"|"&amp;$F132,'PET_STAT_RULES'!$A$5:$A$88,'PET_STAT_RULES'!$C$5:$C$88)</x:f>
        <x:v>42</x:v>
      </x:c>
      <x:c r="K132" s="340" t="n">
        <x:f>XLOOKUP($D132&amp;"|"&amp;$E132&amp;"|"&amp;$F132,'PET_STAT_RULES'!$A$5:$A$88,'PET_STAT_RULES'!$D$5:$D$88)</x:f>
        <x:v>14</x:v>
      </x:c>
      <x:c r="L132" s="340" t="n">
        <x:f>XLOOKUP($D132&amp;"|"&amp;$E132&amp;"|"&amp;$F132,'PET_STAT_RULES'!$A$5:$A$88,'PET_STAT_RULES'!$F$5:$F$88)</x:f>
        <x:v>0</x:v>
      </x:c>
      <x:c r="M132" s="340" t="n">
        <x:f>XLOOKUP($D132&amp;"|"&amp;$E132&amp;"|"&amp;$F132,'PET_STAT_RULES'!$A$5:$A$88,'PET_STAT_RULES'!$G$5:$G$88)</x:f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  <x:c r="W132" s="332" t="n">
        <x:f>XLOOKUP($D132&amp;"|"&amp;$E132&amp;"|"&amp;$F132,'PET_STAT_RULES'!$A$5:$A$88,'PET_STAT_RULES'!$E$5:$E$88)</x:f>
        <x:v>0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40" t="n">
        <x:f>XLOOKUP($D133&amp;"|"&amp;$E133&amp;"|"&amp;$F133,'PET_STAT_RULES'!$A$5:$A$88,'PET_STAT_RULES'!$C$5:$C$88)</x:f>
        <x:v>28</x:v>
      </x:c>
      <x:c r="K133" s="340" t="n">
        <x:f>XLOOKUP($D133&amp;"|"&amp;$E133&amp;"|"&amp;$F133,'PET_STAT_RULES'!$A$5:$A$88,'PET_STAT_RULES'!$D$5:$D$88)</x:f>
        <x:v>12</x:v>
      </x:c>
      <x:c r="L133" s="340" t="n">
        <x:f>XLOOKUP($D133&amp;"|"&amp;$E133&amp;"|"&amp;$F133,'PET_STAT_RULES'!$A$5:$A$88,'PET_STAT_RULES'!$F$5:$F$88)</x:f>
        <x:v>0</x:v>
      </x:c>
      <x:c r="M133" s="340" t="n">
        <x:f>XLOOKUP($D133&amp;"|"&amp;$E133&amp;"|"&amp;$F133,'PET_STAT_RULES'!$A$5:$A$88,'PET_STAT_RULES'!$G$5:$G$88)</x:f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  <x:c r="W133" s="332" t="n">
        <x:f>XLOOKUP($D133&amp;"|"&amp;$E133&amp;"|"&amp;$F133,'PET_STAT_RULES'!$A$5:$A$88,'PET_STAT_RULES'!$E$5:$E$88)</x:f>
        <x:v>0</x:v>
      </x:c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40" t="n">
        <x:f>XLOOKUP($D134&amp;"|"&amp;$E134&amp;"|"&amp;$F134,'PET_STAT_RULES'!$A$5:$A$88,'PET_STAT_RULES'!$C$5:$C$88)</x:f>
        <x:v>40</x:v>
      </x:c>
      <x:c r="K134" s="340" t="n">
        <x:f>XLOOKUP($D134&amp;"|"&amp;$E134&amp;"|"&amp;$F134,'PET_STAT_RULES'!$A$5:$A$88,'PET_STAT_RULES'!$D$5:$D$88)</x:f>
        <x:v>12</x:v>
      </x:c>
      <x:c r="L134" s="340" t="n">
        <x:f>XLOOKUP($D134&amp;"|"&amp;$E134&amp;"|"&amp;$F134,'PET_STAT_RULES'!$A$5:$A$88,'PET_STAT_RULES'!$F$5:$F$88)</x:f>
        <x:v>0</x:v>
      </x:c>
      <x:c r="M134" s="340" t="n">
        <x:f>XLOOKUP($D134&amp;"|"&amp;$E134&amp;"|"&amp;$F134,'PET_STAT_RULES'!$A$5:$A$88,'PET_STAT_RULES'!$G$5:$G$88)</x:f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  <x:c r="W134" s="332" t="n">
        <x:f>XLOOKUP($D134&amp;"|"&amp;$E134&amp;"|"&amp;$F134,'PET_STAT_RULES'!$A$5:$A$88,'PET_STAT_RULES'!$E$5:$E$88)</x:f>
        <x:v>0</x:v>
      </x:c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40" t="n">
        <x:f>XLOOKUP($D135&amp;"|"&amp;$E135&amp;"|"&amp;$F135,'PET_STAT_RULES'!$A$5:$A$88,'PET_STAT_RULES'!$C$5:$C$88)</x:f>
        <x:v>46</x:v>
      </x:c>
      <x:c r="K135" s="340" t="n">
        <x:f>XLOOKUP($D135&amp;"|"&amp;$E135&amp;"|"&amp;$F135,'PET_STAT_RULES'!$A$5:$A$88,'PET_STAT_RULES'!$D$5:$D$88)</x:f>
        <x:v>10</x:v>
      </x:c>
      <x:c r="L135" s="340" t="n">
        <x:f>XLOOKUP($D135&amp;"|"&amp;$E135&amp;"|"&amp;$F135,'PET_STAT_RULES'!$A$5:$A$88,'PET_STAT_RULES'!$F$5:$F$88)</x:f>
        <x:v>0</x:v>
      </x:c>
      <x:c r="M135" s="340" t="n">
        <x:f>XLOOKUP($D135&amp;"|"&amp;$E135&amp;"|"&amp;$F135,'PET_STAT_RULES'!$A$5:$A$88,'PET_STAT_RULES'!$G$5:$G$88)</x:f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  <x:c r="W135" s="332" t="n">
        <x:f>XLOOKUP($D135&amp;"|"&amp;$E135&amp;"|"&amp;$F135,'PET_STAT_RULES'!$A$5:$A$88,'PET_STAT_RULES'!$E$5:$E$88)</x:f>
        <x:v>0</x:v>
      </x:c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40" t="n">
        <x:f>XLOOKUP($D136&amp;"|"&amp;$E136&amp;"|"&amp;$F136,'PET_STAT_RULES'!$A$5:$A$88,'PET_STAT_RULES'!$C$5:$C$88)</x:f>
        <x:v>44</x:v>
      </x:c>
      <x:c r="K136" s="340" t="n">
        <x:f>XLOOKUP($D136&amp;"|"&amp;$E136&amp;"|"&amp;$F136,'PET_STAT_RULES'!$A$5:$A$88,'PET_STAT_RULES'!$D$5:$D$88)</x:f>
        <x:v>14</x:v>
      </x:c>
      <x:c r="L136" s="340" t="n">
        <x:f>XLOOKUP($D136&amp;"|"&amp;$E136&amp;"|"&amp;$F136,'PET_STAT_RULES'!$A$5:$A$88,'PET_STAT_RULES'!$F$5:$F$88)</x:f>
        <x:v>0</x:v>
      </x:c>
      <x:c r="M136" s="340" t="n">
        <x:f>XLOOKUP($D136&amp;"|"&amp;$E136&amp;"|"&amp;$F136,'PET_STAT_RULES'!$A$5:$A$88,'PET_STAT_RULES'!$G$5:$G$88)</x:f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  <x:c r="W136" s="332" t="n">
        <x:f>XLOOKUP($D136&amp;"|"&amp;$E136&amp;"|"&amp;$F136,'PET_STAT_RULES'!$A$5:$A$88,'PET_STAT_RULES'!$E$5:$E$88)</x:f>
        <x:v>0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40" t="n">
        <x:f>XLOOKUP($D137&amp;"|"&amp;$E137&amp;"|"&amp;$F137,'PET_STAT_RULES'!$A$5:$A$88,'PET_STAT_RULES'!$C$5:$C$88)</x:f>
        <x:v>42</x:v>
      </x:c>
      <x:c r="K137" s="340" t="n">
        <x:f>XLOOKUP($D137&amp;"|"&amp;$E137&amp;"|"&amp;$F137,'PET_STAT_RULES'!$A$5:$A$88,'PET_STAT_RULES'!$D$5:$D$88)</x:f>
        <x:v>6</x:v>
      </x:c>
      <x:c r="L137" s="340" t="n">
        <x:f>XLOOKUP($D137&amp;"|"&amp;$E137&amp;"|"&amp;$F137,'PET_STAT_RULES'!$A$5:$A$88,'PET_STAT_RULES'!$F$5:$F$88)</x:f>
        <x:v>6</x:v>
      </x:c>
      <x:c r="M137" s="340" t="n">
        <x:f>XLOOKUP($D137&amp;"|"&amp;$E137&amp;"|"&amp;$F137,'PET_STAT_RULES'!$A$5:$A$88,'PET_STAT_RULES'!$G$5:$G$88)</x:f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  <x:c r="W137" s="332" t="n">
        <x:f>XLOOKUP($D137&amp;"|"&amp;$E137&amp;"|"&amp;$F137,'PET_STAT_RULES'!$A$5:$A$88,'PET_STAT_RULES'!$E$5:$E$88)</x:f>
        <x:v>0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40" t="n">
        <x:f>XLOOKUP($D138&amp;"|"&amp;$E138&amp;"|"&amp;$F138,'PET_STAT_RULES'!$A$5:$A$88,'PET_STAT_RULES'!$C$5:$C$88)</x:f>
        <x:v>26</x:v>
      </x:c>
      <x:c r="K138" s="340" t="n">
        <x:f>XLOOKUP($D138&amp;"|"&amp;$E138&amp;"|"&amp;$F138,'PET_STAT_RULES'!$A$5:$A$88,'PET_STAT_RULES'!$D$5:$D$88)</x:f>
        <x:v>10</x:v>
      </x:c>
      <x:c r="L138" s="340" t="n">
        <x:f>XLOOKUP($D138&amp;"|"&amp;$E138&amp;"|"&amp;$F138,'PET_STAT_RULES'!$A$5:$A$88,'PET_STAT_RULES'!$F$5:$F$88)</x:f>
        <x:v>0</x:v>
      </x:c>
      <x:c r="M138" s="340" t="n">
        <x:f>XLOOKUP($D138&amp;"|"&amp;$E138&amp;"|"&amp;$F138,'PET_STAT_RULES'!$A$5:$A$88,'PET_STAT_RULES'!$G$5:$G$88)</x:f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  <x:c r="W138" s="332" t="n">
        <x:f>XLOOKUP($D138&amp;"|"&amp;$E138&amp;"|"&amp;$F138,'PET_STAT_RULES'!$A$5:$A$88,'PET_STAT_RULES'!$E$5:$E$88)</x:f>
        <x:v>0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40" t="n">
        <x:f>XLOOKUP($D139&amp;"|"&amp;$E139&amp;"|"&amp;$F139,'PET_STAT_RULES'!$A$5:$A$88,'PET_STAT_RULES'!$C$5:$C$88)</x:f>
        <x:v>22</x:v>
      </x:c>
      <x:c r="K139" s="340" t="n">
        <x:f>XLOOKUP($D139&amp;"|"&amp;$E139&amp;"|"&amp;$F139,'PET_STAT_RULES'!$A$5:$A$88,'PET_STAT_RULES'!$D$5:$D$88)</x:f>
        <x:v>8</x:v>
      </x:c>
      <x:c r="L139" s="340" t="n">
        <x:f>XLOOKUP($D139&amp;"|"&amp;$E139&amp;"|"&amp;$F139,'PET_STAT_RULES'!$A$5:$A$88,'PET_STAT_RULES'!$F$5:$F$88)</x:f>
        <x:v>0</x:v>
      </x:c>
      <x:c r="M139" s="340" t="n">
        <x:f>XLOOKUP($D139&amp;"|"&amp;$E139&amp;"|"&amp;$F139,'PET_STAT_RULES'!$A$5:$A$88,'PET_STAT_RULES'!$G$5:$G$88)</x:f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  <x:c r="W139" s="332" t="n">
        <x:f>XLOOKUP($D139&amp;"|"&amp;$E139&amp;"|"&amp;$F139,'PET_STAT_RULES'!$A$5:$A$88,'PET_STAT_RULES'!$E$5:$E$88)</x:f>
        <x:v>0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40" t="n">
        <x:f>XLOOKUP($D140&amp;"|"&amp;$E140&amp;"|"&amp;$F140,'PET_STAT_RULES'!$A$5:$A$88,'PET_STAT_RULES'!$C$5:$C$88)</x:f>
        <x:v>52</x:v>
      </x:c>
      <x:c r="K140" s="340" t="n">
        <x:f>XLOOKUP($D140&amp;"|"&amp;$E140&amp;"|"&amp;$F140,'PET_STAT_RULES'!$A$5:$A$88,'PET_STAT_RULES'!$D$5:$D$88)</x:f>
        <x:v>18</x:v>
      </x:c>
      <x:c r="L140" s="340" t="n">
        <x:f>XLOOKUP($D140&amp;"|"&amp;$E140&amp;"|"&amp;$F140,'PET_STAT_RULES'!$A$5:$A$88,'PET_STAT_RULES'!$F$5:$F$88)</x:f>
        <x:v>0</x:v>
      </x:c>
      <x:c r="M140" s="340" t="n">
        <x:f>XLOOKUP($D140&amp;"|"&amp;$E140&amp;"|"&amp;$F140,'PET_STAT_RULES'!$A$5:$A$88,'PET_STAT_RULES'!$G$5:$G$88)</x:f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  <x:c r="W140" s="332" t="n">
        <x:f>XLOOKUP($D140&amp;"|"&amp;$E140&amp;"|"&amp;$F140,'PET_STAT_RULES'!$A$5:$A$88,'PET_STAT_RULES'!$E$5:$E$88)</x:f>
        <x:v>0</x:v>
      </x:c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40" t="n">
        <x:f>XLOOKUP($D141&amp;"|"&amp;$E141&amp;"|"&amp;$F141,'PET_STAT_RULES'!$A$5:$A$88,'PET_STAT_RULES'!$C$5:$C$88)</x:f>
        <x:v>40</x:v>
      </x:c>
      <x:c r="K141" s="340" t="n">
        <x:f>XLOOKUP($D141&amp;"|"&amp;$E141&amp;"|"&amp;$F141,'PET_STAT_RULES'!$A$5:$A$88,'PET_STAT_RULES'!$D$5:$D$88)</x:f>
        <x:v>12</x:v>
      </x:c>
      <x:c r="L141" s="340" t="n">
        <x:f>XLOOKUP($D141&amp;"|"&amp;$E141&amp;"|"&amp;$F141,'PET_STAT_RULES'!$A$5:$A$88,'PET_STAT_RULES'!$F$5:$F$88)</x:f>
        <x:v>0</x:v>
      </x:c>
      <x:c r="M141" s="340" t="n">
        <x:f>XLOOKUP($D141&amp;"|"&amp;$E141&amp;"|"&amp;$F141,'PET_STAT_RULES'!$A$5:$A$88,'PET_STAT_RULES'!$G$5:$G$88)</x:f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  <x:c r="W141" s="332" t="n">
        <x:f>XLOOKUP($D141&amp;"|"&amp;$E141&amp;"|"&amp;$F141,'PET_STAT_RULES'!$A$5:$A$88,'PET_STAT_RULES'!$E$5:$E$88)</x:f>
        <x:v>0</x:v>
      </x:c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40" t="n">
        <x:f>XLOOKUP($D142&amp;"|"&amp;$E142&amp;"|"&amp;$F142,'PET_STAT_RULES'!$A$5:$A$88,'PET_STAT_RULES'!$C$5:$C$88)</x:f>
        <x:v>34</x:v>
      </x:c>
      <x:c r="K142" s="340" t="n">
        <x:f>XLOOKUP($D142&amp;"|"&amp;$E142&amp;"|"&amp;$F142,'PET_STAT_RULES'!$A$5:$A$88,'PET_STAT_RULES'!$D$5:$D$88)</x:f>
        <x:v>6</x:v>
      </x:c>
      <x:c r="L142" s="340" t="n">
        <x:f>XLOOKUP($D142&amp;"|"&amp;$E142&amp;"|"&amp;$F142,'PET_STAT_RULES'!$A$5:$A$88,'PET_STAT_RULES'!$F$5:$F$88)</x:f>
        <x:v>2</x:v>
      </x:c>
      <x:c r="M142" s="340" t="n">
        <x:f>XLOOKUP($D142&amp;"|"&amp;$E142&amp;"|"&amp;$F142,'PET_STAT_RULES'!$A$5:$A$88,'PET_STAT_RULES'!$G$5:$G$88)</x:f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  <x:c r="W142" s="332" t="n">
        <x:f>XLOOKUP($D142&amp;"|"&amp;$E142&amp;"|"&amp;$F142,'PET_STAT_RULES'!$A$5:$A$88,'PET_STAT_RULES'!$E$5:$E$88)</x:f>
        <x:v>0</x:v>
      </x:c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40" t="n">
        <x:f>XLOOKUP($D143&amp;"|"&amp;$E143&amp;"|"&amp;$F143,'PET_STAT_RULES'!$A$5:$A$88,'PET_STAT_RULES'!$C$5:$C$88)</x:f>
        <x:v>28</x:v>
      </x:c>
      <x:c r="K143" s="340" t="n">
        <x:f>XLOOKUP($D143&amp;"|"&amp;$E143&amp;"|"&amp;$F143,'PET_STAT_RULES'!$A$5:$A$88,'PET_STAT_RULES'!$D$5:$D$88)</x:f>
        <x:v>12</x:v>
      </x:c>
      <x:c r="L143" s="340" t="n">
        <x:f>XLOOKUP($D143&amp;"|"&amp;$E143&amp;"|"&amp;$F143,'PET_STAT_RULES'!$A$5:$A$88,'PET_STAT_RULES'!$F$5:$F$88)</x:f>
        <x:v>0</x:v>
      </x:c>
      <x:c r="M143" s="340" t="n">
        <x:f>XLOOKUP($D143&amp;"|"&amp;$E143&amp;"|"&amp;$F143,'PET_STAT_RULES'!$A$5:$A$88,'PET_STAT_RULES'!$G$5:$G$88)</x:f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  <x:c r="W143" s="332" t="n">
        <x:f>XLOOKUP($D143&amp;"|"&amp;$E143&amp;"|"&amp;$F143,'PET_STAT_RULES'!$A$5:$A$88,'PET_STAT_RULES'!$E$5:$E$88)</x:f>
        <x:v>0</x:v>
      </x:c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40" t="n">
        <x:f>XLOOKUP($D144&amp;"|"&amp;$E144&amp;"|"&amp;$F144,'PET_STAT_RULES'!$A$5:$A$88,'PET_STAT_RULES'!$C$5:$C$88)</x:f>
        <x:v>54</x:v>
      </x:c>
      <x:c r="K144" s="340" t="n">
        <x:f>XLOOKUP($D144&amp;"|"&amp;$E144&amp;"|"&amp;$F144,'PET_STAT_RULES'!$A$5:$A$88,'PET_STAT_RULES'!$D$5:$D$88)</x:f>
        <x:v>12</x:v>
      </x:c>
      <x:c r="L144" s="340" t="n">
        <x:f>XLOOKUP($D144&amp;"|"&amp;$E144&amp;"|"&amp;$F144,'PET_STAT_RULES'!$A$5:$A$88,'PET_STAT_RULES'!$F$5:$F$88)</x:f>
        <x:v>10</x:v>
      </x:c>
      <x:c r="M144" s="340" t="n">
        <x:f>XLOOKUP($D144&amp;"|"&amp;$E144&amp;"|"&amp;$F144,'PET_STAT_RULES'!$A$5:$A$88,'PET_STAT_RULES'!$G$5:$G$88)</x:f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  <x:c r="W144" s="332" t="n">
        <x:f>XLOOKUP($D144&amp;"|"&amp;$E144&amp;"|"&amp;$F144,'PET_STAT_RULES'!$A$5:$A$88,'PET_STAT_RULES'!$E$5:$E$88)</x:f>
        <x:v>0</x:v>
      </x:c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40" t="n">
        <x:f>XLOOKUP($D145&amp;"|"&amp;$E145&amp;"|"&amp;$F145,'PET_STAT_RULES'!$A$5:$A$88,'PET_STAT_RULES'!$C$5:$C$88)</x:f>
        <x:v>52</x:v>
      </x:c>
      <x:c r="K145" s="340" t="n">
        <x:f>XLOOKUP($D145&amp;"|"&amp;$E145&amp;"|"&amp;$F145,'PET_STAT_RULES'!$A$5:$A$88,'PET_STAT_RULES'!$D$5:$D$88)</x:f>
        <x:v>18</x:v>
      </x:c>
      <x:c r="L145" s="340" t="n">
        <x:f>XLOOKUP($D145&amp;"|"&amp;$E145&amp;"|"&amp;$F145,'PET_STAT_RULES'!$A$5:$A$88,'PET_STAT_RULES'!$F$5:$F$88)</x:f>
        <x:v>0</x:v>
      </x:c>
      <x:c r="M145" s="340" t="n">
        <x:f>XLOOKUP($D145&amp;"|"&amp;$E145&amp;"|"&amp;$F145,'PET_STAT_RULES'!$A$5:$A$88,'PET_STAT_RULES'!$G$5:$G$88)</x:f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  <x:c r="W145" s="332" t="n">
        <x:f>XLOOKUP($D145&amp;"|"&amp;$E145&amp;"|"&amp;$F145,'PET_STAT_RULES'!$A$5:$A$88,'PET_STAT_RULES'!$E$5:$E$88)</x:f>
        <x:v>0</x:v>
      </x:c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40" t="n">
        <x:f>XLOOKUP($D146&amp;"|"&amp;$E146&amp;"|"&amp;$F146,'PET_STAT_RULES'!$A$5:$A$88,'PET_STAT_RULES'!$C$5:$C$88)</x:f>
        <x:v>48</x:v>
      </x:c>
      <x:c r="K146" s="340" t="n">
        <x:f>XLOOKUP($D146&amp;"|"&amp;$E146&amp;"|"&amp;$F146,'PET_STAT_RULES'!$A$5:$A$88,'PET_STAT_RULES'!$D$5:$D$88)</x:f>
        <x:v>12</x:v>
      </x:c>
      <x:c r="L146" s="340" t="n">
        <x:f>XLOOKUP($D146&amp;"|"&amp;$E146&amp;"|"&amp;$F146,'PET_STAT_RULES'!$A$5:$A$88,'PET_STAT_RULES'!$F$5:$F$88)</x:f>
        <x:v>0</x:v>
      </x:c>
      <x:c r="M146" s="340" t="n">
        <x:f>XLOOKUP($D146&amp;"|"&amp;$E146&amp;"|"&amp;$F146,'PET_STAT_RULES'!$A$5:$A$88,'PET_STAT_RULES'!$G$5:$G$88)</x:f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  <x:c r="W146" s="332" t="n">
        <x:f>XLOOKUP($D146&amp;"|"&amp;$E146&amp;"|"&amp;$F146,'PET_STAT_RULES'!$A$5:$A$88,'PET_STAT_RULES'!$E$5:$E$88)</x:f>
        <x:v>0</x:v>
      </x:c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40" t="n">
        <x:f>XLOOKUP($D147&amp;"|"&amp;$E147&amp;"|"&amp;$F147,'PET_STAT_RULES'!$A$5:$A$88,'PET_STAT_RULES'!$C$5:$C$88)</x:f>
        <x:v>46</x:v>
      </x:c>
      <x:c r="K147" s="340" t="n">
        <x:f>XLOOKUP($D147&amp;"|"&amp;$E147&amp;"|"&amp;$F147,'PET_STAT_RULES'!$A$5:$A$88,'PET_STAT_RULES'!$D$5:$D$88)</x:f>
        <x:v>12</x:v>
      </x:c>
      <x:c r="L147" s="340" t="n">
        <x:f>XLOOKUP($D147&amp;"|"&amp;$E147&amp;"|"&amp;$F147,'PET_STAT_RULES'!$A$5:$A$88,'PET_STAT_RULES'!$F$5:$F$88)</x:f>
        <x:v>4</x:v>
      </x:c>
      <x:c r="M147" s="340" t="n">
        <x:f>XLOOKUP($D147&amp;"|"&amp;$E147&amp;"|"&amp;$F147,'PET_STAT_RULES'!$A$5:$A$88,'PET_STAT_RULES'!$G$5:$G$88)</x:f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  <x:c r="W147" s="332" t="n">
        <x:f>XLOOKUP($D147&amp;"|"&amp;$E147&amp;"|"&amp;$F147,'PET_STAT_RULES'!$A$5:$A$88,'PET_STAT_RULES'!$E$5:$E$88)</x:f>
        <x:v>0</x:v>
      </x:c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40" t="n">
        <x:f>XLOOKUP($D148&amp;"|"&amp;$E148&amp;"|"&amp;$F148,'PET_STAT_RULES'!$A$5:$A$88,'PET_STAT_RULES'!$C$5:$C$88)</x:f>
        <x:v>64</x:v>
      </x:c>
      <x:c r="K148" s="340" t="n">
        <x:f>XLOOKUP($D148&amp;"|"&amp;$E148&amp;"|"&amp;$F148,'PET_STAT_RULES'!$A$5:$A$88,'PET_STAT_RULES'!$D$5:$D$88)</x:f>
        <x:v>36</x:v>
      </x:c>
      <x:c r="L148" s="340" t="n">
        <x:f>XLOOKUP($D148&amp;"|"&amp;$E148&amp;"|"&amp;$F148,'PET_STAT_RULES'!$A$5:$A$88,'PET_STAT_RULES'!$F$5:$F$88)</x:f>
        <x:v>0</x:v>
      </x:c>
      <x:c r="M148" s="340" t="n">
        <x:f>XLOOKUP($D148&amp;"|"&amp;$E148&amp;"|"&amp;$F148,'PET_STAT_RULES'!$A$5:$A$88,'PET_STAT_RULES'!$G$5:$G$88)</x:f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  <x:c r="W148" s="332" t="n">
        <x:f>XLOOKUP($D148&amp;"|"&amp;$E148&amp;"|"&amp;$F148,'PET_STAT_RULES'!$A$5:$A$88,'PET_STAT_RULES'!$E$5:$E$88)</x:f>
        <x:v>0</x:v>
      </x:c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40" t="n">
        <x:f>XLOOKUP($D149&amp;"|"&amp;$E149&amp;"|"&amp;$F149,'PET_STAT_RULES'!$A$5:$A$88,'PET_STAT_RULES'!$C$5:$C$88)</x:f>
        <x:v>52</x:v>
      </x:c>
      <x:c r="K149" s="340" t="n">
        <x:f>XLOOKUP($D149&amp;"|"&amp;$E149&amp;"|"&amp;$F149,'PET_STAT_RULES'!$A$5:$A$88,'PET_STAT_RULES'!$D$5:$D$88)</x:f>
        <x:v>28</x:v>
      </x:c>
      <x:c r="L149" s="340" t="n">
        <x:f>XLOOKUP($D149&amp;"|"&amp;$E149&amp;"|"&amp;$F149,'PET_STAT_RULES'!$A$5:$A$88,'PET_STAT_RULES'!$F$5:$F$88)</x:f>
        <x:v>0</x:v>
      </x:c>
      <x:c r="M149" s="340" t="n">
        <x:f>XLOOKUP($D149&amp;"|"&amp;$E149&amp;"|"&amp;$F149,'PET_STAT_RULES'!$A$5:$A$88,'PET_STAT_RULES'!$G$5:$G$88)</x:f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  <x:c r="W149" s="332" t="n">
        <x:f>XLOOKUP($D149&amp;"|"&amp;$E149&amp;"|"&amp;$F149,'PET_STAT_RULES'!$A$5:$A$88,'PET_STAT_RULES'!$E$5:$E$88)</x:f>
        <x:v>0</x:v>
      </x:c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40" t="n">
        <x:f>XLOOKUP($D150&amp;"|"&amp;$E150&amp;"|"&amp;$F150,'PET_STAT_RULES'!$A$5:$A$88,'PET_STAT_RULES'!$C$5:$C$88)</x:f>
        <x:v>46</x:v>
      </x:c>
      <x:c r="K150" s="340" t="n">
        <x:f>XLOOKUP($D150&amp;"|"&amp;$E150&amp;"|"&amp;$F150,'PET_STAT_RULES'!$A$5:$A$88,'PET_STAT_RULES'!$D$5:$D$88)</x:f>
        <x:v>12</x:v>
      </x:c>
      <x:c r="L150" s="340" t="n">
        <x:f>XLOOKUP($D150&amp;"|"&amp;$E150&amp;"|"&amp;$F150,'PET_STAT_RULES'!$A$5:$A$88,'PET_STAT_RULES'!$F$5:$F$88)</x:f>
        <x:v>4</x:v>
      </x:c>
      <x:c r="M150" s="340" t="n">
        <x:f>XLOOKUP($D150&amp;"|"&amp;$E150&amp;"|"&amp;$F150,'PET_STAT_RULES'!$A$5:$A$88,'PET_STAT_RULES'!$G$5:$G$88)</x:f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  <x:c r="W150" s="332" t="n">
        <x:f>XLOOKUP($D150&amp;"|"&amp;$E150&amp;"|"&amp;$F150,'PET_STAT_RULES'!$A$5:$A$88,'PET_STAT_RULES'!$E$5:$E$88)</x:f>
        <x:v>0</x:v>
      </x:c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40" t="n">
        <x:f>XLOOKUP($D151&amp;"|"&amp;$E151&amp;"|"&amp;$F151,'PET_STAT_RULES'!$A$5:$A$88,'PET_STAT_RULES'!$C$5:$C$88)</x:f>
        <x:v>46</x:v>
      </x:c>
      <x:c r="K151" s="340" t="n">
        <x:f>XLOOKUP($D151&amp;"|"&amp;$E151&amp;"|"&amp;$F151,'PET_STAT_RULES'!$A$5:$A$88,'PET_STAT_RULES'!$D$5:$D$88)</x:f>
        <x:v>12</x:v>
      </x:c>
      <x:c r="L151" s="340" t="n">
        <x:f>XLOOKUP($D151&amp;"|"&amp;$E151&amp;"|"&amp;$F151,'PET_STAT_RULES'!$A$5:$A$88,'PET_STAT_RULES'!$F$5:$F$88)</x:f>
        <x:v>4</x:v>
      </x:c>
      <x:c r="M151" s="340" t="n">
        <x:f>XLOOKUP($D151&amp;"|"&amp;$E151&amp;"|"&amp;$F151,'PET_STAT_RULES'!$A$5:$A$88,'PET_STAT_RULES'!$G$5:$G$88)</x:f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  <x:c r="W151" s="332" t="n">
        <x:f>XLOOKUP($D151&amp;"|"&amp;$E151&amp;"|"&amp;$F151,'PET_STAT_RULES'!$A$5:$A$88,'PET_STAT_RULES'!$E$5:$E$88)</x:f>
        <x:v>0</x:v>
      </x:c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40" t="n">
        <x:f>XLOOKUP($D152&amp;"|"&amp;$E152&amp;"|"&amp;$F152,'PET_STAT_RULES'!$A$5:$A$88,'PET_STAT_RULES'!$C$5:$C$88)</x:f>
        <x:v>52</x:v>
      </x:c>
      <x:c r="K152" s="340" t="n">
        <x:f>XLOOKUP($D152&amp;"|"&amp;$E152&amp;"|"&amp;$F152,'PET_STAT_RULES'!$A$5:$A$88,'PET_STAT_RULES'!$D$5:$D$88)</x:f>
        <x:v>28</x:v>
      </x:c>
      <x:c r="L152" s="340" t="n">
        <x:f>XLOOKUP($D152&amp;"|"&amp;$E152&amp;"|"&amp;$F152,'PET_STAT_RULES'!$A$5:$A$88,'PET_STAT_RULES'!$F$5:$F$88)</x:f>
        <x:v>0</x:v>
      </x:c>
      <x:c r="M152" s="340" t="n">
        <x:f>XLOOKUP($D152&amp;"|"&amp;$E152&amp;"|"&amp;$F152,'PET_STAT_RULES'!$A$5:$A$88,'PET_STAT_RULES'!$G$5:$G$88)</x:f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  <x:c r="W152" s="332" t="n">
        <x:f>XLOOKUP($D152&amp;"|"&amp;$E152&amp;"|"&amp;$F152,'PET_STAT_RULES'!$A$5:$A$88,'PET_STAT_RULES'!$E$5:$E$88)</x:f>
        <x:v>0</x:v>
      </x:c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40" t="n">
        <x:f>XLOOKUP($D153&amp;"|"&amp;$E153&amp;"|"&amp;$F153,'PET_STAT_RULES'!$A$5:$A$88,'PET_STAT_RULES'!$C$5:$C$88)</x:f>
        <x:v>56</x:v>
      </x:c>
      <x:c r="K153" s="340" t="n">
        <x:f>XLOOKUP($D153&amp;"|"&amp;$E153&amp;"|"&amp;$F153,'PET_STAT_RULES'!$A$5:$A$88,'PET_STAT_RULES'!$D$5:$D$88)</x:f>
        <x:v>20</x:v>
      </x:c>
      <x:c r="L153" s="340" t="n">
        <x:f>XLOOKUP($D153&amp;"|"&amp;$E153&amp;"|"&amp;$F153,'PET_STAT_RULES'!$A$5:$A$88,'PET_STAT_RULES'!$F$5:$F$88)</x:f>
        <x:v>0</x:v>
      </x:c>
      <x:c r="M153" s="340" t="n">
        <x:f>XLOOKUP($D153&amp;"|"&amp;$E153&amp;"|"&amp;$F153,'PET_STAT_RULES'!$A$5:$A$88,'PET_STAT_RULES'!$G$5:$G$88)</x:f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  <x:c r="W153" s="332" t="n">
        <x:f>XLOOKUP($D153&amp;"|"&amp;$E153&amp;"|"&amp;$F153,'PET_STAT_RULES'!$A$5:$A$88,'PET_STAT_RULES'!$E$5:$E$88)</x:f>
        <x:v>0</x:v>
      </x:c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40" t="n">
        <x:f>XLOOKUP($D154&amp;"|"&amp;$E154&amp;"|"&amp;$F154,'PET_STAT_RULES'!$A$5:$A$88,'PET_STAT_RULES'!$C$5:$C$88)</x:f>
        <x:v>40</x:v>
      </x:c>
      <x:c r="K154" s="340" t="n">
        <x:f>XLOOKUP($D154&amp;"|"&amp;$E154&amp;"|"&amp;$F154,'PET_STAT_RULES'!$A$5:$A$88,'PET_STAT_RULES'!$D$5:$D$88)</x:f>
        <x:v>12</x:v>
      </x:c>
      <x:c r="L154" s="340" t="n">
        <x:f>XLOOKUP($D154&amp;"|"&amp;$E154&amp;"|"&amp;$F154,'PET_STAT_RULES'!$A$5:$A$88,'PET_STAT_RULES'!$F$5:$F$88)</x:f>
        <x:v>0</x:v>
      </x:c>
      <x:c r="M154" s="340" t="n">
        <x:f>XLOOKUP($D154&amp;"|"&amp;$E154&amp;"|"&amp;$F154,'PET_STAT_RULES'!$A$5:$A$88,'PET_STAT_RULES'!$G$5:$G$88)</x:f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  <x:c r="W154" s="332" t="n">
        <x:f>XLOOKUP($D154&amp;"|"&amp;$E154&amp;"|"&amp;$F154,'PET_STAT_RULES'!$A$5:$A$88,'PET_STAT_RULES'!$E$5:$E$88)</x:f>
        <x:v>0</x:v>
      </x:c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40" t="n">
        <x:f>XLOOKUP($D155&amp;"|"&amp;$E155&amp;"|"&amp;$F155,'PET_STAT_RULES'!$A$5:$A$88,'PET_STAT_RULES'!$C$5:$C$88)</x:f>
        <x:v>44</x:v>
      </x:c>
      <x:c r="K155" s="340" t="n">
        <x:f>XLOOKUP($D155&amp;"|"&amp;$E155&amp;"|"&amp;$F155,'PET_STAT_RULES'!$A$5:$A$88,'PET_STAT_RULES'!$D$5:$D$88)</x:f>
        <x:v>14</x:v>
      </x:c>
      <x:c r="L155" s="340" t="n">
        <x:f>XLOOKUP($D155&amp;"|"&amp;$E155&amp;"|"&amp;$F155,'PET_STAT_RULES'!$A$5:$A$88,'PET_STAT_RULES'!$F$5:$F$88)</x:f>
        <x:v>0</x:v>
      </x:c>
      <x:c r="M155" s="340" t="n">
        <x:f>XLOOKUP($D155&amp;"|"&amp;$E155&amp;"|"&amp;$F155,'PET_STAT_RULES'!$A$5:$A$88,'PET_STAT_RULES'!$G$5:$G$88)</x:f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  <x:c r="W155" s="332" t="n">
        <x:f>XLOOKUP($D155&amp;"|"&amp;$E155&amp;"|"&amp;$F155,'PET_STAT_RULES'!$A$5:$A$88,'PET_STAT_RULES'!$E$5:$E$88)</x:f>
        <x:v>0</x:v>
      </x:c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40" t="n">
        <x:f>XLOOKUP($D156&amp;"|"&amp;$E156&amp;"|"&amp;$F156,'PET_STAT_RULES'!$A$5:$A$88,'PET_STAT_RULES'!$C$5:$C$88)</x:f>
        <x:v>70</x:v>
      </x:c>
      <x:c r="K156" s="340" t="n">
        <x:f>XLOOKUP($D156&amp;"|"&amp;$E156&amp;"|"&amp;$F156,'PET_STAT_RULES'!$A$5:$A$88,'PET_STAT_RULES'!$D$5:$D$88)</x:f>
        <x:v>24</x:v>
      </x:c>
      <x:c r="L156" s="340" t="n">
        <x:f>XLOOKUP($D156&amp;"|"&amp;$E156&amp;"|"&amp;$F156,'PET_STAT_RULES'!$A$5:$A$88,'PET_STAT_RULES'!$F$5:$F$88)</x:f>
        <x:v>8</x:v>
      </x:c>
      <x:c r="M156" s="340" t="n">
        <x:f>XLOOKUP($D156&amp;"|"&amp;$E156&amp;"|"&amp;$F156,'PET_STAT_RULES'!$A$5:$A$88,'PET_STAT_RULES'!$G$5:$G$88)</x:f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  <x:c r="W156" s="332" t="n">
        <x:f>XLOOKUP($D156&amp;"|"&amp;$E156&amp;"|"&amp;$F156,'PET_STAT_RULES'!$A$5:$A$88,'PET_STAT_RULES'!$E$5:$E$88)</x:f>
        <x:v>0</x:v>
      </x:c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40" t="n">
        <x:f>XLOOKUP($D157&amp;"|"&amp;$E157&amp;"|"&amp;$F157,'PET_STAT_RULES'!$A$5:$A$88,'PET_STAT_RULES'!$C$5:$C$88)</x:f>
        <x:v>52</x:v>
      </x:c>
      <x:c r="K157" s="340" t="n">
        <x:f>XLOOKUP($D157&amp;"|"&amp;$E157&amp;"|"&amp;$F157,'PET_STAT_RULES'!$A$5:$A$88,'PET_STAT_RULES'!$D$5:$D$88)</x:f>
        <x:v>18</x:v>
      </x:c>
      <x:c r="L157" s="340" t="n">
        <x:f>XLOOKUP($D157&amp;"|"&amp;$E157&amp;"|"&amp;$F157,'PET_STAT_RULES'!$A$5:$A$88,'PET_STAT_RULES'!$F$5:$F$88)</x:f>
        <x:v>0</x:v>
      </x:c>
      <x:c r="M157" s="340" t="n">
        <x:f>XLOOKUP($D157&amp;"|"&amp;$E157&amp;"|"&amp;$F157,'PET_STAT_RULES'!$A$5:$A$88,'PET_STAT_RULES'!$G$5:$G$88)</x:f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  <x:c r="W157" s="332" t="n">
        <x:f>XLOOKUP($D157&amp;"|"&amp;$E157&amp;"|"&amp;$F157,'PET_STAT_RULES'!$A$5:$A$88,'PET_STAT_RULES'!$E$5:$E$88)</x:f>
        <x:v>0</x:v>
      </x:c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40" t="n">
        <x:f>XLOOKUP($D158&amp;"|"&amp;$E158&amp;"|"&amp;$F158,'PET_STAT_RULES'!$A$5:$A$88,'PET_STAT_RULES'!$C$5:$C$88)</x:f>
        <x:v>40</x:v>
      </x:c>
      <x:c r="K158" s="340" t="n">
        <x:f>XLOOKUP($D158&amp;"|"&amp;$E158&amp;"|"&amp;$F158,'PET_STAT_RULES'!$A$5:$A$88,'PET_STAT_RULES'!$D$5:$D$88)</x:f>
        <x:v>20</x:v>
      </x:c>
      <x:c r="L158" s="340" t="n">
        <x:f>XLOOKUP($D158&amp;"|"&amp;$E158&amp;"|"&amp;$F158,'PET_STAT_RULES'!$A$5:$A$88,'PET_STAT_RULES'!$F$5:$F$88)</x:f>
        <x:v>0</x:v>
      </x:c>
      <x:c r="M158" s="340" t="n">
        <x:f>XLOOKUP($D158&amp;"|"&amp;$E158&amp;"|"&amp;$F158,'PET_STAT_RULES'!$A$5:$A$88,'PET_STAT_RULES'!$G$5:$G$88)</x:f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  <x:c r="W158" s="332" t="n">
        <x:f>XLOOKUP($D158&amp;"|"&amp;$E158&amp;"|"&amp;$F158,'PET_STAT_RULES'!$A$5:$A$88,'PET_STAT_RULES'!$E$5:$E$88)</x:f>
        <x:v>0</x:v>
      </x:c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40" t="n">
        <x:f>XLOOKUP($D159&amp;"|"&amp;$E159&amp;"|"&amp;$F159,'PET_STAT_RULES'!$A$5:$A$88,'PET_STAT_RULES'!$C$5:$C$88)</x:f>
        <x:v>52</x:v>
      </x:c>
      <x:c r="K159" s="340" t="n">
        <x:f>XLOOKUP($D159&amp;"|"&amp;$E159&amp;"|"&amp;$F159,'PET_STAT_RULES'!$A$5:$A$88,'PET_STAT_RULES'!$D$5:$D$88)</x:f>
        <x:v>18</x:v>
      </x:c>
      <x:c r="L159" s="340" t="n">
        <x:f>XLOOKUP($D159&amp;"|"&amp;$E159&amp;"|"&amp;$F159,'PET_STAT_RULES'!$A$5:$A$88,'PET_STAT_RULES'!$F$5:$F$88)</x:f>
        <x:v>0</x:v>
      </x:c>
      <x:c r="M159" s="340" t="n">
        <x:f>XLOOKUP($D159&amp;"|"&amp;$E159&amp;"|"&amp;$F159,'PET_STAT_RULES'!$A$5:$A$88,'PET_STAT_RULES'!$G$5:$G$88)</x:f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  <x:c r="W159" s="332" t="n">
        <x:f>XLOOKUP($D159&amp;"|"&amp;$E159&amp;"|"&amp;$F159,'PET_STAT_RULES'!$A$5:$A$88,'PET_STAT_RULES'!$E$5:$E$88)</x:f>
        <x:v>0</x:v>
      </x:c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40" t="n">
        <x:f>XLOOKUP($D160&amp;"|"&amp;$E160&amp;"|"&amp;$F160,'PET_STAT_RULES'!$A$5:$A$88,'PET_STAT_RULES'!$C$5:$C$88)</x:f>
        <x:v>44</x:v>
      </x:c>
      <x:c r="K160" s="340" t="n">
        <x:f>XLOOKUP($D160&amp;"|"&amp;$E160&amp;"|"&amp;$F160,'PET_STAT_RULES'!$A$5:$A$88,'PET_STAT_RULES'!$D$5:$D$88)</x:f>
        <x:v>14</x:v>
      </x:c>
      <x:c r="L160" s="340" t="n">
        <x:f>XLOOKUP($D160&amp;"|"&amp;$E160&amp;"|"&amp;$F160,'PET_STAT_RULES'!$A$5:$A$88,'PET_STAT_RULES'!$F$5:$F$88)</x:f>
        <x:v>0</x:v>
      </x:c>
      <x:c r="M160" s="340" t="n">
        <x:f>XLOOKUP($D160&amp;"|"&amp;$E160&amp;"|"&amp;$F160,'PET_STAT_RULES'!$A$5:$A$88,'PET_STAT_RULES'!$G$5:$G$88)</x:f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  <x:c r="W160" s="332" t="n">
        <x:f>XLOOKUP($D160&amp;"|"&amp;$E160&amp;"|"&amp;$F160,'PET_STAT_RULES'!$A$5:$A$88,'PET_STAT_RULES'!$E$5:$E$88)</x:f>
        <x:v>0</x:v>
      </x:c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40" t="n">
        <x:f>XLOOKUP($D161&amp;"|"&amp;$E161&amp;"|"&amp;$F161,'PET_STAT_RULES'!$A$5:$A$88,'PET_STAT_RULES'!$C$5:$C$88)</x:f>
        <x:v>56</x:v>
      </x:c>
      <x:c r="K161" s="340" t="n">
        <x:f>XLOOKUP($D161&amp;"|"&amp;$E161&amp;"|"&amp;$F161,'PET_STAT_RULES'!$A$5:$A$88,'PET_STAT_RULES'!$D$5:$D$88)</x:f>
        <x:v>20</x:v>
      </x:c>
      <x:c r="L161" s="340" t="n">
        <x:f>XLOOKUP($D161&amp;"|"&amp;$E161&amp;"|"&amp;$F161,'PET_STAT_RULES'!$A$5:$A$88,'PET_STAT_RULES'!$F$5:$F$88)</x:f>
        <x:v>0</x:v>
      </x:c>
      <x:c r="M161" s="340" t="n">
        <x:f>XLOOKUP($D161&amp;"|"&amp;$E161&amp;"|"&amp;$F161,'PET_STAT_RULES'!$A$5:$A$88,'PET_STAT_RULES'!$G$5:$G$88)</x:f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  <x:c r="W161" s="332" t="n">
        <x:f>XLOOKUP($D161&amp;"|"&amp;$E161&amp;"|"&amp;$F161,'PET_STAT_RULES'!$A$5:$A$88,'PET_STAT_RULES'!$E$5:$E$88)</x:f>
        <x:v>0</x:v>
      </x:c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40" t="n">
        <x:f>XLOOKUP($D162&amp;"|"&amp;$E162&amp;"|"&amp;$F162,'PET_STAT_RULES'!$A$5:$A$88,'PET_STAT_RULES'!$C$5:$C$88)</x:f>
        <x:v>28</x:v>
      </x:c>
      <x:c r="K162" s="340" t="n">
        <x:f>XLOOKUP($D162&amp;"|"&amp;$E162&amp;"|"&amp;$F162,'PET_STAT_RULES'!$A$5:$A$88,'PET_STAT_RULES'!$D$5:$D$88)</x:f>
        <x:v>12</x:v>
      </x:c>
      <x:c r="L162" s="340" t="n">
        <x:f>XLOOKUP($D162&amp;"|"&amp;$E162&amp;"|"&amp;$F162,'PET_STAT_RULES'!$A$5:$A$88,'PET_STAT_RULES'!$F$5:$F$88)</x:f>
        <x:v>0</x:v>
      </x:c>
      <x:c r="M162" s="340" t="n">
        <x:f>XLOOKUP($D162&amp;"|"&amp;$E162&amp;"|"&amp;$F162,'PET_STAT_RULES'!$A$5:$A$88,'PET_STAT_RULES'!$G$5:$G$88)</x:f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  <x:c r="W162" s="332" t="n">
        <x:f>XLOOKUP($D162&amp;"|"&amp;$E162&amp;"|"&amp;$F162,'PET_STAT_RULES'!$A$5:$A$88,'PET_STAT_RULES'!$E$5:$E$88)</x:f>
        <x:v>0</x:v>
      </x:c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40" t="n">
        <x:f>XLOOKUP($D163&amp;"|"&amp;$E163&amp;"|"&amp;$F163,'PET_STAT_RULES'!$A$5:$A$88,'PET_STAT_RULES'!$C$5:$C$88)</x:f>
        <x:v>28</x:v>
      </x:c>
      <x:c r="K163" s="340" t="n">
        <x:f>XLOOKUP($D163&amp;"|"&amp;$E163&amp;"|"&amp;$F163,'PET_STAT_RULES'!$A$5:$A$88,'PET_STAT_RULES'!$D$5:$D$88)</x:f>
        <x:v>12</x:v>
      </x:c>
      <x:c r="L163" s="340" t="n">
        <x:f>XLOOKUP($D163&amp;"|"&amp;$E163&amp;"|"&amp;$F163,'PET_STAT_RULES'!$A$5:$A$88,'PET_STAT_RULES'!$F$5:$F$88)</x:f>
        <x:v>0</x:v>
      </x:c>
      <x:c r="M163" s="340" t="n">
        <x:f>XLOOKUP($D163&amp;"|"&amp;$E163&amp;"|"&amp;$F163,'PET_STAT_RULES'!$A$5:$A$88,'PET_STAT_RULES'!$G$5:$G$88)</x:f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  <x:c r="W163" s="332" t="n">
        <x:f>XLOOKUP($D163&amp;"|"&amp;$E163&amp;"|"&amp;$F163,'PET_STAT_RULES'!$A$5:$A$88,'PET_STAT_RULES'!$E$5:$E$88)</x:f>
        <x:v>0</x:v>
      </x:c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40" t="n">
        <x:f>XLOOKUP($D164&amp;"|"&amp;$E164&amp;"|"&amp;$F164,'PET_STAT_RULES'!$A$5:$A$88,'PET_STAT_RULES'!$C$5:$C$88)</x:f>
        <x:v>54</x:v>
      </x:c>
      <x:c r="K164" s="340" t="n">
        <x:f>XLOOKUP($D164&amp;"|"&amp;$E164&amp;"|"&amp;$F164,'PET_STAT_RULES'!$A$5:$A$88,'PET_STAT_RULES'!$D$5:$D$88)</x:f>
        <x:v>12</x:v>
      </x:c>
      <x:c r="L164" s="340" t="n">
        <x:f>XLOOKUP($D164&amp;"|"&amp;$E164&amp;"|"&amp;$F164,'PET_STAT_RULES'!$A$5:$A$88,'PET_STAT_RULES'!$F$5:$F$88)</x:f>
        <x:v>10</x:v>
      </x:c>
      <x:c r="M164" s="340" t="n">
        <x:f>XLOOKUP($D164&amp;"|"&amp;$E164&amp;"|"&amp;$F164,'PET_STAT_RULES'!$A$5:$A$88,'PET_STAT_RULES'!$G$5:$G$88)</x:f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  <x:c r="W164" s="332" t="n">
        <x:f>XLOOKUP($D164&amp;"|"&amp;$E164&amp;"|"&amp;$F164,'PET_STAT_RULES'!$A$5:$A$88,'PET_STAT_RULES'!$E$5:$E$88)</x:f>
        <x:v>0</x:v>
      </x:c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40" t="n">
        <x:f>XLOOKUP($D165&amp;"|"&amp;$E165&amp;"|"&amp;$F165,'PET_STAT_RULES'!$A$5:$A$88,'PET_STAT_RULES'!$C$5:$C$88)</x:f>
        <x:v>56</x:v>
      </x:c>
      <x:c r="K165" s="340" t="n">
        <x:f>XLOOKUP($D165&amp;"|"&amp;$E165&amp;"|"&amp;$F165,'PET_STAT_RULES'!$A$5:$A$88,'PET_STAT_RULES'!$D$5:$D$88)</x:f>
        <x:v>20</x:v>
      </x:c>
      <x:c r="L165" s="340" t="n">
        <x:f>XLOOKUP($D165&amp;"|"&amp;$E165&amp;"|"&amp;$F165,'PET_STAT_RULES'!$A$5:$A$88,'PET_STAT_RULES'!$F$5:$F$88)</x:f>
        <x:v>0</x:v>
      </x:c>
      <x:c r="M165" s="340" t="n">
        <x:f>XLOOKUP($D165&amp;"|"&amp;$E165&amp;"|"&amp;$F165,'PET_STAT_RULES'!$A$5:$A$88,'PET_STAT_RULES'!$G$5:$G$88)</x:f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  <x:c r="W165" s="332" t="n">
        <x:f>XLOOKUP($D165&amp;"|"&amp;$E165&amp;"|"&amp;$F165,'PET_STAT_RULES'!$A$5:$A$88,'PET_STAT_RULES'!$E$5:$E$88)</x:f>
        <x:v>0</x:v>
      </x:c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40" t="n">
        <x:f>XLOOKUP($D166&amp;"|"&amp;$E166&amp;"|"&amp;$F166,'PET_STAT_RULES'!$A$5:$A$88,'PET_STAT_RULES'!$C$5:$C$88)</x:f>
        <x:v>52</x:v>
      </x:c>
      <x:c r="K166" s="340" t="n">
        <x:f>XLOOKUP($D166&amp;"|"&amp;$E166&amp;"|"&amp;$F166,'PET_STAT_RULES'!$A$5:$A$88,'PET_STAT_RULES'!$D$5:$D$88)</x:f>
        <x:v>18</x:v>
      </x:c>
      <x:c r="L166" s="340" t="n">
        <x:f>XLOOKUP($D166&amp;"|"&amp;$E166&amp;"|"&amp;$F166,'PET_STAT_RULES'!$A$5:$A$88,'PET_STAT_RULES'!$F$5:$F$88)</x:f>
        <x:v>0</x:v>
      </x:c>
      <x:c r="M166" s="340" t="n">
        <x:f>XLOOKUP($D166&amp;"|"&amp;$E166&amp;"|"&amp;$F166,'PET_STAT_RULES'!$A$5:$A$88,'PET_STAT_RULES'!$G$5:$G$88)</x:f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  <x:c r="W166" s="332" t="n">
        <x:f>XLOOKUP($D166&amp;"|"&amp;$E166&amp;"|"&amp;$F166,'PET_STAT_RULES'!$A$5:$A$88,'PET_STAT_RULES'!$E$5:$E$88)</x:f>
        <x:v>0</x:v>
      </x:c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40" t="n">
        <x:f>XLOOKUP($D167&amp;"|"&amp;$E167&amp;"|"&amp;$F167,'PET_STAT_RULES'!$A$5:$A$88,'PET_STAT_RULES'!$C$5:$C$88)</x:f>
        <x:v>70</x:v>
      </x:c>
      <x:c r="K167" s="340" t="n">
        <x:f>XLOOKUP($D167&amp;"|"&amp;$E167&amp;"|"&amp;$F167,'PET_STAT_RULES'!$A$5:$A$88,'PET_STAT_RULES'!$D$5:$D$88)</x:f>
        <x:v>24</x:v>
      </x:c>
      <x:c r="L167" s="340" t="n">
        <x:f>XLOOKUP($D167&amp;"|"&amp;$E167&amp;"|"&amp;$F167,'PET_STAT_RULES'!$A$5:$A$88,'PET_STAT_RULES'!$F$5:$F$88)</x:f>
        <x:v>8</x:v>
      </x:c>
      <x:c r="M167" s="340" t="n">
        <x:f>XLOOKUP($D167&amp;"|"&amp;$E167&amp;"|"&amp;$F167,'PET_STAT_RULES'!$A$5:$A$88,'PET_STAT_RULES'!$G$5:$G$88)</x:f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  <x:c r="W167" s="332" t="n">
        <x:f>XLOOKUP($D167&amp;"|"&amp;$E167&amp;"|"&amp;$F167,'PET_STAT_RULES'!$A$5:$A$88,'PET_STAT_RULES'!$E$5:$E$88)</x:f>
        <x:v>0</x:v>
      </x:c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40" t="n">
        <x:f>XLOOKUP($D168&amp;"|"&amp;$E168&amp;"|"&amp;$F168,'PET_STAT_RULES'!$A$5:$A$88,'PET_STAT_RULES'!$C$5:$C$88)</x:f>
        <x:v>46</x:v>
      </x:c>
      <x:c r="K168" s="340" t="n">
        <x:f>XLOOKUP($D168&amp;"|"&amp;$E168&amp;"|"&amp;$F168,'PET_STAT_RULES'!$A$5:$A$88,'PET_STAT_RULES'!$D$5:$D$88)</x:f>
        <x:v>12</x:v>
      </x:c>
      <x:c r="L168" s="340" t="n">
        <x:f>XLOOKUP($D168&amp;"|"&amp;$E168&amp;"|"&amp;$F168,'PET_STAT_RULES'!$A$5:$A$88,'PET_STAT_RULES'!$F$5:$F$88)</x:f>
        <x:v>4</x:v>
      </x:c>
      <x:c r="M168" s="340" t="n">
        <x:f>XLOOKUP($D168&amp;"|"&amp;$E168&amp;"|"&amp;$F168,'PET_STAT_RULES'!$A$5:$A$88,'PET_STAT_RULES'!$G$5:$G$88)</x:f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  <x:c r="W168" s="332" t="n">
        <x:f>XLOOKUP($D168&amp;"|"&amp;$E168&amp;"|"&amp;$F168,'PET_STAT_RULES'!$A$5:$A$88,'PET_STAT_RULES'!$E$5:$E$88)</x:f>
        <x:v>0</x:v>
      </x:c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40" t="n">
        <x:f>XLOOKUP($D169&amp;"|"&amp;$E169&amp;"|"&amp;$F169,'PET_STAT_RULES'!$A$5:$A$88,'PET_STAT_RULES'!$C$5:$C$88)</x:f>
        <x:v>70</x:v>
      </x:c>
      <x:c r="K169" s="340" t="n">
        <x:f>XLOOKUP($D169&amp;"|"&amp;$E169&amp;"|"&amp;$F169,'PET_STAT_RULES'!$A$5:$A$88,'PET_STAT_RULES'!$D$5:$D$88)</x:f>
        <x:v>24</x:v>
      </x:c>
      <x:c r="L169" s="340" t="n">
        <x:f>XLOOKUP($D169&amp;"|"&amp;$E169&amp;"|"&amp;$F169,'PET_STAT_RULES'!$A$5:$A$88,'PET_STAT_RULES'!$F$5:$F$88)</x:f>
        <x:v>8</x:v>
      </x:c>
      <x:c r="M169" s="340" t="n">
        <x:f>XLOOKUP($D169&amp;"|"&amp;$E169&amp;"|"&amp;$F169,'PET_STAT_RULES'!$A$5:$A$88,'PET_STAT_RULES'!$G$5:$G$88)</x:f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  <x:c r="W169" s="332" t="n">
        <x:f>XLOOKUP($D169&amp;"|"&amp;$E169&amp;"|"&amp;$F169,'PET_STAT_RULES'!$A$5:$A$88,'PET_STAT_RULES'!$E$5:$E$88)</x:f>
        <x:v>0</x:v>
      </x:c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40" t="n">
        <x:f>XLOOKUP($D170&amp;"|"&amp;$E170&amp;"|"&amp;$F170,'PET_STAT_RULES'!$A$5:$A$88,'PET_STAT_RULES'!$C$5:$C$88)</x:f>
        <x:v>46</x:v>
      </x:c>
      <x:c r="K170" s="340" t="n">
        <x:f>XLOOKUP($D170&amp;"|"&amp;$E170&amp;"|"&amp;$F170,'PET_STAT_RULES'!$A$5:$A$88,'PET_STAT_RULES'!$D$5:$D$88)</x:f>
        <x:v>12</x:v>
      </x:c>
      <x:c r="L170" s="340" t="n">
        <x:f>XLOOKUP($D170&amp;"|"&amp;$E170&amp;"|"&amp;$F170,'PET_STAT_RULES'!$A$5:$A$88,'PET_STAT_RULES'!$F$5:$F$88)</x:f>
        <x:v>4</x:v>
      </x:c>
      <x:c r="M170" s="340" t="n">
        <x:f>XLOOKUP($D170&amp;"|"&amp;$E170&amp;"|"&amp;$F170,'PET_STAT_RULES'!$A$5:$A$88,'PET_STAT_RULES'!$G$5:$G$88)</x:f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  <x:c r="W170" s="332" t="n">
        <x:f>XLOOKUP($D170&amp;"|"&amp;$E170&amp;"|"&amp;$F170,'PET_STAT_RULES'!$A$5:$A$88,'PET_STAT_RULES'!$E$5:$E$88)</x:f>
        <x:v>0</x:v>
      </x:c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40" t="n">
        <x:f>XLOOKUP($D171&amp;"|"&amp;$E171&amp;"|"&amp;$F171,'PET_STAT_RULES'!$A$5:$A$88,'PET_STAT_RULES'!$C$5:$C$88)</x:f>
        <x:v>44</x:v>
      </x:c>
      <x:c r="K171" s="340" t="n">
        <x:f>XLOOKUP($D171&amp;"|"&amp;$E171&amp;"|"&amp;$F171,'PET_STAT_RULES'!$A$5:$A$88,'PET_STAT_RULES'!$D$5:$D$88)</x:f>
        <x:v>14</x:v>
      </x:c>
      <x:c r="L171" s="340" t="n">
        <x:f>XLOOKUP($D171&amp;"|"&amp;$E171&amp;"|"&amp;$F171,'PET_STAT_RULES'!$A$5:$A$88,'PET_STAT_RULES'!$F$5:$F$88)</x:f>
        <x:v>0</x:v>
      </x:c>
      <x:c r="M171" s="340" t="n">
        <x:f>XLOOKUP($D171&amp;"|"&amp;$E171&amp;"|"&amp;$F171,'PET_STAT_RULES'!$A$5:$A$88,'PET_STAT_RULES'!$G$5:$G$88)</x:f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  <x:c r="W171" s="332" t="n">
        <x:f>XLOOKUP($D171&amp;"|"&amp;$E171&amp;"|"&amp;$F171,'PET_STAT_RULES'!$A$5:$A$88,'PET_STAT_RULES'!$E$5:$E$88)</x:f>
        <x:v>0</x:v>
      </x:c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40" t="n">
        <x:f>XLOOKUP($D172&amp;"|"&amp;$E172&amp;"|"&amp;$F172,'PET_STAT_RULES'!$A$5:$A$88,'PET_STAT_RULES'!$C$5:$C$88)</x:f>
        <x:v>28</x:v>
      </x:c>
      <x:c r="K172" s="340" t="n">
        <x:f>XLOOKUP($D172&amp;"|"&amp;$E172&amp;"|"&amp;$F172,'PET_STAT_RULES'!$A$5:$A$88,'PET_STAT_RULES'!$D$5:$D$88)</x:f>
        <x:v>12</x:v>
      </x:c>
      <x:c r="L172" s="340" t="n">
        <x:f>XLOOKUP($D172&amp;"|"&amp;$E172&amp;"|"&amp;$F172,'PET_STAT_RULES'!$A$5:$A$88,'PET_STAT_RULES'!$F$5:$F$88)</x:f>
        <x:v>0</x:v>
      </x:c>
      <x:c r="M172" s="340" t="n">
        <x:f>XLOOKUP($D172&amp;"|"&amp;$E172&amp;"|"&amp;$F172,'PET_STAT_RULES'!$A$5:$A$88,'PET_STAT_RULES'!$G$5:$G$88)</x:f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  <x:c r="W172" s="332" t="n">
        <x:f>XLOOKUP($D172&amp;"|"&amp;$E172&amp;"|"&amp;$F172,'PET_STAT_RULES'!$A$5:$A$88,'PET_STAT_RULES'!$E$5:$E$88)</x:f>
        <x:v>0</x:v>
      </x:c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40" t="n">
        <x:f>XLOOKUP($D173&amp;"|"&amp;$E173&amp;"|"&amp;$F173,'PET_STAT_RULES'!$A$5:$A$88,'PET_STAT_RULES'!$C$5:$C$88)</x:f>
        <x:v>32</x:v>
      </x:c>
      <x:c r="K173" s="340" t="n">
        <x:f>XLOOKUP($D173&amp;"|"&amp;$E173&amp;"|"&amp;$F173,'PET_STAT_RULES'!$A$5:$A$88,'PET_STAT_RULES'!$D$5:$D$88)</x:f>
        <x:v>8</x:v>
      </x:c>
      <x:c r="L173" s="340" t="n">
        <x:f>XLOOKUP($D173&amp;"|"&amp;$E173&amp;"|"&amp;$F173,'PET_STAT_RULES'!$A$5:$A$88,'PET_STAT_RULES'!$F$5:$F$88)</x:f>
        <x:v>0</x:v>
      </x:c>
      <x:c r="M173" s="340" t="n">
        <x:f>XLOOKUP($D173&amp;"|"&amp;$E173&amp;"|"&amp;$F173,'PET_STAT_RULES'!$A$5:$A$88,'PET_STAT_RULES'!$G$5:$G$88)</x:f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  <x:c r="W173" s="332" t="n">
        <x:f>XLOOKUP($D173&amp;"|"&amp;$E173&amp;"|"&amp;$F173,'PET_STAT_RULES'!$A$5:$A$88,'PET_STAT_RULES'!$E$5:$E$88)</x:f>
        <x:v>0</x:v>
      </x:c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40" t="n">
        <x:f>XLOOKUP($D174&amp;"|"&amp;$E174&amp;"|"&amp;$F174,'PET_STAT_RULES'!$A$5:$A$88,'PET_STAT_RULES'!$C$5:$C$88)</x:f>
        <x:v>28</x:v>
      </x:c>
      <x:c r="K174" s="340" t="n">
        <x:f>XLOOKUP($D174&amp;"|"&amp;$E174&amp;"|"&amp;$F174,'PET_STAT_RULES'!$A$5:$A$88,'PET_STAT_RULES'!$D$5:$D$88)</x:f>
        <x:v>12</x:v>
      </x:c>
      <x:c r="L174" s="340" t="n">
        <x:f>XLOOKUP($D174&amp;"|"&amp;$E174&amp;"|"&amp;$F174,'PET_STAT_RULES'!$A$5:$A$88,'PET_STAT_RULES'!$F$5:$F$88)</x:f>
        <x:v>0</x:v>
      </x:c>
      <x:c r="M174" s="340" t="n">
        <x:f>XLOOKUP($D174&amp;"|"&amp;$E174&amp;"|"&amp;$F174,'PET_STAT_RULES'!$A$5:$A$88,'PET_STAT_RULES'!$G$5:$G$88)</x:f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  <x:c r="W174" s="332" t="n">
        <x:f>XLOOKUP($D174&amp;"|"&amp;$E174&amp;"|"&amp;$F174,'PET_STAT_RULES'!$A$5:$A$88,'PET_STAT_RULES'!$E$5:$E$88)</x:f>
        <x:v>0</x:v>
      </x:c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40" t="n">
        <x:f>XLOOKUP($D175&amp;"|"&amp;$E175&amp;"|"&amp;$F175,'PET_STAT_RULES'!$A$5:$A$88,'PET_STAT_RULES'!$C$5:$C$88)</x:f>
        <x:v>40</x:v>
      </x:c>
      <x:c r="K175" s="340" t="n">
        <x:f>XLOOKUP($D175&amp;"|"&amp;$E175&amp;"|"&amp;$F175,'PET_STAT_RULES'!$A$5:$A$88,'PET_STAT_RULES'!$D$5:$D$88)</x:f>
        <x:v>20</x:v>
      </x:c>
      <x:c r="L175" s="340" t="n">
        <x:f>XLOOKUP($D175&amp;"|"&amp;$E175&amp;"|"&amp;$F175,'PET_STAT_RULES'!$A$5:$A$88,'PET_STAT_RULES'!$F$5:$F$88)</x:f>
        <x:v>0</x:v>
      </x:c>
      <x:c r="M175" s="340" t="n">
        <x:f>XLOOKUP($D175&amp;"|"&amp;$E175&amp;"|"&amp;$F175,'PET_STAT_RULES'!$A$5:$A$88,'PET_STAT_RULES'!$G$5:$G$88)</x:f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  <x:c r="W175" s="332" t="n">
        <x:f>XLOOKUP($D175&amp;"|"&amp;$E175&amp;"|"&amp;$F175,'PET_STAT_RULES'!$A$5:$A$88,'PET_STAT_RULES'!$E$5:$E$88)</x:f>
        <x:v>0</x:v>
      </x:c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40" t="n">
        <x:f>XLOOKUP($D176&amp;"|"&amp;$E176&amp;"|"&amp;$F176,'PET_STAT_RULES'!$A$5:$A$88,'PET_STAT_RULES'!$C$5:$C$88)</x:f>
        <x:v>52</x:v>
      </x:c>
      <x:c r="K176" s="340" t="n">
        <x:f>XLOOKUP($D176&amp;"|"&amp;$E176&amp;"|"&amp;$F176,'PET_STAT_RULES'!$A$5:$A$88,'PET_STAT_RULES'!$D$5:$D$88)</x:f>
        <x:v>28</x:v>
      </x:c>
      <x:c r="L176" s="340" t="n">
        <x:f>XLOOKUP($D176&amp;"|"&amp;$E176&amp;"|"&amp;$F176,'PET_STAT_RULES'!$A$5:$A$88,'PET_STAT_RULES'!$F$5:$F$88)</x:f>
        <x:v>0</x:v>
      </x:c>
      <x:c r="M176" s="340" t="n">
        <x:f>XLOOKUP($D176&amp;"|"&amp;$E176&amp;"|"&amp;$F176,'PET_STAT_RULES'!$A$5:$A$88,'PET_STAT_RULES'!$G$5:$G$88)</x:f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  <x:c r="W176" s="332" t="n">
        <x:f>XLOOKUP($D176&amp;"|"&amp;$E176&amp;"|"&amp;$F176,'PET_STAT_RULES'!$A$5:$A$88,'PET_STAT_RULES'!$E$5:$E$88)</x:f>
        <x:v>0</x:v>
      </x:c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40" t="n">
        <x:f>XLOOKUP($D177&amp;"|"&amp;$E177&amp;"|"&amp;$F177,'PET_STAT_RULES'!$A$5:$A$88,'PET_STAT_RULES'!$C$5:$C$88)</x:f>
        <x:v>40</x:v>
      </x:c>
      <x:c r="K177" s="340" t="n">
        <x:f>XLOOKUP($D177&amp;"|"&amp;$E177&amp;"|"&amp;$F177,'PET_STAT_RULES'!$A$5:$A$88,'PET_STAT_RULES'!$D$5:$D$88)</x:f>
        <x:v>20</x:v>
      </x:c>
      <x:c r="L177" s="340" t="n">
        <x:f>XLOOKUP($D177&amp;"|"&amp;$E177&amp;"|"&amp;$F177,'PET_STAT_RULES'!$A$5:$A$88,'PET_STAT_RULES'!$F$5:$F$88)</x:f>
        <x:v>0</x:v>
      </x:c>
      <x:c r="M177" s="340" t="n">
        <x:f>XLOOKUP($D177&amp;"|"&amp;$E177&amp;"|"&amp;$F177,'PET_STAT_RULES'!$A$5:$A$88,'PET_STAT_RULES'!$G$5:$G$88)</x:f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  <x:c r="W177" s="332" t="n">
        <x:f>XLOOKUP($D177&amp;"|"&amp;$E177&amp;"|"&amp;$F177,'PET_STAT_RULES'!$A$5:$A$88,'PET_STAT_RULES'!$E$5:$E$88)</x:f>
        <x:v>0</x:v>
      </x:c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40" t="n">
        <x:f>XLOOKUP($D178&amp;"|"&amp;$E178&amp;"|"&amp;$F178,'PET_STAT_RULES'!$A$5:$A$88,'PET_STAT_RULES'!$C$5:$C$88)</x:f>
        <x:v>40</x:v>
      </x:c>
      <x:c r="K178" s="340" t="n">
        <x:f>XLOOKUP($D178&amp;"|"&amp;$E178&amp;"|"&amp;$F178,'PET_STAT_RULES'!$A$5:$A$88,'PET_STAT_RULES'!$D$5:$D$88)</x:f>
        <x:v>20</x:v>
      </x:c>
      <x:c r="L178" s="340" t="n">
        <x:f>XLOOKUP($D178&amp;"|"&amp;$E178&amp;"|"&amp;$F178,'PET_STAT_RULES'!$A$5:$A$88,'PET_STAT_RULES'!$F$5:$F$88)</x:f>
        <x:v>0</x:v>
      </x:c>
      <x:c r="M178" s="340" t="n">
        <x:f>XLOOKUP($D178&amp;"|"&amp;$E178&amp;"|"&amp;$F178,'PET_STAT_RULES'!$A$5:$A$88,'PET_STAT_RULES'!$G$5:$G$88)</x:f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  <x:c r="W178" s="332" t="n">
        <x:f>XLOOKUP($D178&amp;"|"&amp;$E178&amp;"|"&amp;$F178,'PET_STAT_RULES'!$A$5:$A$88,'PET_STAT_RULES'!$E$5:$E$88)</x:f>
        <x:v>0</x:v>
      </x:c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40" t="n">
        <x:f>XLOOKUP($D179&amp;"|"&amp;$E179&amp;"|"&amp;$F179,'PET_STAT_RULES'!$A$5:$A$88,'PET_STAT_RULES'!$C$5:$C$88)</x:f>
        <x:v>48</x:v>
      </x:c>
      <x:c r="K179" s="340" t="n">
        <x:f>XLOOKUP($D179&amp;"|"&amp;$E179&amp;"|"&amp;$F179,'PET_STAT_RULES'!$A$5:$A$88,'PET_STAT_RULES'!$D$5:$D$88)</x:f>
        <x:v>12</x:v>
      </x:c>
      <x:c r="L179" s="340" t="n">
        <x:f>XLOOKUP($D179&amp;"|"&amp;$E179&amp;"|"&amp;$F179,'PET_STAT_RULES'!$A$5:$A$88,'PET_STAT_RULES'!$F$5:$F$88)</x:f>
        <x:v>0</x:v>
      </x:c>
      <x:c r="M179" s="340" t="n">
        <x:f>XLOOKUP($D179&amp;"|"&amp;$E179&amp;"|"&amp;$F179,'PET_STAT_RULES'!$A$5:$A$88,'PET_STAT_RULES'!$G$5:$G$88)</x:f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  <x:c r="W179" s="332" t="n">
        <x:f>XLOOKUP($D179&amp;"|"&amp;$E179&amp;"|"&amp;$F179,'PET_STAT_RULES'!$A$5:$A$88,'PET_STAT_RULES'!$E$5:$E$88)</x:f>
        <x:v>0</x:v>
      </x:c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40" t="n">
        <x:f>XLOOKUP($D180&amp;"|"&amp;$E180&amp;"|"&amp;$F180,'PET_STAT_RULES'!$A$5:$A$88,'PET_STAT_RULES'!$C$5:$C$88)</x:f>
        <x:v>52</x:v>
      </x:c>
      <x:c r="K180" s="340" t="n">
        <x:f>XLOOKUP($D180&amp;"|"&amp;$E180&amp;"|"&amp;$F180,'PET_STAT_RULES'!$A$5:$A$88,'PET_STAT_RULES'!$D$5:$D$88)</x:f>
        <x:v>28</x:v>
      </x:c>
      <x:c r="L180" s="340" t="n">
        <x:f>XLOOKUP($D180&amp;"|"&amp;$E180&amp;"|"&amp;$F180,'PET_STAT_RULES'!$A$5:$A$88,'PET_STAT_RULES'!$F$5:$F$88)</x:f>
        <x:v>0</x:v>
      </x:c>
      <x:c r="M180" s="340" t="n">
        <x:f>XLOOKUP($D180&amp;"|"&amp;$E180&amp;"|"&amp;$F180,'PET_STAT_RULES'!$A$5:$A$88,'PET_STAT_RULES'!$G$5:$G$88)</x:f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  <x:c r="W180" s="332" t="n">
        <x:f>XLOOKUP($D180&amp;"|"&amp;$E180&amp;"|"&amp;$F180,'PET_STAT_RULES'!$A$5:$A$88,'PET_STAT_RULES'!$E$5:$E$88)</x:f>
        <x:v>0</x:v>
      </x:c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40" t="n">
        <x:f>XLOOKUP($D181&amp;"|"&amp;$E181&amp;"|"&amp;$F181,'PET_STAT_RULES'!$A$5:$A$88,'PET_STAT_RULES'!$C$5:$C$88)</x:f>
        <x:v>52</x:v>
      </x:c>
      <x:c r="K181" s="340" t="n">
        <x:f>XLOOKUP($D181&amp;"|"&amp;$E181&amp;"|"&amp;$F181,'PET_STAT_RULES'!$A$5:$A$88,'PET_STAT_RULES'!$D$5:$D$88)</x:f>
        <x:v>18</x:v>
      </x:c>
      <x:c r="L181" s="340" t="n">
        <x:f>XLOOKUP($D181&amp;"|"&amp;$E181&amp;"|"&amp;$F181,'PET_STAT_RULES'!$A$5:$A$88,'PET_STAT_RULES'!$F$5:$F$88)</x:f>
        <x:v>0</x:v>
      </x:c>
      <x:c r="M181" s="340" t="n">
        <x:f>XLOOKUP($D181&amp;"|"&amp;$E181&amp;"|"&amp;$F181,'PET_STAT_RULES'!$A$5:$A$88,'PET_STAT_RULES'!$G$5:$G$88)</x:f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  <x:c r="W181" s="332" t="n">
        <x:f>XLOOKUP($D181&amp;"|"&amp;$E181&amp;"|"&amp;$F181,'PET_STAT_RULES'!$A$5:$A$88,'PET_STAT_RULES'!$E$5:$E$88)</x:f>
        <x:v>0</x:v>
      </x:c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40" t="n">
        <x:f>XLOOKUP($D182&amp;"|"&amp;$E182&amp;"|"&amp;$F182,'PET_STAT_RULES'!$A$5:$A$88,'PET_STAT_RULES'!$C$5:$C$88)</x:f>
        <x:v>70</x:v>
      </x:c>
      <x:c r="K182" s="340" t="n">
        <x:f>XLOOKUP($D182&amp;"|"&amp;$E182&amp;"|"&amp;$F182,'PET_STAT_RULES'!$A$5:$A$88,'PET_STAT_RULES'!$D$5:$D$88)</x:f>
        <x:v>24</x:v>
      </x:c>
      <x:c r="L182" s="340" t="n">
        <x:f>XLOOKUP($D182&amp;"|"&amp;$E182&amp;"|"&amp;$F182,'PET_STAT_RULES'!$A$5:$A$88,'PET_STAT_RULES'!$F$5:$F$88)</x:f>
        <x:v>8</x:v>
      </x:c>
      <x:c r="M182" s="340" t="n">
        <x:f>XLOOKUP($D182&amp;"|"&amp;$E182&amp;"|"&amp;$F182,'PET_STAT_RULES'!$A$5:$A$88,'PET_STAT_RULES'!$G$5:$G$88)</x:f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  <x:c r="W182" s="332" t="n">
        <x:f>XLOOKUP($D182&amp;"|"&amp;$E182&amp;"|"&amp;$F182,'PET_STAT_RULES'!$A$5:$A$88,'PET_STAT_RULES'!$E$5:$E$88)</x:f>
        <x:v>0</x:v>
      </x:c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40" t="n">
        <x:f>XLOOKUP($D183&amp;"|"&amp;$E183&amp;"|"&amp;$F183,'PET_STAT_RULES'!$A$5:$A$88,'PET_STAT_RULES'!$C$5:$C$88)</x:f>
        <x:v>72</x:v>
      </x:c>
      <x:c r="K183" s="340" t="n">
        <x:f>XLOOKUP($D183&amp;"|"&amp;$E183&amp;"|"&amp;$F183,'PET_STAT_RULES'!$A$5:$A$88,'PET_STAT_RULES'!$D$5:$D$88)</x:f>
        <x:v>24</x:v>
      </x:c>
      <x:c r="L183" s="340" t="n">
        <x:f>XLOOKUP($D183&amp;"|"&amp;$E183&amp;"|"&amp;$F183,'PET_STAT_RULES'!$A$5:$A$88,'PET_STAT_RULES'!$F$5:$F$88)</x:f>
        <x:v>0</x:v>
      </x:c>
      <x:c r="M183" s="340" t="n">
        <x:f>XLOOKUP($D183&amp;"|"&amp;$E183&amp;"|"&amp;$F183,'PET_STAT_RULES'!$A$5:$A$88,'PET_STAT_RULES'!$G$5:$G$88)</x:f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  <x:c r="W183" s="332" t="n">
        <x:f>XLOOKUP($D183&amp;"|"&amp;$E183&amp;"|"&amp;$F183,'PET_STAT_RULES'!$A$5:$A$88,'PET_STAT_RULES'!$E$5:$E$88)</x:f>
        <x:v>0</x:v>
      </x:c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40" t="n">
        <x:f>XLOOKUP($D184&amp;"|"&amp;$E184&amp;"|"&amp;$F184,'PET_STAT_RULES'!$A$5:$A$88,'PET_STAT_RULES'!$C$5:$C$88)</x:f>
        <x:v>42</x:v>
      </x:c>
      <x:c r="K184" s="340" t="n">
        <x:f>XLOOKUP($D184&amp;"|"&amp;$E184&amp;"|"&amp;$F184,'PET_STAT_RULES'!$A$5:$A$88,'PET_STAT_RULES'!$D$5:$D$88)</x:f>
        <x:v>6</x:v>
      </x:c>
      <x:c r="L184" s="340" t="n">
        <x:f>XLOOKUP($D184&amp;"|"&amp;$E184&amp;"|"&amp;$F184,'PET_STAT_RULES'!$A$5:$A$88,'PET_STAT_RULES'!$F$5:$F$88)</x:f>
        <x:v>6</x:v>
      </x:c>
      <x:c r="M184" s="340" t="n">
        <x:f>XLOOKUP($D184&amp;"|"&amp;$E184&amp;"|"&amp;$F184,'PET_STAT_RULES'!$A$5:$A$88,'PET_STAT_RULES'!$G$5:$G$88)</x:f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  <x:c r="W184" s="332" t="n">
        <x:f>XLOOKUP($D184&amp;"|"&amp;$E184&amp;"|"&amp;$F184,'PET_STAT_RULES'!$A$5:$A$88,'PET_STAT_RULES'!$E$5:$E$88)</x:f>
        <x:v>0</x:v>
      </x:c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40" t="n">
        <x:f>XLOOKUP($D185&amp;"|"&amp;$E185&amp;"|"&amp;$F185,'PET_STAT_RULES'!$A$5:$A$88,'PET_STAT_RULES'!$C$5:$C$88)</x:f>
        <x:v>40</x:v>
      </x:c>
      <x:c r="K185" s="340" t="n">
        <x:f>XLOOKUP($D185&amp;"|"&amp;$E185&amp;"|"&amp;$F185,'PET_STAT_RULES'!$A$5:$A$88,'PET_STAT_RULES'!$D$5:$D$88)</x:f>
        <x:v>20</x:v>
      </x:c>
      <x:c r="L185" s="340" t="n">
        <x:f>XLOOKUP($D185&amp;"|"&amp;$E185&amp;"|"&amp;$F185,'PET_STAT_RULES'!$A$5:$A$88,'PET_STAT_RULES'!$F$5:$F$88)</x:f>
        <x:v>0</x:v>
      </x:c>
      <x:c r="M185" s="340" t="n">
        <x:f>XLOOKUP($D185&amp;"|"&amp;$E185&amp;"|"&amp;$F185,'PET_STAT_RULES'!$A$5:$A$88,'PET_STAT_RULES'!$G$5:$G$88)</x:f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  <x:c r="W185" s="332" t="n">
        <x:f>XLOOKUP($D185&amp;"|"&amp;$E185&amp;"|"&amp;$F185,'PET_STAT_RULES'!$A$5:$A$88,'PET_STAT_RULES'!$E$5:$E$88)</x:f>
        <x:v>0</x:v>
      </x:c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40" t="n">
        <x:f>XLOOKUP($D186&amp;"|"&amp;$E186&amp;"|"&amp;$F186,'PET_STAT_RULES'!$A$5:$A$88,'PET_STAT_RULES'!$C$5:$C$88)</x:f>
        <x:v>44</x:v>
      </x:c>
      <x:c r="K186" s="340" t="n">
        <x:f>XLOOKUP($D186&amp;"|"&amp;$E186&amp;"|"&amp;$F186,'PET_STAT_RULES'!$A$5:$A$88,'PET_STAT_RULES'!$D$5:$D$88)</x:f>
        <x:v>14</x:v>
      </x:c>
      <x:c r="L186" s="340" t="n">
        <x:f>XLOOKUP($D186&amp;"|"&amp;$E186&amp;"|"&amp;$F186,'PET_STAT_RULES'!$A$5:$A$88,'PET_STAT_RULES'!$F$5:$F$88)</x:f>
        <x:v>0</x:v>
      </x:c>
      <x:c r="M186" s="340" t="n">
        <x:f>XLOOKUP($D186&amp;"|"&amp;$E186&amp;"|"&amp;$F186,'PET_STAT_RULES'!$A$5:$A$88,'PET_STAT_RULES'!$G$5:$G$88)</x:f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  <x:c r="W186" s="332" t="n">
        <x:f>XLOOKUP($D186&amp;"|"&amp;$E186&amp;"|"&amp;$F186,'PET_STAT_RULES'!$A$5:$A$88,'PET_STAT_RULES'!$E$5:$E$88)</x:f>
        <x:v>0</x:v>
      </x:c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40" t="n">
        <x:f>XLOOKUP($D187&amp;"|"&amp;$E187&amp;"|"&amp;$F187,'PET_STAT_RULES'!$A$5:$A$88,'PET_STAT_RULES'!$C$5:$C$88)</x:f>
        <x:v>64</x:v>
      </x:c>
      <x:c r="K187" s="340" t="n">
        <x:f>XLOOKUP($D187&amp;"|"&amp;$E187&amp;"|"&amp;$F187,'PET_STAT_RULES'!$A$5:$A$88,'PET_STAT_RULES'!$D$5:$D$88)</x:f>
        <x:v>36</x:v>
      </x:c>
      <x:c r="L187" s="340" t="n">
        <x:f>XLOOKUP($D187&amp;"|"&amp;$E187&amp;"|"&amp;$F187,'PET_STAT_RULES'!$A$5:$A$88,'PET_STAT_RULES'!$F$5:$F$88)</x:f>
        <x:v>0</x:v>
      </x:c>
      <x:c r="M187" s="340" t="n">
        <x:f>XLOOKUP($D187&amp;"|"&amp;$E187&amp;"|"&amp;$F187,'PET_STAT_RULES'!$A$5:$A$88,'PET_STAT_RULES'!$G$5:$G$88)</x:f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  <x:c r="W187" s="332" t="n">
        <x:f>XLOOKUP($D187&amp;"|"&amp;$E187&amp;"|"&amp;$F187,'PET_STAT_RULES'!$A$5:$A$88,'PET_STAT_RULES'!$E$5:$E$88)</x:f>
        <x:v>0</x:v>
      </x:c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40" t="n">
        <x:f>XLOOKUP($D188&amp;"|"&amp;$E188&amp;"|"&amp;$F188,'PET_STAT_RULES'!$A$5:$A$88,'PET_STAT_RULES'!$C$5:$C$88)</x:f>
        <x:v>40</x:v>
      </x:c>
      <x:c r="K188" s="340" t="n">
        <x:f>XLOOKUP($D188&amp;"|"&amp;$E188&amp;"|"&amp;$F188,'PET_STAT_RULES'!$A$5:$A$88,'PET_STAT_RULES'!$D$5:$D$88)</x:f>
        <x:v>20</x:v>
      </x:c>
      <x:c r="L188" s="340" t="n">
        <x:f>XLOOKUP($D188&amp;"|"&amp;$E188&amp;"|"&amp;$F188,'PET_STAT_RULES'!$A$5:$A$88,'PET_STAT_RULES'!$F$5:$F$88)</x:f>
        <x:v>0</x:v>
      </x:c>
      <x:c r="M188" s="340" t="n">
        <x:f>XLOOKUP($D188&amp;"|"&amp;$E188&amp;"|"&amp;$F188,'PET_STAT_RULES'!$A$5:$A$88,'PET_STAT_RULES'!$G$5:$G$88)</x:f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  <x:c r="W188" s="332" t="n">
        <x:f>XLOOKUP($D188&amp;"|"&amp;$E188&amp;"|"&amp;$F188,'PET_STAT_RULES'!$A$5:$A$88,'PET_STAT_RULES'!$E$5:$E$88)</x:f>
        <x:v>0</x:v>
      </x:c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40" t="n">
        <x:f>XLOOKUP($D189&amp;"|"&amp;$E189&amp;"|"&amp;$F189,'PET_STAT_RULES'!$A$5:$A$88,'PET_STAT_RULES'!$C$5:$C$88)</x:f>
        <x:v>54</x:v>
      </x:c>
      <x:c r="K189" s="340" t="n">
        <x:f>XLOOKUP($D189&amp;"|"&amp;$E189&amp;"|"&amp;$F189,'PET_STAT_RULES'!$A$5:$A$88,'PET_STAT_RULES'!$D$5:$D$88)</x:f>
        <x:v>12</x:v>
      </x:c>
      <x:c r="L189" s="340" t="n">
        <x:f>XLOOKUP($D189&amp;"|"&amp;$E189&amp;"|"&amp;$F189,'PET_STAT_RULES'!$A$5:$A$88,'PET_STAT_RULES'!$F$5:$F$88)</x:f>
        <x:v>10</x:v>
      </x:c>
      <x:c r="M189" s="340" t="n">
        <x:f>XLOOKUP($D189&amp;"|"&amp;$E189&amp;"|"&amp;$F189,'PET_STAT_RULES'!$A$5:$A$88,'PET_STAT_RULES'!$G$5:$G$88)</x:f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  <x:c r="W189" s="332" t="n">
        <x:f>XLOOKUP($D189&amp;"|"&amp;$E189&amp;"|"&amp;$F189,'PET_STAT_RULES'!$A$5:$A$88,'PET_STAT_RULES'!$E$5:$E$88)</x:f>
        <x:v>0</x:v>
      </x:c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40" t="n">
        <x:f>XLOOKUP($D190&amp;"|"&amp;$E190&amp;"|"&amp;$F190,'PET_STAT_RULES'!$A$5:$A$88,'PET_STAT_RULES'!$C$5:$C$88)</x:f>
        <x:v>70</x:v>
      </x:c>
      <x:c r="K190" s="340" t="n">
        <x:f>XLOOKUP($D190&amp;"|"&amp;$E190&amp;"|"&amp;$F190,'PET_STAT_RULES'!$A$5:$A$88,'PET_STAT_RULES'!$D$5:$D$88)</x:f>
        <x:v>24</x:v>
      </x:c>
      <x:c r="L190" s="340" t="n">
        <x:f>XLOOKUP($D190&amp;"|"&amp;$E190&amp;"|"&amp;$F190,'PET_STAT_RULES'!$A$5:$A$88,'PET_STAT_RULES'!$F$5:$F$88)</x:f>
        <x:v>8</x:v>
      </x:c>
      <x:c r="M190" s="340" t="n">
        <x:f>XLOOKUP($D190&amp;"|"&amp;$E190&amp;"|"&amp;$F190,'PET_STAT_RULES'!$A$5:$A$88,'PET_STAT_RULES'!$G$5:$G$88)</x:f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  <x:c r="W190" s="332" t="n">
        <x:f>XLOOKUP($D190&amp;"|"&amp;$E190&amp;"|"&amp;$F190,'PET_STAT_RULES'!$A$5:$A$88,'PET_STAT_RULES'!$E$5:$E$88)</x:f>
        <x:v>0</x:v>
      </x:c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40" t="n">
        <x:f>XLOOKUP($D191&amp;"|"&amp;$E191&amp;"|"&amp;$F191,'PET_STAT_RULES'!$A$5:$A$88,'PET_STAT_RULES'!$C$5:$C$88)</x:f>
        <x:v>46</x:v>
      </x:c>
      <x:c r="K191" s="340" t="n">
        <x:f>XLOOKUP($D191&amp;"|"&amp;$E191&amp;"|"&amp;$F191,'PET_STAT_RULES'!$A$5:$A$88,'PET_STAT_RULES'!$D$5:$D$88)</x:f>
        <x:v>12</x:v>
      </x:c>
      <x:c r="L191" s="340" t="n">
        <x:f>XLOOKUP($D191&amp;"|"&amp;$E191&amp;"|"&amp;$F191,'PET_STAT_RULES'!$A$5:$A$88,'PET_STAT_RULES'!$F$5:$F$88)</x:f>
        <x:v>4</x:v>
      </x:c>
      <x:c r="M191" s="340" t="n">
        <x:f>XLOOKUP($D191&amp;"|"&amp;$E191&amp;"|"&amp;$F191,'PET_STAT_RULES'!$A$5:$A$88,'PET_STAT_RULES'!$G$5:$G$88)</x:f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  <x:c r="W191" s="332" t="n">
        <x:f>XLOOKUP($D191&amp;"|"&amp;$E191&amp;"|"&amp;$F191,'PET_STAT_RULES'!$A$5:$A$88,'PET_STAT_RULES'!$E$5:$E$88)</x:f>
        <x:v>0</x:v>
      </x:c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40" t="n">
        <x:f>XLOOKUP($D192&amp;"|"&amp;$E192&amp;"|"&amp;$F192,'PET_STAT_RULES'!$A$5:$A$88,'PET_STAT_RULES'!$C$5:$C$88)</x:f>
        <x:v>40</x:v>
      </x:c>
      <x:c r="K192" s="340" t="n">
        <x:f>XLOOKUP($D192&amp;"|"&amp;$E192&amp;"|"&amp;$F192,'PET_STAT_RULES'!$A$5:$A$88,'PET_STAT_RULES'!$D$5:$D$88)</x:f>
        <x:v>20</x:v>
      </x:c>
      <x:c r="L192" s="340" t="n">
        <x:f>XLOOKUP($D192&amp;"|"&amp;$E192&amp;"|"&amp;$F192,'PET_STAT_RULES'!$A$5:$A$88,'PET_STAT_RULES'!$F$5:$F$88)</x:f>
        <x:v>0</x:v>
      </x:c>
      <x:c r="M192" s="340" t="n">
        <x:f>XLOOKUP($D192&amp;"|"&amp;$E192&amp;"|"&amp;$F192,'PET_STAT_RULES'!$A$5:$A$88,'PET_STAT_RULES'!$G$5:$G$88)</x:f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  <x:c r="W192" s="332" t="n">
        <x:f>XLOOKUP($D192&amp;"|"&amp;$E192&amp;"|"&amp;$F192,'PET_STAT_RULES'!$A$5:$A$88,'PET_STAT_RULES'!$E$5:$E$88)</x:f>
        <x:v>0</x:v>
      </x:c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40" t="n">
        <x:f>XLOOKUP($D193&amp;"|"&amp;$E193&amp;"|"&amp;$F193,'PET_STAT_RULES'!$A$5:$A$88,'PET_STAT_RULES'!$C$5:$C$88)</x:f>
        <x:v>54</x:v>
      </x:c>
      <x:c r="K193" s="340" t="n">
        <x:f>XLOOKUP($D193&amp;"|"&amp;$E193&amp;"|"&amp;$F193,'PET_STAT_RULES'!$A$5:$A$88,'PET_STAT_RULES'!$D$5:$D$88)</x:f>
        <x:v>12</x:v>
      </x:c>
      <x:c r="L193" s="340" t="n">
        <x:f>XLOOKUP($D193&amp;"|"&amp;$E193&amp;"|"&amp;$F193,'PET_STAT_RULES'!$A$5:$A$88,'PET_STAT_RULES'!$F$5:$F$88)</x:f>
        <x:v>10</x:v>
      </x:c>
      <x:c r="M193" s="340" t="n">
        <x:f>XLOOKUP($D193&amp;"|"&amp;$E193&amp;"|"&amp;$F193,'PET_STAT_RULES'!$A$5:$A$88,'PET_STAT_RULES'!$G$5:$G$88)</x:f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  <x:c r="W193" s="332" t="n">
        <x:f>XLOOKUP($D193&amp;"|"&amp;$E193&amp;"|"&amp;$F193,'PET_STAT_RULES'!$A$5:$A$88,'PET_STAT_RULES'!$E$5:$E$88)</x:f>
        <x:v>0</x:v>
      </x:c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40" t="n">
        <x:f>XLOOKUP($D194&amp;"|"&amp;$E194&amp;"|"&amp;$F194,'PET_STAT_RULES'!$A$5:$A$88,'PET_STAT_RULES'!$C$5:$C$88)</x:f>
        <x:v>40</x:v>
      </x:c>
      <x:c r="K194" s="340" t="n">
        <x:f>XLOOKUP($D194&amp;"|"&amp;$E194&amp;"|"&amp;$F194,'PET_STAT_RULES'!$A$5:$A$88,'PET_STAT_RULES'!$D$5:$D$88)</x:f>
        <x:v>20</x:v>
      </x:c>
      <x:c r="L194" s="340" t="n">
        <x:f>XLOOKUP($D194&amp;"|"&amp;$E194&amp;"|"&amp;$F194,'PET_STAT_RULES'!$A$5:$A$88,'PET_STAT_RULES'!$F$5:$F$88)</x:f>
        <x:v>0</x:v>
      </x:c>
      <x:c r="M194" s="340" t="n">
        <x:f>XLOOKUP($D194&amp;"|"&amp;$E194&amp;"|"&amp;$F194,'PET_STAT_RULES'!$A$5:$A$88,'PET_STAT_RULES'!$G$5:$G$88)</x:f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  <x:c r="W194" s="332" t="n">
        <x:f>XLOOKUP($D194&amp;"|"&amp;$E194&amp;"|"&amp;$F194,'PET_STAT_RULES'!$A$5:$A$88,'PET_STAT_RULES'!$E$5:$E$88)</x:f>
        <x:v>0</x:v>
      </x:c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40" t="n">
        <x:f>XLOOKUP($D195&amp;"|"&amp;$E195&amp;"|"&amp;$F195,'PET_STAT_RULES'!$A$5:$A$88,'PET_STAT_RULES'!$C$5:$C$88)</x:f>
        <x:v>52</x:v>
      </x:c>
      <x:c r="K195" s="340" t="n">
        <x:f>XLOOKUP($D195&amp;"|"&amp;$E195&amp;"|"&amp;$F195,'PET_STAT_RULES'!$A$5:$A$88,'PET_STAT_RULES'!$D$5:$D$88)</x:f>
        <x:v>28</x:v>
      </x:c>
      <x:c r="L195" s="340" t="n">
        <x:f>XLOOKUP($D195&amp;"|"&amp;$E195&amp;"|"&amp;$F195,'PET_STAT_RULES'!$A$5:$A$88,'PET_STAT_RULES'!$F$5:$F$88)</x:f>
        <x:v>0</x:v>
      </x:c>
      <x:c r="M195" s="340" t="n">
        <x:f>XLOOKUP($D195&amp;"|"&amp;$E195&amp;"|"&amp;$F195,'PET_STAT_RULES'!$A$5:$A$88,'PET_STAT_RULES'!$G$5:$G$88)</x:f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  <x:c r="W195" s="332" t="n">
        <x:f>XLOOKUP($D195&amp;"|"&amp;$E195&amp;"|"&amp;$F195,'PET_STAT_RULES'!$A$5:$A$88,'PET_STAT_RULES'!$E$5:$E$88)</x:f>
        <x:v>0</x:v>
      </x:c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40" t="n">
        <x:f>XLOOKUP($D196&amp;"|"&amp;$E196&amp;"|"&amp;$F196,'PET_STAT_RULES'!$A$5:$A$88,'PET_STAT_RULES'!$C$5:$C$88)</x:f>
        <x:v>40</x:v>
      </x:c>
      <x:c r="K196" s="340" t="n">
        <x:f>XLOOKUP($D196&amp;"|"&amp;$E196&amp;"|"&amp;$F196,'PET_STAT_RULES'!$A$5:$A$88,'PET_STAT_RULES'!$D$5:$D$88)</x:f>
        <x:v>20</x:v>
      </x:c>
      <x:c r="L196" s="340" t="n">
        <x:f>XLOOKUP($D196&amp;"|"&amp;$E196&amp;"|"&amp;$F196,'PET_STAT_RULES'!$A$5:$A$88,'PET_STAT_RULES'!$F$5:$F$88)</x:f>
        <x:v>0</x:v>
      </x:c>
      <x:c r="M196" s="340" t="n">
        <x:f>XLOOKUP($D196&amp;"|"&amp;$E196&amp;"|"&amp;$F196,'PET_STAT_RULES'!$A$5:$A$88,'PET_STAT_RULES'!$G$5:$G$88)</x:f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  <x:c r="W196" s="332" t="n">
        <x:f>XLOOKUP($D196&amp;"|"&amp;$E196&amp;"|"&amp;$F196,'PET_STAT_RULES'!$A$5:$A$88,'PET_STAT_RULES'!$E$5:$E$88)</x:f>
        <x:v>0</x:v>
      </x:c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40" t="n">
        <x:f>XLOOKUP($D197&amp;"|"&amp;$E197&amp;"|"&amp;$F197,'PET_STAT_RULES'!$A$5:$A$88,'PET_STAT_RULES'!$C$5:$C$88)</x:f>
        <x:v>56</x:v>
      </x:c>
      <x:c r="K197" s="340" t="n">
        <x:f>XLOOKUP($D197&amp;"|"&amp;$E197&amp;"|"&amp;$F197,'PET_STAT_RULES'!$A$5:$A$88,'PET_STAT_RULES'!$D$5:$D$88)</x:f>
        <x:v>20</x:v>
      </x:c>
      <x:c r="L197" s="340" t="n">
        <x:f>XLOOKUP($D197&amp;"|"&amp;$E197&amp;"|"&amp;$F197,'PET_STAT_RULES'!$A$5:$A$88,'PET_STAT_RULES'!$F$5:$F$88)</x:f>
        <x:v>0</x:v>
      </x:c>
      <x:c r="M197" s="340" t="n">
        <x:f>XLOOKUP($D197&amp;"|"&amp;$E197&amp;"|"&amp;$F197,'PET_STAT_RULES'!$A$5:$A$88,'PET_STAT_RULES'!$G$5:$G$88)</x:f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  <x:c r="W197" s="332" t="n">
        <x:f>XLOOKUP($D197&amp;"|"&amp;$E197&amp;"|"&amp;$F197,'PET_STAT_RULES'!$A$5:$A$88,'PET_STAT_RULES'!$E$5:$E$88)</x:f>
        <x:v>0</x:v>
      </x:c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40" t="n">
        <x:f>XLOOKUP($D198&amp;"|"&amp;$E198&amp;"|"&amp;$F198,'PET_STAT_RULES'!$A$5:$A$88,'PET_STAT_RULES'!$C$5:$C$88)</x:f>
        <x:v>68</x:v>
      </x:c>
      <x:c r="K198" s="340" t="n">
        <x:f>XLOOKUP($D198&amp;"|"&amp;$E198&amp;"|"&amp;$F198,'PET_STAT_RULES'!$A$5:$A$88,'PET_STAT_RULES'!$D$5:$D$88)</x:f>
        <x:v>26</x:v>
      </x:c>
      <x:c r="L198" s="340" t="n">
        <x:f>XLOOKUP($D198&amp;"|"&amp;$E198&amp;"|"&amp;$F198,'PET_STAT_RULES'!$A$5:$A$88,'PET_STAT_RULES'!$F$5:$F$88)</x:f>
        <x:v>0</x:v>
      </x:c>
      <x:c r="M198" s="340" t="n">
        <x:f>XLOOKUP($D198&amp;"|"&amp;$E198&amp;"|"&amp;$F198,'PET_STAT_RULES'!$A$5:$A$88,'PET_STAT_RULES'!$G$5:$G$88)</x:f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  <x:c r="W198" s="332" t="n">
        <x:f>XLOOKUP($D198&amp;"|"&amp;$E198&amp;"|"&amp;$F198,'PET_STAT_RULES'!$A$5:$A$88,'PET_STAT_RULES'!$E$5:$E$88)</x:f>
        <x:v>0</x:v>
      </x:c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40" t="n">
        <x:f>XLOOKUP($D199&amp;"|"&amp;$E199&amp;"|"&amp;$F199,'PET_STAT_RULES'!$A$5:$A$88,'PET_STAT_RULES'!$C$5:$C$88)</x:f>
        <x:v>28</x:v>
      </x:c>
      <x:c r="K199" s="340" t="n">
        <x:f>XLOOKUP($D199&amp;"|"&amp;$E199&amp;"|"&amp;$F199,'PET_STAT_RULES'!$A$5:$A$88,'PET_STAT_RULES'!$D$5:$D$88)</x:f>
        <x:v>12</x:v>
      </x:c>
      <x:c r="L199" s="340" t="n">
        <x:f>XLOOKUP($D199&amp;"|"&amp;$E199&amp;"|"&amp;$F199,'PET_STAT_RULES'!$A$5:$A$88,'PET_STAT_RULES'!$F$5:$F$88)</x:f>
        <x:v>0</x:v>
      </x:c>
      <x:c r="M199" s="340" t="n">
        <x:f>XLOOKUP($D199&amp;"|"&amp;$E199&amp;"|"&amp;$F199,'PET_STAT_RULES'!$A$5:$A$88,'PET_STAT_RULES'!$G$5:$G$88)</x:f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  <x:c r="W199" s="332" t="n">
        <x:f>XLOOKUP($D199&amp;"|"&amp;$E199&amp;"|"&amp;$F199,'PET_STAT_RULES'!$A$5:$A$88,'PET_STAT_RULES'!$E$5:$E$88)</x:f>
        <x:v>0</x:v>
      </x:c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40" t="n">
        <x:f>XLOOKUP($D200&amp;"|"&amp;$E200&amp;"|"&amp;$F200,'PET_STAT_RULES'!$A$5:$A$88,'PET_STAT_RULES'!$C$5:$C$88)</x:f>
        <x:v>32</x:v>
      </x:c>
      <x:c r="K200" s="340" t="n">
        <x:f>XLOOKUP($D200&amp;"|"&amp;$E200&amp;"|"&amp;$F200,'PET_STAT_RULES'!$A$5:$A$88,'PET_STAT_RULES'!$D$5:$D$88)</x:f>
        <x:v>8</x:v>
      </x:c>
      <x:c r="L200" s="340" t="n">
        <x:f>XLOOKUP($D200&amp;"|"&amp;$E200&amp;"|"&amp;$F200,'PET_STAT_RULES'!$A$5:$A$88,'PET_STAT_RULES'!$F$5:$F$88)</x:f>
        <x:v>0</x:v>
      </x:c>
      <x:c r="M200" s="340" t="n">
        <x:f>XLOOKUP($D200&amp;"|"&amp;$E200&amp;"|"&amp;$F200,'PET_STAT_RULES'!$A$5:$A$88,'PET_STAT_RULES'!$G$5:$G$88)</x:f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  <x:c r="W200" s="332" t="n">
        <x:f>XLOOKUP($D200&amp;"|"&amp;$E200&amp;"|"&amp;$F200,'PET_STAT_RULES'!$A$5:$A$88,'PET_STAT_RULES'!$E$5:$E$88)</x:f>
        <x:v>0</x:v>
      </x:c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40" t="n">
        <x:f>XLOOKUP($D201&amp;"|"&amp;$E201&amp;"|"&amp;$F201,'PET_STAT_RULES'!$A$5:$A$88,'PET_STAT_RULES'!$C$5:$C$88)</x:f>
        <x:v>52</x:v>
      </x:c>
      <x:c r="K201" s="340" t="n">
        <x:f>XLOOKUP($D201&amp;"|"&amp;$E201&amp;"|"&amp;$F201,'PET_STAT_RULES'!$A$5:$A$88,'PET_STAT_RULES'!$D$5:$D$88)</x:f>
        <x:v>28</x:v>
      </x:c>
      <x:c r="L201" s="340" t="n">
        <x:f>XLOOKUP($D201&amp;"|"&amp;$E201&amp;"|"&amp;$F201,'PET_STAT_RULES'!$A$5:$A$88,'PET_STAT_RULES'!$F$5:$F$88)</x:f>
        <x:v>0</x:v>
      </x:c>
      <x:c r="M201" s="340" t="n">
        <x:f>XLOOKUP($D201&amp;"|"&amp;$E201&amp;"|"&amp;$F201,'PET_STAT_RULES'!$A$5:$A$88,'PET_STAT_RULES'!$G$5:$G$88)</x:f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  <x:c r="W201" s="332" t="n">
        <x:f>XLOOKUP($D201&amp;"|"&amp;$E201&amp;"|"&amp;$F201,'PET_STAT_RULES'!$A$5:$A$88,'PET_STAT_RULES'!$E$5:$E$88)</x:f>
        <x:v>0</x:v>
      </x:c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40" t="n">
        <x:f>XLOOKUP($D202&amp;"|"&amp;$E202&amp;"|"&amp;$F202,'PET_STAT_RULES'!$A$5:$A$88,'PET_STAT_RULES'!$C$5:$C$88)</x:f>
        <x:v>46</x:v>
      </x:c>
      <x:c r="K202" s="340" t="n">
        <x:f>XLOOKUP($D202&amp;"|"&amp;$E202&amp;"|"&amp;$F202,'PET_STAT_RULES'!$A$5:$A$88,'PET_STAT_RULES'!$D$5:$D$88)</x:f>
        <x:v>12</x:v>
      </x:c>
      <x:c r="L202" s="340" t="n">
        <x:f>XLOOKUP($D202&amp;"|"&amp;$E202&amp;"|"&amp;$F202,'PET_STAT_RULES'!$A$5:$A$88,'PET_STAT_RULES'!$F$5:$F$88)</x:f>
        <x:v>4</x:v>
      </x:c>
      <x:c r="M202" s="340" t="n">
        <x:f>XLOOKUP($D202&amp;"|"&amp;$E202&amp;"|"&amp;$F202,'PET_STAT_RULES'!$A$5:$A$88,'PET_STAT_RULES'!$G$5:$G$88)</x:f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  <x:c r="W202" s="332" t="n">
        <x:f>XLOOKUP($D202&amp;"|"&amp;$E202&amp;"|"&amp;$F202,'PET_STAT_RULES'!$A$5:$A$88,'PET_STAT_RULES'!$E$5:$E$88)</x:f>
        <x:v>0</x:v>
      </x:c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40" t="n">
        <x:f>XLOOKUP($D203&amp;"|"&amp;$E203&amp;"|"&amp;$F203,'PET_STAT_RULES'!$A$5:$A$88,'PET_STAT_RULES'!$C$5:$C$88)</x:f>
        <x:v>56</x:v>
      </x:c>
      <x:c r="K203" s="340" t="n">
        <x:f>XLOOKUP($D203&amp;"|"&amp;$E203&amp;"|"&amp;$F203,'PET_STAT_RULES'!$A$5:$A$88,'PET_STAT_RULES'!$D$5:$D$88)</x:f>
        <x:v>20</x:v>
      </x:c>
      <x:c r="L203" s="340" t="n">
        <x:f>XLOOKUP($D203&amp;"|"&amp;$E203&amp;"|"&amp;$F203,'PET_STAT_RULES'!$A$5:$A$88,'PET_STAT_RULES'!$F$5:$F$88)</x:f>
        <x:v>0</x:v>
      </x:c>
      <x:c r="M203" s="340" t="n">
        <x:f>XLOOKUP($D203&amp;"|"&amp;$E203&amp;"|"&amp;$F203,'PET_STAT_RULES'!$A$5:$A$88,'PET_STAT_RULES'!$G$5:$G$88)</x:f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  <x:c r="W203" s="332" t="n">
        <x:f>XLOOKUP($D203&amp;"|"&amp;$E203&amp;"|"&amp;$F203,'PET_STAT_RULES'!$A$5:$A$88,'PET_STAT_RULES'!$E$5:$E$88)</x:f>
        <x:v>0</x:v>
      </x:c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40" t="n">
        <x:f>XLOOKUP($D204&amp;"|"&amp;$E204&amp;"|"&amp;$F204,'PET_STAT_RULES'!$A$5:$A$88,'PET_STAT_RULES'!$C$5:$C$88)</x:f>
        <x:v>54</x:v>
      </x:c>
      <x:c r="K204" s="340" t="n">
        <x:f>XLOOKUP($D204&amp;"|"&amp;$E204&amp;"|"&amp;$F204,'PET_STAT_RULES'!$A$5:$A$88,'PET_STAT_RULES'!$D$5:$D$88)</x:f>
        <x:v>12</x:v>
      </x:c>
      <x:c r="L204" s="340" t="n">
        <x:f>XLOOKUP($D204&amp;"|"&amp;$E204&amp;"|"&amp;$F204,'PET_STAT_RULES'!$A$5:$A$88,'PET_STAT_RULES'!$F$5:$F$88)</x:f>
        <x:v>10</x:v>
      </x:c>
      <x:c r="M204" s="340" t="n">
        <x:f>XLOOKUP($D204&amp;"|"&amp;$E204&amp;"|"&amp;$F204,'PET_STAT_RULES'!$A$5:$A$88,'PET_STAT_RULES'!$G$5:$G$88)</x:f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  <x:c r="W204" s="332" t="n">
        <x:f>XLOOKUP($D204&amp;"|"&amp;$E204&amp;"|"&amp;$F204,'PET_STAT_RULES'!$A$5:$A$88,'PET_STAT_RULES'!$E$5:$E$88)</x:f>
        <x:v>0</x:v>
      </x:c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40" t="n">
        <x:f>XLOOKUP($D205&amp;"|"&amp;$E205&amp;"|"&amp;$F205,'PET_STAT_RULES'!$A$5:$A$88,'PET_STAT_RULES'!$C$5:$C$88)</x:f>
        <x:v>40</x:v>
      </x:c>
      <x:c r="K205" s="340" t="n">
        <x:f>XLOOKUP($D205&amp;"|"&amp;$E205&amp;"|"&amp;$F205,'PET_STAT_RULES'!$A$5:$A$88,'PET_STAT_RULES'!$D$5:$D$88)</x:f>
        <x:v>20</x:v>
      </x:c>
      <x:c r="L205" s="340" t="n">
        <x:f>XLOOKUP($D205&amp;"|"&amp;$E205&amp;"|"&amp;$F205,'PET_STAT_RULES'!$A$5:$A$88,'PET_STAT_RULES'!$F$5:$F$88)</x:f>
        <x:v>0</x:v>
      </x:c>
      <x:c r="M205" s="340" t="n">
        <x:f>XLOOKUP($D205&amp;"|"&amp;$E205&amp;"|"&amp;$F205,'PET_STAT_RULES'!$A$5:$A$88,'PET_STAT_RULES'!$G$5:$G$88)</x:f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  <x:c r="W205" s="332" t="n">
        <x:f>XLOOKUP($D205&amp;"|"&amp;$E205&amp;"|"&amp;$F205,'PET_STAT_RULES'!$A$5:$A$88,'PET_STAT_RULES'!$E$5:$E$88)</x:f>
        <x:v>0</x:v>
      </x:c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40" t="n">
        <x:f>XLOOKUP($D206&amp;"|"&amp;$E206&amp;"|"&amp;$F206,'PET_STAT_RULES'!$A$5:$A$88,'PET_STAT_RULES'!$C$5:$C$88)</x:f>
        <x:v>40</x:v>
      </x:c>
      <x:c r="K206" s="340" t="n">
        <x:f>XLOOKUP($D206&amp;"|"&amp;$E206&amp;"|"&amp;$F206,'PET_STAT_RULES'!$A$5:$A$88,'PET_STAT_RULES'!$D$5:$D$88)</x:f>
        <x:v>20</x:v>
      </x:c>
      <x:c r="L206" s="340" t="n">
        <x:f>XLOOKUP($D206&amp;"|"&amp;$E206&amp;"|"&amp;$F206,'PET_STAT_RULES'!$A$5:$A$88,'PET_STAT_RULES'!$F$5:$F$88)</x:f>
        <x:v>0</x:v>
      </x:c>
      <x:c r="M206" s="340" t="n">
        <x:f>XLOOKUP($D206&amp;"|"&amp;$E206&amp;"|"&amp;$F206,'PET_STAT_RULES'!$A$5:$A$88,'PET_STAT_RULES'!$G$5:$G$88)</x:f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  <x:c r="W206" s="332" t="n">
        <x:f>XLOOKUP($D206&amp;"|"&amp;$E206&amp;"|"&amp;$F206,'PET_STAT_RULES'!$A$5:$A$88,'PET_STAT_RULES'!$E$5:$E$88)</x:f>
        <x:v>0</x:v>
      </x:c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40" t="n">
        <x:f>XLOOKUP($D207&amp;"|"&amp;$E207&amp;"|"&amp;$F207,'PET_STAT_RULES'!$A$5:$A$88,'PET_STAT_RULES'!$C$5:$C$88)</x:f>
        <x:v>44</x:v>
      </x:c>
      <x:c r="K207" s="340" t="n">
        <x:f>XLOOKUP($D207&amp;"|"&amp;$E207&amp;"|"&amp;$F207,'PET_STAT_RULES'!$A$5:$A$88,'PET_STAT_RULES'!$D$5:$D$88)</x:f>
        <x:v>14</x:v>
      </x:c>
      <x:c r="L207" s="340" t="n">
        <x:f>XLOOKUP($D207&amp;"|"&amp;$E207&amp;"|"&amp;$F207,'PET_STAT_RULES'!$A$5:$A$88,'PET_STAT_RULES'!$F$5:$F$88)</x:f>
        <x:v>0</x:v>
      </x:c>
      <x:c r="M207" s="340" t="n">
        <x:f>XLOOKUP($D207&amp;"|"&amp;$E207&amp;"|"&amp;$F207,'PET_STAT_RULES'!$A$5:$A$88,'PET_STAT_RULES'!$G$5:$G$88)</x:f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  <x:c r="W207" s="332" t="n">
        <x:f>XLOOKUP($D207&amp;"|"&amp;$E207&amp;"|"&amp;$F207,'PET_STAT_RULES'!$A$5:$A$88,'PET_STAT_RULES'!$E$5:$E$88)</x:f>
        <x:v>0</x:v>
      </x:c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40" t="n">
        <x:f>XLOOKUP($D208&amp;"|"&amp;$E208&amp;"|"&amp;$F208,'PET_STAT_RULES'!$A$5:$A$88,'PET_STAT_RULES'!$C$5:$C$88)</x:f>
        <x:v>32</x:v>
      </x:c>
      <x:c r="K208" s="340" t="n">
        <x:f>XLOOKUP($D208&amp;"|"&amp;$E208&amp;"|"&amp;$F208,'PET_STAT_RULES'!$A$5:$A$88,'PET_STAT_RULES'!$D$5:$D$88)</x:f>
        <x:v>8</x:v>
      </x:c>
      <x:c r="L208" s="340" t="n">
        <x:f>XLOOKUP($D208&amp;"|"&amp;$E208&amp;"|"&amp;$F208,'PET_STAT_RULES'!$A$5:$A$88,'PET_STAT_RULES'!$F$5:$F$88)</x:f>
        <x:v>0</x:v>
      </x:c>
      <x:c r="M208" s="340" t="n">
        <x:f>XLOOKUP($D208&amp;"|"&amp;$E208&amp;"|"&amp;$F208,'PET_STAT_RULES'!$A$5:$A$88,'PET_STAT_RULES'!$G$5:$G$88)</x:f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  <x:c r="W208" s="332" t="n">
        <x:f>XLOOKUP($D208&amp;"|"&amp;$E208&amp;"|"&amp;$F208,'PET_STAT_RULES'!$A$5:$A$88,'PET_STAT_RULES'!$E$5:$E$88)</x:f>
        <x:v>0</x:v>
      </x:c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40" t="n">
        <x:f>XLOOKUP($D209&amp;"|"&amp;$E209&amp;"|"&amp;$F209,'PET_STAT_RULES'!$A$5:$A$88,'PET_STAT_RULES'!$C$5:$C$88)</x:f>
        <x:v>44</x:v>
      </x:c>
      <x:c r="K209" s="340" t="n">
        <x:f>XLOOKUP($D209&amp;"|"&amp;$E209&amp;"|"&amp;$F209,'PET_STAT_RULES'!$A$5:$A$88,'PET_STAT_RULES'!$D$5:$D$88)</x:f>
        <x:v>14</x:v>
      </x:c>
      <x:c r="L209" s="340" t="n">
        <x:f>XLOOKUP($D209&amp;"|"&amp;$E209&amp;"|"&amp;$F209,'PET_STAT_RULES'!$A$5:$A$88,'PET_STAT_RULES'!$F$5:$F$88)</x:f>
        <x:v>0</x:v>
      </x:c>
      <x:c r="M209" s="340" t="n">
        <x:f>XLOOKUP($D209&amp;"|"&amp;$E209&amp;"|"&amp;$F209,'PET_STAT_RULES'!$A$5:$A$88,'PET_STAT_RULES'!$G$5:$G$88)</x:f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  <x:c r="W209" s="332" t="n">
        <x:f>XLOOKUP($D209&amp;"|"&amp;$E209&amp;"|"&amp;$F209,'PET_STAT_RULES'!$A$5:$A$88,'PET_STAT_RULES'!$E$5:$E$88)</x:f>
        <x:v>0</x:v>
      </x:c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40" t="n">
        <x:f>XLOOKUP($D210&amp;"|"&amp;$E210&amp;"|"&amp;$F210,'PET_STAT_RULES'!$A$5:$A$88,'PET_STAT_RULES'!$C$5:$C$88)</x:f>
        <x:v>40</x:v>
      </x:c>
      <x:c r="K210" s="340" t="n">
        <x:f>XLOOKUP($D210&amp;"|"&amp;$E210&amp;"|"&amp;$F210,'PET_STAT_RULES'!$A$5:$A$88,'PET_STAT_RULES'!$D$5:$D$88)</x:f>
        <x:v>12</x:v>
      </x:c>
      <x:c r="L210" s="340" t="n">
        <x:f>XLOOKUP($D210&amp;"|"&amp;$E210&amp;"|"&amp;$F210,'PET_STAT_RULES'!$A$5:$A$88,'PET_STAT_RULES'!$F$5:$F$88)</x:f>
        <x:v>0</x:v>
      </x:c>
      <x:c r="M210" s="340" t="n">
        <x:f>XLOOKUP($D210&amp;"|"&amp;$E210&amp;"|"&amp;$F210,'PET_STAT_RULES'!$A$5:$A$88,'PET_STAT_RULES'!$G$5:$G$88)</x:f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  <x:c r="W210" s="332" t="n">
        <x:f>XLOOKUP($D210&amp;"|"&amp;$E210&amp;"|"&amp;$F210,'PET_STAT_RULES'!$A$5:$A$88,'PET_STAT_RULES'!$E$5:$E$88)</x:f>
        <x:v>0</x:v>
      </x:c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40" t="n">
        <x:f>XLOOKUP($D211&amp;"|"&amp;$E211&amp;"|"&amp;$F211,'PET_STAT_RULES'!$A$5:$A$88,'PET_STAT_RULES'!$C$5:$C$88)</x:f>
        <x:v>28</x:v>
      </x:c>
      <x:c r="K211" s="340" t="n">
        <x:f>XLOOKUP($D211&amp;"|"&amp;$E211&amp;"|"&amp;$F211,'PET_STAT_RULES'!$A$5:$A$88,'PET_STAT_RULES'!$D$5:$D$88)</x:f>
        <x:v>12</x:v>
      </x:c>
      <x:c r="L211" s="340" t="n">
        <x:f>XLOOKUP($D211&amp;"|"&amp;$E211&amp;"|"&amp;$F211,'PET_STAT_RULES'!$A$5:$A$88,'PET_STAT_RULES'!$F$5:$F$88)</x:f>
        <x:v>0</x:v>
      </x:c>
      <x:c r="M211" s="340" t="n">
        <x:f>XLOOKUP($D211&amp;"|"&amp;$E211&amp;"|"&amp;$F211,'PET_STAT_RULES'!$A$5:$A$88,'PET_STAT_RULES'!$G$5:$G$88)</x:f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  <x:c r="W211" s="332" t="n">
        <x:f>XLOOKUP($D211&amp;"|"&amp;$E211&amp;"|"&amp;$F211,'PET_STAT_RULES'!$A$5:$A$88,'PET_STAT_RULES'!$E$5:$E$88)</x:f>
        <x:v>0</x:v>
      </x:c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40" t="n">
        <x:f>XLOOKUP($D212&amp;"|"&amp;$E212&amp;"|"&amp;$F212,'PET_STAT_RULES'!$A$5:$A$88,'PET_STAT_RULES'!$C$5:$C$88)</x:f>
        <x:v>64</x:v>
      </x:c>
      <x:c r="K212" s="340" t="n">
        <x:f>XLOOKUP($D212&amp;"|"&amp;$E212&amp;"|"&amp;$F212,'PET_STAT_RULES'!$A$5:$A$88,'PET_STAT_RULES'!$D$5:$D$88)</x:f>
        <x:v>24</x:v>
      </x:c>
      <x:c r="L212" s="340" t="n">
        <x:f>XLOOKUP($D212&amp;"|"&amp;$E212&amp;"|"&amp;$F212,'PET_STAT_RULES'!$A$5:$A$88,'PET_STAT_RULES'!$F$5:$F$88)</x:f>
        <x:v>0</x:v>
      </x:c>
      <x:c r="M212" s="340" t="n">
        <x:f>XLOOKUP($D212&amp;"|"&amp;$E212&amp;"|"&amp;$F212,'PET_STAT_RULES'!$A$5:$A$88,'PET_STAT_RULES'!$G$5:$G$88)</x:f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  <x:c r="W212" s="332" t="n">
        <x:f>XLOOKUP($D212&amp;"|"&amp;$E212&amp;"|"&amp;$F212,'PET_STAT_RULES'!$A$5:$A$88,'PET_STAT_RULES'!$E$5:$E$88)</x:f>
        <x:v>0</x:v>
      </x:c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40" t="n">
        <x:f>XLOOKUP($D213&amp;"|"&amp;$E213&amp;"|"&amp;$F213,'PET_STAT_RULES'!$A$5:$A$88,'PET_STAT_RULES'!$C$5:$C$88)</x:f>
        <x:v>46</x:v>
      </x:c>
      <x:c r="K213" s="340" t="n">
        <x:f>XLOOKUP($D213&amp;"|"&amp;$E213&amp;"|"&amp;$F213,'PET_STAT_RULES'!$A$5:$A$88,'PET_STAT_RULES'!$D$5:$D$88)</x:f>
        <x:v>12</x:v>
      </x:c>
      <x:c r="L213" s="340" t="n">
        <x:f>XLOOKUP($D213&amp;"|"&amp;$E213&amp;"|"&amp;$F213,'PET_STAT_RULES'!$A$5:$A$88,'PET_STAT_RULES'!$F$5:$F$88)</x:f>
        <x:v>4</x:v>
      </x:c>
      <x:c r="M213" s="340" t="n">
        <x:f>XLOOKUP($D213&amp;"|"&amp;$E213&amp;"|"&amp;$F213,'PET_STAT_RULES'!$A$5:$A$88,'PET_STAT_RULES'!$G$5:$G$88)</x:f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  <x:c r="W213" s="332" t="n">
        <x:f>XLOOKUP($D213&amp;"|"&amp;$E213&amp;"|"&amp;$F213,'PET_STAT_RULES'!$A$5:$A$88,'PET_STAT_RULES'!$E$5:$E$88)</x:f>
        <x:v>0</x:v>
      </x:c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40" t="n">
        <x:f>XLOOKUP($D214&amp;"|"&amp;$E214&amp;"|"&amp;$F214,'PET_STAT_RULES'!$A$5:$A$88,'PET_STAT_RULES'!$C$5:$C$88)</x:f>
        <x:v>28</x:v>
      </x:c>
      <x:c r="K214" s="340" t="n">
        <x:f>XLOOKUP($D214&amp;"|"&amp;$E214&amp;"|"&amp;$F214,'PET_STAT_RULES'!$A$5:$A$88,'PET_STAT_RULES'!$D$5:$D$88)</x:f>
        <x:v>12</x:v>
      </x:c>
      <x:c r="L214" s="340" t="n">
        <x:f>XLOOKUP($D214&amp;"|"&amp;$E214&amp;"|"&amp;$F214,'PET_STAT_RULES'!$A$5:$A$88,'PET_STAT_RULES'!$F$5:$F$88)</x:f>
        <x:v>0</x:v>
      </x:c>
      <x:c r="M214" s="340" t="n">
        <x:f>XLOOKUP($D214&amp;"|"&amp;$E214&amp;"|"&amp;$F214,'PET_STAT_RULES'!$A$5:$A$88,'PET_STAT_RULES'!$G$5:$G$88)</x:f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  <x:c r="W214" s="332" t="n">
        <x:f>XLOOKUP($D214&amp;"|"&amp;$E214&amp;"|"&amp;$F214,'PET_STAT_RULES'!$A$5:$A$88,'PET_STAT_RULES'!$E$5:$E$88)</x:f>
        <x:v>0</x:v>
      </x:c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40" t="n">
        <x:f>XLOOKUP($D215&amp;"|"&amp;$E215&amp;"|"&amp;$F215,'PET_STAT_RULES'!$A$5:$A$88,'PET_STAT_RULES'!$C$5:$C$88)</x:f>
        <x:v>28</x:v>
      </x:c>
      <x:c r="K215" s="340" t="n">
        <x:f>XLOOKUP($D215&amp;"|"&amp;$E215&amp;"|"&amp;$F215,'PET_STAT_RULES'!$A$5:$A$88,'PET_STAT_RULES'!$D$5:$D$88)</x:f>
        <x:v>12</x:v>
      </x:c>
      <x:c r="L215" s="340" t="n">
        <x:f>XLOOKUP($D215&amp;"|"&amp;$E215&amp;"|"&amp;$F215,'PET_STAT_RULES'!$A$5:$A$88,'PET_STAT_RULES'!$F$5:$F$88)</x:f>
        <x:v>0</x:v>
      </x:c>
      <x:c r="M215" s="340" t="n">
        <x:f>XLOOKUP($D215&amp;"|"&amp;$E215&amp;"|"&amp;$F215,'PET_STAT_RULES'!$A$5:$A$88,'PET_STAT_RULES'!$G$5:$G$88)</x:f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  <x:c r="W215" s="332" t="n">
        <x:f>XLOOKUP($D215&amp;"|"&amp;$E215&amp;"|"&amp;$F215,'PET_STAT_RULES'!$A$5:$A$88,'PET_STAT_RULES'!$E$5:$E$88)</x:f>
        <x:v>0</x:v>
      </x:c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40" t="n">
        <x:f>XLOOKUP($D216&amp;"|"&amp;$E216&amp;"|"&amp;$F216,'PET_STAT_RULES'!$A$5:$A$88,'PET_STAT_RULES'!$C$5:$C$88)</x:f>
        <x:v>52</x:v>
      </x:c>
      <x:c r="K216" s="340" t="n">
        <x:f>XLOOKUP($D216&amp;"|"&amp;$E216&amp;"|"&amp;$F216,'PET_STAT_RULES'!$A$5:$A$88,'PET_STAT_RULES'!$D$5:$D$88)</x:f>
        <x:v>18</x:v>
      </x:c>
      <x:c r="L216" s="340" t="n">
        <x:f>XLOOKUP($D216&amp;"|"&amp;$E216&amp;"|"&amp;$F216,'PET_STAT_RULES'!$A$5:$A$88,'PET_STAT_RULES'!$F$5:$F$88)</x:f>
        <x:v>0</x:v>
      </x:c>
      <x:c r="M216" s="340" t="n">
        <x:f>XLOOKUP($D216&amp;"|"&amp;$E216&amp;"|"&amp;$F216,'PET_STAT_RULES'!$A$5:$A$88,'PET_STAT_RULES'!$G$5:$G$88)</x:f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  <x:c r="W216" s="332" t="n">
        <x:f>XLOOKUP($D216&amp;"|"&amp;$E216&amp;"|"&amp;$F216,'PET_STAT_RULES'!$A$5:$A$88,'PET_STAT_RULES'!$E$5:$E$88)</x:f>
        <x:v>0</x:v>
      </x:c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40" t="n">
        <x:f>XLOOKUP($D217&amp;"|"&amp;$E217&amp;"|"&amp;$F217,'PET_STAT_RULES'!$A$5:$A$88,'PET_STAT_RULES'!$C$5:$C$88)</x:f>
        <x:v>40</x:v>
      </x:c>
      <x:c r="K217" s="340" t="n">
        <x:f>XLOOKUP($D217&amp;"|"&amp;$E217&amp;"|"&amp;$F217,'PET_STAT_RULES'!$A$5:$A$88,'PET_STAT_RULES'!$D$5:$D$88)</x:f>
        <x:v>12</x:v>
      </x:c>
      <x:c r="L217" s="340" t="n">
        <x:f>XLOOKUP($D217&amp;"|"&amp;$E217&amp;"|"&amp;$F217,'PET_STAT_RULES'!$A$5:$A$88,'PET_STAT_RULES'!$F$5:$F$88)</x:f>
        <x:v>0</x:v>
      </x:c>
      <x:c r="M217" s="340" t="n">
        <x:f>XLOOKUP($D217&amp;"|"&amp;$E217&amp;"|"&amp;$F217,'PET_STAT_RULES'!$A$5:$A$88,'PET_STAT_RULES'!$G$5:$G$88)</x:f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  <x:c r="W217" s="332" t="n">
        <x:f>XLOOKUP($D217&amp;"|"&amp;$E217&amp;"|"&amp;$F217,'PET_STAT_RULES'!$A$5:$A$88,'PET_STAT_RULES'!$E$5:$E$88)</x:f>
        <x:v>0</x:v>
      </x:c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40" t="n">
        <x:f>XLOOKUP($D218&amp;"|"&amp;$E218&amp;"|"&amp;$F218,'PET_STAT_RULES'!$A$5:$A$88,'PET_STAT_RULES'!$C$5:$C$88)</x:f>
        <x:v>40</x:v>
      </x:c>
      <x:c r="K218" s="340" t="n">
        <x:f>XLOOKUP($D218&amp;"|"&amp;$E218&amp;"|"&amp;$F218,'PET_STAT_RULES'!$A$5:$A$88,'PET_STAT_RULES'!$D$5:$D$88)</x:f>
        <x:v>12</x:v>
      </x:c>
      <x:c r="L218" s="340" t="n">
        <x:f>XLOOKUP($D218&amp;"|"&amp;$E218&amp;"|"&amp;$F218,'PET_STAT_RULES'!$A$5:$A$88,'PET_STAT_RULES'!$F$5:$F$88)</x:f>
        <x:v>0</x:v>
      </x:c>
      <x:c r="M218" s="340" t="n">
        <x:f>XLOOKUP($D218&amp;"|"&amp;$E218&amp;"|"&amp;$F218,'PET_STAT_RULES'!$A$5:$A$88,'PET_STAT_RULES'!$G$5:$G$88)</x:f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  <x:c r="W218" s="332" t="n">
        <x:f>XLOOKUP($D218&amp;"|"&amp;$E218&amp;"|"&amp;$F218,'PET_STAT_RULES'!$A$5:$A$88,'PET_STAT_RULES'!$E$5:$E$88)</x:f>
        <x:v>0</x:v>
      </x:c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40" t="n">
        <x:f>XLOOKUP($D219&amp;"|"&amp;$E219&amp;"|"&amp;$F219,'PET_STAT_RULES'!$A$5:$A$88,'PET_STAT_RULES'!$C$5:$C$88)</x:f>
        <x:v>70</x:v>
      </x:c>
      <x:c r="K219" s="340" t="n">
        <x:f>XLOOKUP($D219&amp;"|"&amp;$E219&amp;"|"&amp;$F219,'PET_STAT_RULES'!$A$5:$A$88,'PET_STAT_RULES'!$D$5:$D$88)</x:f>
        <x:v>24</x:v>
      </x:c>
      <x:c r="L219" s="340" t="n">
        <x:f>XLOOKUP($D219&amp;"|"&amp;$E219&amp;"|"&amp;$F219,'PET_STAT_RULES'!$A$5:$A$88,'PET_STAT_RULES'!$F$5:$F$88)</x:f>
        <x:v>8</x:v>
      </x:c>
      <x:c r="M219" s="340" t="n">
        <x:f>XLOOKUP($D219&amp;"|"&amp;$E219&amp;"|"&amp;$F219,'PET_STAT_RULES'!$A$5:$A$88,'PET_STAT_RULES'!$G$5:$G$88)</x:f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  <x:c r="W219" s="332" t="n">
        <x:f>XLOOKUP($D219&amp;"|"&amp;$E219&amp;"|"&amp;$F219,'PET_STAT_RULES'!$A$5:$A$88,'PET_STAT_RULES'!$E$5:$E$88)</x:f>
        <x:v>0</x:v>
      </x:c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40" t="n">
        <x:f>XLOOKUP($D220&amp;"|"&amp;$E220&amp;"|"&amp;$F220,'PET_STAT_RULES'!$A$5:$A$88,'PET_STAT_RULES'!$C$5:$C$88)</x:f>
        <x:v>40</x:v>
      </x:c>
      <x:c r="K220" s="340" t="n">
        <x:f>XLOOKUP($D220&amp;"|"&amp;$E220&amp;"|"&amp;$F220,'PET_STAT_RULES'!$A$5:$A$88,'PET_STAT_RULES'!$D$5:$D$88)</x:f>
        <x:v>20</x:v>
      </x:c>
      <x:c r="L220" s="340" t="n">
        <x:f>XLOOKUP($D220&amp;"|"&amp;$E220&amp;"|"&amp;$F220,'PET_STAT_RULES'!$A$5:$A$88,'PET_STAT_RULES'!$F$5:$F$88)</x:f>
        <x:v>0</x:v>
      </x:c>
      <x:c r="M220" s="340" t="n">
        <x:f>XLOOKUP($D220&amp;"|"&amp;$E220&amp;"|"&amp;$F220,'PET_STAT_RULES'!$A$5:$A$88,'PET_STAT_RULES'!$G$5:$G$88)</x:f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  <x:c r="W220" s="332" t="n">
        <x:f>XLOOKUP($D220&amp;"|"&amp;$E220&amp;"|"&amp;$F220,'PET_STAT_RULES'!$A$5:$A$88,'PET_STAT_RULES'!$E$5:$E$88)</x:f>
        <x:v>0</x:v>
      </x:c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40" t="n">
        <x:f>XLOOKUP($D221&amp;"|"&amp;$E221&amp;"|"&amp;$F221,'PET_STAT_RULES'!$A$5:$A$88,'PET_STAT_RULES'!$C$5:$C$88)</x:f>
        <x:v>52</x:v>
      </x:c>
      <x:c r="K221" s="340" t="n">
        <x:f>XLOOKUP($D221&amp;"|"&amp;$E221&amp;"|"&amp;$F221,'PET_STAT_RULES'!$A$5:$A$88,'PET_STAT_RULES'!$D$5:$D$88)</x:f>
        <x:v>18</x:v>
      </x:c>
      <x:c r="L221" s="340" t="n">
        <x:f>XLOOKUP($D221&amp;"|"&amp;$E221&amp;"|"&amp;$F221,'PET_STAT_RULES'!$A$5:$A$88,'PET_STAT_RULES'!$F$5:$F$88)</x:f>
        <x:v>0</x:v>
      </x:c>
      <x:c r="M221" s="340" t="n">
        <x:f>XLOOKUP($D221&amp;"|"&amp;$E221&amp;"|"&amp;$F221,'PET_STAT_RULES'!$A$5:$A$88,'PET_STAT_RULES'!$G$5:$G$88)</x:f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  <x:c r="W221" s="332" t="n">
        <x:f>XLOOKUP($D221&amp;"|"&amp;$E221&amp;"|"&amp;$F221,'PET_STAT_RULES'!$A$5:$A$88,'PET_STAT_RULES'!$E$5:$E$88)</x:f>
        <x:v>0</x:v>
      </x:c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40" t="n">
        <x:f>XLOOKUP($D222&amp;"|"&amp;$E222&amp;"|"&amp;$F222,'PET_STAT_RULES'!$A$5:$A$88,'PET_STAT_RULES'!$C$5:$C$88)</x:f>
        <x:v>64</x:v>
      </x:c>
      <x:c r="K222" s="340" t="n">
        <x:f>XLOOKUP($D222&amp;"|"&amp;$E222&amp;"|"&amp;$F222,'PET_STAT_RULES'!$A$5:$A$88,'PET_STAT_RULES'!$D$5:$D$88)</x:f>
        <x:v>36</x:v>
      </x:c>
      <x:c r="L222" s="340" t="n">
        <x:f>XLOOKUP($D222&amp;"|"&amp;$E222&amp;"|"&amp;$F222,'PET_STAT_RULES'!$A$5:$A$88,'PET_STAT_RULES'!$F$5:$F$88)</x:f>
        <x:v>0</x:v>
      </x:c>
      <x:c r="M222" s="340" t="n">
        <x:f>XLOOKUP($D222&amp;"|"&amp;$E222&amp;"|"&amp;$F222,'PET_STAT_RULES'!$A$5:$A$88,'PET_STAT_RULES'!$G$5:$G$88)</x:f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  <x:c r="W222" s="332" t="n">
        <x:f>XLOOKUP($D222&amp;"|"&amp;$E222&amp;"|"&amp;$F222,'PET_STAT_RULES'!$A$5:$A$88,'PET_STAT_RULES'!$E$5:$E$88)</x:f>
        <x:v>0</x:v>
      </x:c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40" t="n">
        <x:f>XLOOKUP($D223&amp;"|"&amp;$E223&amp;"|"&amp;$F223,'PET_STAT_RULES'!$A$5:$A$88,'PET_STAT_RULES'!$C$5:$C$88)</x:f>
        <x:v>52</x:v>
      </x:c>
      <x:c r="K223" s="340" t="n">
        <x:f>XLOOKUP($D223&amp;"|"&amp;$E223&amp;"|"&amp;$F223,'PET_STAT_RULES'!$A$5:$A$88,'PET_STAT_RULES'!$D$5:$D$88)</x:f>
        <x:v>18</x:v>
      </x:c>
      <x:c r="L223" s="340" t="n">
        <x:f>XLOOKUP($D223&amp;"|"&amp;$E223&amp;"|"&amp;$F223,'PET_STAT_RULES'!$A$5:$A$88,'PET_STAT_RULES'!$F$5:$F$88)</x:f>
        <x:v>0</x:v>
      </x:c>
      <x:c r="M223" s="340" t="n">
        <x:f>XLOOKUP($D223&amp;"|"&amp;$E223&amp;"|"&amp;$F223,'PET_STAT_RULES'!$A$5:$A$88,'PET_STAT_RULES'!$G$5:$G$88)</x:f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  <x:c r="W223" s="332" t="n">
        <x:f>XLOOKUP($D223&amp;"|"&amp;$E223&amp;"|"&amp;$F223,'PET_STAT_RULES'!$A$5:$A$88,'PET_STAT_RULES'!$E$5:$E$88)</x:f>
        <x:v>0</x:v>
      </x:c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40" t="n">
        <x:f>XLOOKUP($D224&amp;"|"&amp;$E224&amp;"|"&amp;$F224,'PET_STAT_RULES'!$A$5:$A$88,'PET_STAT_RULES'!$C$5:$C$88)</x:f>
        <x:v>70</x:v>
      </x:c>
      <x:c r="K224" s="340" t="n">
        <x:f>XLOOKUP($D224&amp;"|"&amp;$E224&amp;"|"&amp;$F224,'PET_STAT_RULES'!$A$5:$A$88,'PET_STAT_RULES'!$D$5:$D$88)</x:f>
        <x:v>24</x:v>
      </x:c>
      <x:c r="L224" s="340" t="n">
        <x:f>XLOOKUP($D224&amp;"|"&amp;$E224&amp;"|"&amp;$F224,'PET_STAT_RULES'!$A$5:$A$88,'PET_STAT_RULES'!$F$5:$F$88)</x:f>
        <x:v>8</x:v>
      </x:c>
      <x:c r="M224" s="340" t="n">
        <x:f>XLOOKUP($D224&amp;"|"&amp;$E224&amp;"|"&amp;$F224,'PET_STAT_RULES'!$A$5:$A$88,'PET_STAT_RULES'!$G$5:$G$88)</x:f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  <x:c r="W224" s="332" t="n">
        <x:f>XLOOKUP($D224&amp;"|"&amp;$E224&amp;"|"&amp;$F224,'PET_STAT_RULES'!$A$5:$A$88,'PET_STAT_RULES'!$E$5:$E$88)</x:f>
        <x:v>0</x:v>
      </x:c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40" t="n">
        <x:f>XLOOKUP($D225&amp;"|"&amp;$E225&amp;"|"&amp;$F225,'PET_STAT_RULES'!$A$5:$A$88,'PET_STAT_RULES'!$C$5:$C$88)</x:f>
        <x:v>44</x:v>
      </x:c>
      <x:c r="K225" s="340" t="n">
        <x:f>XLOOKUP($D225&amp;"|"&amp;$E225&amp;"|"&amp;$F225,'PET_STAT_RULES'!$A$5:$A$88,'PET_STAT_RULES'!$D$5:$D$88)</x:f>
        <x:v>14</x:v>
      </x:c>
      <x:c r="L225" s="340" t="n">
        <x:f>XLOOKUP($D225&amp;"|"&amp;$E225&amp;"|"&amp;$F225,'PET_STAT_RULES'!$A$5:$A$88,'PET_STAT_RULES'!$F$5:$F$88)</x:f>
        <x:v>0</x:v>
      </x:c>
      <x:c r="M225" s="340" t="n">
        <x:f>XLOOKUP($D225&amp;"|"&amp;$E225&amp;"|"&amp;$F225,'PET_STAT_RULES'!$A$5:$A$88,'PET_STAT_RULES'!$G$5:$G$88)</x:f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  <x:c r="W225" s="332" t="n">
        <x:f>XLOOKUP($D225&amp;"|"&amp;$E225&amp;"|"&amp;$F225,'PET_STAT_RULES'!$A$5:$A$88,'PET_STAT_RULES'!$E$5:$E$88)</x:f>
        <x:v>0</x:v>
      </x:c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40" t="n">
        <x:f>XLOOKUP($D226&amp;"|"&amp;$E226&amp;"|"&amp;$F226,'PET_STAT_RULES'!$A$5:$A$88,'PET_STAT_RULES'!$C$5:$C$88)</x:f>
        <x:v>40</x:v>
      </x:c>
      <x:c r="K226" s="340" t="n">
        <x:f>XLOOKUP($D226&amp;"|"&amp;$E226&amp;"|"&amp;$F226,'PET_STAT_RULES'!$A$5:$A$88,'PET_STAT_RULES'!$D$5:$D$88)</x:f>
        <x:v>20</x:v>
      </x:c>
      <x:c r="L226" s="340" t="n">
        <x:f>XLOOKUP($D226&amp;"|"&amp;$E226&amp;"|"&amp;$F226,'PET_STAT_RULES'!$A$5:$A$88,'PET_STAT_RULES'!$F$5:$F$88)</x:f>
        <x:v>0</x:v>
      </x:c>
      <x:c r="M226" s="340" t="n">
        <x:f>XLOOKUP($D226&amp;"|"&amp;$E226&amp;"|"&amp;$F226,'PET_STAT_RULES'!$A$5:$A$88,'PET_STAT_RULES'!$G$5:$G$88)</x:f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  <x:c r="W226" s="332" t="n">
        <x:f>XLOOKUP($D226&amp;"|"&amp;$E226&amp;"|"&amp;$F226,'PET_STAT_RULES'!$A$5:$A$88,'PET_STAT_RULES'!$E$5:$E$88)</x:f>
        <x:v>0</x:v>
      </x:c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40" t="n">
        <x:f>XLOOKUP($D227&amp;"|"&amp;$E227&amp;"|"&amp;$F227,'PET_STAT_RULES'!$A$5:$A$88,'PET_STAT_RULES'!$C$5:$C$88)</x:f>
        <x:v>40</x:v>
      </x:c>
      <x:c r="K227" s="340" t="n">
        <x:f>XLOOKUP($D227&amp;"|"&amp;$E227&amp;"|"&amp;$F227,'PET_STAT_RULES'!$A$5:$A$88,'PET_STAT_RULES'!$D$5:$D$88)</x:f>
        <x:v>12</x:v>
      </x:c>
      <x:c r="L227" s="340" t="n">
        <x:f>XLOOKUP($D227&amp;"|"&amp;$E227&amp;"|"&amp;$F227,'PET_STAT_RULES'!$A$5:$A$88,'PET_STAT_RULES'!$F$5:$F$88)</x:f>
        <x:v>0</x:v>
      </x:c>
      <x:c r="M227" s="340" t="n">
        <x:f>XLOOKUP($D227&amp;"|"&amp;$E227&amp;"|"&amp;$F227,'PET_STAT_RULES'!$A$5:$A$88,'PET_STAT_RULES'!$G$5:$G$88)</x:f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  <x:c r="W227" s="332" t="n">
        <x:f>XLOOKUP($D227&amp;"|"&amp;$E227&amp;"|"&amp;$F227,'PET_STAT_RULES'!$A$5:$A$88,'PET_STAT_RULES'!$E$5:$E$88)</x:f>
        <x:v>0</x:v>
      </x:c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40" t="n">
        <x:f>XLOOKUP($D228&amp;"|"&amp;$E228&amp;"|"&amp;$F228,'PET_STAT_RULES'!$A$5:$A$88,'PET_STAT_RULES'!$C$5:$C$88)</x:f>
        <x:v>56</x:v>
      </x:c>
      <x:c r="K228" s="340" t="n">
        <x:f>XLOOKUP($D228&amp;"|"&amp;$E228&amp;"|"&amp;$F228,'PET_STAT_RULES'!$A$5:$A$88,'PET_STAT_RULES'!$D$5:$D$88)</x:f>
        <x:v>20</x:v>
      </x:c>
      <x:c r="L228" s="340" t="n">
        <x:f>XLOOKUP($D228&amp;"|"&amp;$E228&amp;"|"&amp;$F228,'PET_STAT_RULES'!$A$5:$A$88,'PET_STAT_RULES'!$F$5:$F$88)</x:f>
        <x:v>0</x:v>
      </x:c>
      <x:c r="M228" s="340" t="n">
        <x:f>XLOOKUP($D228&amp;"|"&amp;$E228&amp;"|"&amp;$F228,'PET_STAT_RULES'!$A$5:$A$88,'PET_STAT_RULES'!$G$5:$G$88)</x:f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  <x:c r="W228" s="332" t="n">
        <x:f>XLOOKUP($D228&amp;"|"&amp;$E228&amp;"|"&amp;$F228,'PET_STAT_RULES'!$A$5:$A$88,'PET_STAT_RULES'!$E$5:$E$88)</x:f>
        <x:v>0</x:v>
      </x:c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40" t="n">
        <x:f>XLOOKUP($D229&amp;"|"&amp;$E229&amp;"|"&amp;$F229,'PET_STAT_RULES'!$A$5:$A$88,'PET_STAT_RULES'!$C$5:$C$88)</x:f>
        <x:v>44</x:v>
      </x:c>
      <x:c r="K229" s="340" t="n">
        <x:f>XLOOKUP($D229&amp;"|"&amp;$E229&amp;"|"&amp;$F229,'PET_STAT_RULES'!$A$5:$A$88,'PET_STAT_RULES'!$D$5:$D$88)</x:f>
        <x:v>14</x:v>
      </x:c>
      <x:c r="L229" s="340" t="n">
        <x:f>XLOOKUP($D229&amp;"|"&amp;$E229&amp;"|"&amp;$F229,'PET_STAT_RULES'!$A$5:$A$88,'PET_STAT_RULES'!$F$5:$F$88)</x:f>
        <x:v>0</x:v>
      </x:c>
      <x:c r="M229" s="340" t="n">
        <x:f>XLOOKUP($D229&amp;"|"&amp;$E229&amp;"|"&amp;$F229,'PET_STAT_RULES'!$A$5:$A$88,'PET_STAT_RULES'!$G$5:$G$88)</x:f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  <x:c r="W229" s="332" t="n">
        <x:f>XLOOKUP($D229&amp;"|"&amp;$E229&amp;"|"&amp;$F229,'PET_STAT_RULES'!$A$5:$A$88,'PET_STAT_RULES'!$E$5:$E$88)</x:f>
        <x:v>0</x:v>
      </x:c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40" t="n">
        <x:f>XLOOKUP($D230&amp;"|"&amp;$E230&amp;"|"&amp;$F230,'PET_STAT_RULES'!$A$5:$A$88,'PET_STAT_RULES'!$C$5:$C$88)</x:f>
        <x:v>52</x:v>
      </x:c>
      <x:c r="K230" s="340" t="n">
        <x:f>XLOOKUP($D230&amp;"|"&amp;$E230&amp;"|"&amp;$F230,'PET_STAT_RULES'!$A$5:$A$88,'PET_STAT_RULES'!$D$5:$D$88)</x:f>
        <x:v>28</x:v>
      </x:c>
      <x:c r="L230" s="340" t="n">
        <x:f>XLOOKUP($D230&amp;"|"&amp;$E230&amp;"|"&amp;$F230,'PET_STAT_RULES'!$A$5:$A$88,'PET_STAT_RULES'!$F$5:$F$88)</x:f>
        <x:v>0</x:v>
      </x:c>
      <x:c r="M230" s="340" t="n">
        <x:f>XLOOKUP($D230&amp;"|"&amp;$E230&amp;"|"&amp;$F230,'PET_STAT_RULES'!$A$5:$A$88,'PET_STAT_RULES'!$G$5:$G$88)</x:f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  <x:c r="W230" s="332" t="n">
        <x:f>XLOOKUP($D230&amp;"|"&amp;$E230&amp;"|"&amp;$F230,'PET_STAT_RULES'!$A$5:$A$88,'PET_STAT_RULES'!$E$5:$E$88)</x:f>
        <x:v>0</x:v>
      </x:c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40" t="n">
        <x:f>XLOOKUP($D231&amp;"|"&amp;$E231&amp;"|"&amp;$F231,'PET_STAT_RULES'!$A$5:$A$88,'PET_STAT_RULES'!$C$5:$C$88)</x:f>
        <x:v>28</x:v>
      </x:c>
      <x:c r="K231" s="340" t="n">
        <x:f>XLOOKUP($D231&amp;"|"&amp;$E231&amp;"|"&amp;$F231,'PET_STAT_RULES'!$A$5:$A$88,'PET_STAT_RULES'!$D$5:$D$88)</x:f>
        <x:v>12</x:v>
      </x:c>
      <x:c r="L231" s="340" t="n">
        <x:f>XLOOKUP($D231&amp;"|"&amp;$E231&amp;"|"&amp;$F231,'PET_STAT_RULES'!$A$5:$A$88,'PET_STAT_RULES'!$F$5:$F$88)</x:f>
        <x:v>0</x:v>
      </x:c>
      <x:c r="M231" s="340" t="n">
        <x:f>XLOOKUP($D231&amp;"|"&amp;$E231&amp;"|"&amp;$F231,'PET_STAT_RULES'!$A$5:$A$88,'PET_STAT_RULES'!$G$5:$G$88)</x:f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  <x:c r="W231" s="332" t="n">
        <x:f>XLOOKUP($D231&amp;"|"&amp;$E231&amp;"|"&amp;$F231,'PET_STAT_RULES'!$A$5:$A$88,'PET_STAT_RULES'!$E$5:$E$88)</x:f>
        <x:v>0</x:v>
      </x:c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40" t="n">
        <x:f>XLOOKUP($D232&amp;"|"&amp;$E232&amp;"|"&amp;$F232,'PET_STAT_RULES'!$A$5:$A$88,'PET_STAT_RULES'!$C$5:$C$88)</x:f>
        <x:v>44</x:v>
      </x:c>
      <x:c r="K232" s="340" t="n">
        <x:f>XLOOKUP($D232&amp;"|"&amp;$E232&amp;"|"&amp;$F232,'PET_STAT_RULES'!$A$5:$A$88,'PET_STAT_RULES'!$D$5:$D$88)</x:f>
        <x:v>14</x:v>
      </x:c>
      <x:c r="L232" s="340" t="n">
        <x:f>XLOOKUP($D232&amp;"|"&amp;$E232&amp;"|"&amp;$F232,'PET_STAT_RULES'!$A$5:$A$88,'PET_STAT_RULES'!$F$5:$F$88)</x:f>
        <x:v>0</x:v>
      </x:c>
      <x:c r="M232" s="340" t="n">
        <x:f>XLOOKUP($D232&amp;"|"&amp;$E232&amp;"|"&amp;$F232,'PET_STAT_RULES'!$A$5:$A$88,'PET_STAT_RULES'!$G$5:$G$88)</x:f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  <x:c r="W232" s="332" t="n">
        <x:f>XLOOKUP($D232&amp;"|"&amp;$E232&amp;"|"&amp;$F232,'PET_STAT_RULES'!$A$5:$A$88,'PET_STAT_RULES'!$E$5:$E$88)</x:f>
        <x:v>0</x:v>
      </x:c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40" t="n">
        <x:f>XLOOKUP($D233&amp;"|"&amp;$E233&amp;"|"&amp;$F233,'PET_STAT_RULES'!$A$5:$A$88,'PET_STAT_RULES'!$C$5:$C$88)</x:f>
        <x:v>58</x:v>
      </x:c>
      <x:c r="K233" s="340" t="n">
        <x:f>XLOOKUP($D233&amp;"|"&amp;$E233&amp;"|"&amp;$F233,'PET_STAT_RULES'!$A$5:$A$88,'PET_STAT_RULES'!$D$5:$D$88)</x:f>
        <x:v>18</x:v>
      </x:c>
      <x:c r="L233" s="340" t="n">
        <x:f>XLOOKUP($D233&amp;"|"&amp;$E233&amp;"|"&amp;$F233,'PET_STAT_RULES'!$A$5:$A$88,'PET_STAT_RULES'!$F$5:$F$88)</x:f>
        <x:v>6</x:v>
      </x:c>
      <x:c r="M233" s="340" t="n">
        <x:f>XLOOKUP($D233&amp;"|"&amp;$E233&amp;"|"&amp;$F233,'PET_STAT_RULES'!$A$5:$A$88,'PET_STAT_RULES'!$G$5:$G$88)</x:f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  <x:c r="W233" s="332" t="n">
        <x:f>XLOOKUP($D233&amp;"|"&amp;$E233&amp;"|"&amp;$F233,'PET_STAT_RULES'!$A$5:$A$88,'PET_STAT_RULES'!$E$5:$E$88)</x:f>
        <x:v>0</x:v>
      </x:c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40" t="n">
        <x:f>XLOOKUP($D234&amp;"|"&amp;$E234&amp;"|"&amp;$F234,'PET_STAT_RULES'!$A$5:$A$88,'PET_STAT_RULES'!$C$5:$C$88)</x:f>
        <x:v>66</x:v>
      </x:c>
      <x:c r="K234" s="340" t="n">
        <x:f>XLOOKUP($D234&amp;"|"&amp;$E234&amp;"|"&amp;$F234,'PET_STAT_RULES'!$A$5:$A$88,'PET_STAT_RULES'!$D$5:$D$88)</x:f>
        <x:v>18</x:v>
      </x:c>
      <x:c r="L234" s="340" t="n">
        <x:f>XLOOKUP($D234&amp;"|"&amp;$E234&amp;"|"&amp;$F234,'PET_STAT_RULES'!$A$5:$A$88,'PET_STAT_RULES'!$F$5:$F$88)</x:f>
        <x:v>14</x:v>
      </x:c>
      <x:c r="M234" s="340" t="n">
        <x:f>XLOOKUP($D234&amp;"|"&amp;$E234&amp;"|"&amp;$F234,'PET_STAT_RULES'!$A$5:$A$88,'PET_STAT_RULES'!$G$5:$G$88)</x:f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  <x:c r="W234" s="332" t="n">
        <x:f>XLOOKUP($D234&amp;"|"&amp;$E234&amp;"|"&amp;$F234,'PET_STAT_RULES'!$A$5:$A$88,'PET_STAT_RULES'!$E$5:$E$88)</x:f>
        <x:v>0</x:v>
      </x:c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40" t="n">
        <x:f>XLOOKUP($D235&amp;"|"&amp;$E235&amp;"|"&amp;$F235,'PET_STAT_RULES'!$A$5:$A$88,'PET_STAT_RULES'!$C$5:$C$88)</x:f>
        <x:v>44</x:v>
      </x:c>
      <x:c r="K235" s="340" t="n">
        <x:f>XLOOKUP($D235&amp;"|"&amp;$E235&amp;"|"&amp;$F235,'PET_STAT_RULES'!$A$5:$A$88,'PET_STAT_RULES'!$D$5:$D$88)</x:f>
        <x:v>14</x:v>
      </x:c>
      <x:c r="L235" s="340" t="n">
        <x:f>XLOOKUP($D235&amp;"|"&amp;$E235&amp;"|"&amp;$F235,'PET_STAT_RULES'!$A$5:$A$88,'PET_STAT_RULES'!$F$5:$F$88)</x:f>
        <x:v>0</x:v>
      </x:c>
      <x:c r="M235" s="340" t="n">
        <x:f>XLOOKUP($D235&amp;"|"&amp;$E235&amp;"|"&amp;$F235,'PET_STAT_RULES'!$A$5:$A$88,'PET_STAT_RULES'!$G$5:$G$88)</x:f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  <x:c r="W235" s="332" t="n">
        <x:f>XLOOKUP($D235&amp;"|"&amp;$E235&amp;"|"&amp;$F235,'PET_STAT_RULES'!$A$5:$A$88,'PET_STAT_RULES'!$E$5:$E$88)</x:f>
        <x:v>0</x:v>
      </x:c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40" t="n">
        <x:f>XLOOKUP($D236&amp;"|"&amp;$E236&amp;"|"&amp;$F236,'PET_STAT_RULES'!$A$5:$A$88,'PET_STAT_RULES'!$C$5:$C$88)</x:f>
        <x:v>40</x:v>
      </x:c>
      <x:c r="K236" s="340" t="n">
        <x:f>XLOOKUP($D236&amp;"|"&amp;$E236&amp;"|"&amp;$F236,'PET_STAT_RULES'!$A$5:$A$88,'PET_STAT_RULES'!$D$5:$D$88)</x:f>
        <x:v>12</x:v>
      </x:c>
      <x:c r="L236" s="340" t="n">
        <x:f>XLOOKUP($D236&amp;"|"&amp;$E236&amp;"|"&amp;$F236,'PET_STAT_RULES'!$A$5:$A$88,'PET_STAT_RULES'!$F$5:$F$88)</x:f>
        <x:v>0</x:v>
      </x:c>
      <x:c r="M236" s="340" t="n">
        <x:f>XLOOKUP($D236&amp;"|"&amp;$E236&amp;"|"&amp;$F236,'PET_STAT_RULES'!$A$5:$A$88,'PET_STAT_RULES'!$G$5:$G$88)</x:f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  <x:c r="W236" s="332" t="n">
        <x:f>XLOOKUP($D236&amp;"|"&amp;$E236&amp;"|"&amp;$F236,'PET_STAT_RULES'!$A$5:$A$88,'PET_STAT_RULES'!$E$5:$E$88)</x:f>
        <x:v>0</x:v>
      </x:c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40" t="n">
        <x:f>XLOOKUP($D237&amp;"|"&amp;$E237&amp;"|"&amp;$F237,'PET_STAT_RULES'!$A$5:$A$88,'PET_STAT_RULES'!$C$5:$C$88)</x:f>
        <x:v>64</x:v>
      </x:c>
      <x:c r="K237" s="340" t="n">
        <x:f>XLOOKUP($D237&amp;"|"&amp;$E237&amp;"|"&amp;$F237,'PET_STAT_RULES'!$A$5:$A$88,'PET_STAT_RULES'!$D$5:$D$88)</x:f>
        <x:v>36</x:v>
      </x:c>
      <x:c r="L237" s="340" t="n">
        <x:f>XLOOKUP($D237&amp;"|"&amp;$E237&amp;"|"&amp;$F237,'PET_STAT_RULES'!$A$5:$A$88,'PET_STAT_RULES'!$F$5:$F$88)</x:f>
        <x:v>0</x:v>
      </x:c>
      <x:c r="M237" s="340" t="n">
        <x:f>XLOOKUP($D237&amp;"|"&amp;$E237&amp;"|"&amp;$F237,'PET_STAT_RULES'!$A$5:$A$88,'PET_STAT_RULES'!$G$5:$G$88)</x:f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  <x:c r="W237" s="332" t="n">
        <x:f>XLOOKUP($D237&amp;"|"&amp;$E237&amp;"|"&amp;$F237,'PET_STAT_RULES'!$A$5:$A$88,'PET_STAT_RULES'!$E$5:$E$88)</x:f>
        <x:v>0</x:v>
      </x:c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40" t="n">
        <x:f>XLOOKUP($D238&amp;"|"&amp;$E238&amp;"|"&amp;$F238,'PET_STAT_RULES'!$A$5:$A$88,'PET_STAT_RULES'!$C$5:$C$88)</x:f>
        <x:v>56</x:v>
      </x:c>
      <x:c r="K238" s="340" t="n">
        <x:f>XLOOKUP($D238&amp;"|"&amp;$E238&amp;"|"&amp;$F238,'PET_STAT_RULES'!$A$5:$A$88,'PET_STAT_RULES'!$D$5:$D$88)</x:f>
        <x:v>20</x:v>
      </x:c>
      <x:c r="L238" s="340" t="n">
        <x:f>XLOOKUP($D238&amp;"|"&amp;$E238&amp;"|"&amp;$F238,'PET_STAT_RULES'!$A$5:$A$88,'PET_STAT_RULES'!$F$5:$F$88)</x:f>
        <x:v>0</x:v>
      </x:c>
      <x:c r="M238" s="340" t="n">
        <x:f>XLOOKUP($D238&amp;"|"&amp;$E238&amp;"|"&amp;$F238,'PET_STAT_RULES'!$A$5:$A$88,'PET_STAT_RULES'!$G$5:$G$88)</x:f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  <x:c r="W238" s="332" t="n">
        <x:f>XLOOKUP($D238&amp;"|"&amp;$E238&amp;"|"&amp;$F238,'PET_STAT_RULES'!$A$5:$A$88,'PET_STAT_RULES'!$E$5:$E$88)</x:f>
        <x:v>0</x:v>
      </x:c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40" t="n">
        <x:f>XLOOKUP($D239&amp;"|"&amp;$E239&amp;"|"&amp;$F239,'PET_STAT_RULES'!$A$5:$A$88,'PET_STAT_RULES'!$C$5:$C$88)</x:f>
        <x:v>42</x:v>
      </x:c>
      <x:c r="K239" s="340" t="n">
        <x:f>XLOOKUP($D239&amp;"|"&amp;$E239&amp;"|"&amp;$F239,'PET_STAT_RULES'!$A$5:$A$88,'PET_STAT_RULES'!$D$5:$D$88)</x:f>
        <x:v>6</x:v>
      </x:c>
      <x:c r="L239" s="340" t="n">
        <x:f>XLOOKUP($D239&amp;"|"&amp;$E239&amp;"|"&amp;$F239,'PET_STAT_RULES'!$A$5:$A$88,'PET_STAT_RULES'!$F$5:$F$88)</x:f>
        <x:v>6</x:v>
      </x:c>
      <x:c r="M239" s="340" t="n">
        <x:f>XLOOKUP($D239&amp;"|"&amp;$E239&amp;"|"&amp;$F239,'PET_STAT_RULES'!$A$5:$A$88,'PET_STAT_RULES'!$G$5:$G$88)</x:f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  <x:c r="W239" s="332" t="n">
        <x:f>XLOOKUP($D239&amp;"|"&amp;$E239&amp;"|"&amp;$F239,'PET_STAT_RULES'!$A$5:$A$88,'PET_STAT_RULES'!$E$5:$E$88)</x:f>
        <x:v>0</x:v>
      </x:c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40" t="n">
        <x:f>XLOOKUP($D240&amp;"|"&amp;$E240&amp;"|"&amp;$F240,'PET_STAT_RULES'!$A$5:$A$88,'PET_STAT_RULES'!$C$5:$C$88)</x:f>
        <x:v>70</x:v>
      </x:c>
      <x:c r="K240" s="340" t="n">
        <x:f>XLOOKUP($D240&amp;"|"&amp;$E240&amp;"|"&amp;$F240,'PET_STAT_RULES'!$A$5:$A$88,'PET_STAT_RULES'!$D$5:$D$88)</x:f>
        <x:v>24</x:v>
      </x:c>
      <x:c r="L240" s="340" t="n">
        <x:f>XLOOKUP($D240&amp;"|"&amp;$E240&amp;"|"&amp;$F240,'PET_STAT_RULES'!$A$5:$A$88,'PET_STAT_RULES'!$F$5:$F$88)</x:f>
        <x:v>8</x:v>
      </x:c>
      <x:c r="M240" s="340" t="n">
        <x:f>XLOOKUP($D240&amp;"|"&amp;$E240&amp;"|"&amp;$F240,'PET_STAT_RULES'!$A$5:$A$88,'PET_STAT_RULES'!$G$5:$G$88)</x:f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  <x:c r="W240" s="332" t="n">
        <x:f>XLOOKUP($D240&amp;"|"&amp;$E240&amp;"|"&amp;$F240,'PET_STAT_RULES'!$A$5:$A$88,'PET_STAT_RULES'!$E$5:$E$88)</x:f>
        <x:v>0</x:v>
      </x:c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40" t="n">
        <x:f>XLOOKUP($D241&amp;"|"&amp;$E241&amp;"|"&amp;$F241,'PET_STAT_RULES'!$A$5:$A$88,'PET_STAT_RULES'!$C$5:$C$88)</x:f>
        <x:v>46</x:v>
      </x:c>
      <x:c r="K241" s="340" t="n">
        <x:f>XLOOKUP($D241&amp;"|"&amp;$E241&amp;"|"&amp;$F241,'PET_STAT_RULES'!$A$5:$A$88,'PET_STAT_RULES'!$D$5:$D$88)</x:f>
        <x:v>12</x:v>
      </x:c>
      <x:c r="L241" s="340" t="n">
        <x:f>XLOOKUP($D241&amp;"|"&amp;$E241&amp;"|"&amp;$F241,'PET_STAT_RULES'!$A$5:$A$88,'PET_STAT_RULES'!$F$5:$F$88)</x:f>
        <x:v>4</x:v>
      </x:c>
      <x:c r="M241" s="340" t="n">
        <x:f>XLOOKUP($D241&amp;"|"&amp;$E241&amp;"|"&amp;$F241,'PET_STAT_RULES'!$A$5:$A$88,'PET_STAT_RULES'!$G$5:$G$88)</x:f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  <x:c r="W241" s="332" t="n">
        <x:f>XLOOKUP($D241&amp;"|"&amp;$E241&amp;"|"&amp;$F241,'PET_STAT_RULES'!$A$5:$A$88,'PET_STAT_RULES'!$E$5:$E$88)</x:f>
        <x:v>0</x:v>
      </x:c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40" t="n">
        <x:f>XLOOKUP($D242&amp;"|"&amp;$E242&amp;"|"&amp;$F242,'PET_STAT_RULES'!$A$5:$A$88,'PET_STAT_RULES'!$C$5:$C$88)</x:f>
        <x:v>56</x:v>
      </x:c>
      <x:c r="K242" s="340" t="n">
        <x:f>XLOOKUP($D242&amp;"|"&amp;$E242&amp;"|"&amp;$F242,'PET_STAT_RULES'!$A$5:$A$88,'PET_STAT_RULES'!$D$5:$D$88)</x:f>
        <x:v>20</x:v>
      </x:c>
      <x:c r="L242" s="340" t="n">
        <x:f>XLOOKUP($D242&amp;"|"&amp;$E242&amp;"|"&amp;$F242,'PET_STAT_RULES'!$A$5:$A$88,'PET_STAT_RULES'!$F$5:$F$88)</x:f>
        <x:v>0</x:v>
      </x:c>
      <x:c r="M242" s="340" t="n">
        <x:f>XLOOKUP($D242&amp;"|"&amp;$E242&amp;"|"&amp;$F242,'PET_STAT_RULES'!$A$5:$A$88,'PET_STAT_RULES'!$G$5:$G$88)</x:f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  <x:c r="W242" s="332" t="n">
        <x:f>XLOOKUP($D242&amp;"|"&amp;$E242&amp;"|"&amp;$F242,'PET_STAT_RULES'!$A$5:$A$88,'PET_STAT_RULES'!$E$5:$E$88)</x:f>
        <x:v>0</x:v>
      </x:c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40" t="n">
        <x:f>XLOOKUP($D243&amp;"|"&amp;$E243&amp;"|"&amp;$F243,'PET_STAT_RULES'!$A$5:$A$88,'PET_STAT_RULES'!$C$5:$C$88)</x:f>
        <x:v>28</x:v>
      </x:c>
      <x:c r="K243" s="340" t="n">
        <x:f>XLOOKUP($D243&amp;"|"&amp;$E243&amp;"|"&amp;$F243,'PET_STAT_RULES'!$A$5:$A$88,'PET_STAT_RULES'!$D$5:$D$88)</x:f>
        <x:v>12</x:v>
      </x:c>
      <x:c r="L243" s="340" t="n">
        <x:f>XLOOKUP($D243&amp;"|"&amp;$E243&amp;"|"&amp;$F243,'PET_STAT_RULES'!$A$5:$A$88,'PET_STAT_RULES'!$F$5:$F$88)</x:f>
        <x:v>0</x:v>
      </x:c>
      <x:c r="M243" s="340" t="n">
        <x:f>XLOOKUP($D243&amp;"|"&amp;$E243&amp;"|"&amp;$F243,'PET_STAT_RULES'!$A$5:$A$88,'PET_STAT_RULES'!$G$5:$G$88)</x:f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  <x:c r="W243" s="332" t="n">
        <x:f>XLOOKUP($D243&amp;"|"&amp;$E243&amp;"|"&amp;$F243,'PET_STAT_RULES'!$A$5:$A$88,'PET_STAT_RULES'!$E$5:$E$88)</x:f>
        <x:v>0</x:v>
      </x:c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40" t="n">
        <x:f>XLOOKUP($D244&amp;"|"&amp;$E244&amp;"|"&amp;$F244,'PET_STAT_RULES'!$A$5:$A$88,'PET_STAT_RULES'!$C$5:$C$88)</x:f>
        <x:v>28</x:v>
      </x:c>
      <x:c r="K244" s="340" t="n">
        <x:f>XLOOKUP($D244&amp;"|"&amp;$E244&amp;"|"&amp;$F244,'PET_STAT_RULES'!$A$5:$A$88,'PET_STAT_RULES'!$D$5:$D$88)</x:f>
        <x:v>12</x:v>
      </x:c>
      <x:c r="L244" s="340" t="n">
        <x:f>XLOOKUP($D244&amp;"|"&amp;$E244&amp;"|"&amp;$F244,'PET_STAT_RULES'!$A$5:$A$88,'PET_STAT_RULES'!$F$5:$F$88)</x:f>
        <x:v>0</x:v>
      </x:c>
      <x:c r="M244" s="340" t="n">
        <x:f>XLOOKUP($D244&amp;"|"&amp;$E244&amp;"|"&amp;$F244,'PET_STAT_RULES'!$A$5:$A$88,'PET_STAT_RULES'!$G$5:$G$88)</x:f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  <x:c r="W244" s="332" t="n">
        <x:f>XLOOKUP($D244&amp;"|"&amp;$E244&amp;"|"&amp;$F244,'PET_STAT_RULES'!$A$5:$A$88,'PET_STAT_RULES'!$E$5:$E$88)</x:f>
        <x:v>0</x:v>
      </x:c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40" t="n">
        <x:f>XLOOKUP($D245&amp;"|"&amp;$E245&amp;"|"&amp;$F245,'PET_STAT_RULES'!$A$5:$A$88,'PET_STAT_RULES'!$C$5:$C$88)</x:f>
        <x:v>44</x:v>
      </x:c>
      <x:c r="K245" s="340" t="n">
        <x:f>XLOOKUP($D245&amp;"|"&amp;$E245&amp;"|"&amp;$F245,'PET_STAT_RULES'!$A$5:$A$88,'PET_STAT_RULES'!$D$5:$D$88)</x:f>
        <x:v>14</x:v>
      </x:c>
      <x:c r="L245" s="340" t="n">
        <x:f>XLOOKUP($D245&amp;"|"&amp;$E245&amp;"|"&amp;$F245,'PET_STAT_RULES'!$A$5:$A$88,'PET_STAT_RULES'!$F$5:$F$88)</x:f>
        <x:v>0</x:v>
      </x:c>
      <x:c r="M245" s="340" t="n">
        <x:f>XLOOKUP($D245&amp;"|"&amp;$E245&amp;"|"&amp;$F245,'PET_STAT_RULES'!$A$5:$A$88,'PET_STAT_RULES'!$G$5:$G$88)</x:f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  <x:c r="W245" s="332" t="n">
        <x:f>XLOOKUP($D245&amp;"|"&amp;$E245&amp;"|"&amp;$F245,'PET_STAT_RULES'!$A$5:$A$88,'PET_STAT_RULES'!$E$5:$E$88)</x:f>
        <x:v>0</x:v>
      </x:c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40" t="n">
        <x:f>XLOOKUP($D246&amp;"|"&amp;$E246&amp;"|"&amp;$F246,'PET_STAT_RULES'!$A$5:$A$88,'PET_STAT_RULES'!$C$5:$C$88)</x:f>
        <x:v>56</x:v>
      </x:c>
      <x:c r="K246" s="340" t="n">
        <x:f>XLOOKUP($D246&amp;"|"&amp;$E246&amp;"|"&amp;$F246,'PET_STAT_RULES'!$A$5:$A$88,'PET_STAT_RULES'!$D$5:$D$88)</x:f>
        <x:v>20</x:v>
      </x:c>
      <x:c r="L246" s="340" t="n">
        <x:f>XLOOKUP($D246&amp;"|"&amp;$E246&amp;"|"&amp;$F246,'PET_STAT_RULES'!$A$5:$A$88,'PET_STAT_RULES'!$F$5:$F$88)</x:f>
        <x:v>0</x:v>
      </x:c>
      <x:c r="M246" s="340" t="n">
        <x:f>XLOOKUP($D246&amp;"|"&amp;$E246&amp;"|"&amp;$F246,'PET_STAT_RULES'!$A$5:$A$88,'PET_STAT_RULES'!$G$5:$G$88)</x:f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  <x:c r="W246" s="332" t="n">
        <x:f>XLOOKUP($D246&amp;"|"&amp;$E246&amp;"|"&amp;$F246,'PET_STAT_RULES'!$A$5:$A$88,'PET_STAT_RULES'!$E$5:$E$88)</x:f>
        <x:v>0</x:v>
      </x:c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40" t="n">
        <x:f>XLOOKUP($D247&amp;"|"&amp;$E247&amp;"|"&amp;$F247,'PET_STAT_RULES'!$A$5:$A$88,'PET_STAT_RULES'!$C$5:$C$88)</x:f>
        <x:v>40</x:v>
      </x:c>
      <x:c r="K247" s="340" t="n">
        <x:f>XLOOKUP($D247&amp;"|"&amp;$E247&amp;"|"&amp;$F247,'PET_STAT_RULES'!$A$5:$A$88,'PET_STAT_RULES'!$D$5:$D$88)</x:f>
        <x:v>12</x:v>
      </x:c>
      <x:c r="L247" s="340" t="n">
        <x:f>XLOOKUP($D247&amp;"|"&amp;$E247&amp;"|"&amp;$F247,'PET_STAT_RULES'!$A$5:$A$88,'PET_STAT_RULES'!$F$5:$F$88)</x:f>
        <x:v>0</x:v>
      </x:c>
      <x:c r="M247" s="340" t="n">
        <x:f>XLOOKUP($D247&amp;"|"&amp;$E247&amp;"|"&amp;$F247,'PET_STAT_RULES'!$A$5:$A$88,'PET_STAT_RULES'!$G$5:$G$88)</x:f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  <x:c r="W247" s="332" t="n">
        <x:f>XLOOKUP($D247&amp;"|"&amp;$E247&amp;"|"&amp;$F247,'PET_STAT_RULES'!$A$5:$A$88,'PET_STAT_RULES'!$E$5:$E$88)</x:f>
        <x:v>0</x:v>
      </x:c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40" t="n">
        <x:f>XLOOKUP($D248&amp;"|"&amp;$E248&amp;"|"&amp;$F248,'PET_STAT_RULES'!$A$5:$A$88,'PET_STAT_RULES'!$C$5:$C$88)</x:f>
        <x:v>46</x:v>
      </x:c>
      <x:c r="K248" s="340" t="n">
        <x:f>XLOOKUP($D248&amp;"|"&amp;$E248&amp;"|"&amp;$F248,'PET_STAT_RULES'!$A$5:$A$88,'PET_STAT_RULES'!$D$5:$D$88)</x:f>
        <x:v>12</x:v>
      </x:c>
      <x:c r="L248" s="340" t="n">
        <x:f>XLOOKUP($D248&amp;"|"&amp;$E248&amp;"|"&amp;$F248,'PET_STAT_RULES'!$A$5:$A$88,'PET_STAT_RULES'!$F$5:$F$88)</x:f>
        <x:v>4</x:v>
      </x:c>
      <x:c r="M248" s="340" t="n">
        <x:f>XLOOKUP($D248&amp;"|"&amp;$E248&amp;"|"&amp;$F248,'PET_STAT_RULES'!$A$5:$A$88,'PET_STAT_RULES'!$G$5:$G$88)</x:f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  <x:c r="W248" s="332" t="n">
        <x:f>XLOOKUP($D248&amp;"|"&amp;$E248&amp;"|"&amp;$F248,'PET_STAT_RULES'!$A$5:$A$88,'PET_STAT_RULES'!$E$5:$E$88)</x:f>
        <x:v>0</x:v>
      </x:c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40" t="n">
        <x:f>XLOOKUP($D249&amp;"|"&amp;$E249&amp;"|"&amp;$F249,'PET_STAT_RULES'!$A$5:$A$88,'PET_STAT_RULES'!$C$5:$C$88)</x:f>
        <x:v>54</x:v>
      </x:c>
      <x:c r="K249" s="340" t="n">
        <x:f>XLOOKUP($D249&amp;"|"&amp;$E249&amp;"|"&amp;$F249,'PET_STAT_RULES'!$A$5:$A$88,'PET_STAT_RULES'!$D$5:$D$88)</x:f>
        <x:v>12</x:v>
      </x:c>
      <x:c r="L249" s="340" t="n">
        <x:f>XLOOKUP($D249&amp;"|"&amp;$E249&amp;"|"&amp;$F249,'PET_STAT_RULES'!$A$5:$A$88,'PET_STAT_RULES'!$F$5:$F$88)</x:f>
        <x:v>10</x:v>
      </x:c>
      <x:c r="M249" s="340" t="n">
        <x:f>XLOOKUP($D249&amp;"|"&amp;$E249&amp;"|"&amp;$F249,'PET_STAT_RULES'!$A$5:$A$88,'PET_STAT_RULES'!$G$5:$G$88)</x:f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  <x:c r="W249" s="332" t="n">
        <x:f>XLOOKUP($D249&amp;"|"&amp;$E249&amp;"|"&amp;$F249,'PET_STAT_RULES'!$A$5:$A$88,'PET_STAT_RULES'!$E$5:$E$88)</x:f>
        <x:v>0</x:v>
      </x:c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40" t="n">
        <x:f>XLOOKUP($D250&amp;"|"&amp;$E250&amp;"|"&amp;$F250,'PET_STAT_RULES'!$A$5:$A$88,'PET_STAT_RULES'!$C$5:$C$88)</x:f>
        <x:v>64</x:v>
      </x:c>
      <x:c r="K250" s="340" t="n">
        <x:f>XLOOKUP($D250&amp;"|"&amp;$E250&amp;"|"&amp;$F250,'PET_STAT_RULES'!$A$5:$A$88,'PET_STAT_RULES'!$D$5:$D$88)</x:f>
        <x:v>36</x:v>
      </x:c>
      <x:c r="L250" s="340" t="n">
        <x:f>XLOOKUP($D250&amp;"|"&amp;$E250&amp;"|"&amp;$F250,'PET_STAT_RULES'!$A$5:$A$88,'PET_STAT_RULES'!$F$5:$F$88)</x:f>
        <x:v>0</x:v>
      </x:c>
      <x:c r="M250" s="340" t="n">
        <x:f>XLOOKUP($D250&amp;"|"&amp;$E250&amp;"|"&amp;$F250,'PET_STAT_RULES'!$A$5:$A$88,'PET_STAT_RULES'!$G$5:$G$88)</x:f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  <x:c r="W250" s="332" t="n">
        <x:f>XLOOKUP($D250&amp;"|"&amp;$E250&amp;"|"&amp;$F250,'PET_STAT_RULES'!$A$5:$A$88,'PET_STAT_RULES'!$E$5:$E$88)</x:f>
        <x:v>0</x:v>
      </x:c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40" t="n">
        <x:f>XLOOKUP($D251&amp;"|"&amp;$E251&amp;"|"&amp;$F251,'PET_STAT_RULES'!$A$5:$A$88,'PET_STAT_RULES'!$C$5:$C$88)</x:f>
        <x:v>44</x:v>
      </x:c>
      <x:c r="K251" s="340" t="n">
        <x:f>XLOOKUP($D251&amp;"|"&amp;$E251&amp;"|"&amp;$F251,'PET_STAT_RULES'!$A$5:$A$88,'PET_STAT_RULES'!$D$5:$D$88)</x:f>
        <x:v>14</x:v>
      </x:c>
      <x:c r="L251" s="340" t="n">
        <x:f>XLOOKUP($D251&amp;"|"&amp;$E251&amp;"|"&amp;$F251,'PET_STAT_RULES'!$A$5:$A$88,'PET_STAT_RULES'!$F$5:$F$88)</x:f>
        <x:v>0</x:v>
      </x:c>
      <x:c r="M251" s="340" t="n">
        <x:f>XLOOKUP($D251&amp;"|"&amp;$E251&amp;"|"&amp;$F251,'PET_STAT_RULES'!$A$5:$A$88,'PET_STAT_RULES'!$G$5:$G$88)</x:f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  <x:c r="W251" s="332" t="n">
        <x:f>XLOOKUP($D251&amp;"|"&amp;$E251&amp;"|"&amp;$F251,'PET_STAT_RULES'!$A$5:$A$88,'PET_STAT_RULES'!$E$5:$E$88)</x:f>
        <x:v>0</x:v>
      </x:c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40" t="n">
        <x:f>XLOOKUP($D252&amp;"|"&amp;$E252&amp;"|"&amp;$F252,'PET_STAT_RULES'!$A$5:$A$88,'PET_STAT_RULES'!$C$5:$C$88)</x:f>
        <x:v>66</x:v>
      </x:c>
      <x:c r="K252" s="340" t="n">
        <x:f>XLOOKUP($D252&amp;"|"&amp;$E252&amp;"|"&amp;$F252,'PET_STAT_RULES'!$A$5:$A$88,'PET_STAT_RULES'!$D$5:$D$88)</x:f>
        <x:v>18</x:v>
      </x:c>
      <x:c r="L252" s="340" t="n">
        <x:f>XLOOKUP($D252&amp;"|"&amp;$E252&amp;"|"&amp;$F252,'PET_STAT_RULES'!$A$5:$A$88,'PET_STAT_RULES'!$F$5:$F$88)</x:f>
        <x:v>14</x:v>
      </x:c>
      <x:c r="M252" s="340" t="n">
        <x:f>XLOOKUP($D252&amp;"|"&amp;$E252&amp;"|"&amp;$F252,'PET_STAT_RULES'!$A$5:$A$88,'PET_STAT_RULES'!$G$5:$G$88)</x:f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  <x:c r="W252" s="332" t="n">
        <x:f>XLOOKUP($D252&amp;"|"&amp;$E252&amp;"|"&amp;$F252,'PET_STAT_RULES'!$A$5:$A$88,'PET_STAT_RULES'!$E$5:$E$88)</x:f>
        <x:v>0</x:v>
      </x:c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40" t="n">
        <x:f>XLOOKUP($D253&amp;"|"&amp;$E253&amp;"|"&amp;$F253,'PET_STAT_RULES'!$A$5:$A$88,'PET_STAT_RULES'!$C$5:$C$88)</x:f>
        <x:v>56</x:v>
      </x:c>
      <x:c r="K253" s="340" t="n">
        <x:f>XLOOKUP($D253&amp;"|"&amp;$E253&amp;"|"&amp;$F253,'PET_STAT_RULES'!$A$5:$A$88,'PET_STAT_RULES'!$D$5:$D$88)</x:f>
        <x:v>20</x:v>
      </x:c>
      <x:c r="L253" s="340" t="n">
        <x:f>XLOOKUP($D253&amp;"|"&amp;$E253&amp;"|"&amp;$F253,'PET_STAT_RULES'!$A$5:$A$88,'PET_STAT_RULES'!$F$5:$F$88)</x:f>
        <x:v>0</x:v>
      </x:c>
      <x:c r="M253" s="340" t="n">
        <x:f>XLOOKUP($D253&amp;"|"&amp;$E253&amp;"|"&amp;$F253,'PET_STAT_RULES'!$A$5:$A$88,'PET_STAT_RULES'!$G$5:$G$88)</x:f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  <x:c r="W253" s="332" t="n">
        <x:f>XLOOKUP($D253&amp;"|"&amp;$E253&amp;"|"&amp;$F253,'PET_STAT_RULES'!$A$5:$A$88,'PET_STAT_RULES'!$E$5:$E$88)</x:f>
        <x:v>0</x:v>
      </x:c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40" t="n">
        <x:f>XLOOKUP($D254&amp;"|"&amp;$E254&amp;"|"&amp;$F254,'PET_STAT_RULES'!$A$5:$A$88,'PET_STAT_RULES'!$C$5:$C$88)</x:f>
        <x:v>44</x:v>
      </x:c>
      <x:c r="K254" s="340" t="n">
        <x:f>XLOOKUP($D254&amp;"|"&amp;$E254&amp;"|"&amp;$F254,'PET_STAT_RULES'!$A$5:$A$88,'PET_STAT_RULES'!$D$5:$D$88)</x:f>
        <x:v>14</x:v>
      </x:c>
      <x:c r="L254" s="340" t="n">
        <x:f>XLOOKUP($D254&amp;"|"&amp;$E254&amp;"|"&amp;$F254,'PET_STAT_RULES'!$A$5:$A$88,'PET_STAT_RULES'!$F$5:$F$88)</x:f>
        <x:v>0</x:v>
      </x:c>
      <x:c r="M254" s="340" t="n">
        <x:f>XLOOKUP($D254&amp;"|"&amp;$E254&amp;"|"&amp;$F254,'PET_STAT_RULES'!$A$5:$A$88,'PET_STAT_RULES'!$G$5:$G$88)</x:f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  <x:c r="W254" s="332" t="n">
        <x:f>XLOOKUP($D254&amp;"|"&amp;$E254&amp;"|"&amp;$F254,'PET_STAT_RULES'!$A$5:$A$88,'PET_STAT_RULES'!$E$5:$E$88)</x:f>
        <x:v>0</x:v>
      </x:c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40" t="n">
        <x:f>XLOOKUP($D255&amp;"|"&amp;$E255&amp;"|"&amp;$F255,'PET_STAT_RULES'!$A$5:$A$88,'PET_STAT_RULES'!$C$5:$C$88)</x:f>
        <x:v>56</x:v>
      </x:c>
      <x:c r="K255" s="340" t="n">
        <x:f>XLOOKUP($D255&amp;"|"&amp;$E255&amp;"|"&amp;$F255,'PET_STAT_RULES'!$A$5:$A$88,'PET_STAT_RULES'!$D$5:$D$88)</x:f>
        <x:v>20</x:v>
      </x:c>
      <x:c r="L255" s="340" t="n">
        <x:f>XLOOKUP($D255&amp;"|"&amp;$E255&amp;"|"&amp;$F255,'PET_STAT_RULES'!$A$5:$A$88,'PET_STAT_RULES'!$F$5:$F$88)</x:f>
        <x:v>0</x:v>
      </x:c>
      <x:c r="M255" s="340" t="n">
        <x:f>XLOOKUP($D255&amp;"|"&amp;$E255&amp;"|"&amp;$F255,'PET_STAT_RULES'!$A$5:$A$88,'PET_STAT_RULES'!$G$5:$G$88)</x:f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  <x:c r="W255" s="332" t="n">
        <x:f>XLOOKUP($D255&amp;"|"&amp;$E255&amp;"|"&amp;$F255,'PET_STAT_RULES'!$A$5:$A$88,'PET_STAT_RULES'!$E$5:$E$88)</x:f>
        <x:v>0</x:v>
      </x:c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40" t="n">
        <x:f>XLOOKUP($D256&amp;"|"&amp;$E256&amp;"|"&amp;$F256,'PET_STAT_RULES'!$A$5:$A$88,'PET_STAT_RULES'!$C$5:$C$88)</x:f>
        <x:v>44</x:v>
      </x:c>
      <x:c r="K256" s="340" t="n">
        <x:f>XLOOKUP($D256&amp;"|"&amp;$E256&amp;"|"&amp;$F256,'PET_STAT_RULES'!$A$5:$A$88,'PET_STAT_RULES'!$D$5:$D$88)</x:f>
        <x:v>14</x:v>
      </x:c>
      <x:c r="L256" s="340" t="n">
        <x:f>XLOOKUP($D256&amp;"|"&amp;$E256&amp;"|"&amp;$F256,'PET_STAT_RULES'!$A$5:$A$88,'PET_STAT_RULES'!$F$5:$F$88)</x:f>
        <x:v>0</x:v>
      </x:c>
      <x:c r="M256" s="340" t="n">
        <x:f>XLOOKUP($D256&amp;"|"&amp;$E256&amp;"|"&amp;$F256,'PET_STAT_RULES'!$A$5:$A$88,'PET_STAT_RULES'!$G$5:$G$88)</x:f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  <x:c r="W256" s="332" t="n">
        <x:f>XLOOKUP($D256&amp;"|"&amp;$E256&amp;"|"&amp;$F256,'PET_STAT_RULES'!$A$5:$A$88,'PET_STAT_RULES'!$E$5:$E$88)</x:f>
        <x:v>0</x:v>
      </x:c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40" t="n">
        <x:f>XLOOKUP($D257&amp;"|"&amp;$E257&amp;"|"&amp;$F257,'PET_STAT_RULES'!$A$5:$A$88,'PET_STAT_RULES'!$C$5:$C$88)</x:f>
        <x:v>40</x:v>
      </x:c>
      <x:c r="K257" s="340" t="n">
        <x:f>XLOOKUP($D257&amp;"|"&amp;$E257&amp;"|"&amp;$F257,'PET_STAT_RULES'!$A$5:$A$88,'PET_STAT_RULES'!$D$5:$D$88)</x:f>
        <x:v>12</x:v>
      </x:c>
      <x:c r="L257" s="340" t="n">
        <x:f>XLOOKUP($D257&amp;"|"&amp;$E257&amp;"|"&amp;$F257,'PET_STAT_RULES'!$A$5:$A$88,'PET_STAT_RULES'!$F$5:$F$88)</x:f>
        <x:v>0</x:v>
      </x:c>
      <x:c r="M257" s="340" t="n">
        <x:f>XLOOKUP($D257&amp;"|"&amp;$E257&amp;"|"&amp;$F257,'PET_STAT_RULES'!$A$5:$A$88,'PET_STAT_RULES'!$G$5:$G$88)</x:f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  <x:c r="W257" s="332" t="n">
        <x:f>XLOOKUP($D257&amp;"|"&amp;$E257&amp;"|"&amp;$F257,'PET_STAT_RULES'!$A$5:$A$88,'PET_STAT_RULES'!$E$5:$E$88)</x:f>
        <x:v>0</x:v>
      </x:c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40" t="n">
        <x:f>XLOOKUP($D258&amp;"|"&amp;$E258&amp;"|"&amp;$F258,'PET_STAT_RULES'!$A$5:$A$88,'PET_STAT_RULES'!$C$5:$C$88)</x:f>
        <x:v>40</x:v>
      </x:c>
      <x:c r="K258" s="340" t="n">
        <x:f>XLOOKUP($D258&amp;"|"&amp;$E258&amp;"|"&amp;$F258,'PET_STAT_RULES'!$A$5:$A$88,'PET_STAT_RULES'!$D$5:$D$88)</x:f>
        <x:v>20</x:v>
      </x:c>
      <x:c r="L258" s="340" t="n">
        <x:f>XLOOKUP($D258&amp;"|"&amp;$E258&amp;"|"&amp;$F258,'PET_STAT_RULES'!$A$5:$A$88,'PET_STAT_RULES'!$F$5:$F$88)</x:f>
        <x:v>0</x:v>
      </x:c>
      <x:c r="M258" s="340" t="n">
        <x:f>XLOOKUP($D258&amp;"|"&amp;$E258&amp;"|"&amp;$F258,'PET_STAT_RULES'!$A$5:$A$88,'PET_STAT_RULES'!$G$5:$G$88)</x:f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  <x:c r="W258" s="332" t="n">
        <x:f>XLOOKUP($D258&amp;"|"&amp;$E258&amp;"|"&amp;$F258,'PET_STAT_RULES'!$A$5:$A$88,'PET_STAT_RULES'!$E$5:$E$88)</x:f>
        <x:v>0</x:v>
      </x:c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40" t="n">
        <x:f>XLOOKUP($D259&amp;"|"&amp;$E259&amp;"|"&amp;$F259,'PET_STAT_RULES'!$A$5:$A$88,'PET_STAT_RULES'!$C$5:$C$88)</x:f>
        <x:v>46</x:v>
      </x:c>
      <x:c r="K259" s="340" t="n">
        <x:f>XLOOKUP($D259&amp;"|"&amp;$E259&amp;"|"&amp;$F259,'PET_STAT_RULES'!$A$5:$A$88,'PET_STAT_RULES'!$D$5:$D$88)</x:f>
        <x:v>12</x:v>
      </x:c>
      <x:c r="L259" s="340" t="n">
        <x:f>XLOOKUP($D259&amp;"|"&amp;$E259&amp;"|"&amp;$F259,'PET_STAT_RULES'!$A$5:$A$88,'PET_STAT_RULES'!$F$5:$F$88)</x:f>
        <x:v>4</x:v>
      </x:c>
      <x:c r="M259" s="340" t="n">
        <x:f>XLOOKUP($D259&amp;"|"&amp;$E259&amp;"|"&amp;$F259,'PET_STAT_RULES'!$A$5:$A$88,'PET_STAT_RULES'!$G$5:$G$88)</x:f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  <x:c r="W259" s="332" t="n">
        <x:f>XLOOKUP($D259&amp;"|"&amp;$E259&amp;"|"&amp;$F259,'PET_STAT_RULES'!$A$5:$A$88,'PET_STAT_RULES'!$E$5:$E$88)</x:f>
        <x:v>0</x:v>
      </x:c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40" t="n">
        <x:f>XLOOKUP($D260&amp;"|"&amp;$E260&amp;"|"&amp;$F260,'PET_STAT_RULES'!$A$5:$A$88,'PET_STAT_RULES'!$C$5:$C$88)</x:f>
        <x:v>40</x:v>
      </x:c>
      <x:c r="K260" s="340" t="n">
        <x:f>XLOOKUP($D260&amp;"|"&amp;$E260&amp;"|"&amp;$F260,'PET_STAT_RULES'!$A$5:$A$88,'PET_STAT_RULES'!$D$5:$D$88)</x:f>
        <x:v>12</x:v>
      </x:c>
      <x:c r="L260" s="340" t="n">
        <x:f>XLOOKUP($D260&amp;"|"&amp;$E260&amp;"|"&amp;$F260,'PET_STAT_RULES'!$A$5:$A$88,'PET_STAT_RULES'!$F$5:$F$88)</x:f>
        <x:v>0</x:v>
      </x:c>
      <x:c r="M260" s="340" t="n">
        <x:f>XLOOKUP($D260&amp;"|"&amp;$E260&amp;"|"&amp;$F260,'PET_STAT_RULES'!$A$5:$A$88,'PET_STAT_RULES'!$G$5:$G$88)</x:f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  <x:c r="W260" s="332" t="n">
        <x:f>XLOOKUP($D260&amp;"|"&amp;$E260&amp;"|"&amp;$F260,'PET_STAT_RULES'!$A$5:$A$88,'PET_STAT_RULES'!$E$5:$E$88)</x:f>
        <x:v>0</x:v>
      </x:c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40" t="n">
        <x:f>XLOOKUP($D261&amp;"|"&amp;$E261&amp;"|"&amp;$F261,'PET_STAT_RULES'!$A$5:$A$88,'PET_STAT_RULES'!$C$5:$C$88)</x:f>
        <x:v>28</x:v>
      </x:c>
      <x:c r="K261" s="340" t="n">
        <x:f>XLOOKUP($D261&amp;"|"&amp;$E261&amp;"|"&amp;$F261,'PET_STAT_RULES'!$A$5:$A$88,'PET_STAT_RULES'!$D$5:$D$88)</x:f>
        <x:v>12</x:v>
      </x:c>
      <x:c r="L261" s="340" t="n">
        <x:f>XLOOKUP($D261&amp;"|"&amp;$E261&amp;"|"&amp;$F261,'PET_STAT_RULES'!$A$5:$A$88,'PET_STAT_RULES'!$F$5:$F$88)</x:f>
        <x:v>0</x:v>
      </x:c>
      <x:c r="M261" s="340" t="n">
        <x:f>XLOOKUP($D261&amp;"|"&amp;$E261&amp;"|"&amp;$F261,'PET_STAT_RULES'!$A$5:$A$88,'PET_STAT_RULES'!$G$5:$G$88)</x:f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  <x:c r="W261" s="332" t="n">
        <x:f>XLOOKUP($D261&amp;"|"&amp;$E261&amp;"|"&amp;$F261,'PET_STAT_RULES'!$A$5:$A$88,'PET_STAT_RULES'!$E$5:$E$88)</x:f>
        <x:v>0</x:v>
      </x:c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40" t="n">
        <x:f>XLOOKUP($D262&amp;"|"&amp;$E262&amp;"|"&amp;$F262,'PET_STAT_RULES'!$A$5:$A$88,'PET_STAT_RULES'!$C$5:$C$88)</x:f>
        <x:v>44</x:v>
      </x:c>
      <x:c r="K262" s="340" t="n">
        <x:f>XLOOKUP($D262&amp;"|"&amp;$E262&amp;"|"&amp;$F262,'PET_STAT_RULES'!$A$5:$A$88,'PET_STAT_RULES'!$D$5:$D$88)</x:f>
        <x:v>14</x:v>
      </x:c>
      <x:c r="L262" s="340" t="n">
        <x:f>XLOOKUP($D262&amp;"|"&amp;$E262&amp;"|"&amp;$F262,'PET_STAT_RULES'!$A$5:$A$88,'PET_STAT_RULES'!$F$5:$F$88)</x:f>
        <x:v>0</x:v>
      </x:c>
      <x:c r="M262" s="340" t="n">
        <x:f>XLOOKUP($D262&amp;"|"&amp;$E262&amp;"|"&amp;$F262,'PET_STAT_RULES'!$A$5:$A$88,'PET_STAT_RULES'!$G$5:$G$88)</x:f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  <x:c r="W262" s="332" t="n">
        <x:f>XLOOKUP($D262&amp;"|"&amp;$E262&amp;"|"&amp;$F262,'PET_STAT_RULES'!$A$5:$A$88,'PET_STAT_RULES'!$E$5:$E$88)</x:f>
        <x:v>0</x:v>
      </x:c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40" t="n">
        <x:f>XLOOKUP($D263&amp;"|"&amp;$E263&amp;"|"&amp;$F263,'PET_STAT_RULES'!$A$5:$A$88,'PET_STAT_RULES'!$C$5:$C$88)</x:f>
        <x:v>54</x:v>
      </x:c>
      <x:c r="K263" s="340" t="n">
        <x:f>XLOOKUP($D263&amp;"|"&amp;$E263&amp;"|"&amp;$F263,'PET_STAT_RULES'!$A$5:$A$88,'PET_STAT_RULES'!$D$5:$D$88)</x:f>
        <x:v>12</x:v>
      </x:c>
      <x:c r="L263" s="340" t="n">
        <x:f>XLOOKUP($D263&amp;"|"&amp;$E263&amp;"|"&amp;$F263,'PET_STAT_RULES'!$A$5:$A$88,'PET_STAT_RULES'!$F$5:$F$88)</x:f>
        <x:v>10</x:v>
      </x:c>
      <x:c r="M263" s="340" t="n">
        <x:f>XLOOKUP($D263&amp;"|"&amp;$E263&amp;"|"&amp;$F263,'PET_STAT_RULES'!$A$5:$A$88,'PET_STAT_RULES'!$G$5:$G$88)</x:f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  <x:c r="W263" s="332" t="n">
        <x:f>XLOOKUP($D263&amp;"|"&amp;$E263&amp;"|"&amp;$F263,'PET_STAT_RULES'!$A$5:$A$88,'PET_STAT_RULES'!$E$5:$E$88)</x:f>
        <x:v>0</x:v>
      </x:c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40" t="n">
        <x:f>XLOOKUP($D264&amp;"|"&amp;$E264&amp;"|"&amp;$F264,'PET_STAT_RULES'!$A$5:$A$88,'PET_STAT_RULES'!$C$5:$C$88)</x:f>
        <x:v>28</x:v>
      </x:c>
      <x:c r="K264" s="340" t="n">
        <x:f>XLOOKUP($D264&amp;"|"&amp;$E264&amp;"|"&amp;$F264,'PET_STAT_RULES'!$A$5:$A$88,'PET_STAT_RULES'!$D$5:$D$88)</x:f>
        <x:v>12</x:v>
      </x:c>
      <x:c r="L264" s="340" t="n">
        <x:f>XLOOKUP($D264&amp;"|"&amp;$E264&amp;"|"&amp;$F264,'PET_STAT_RULES'!$A$5:$A$88,'PET_STAT_RULES'!$F$5:$F$88)</x:f>
        <x:v>0</x:v>
      </x:c>
      <x:c r="M264" s="340" t="n">
        <x:f>XLOOKUP($D264&amp;"|"&amp;$E264&amp;"|"&amp;$F264,'PET_STAT_RULES'!$A$5:$A$88,'PET_STAT_RULES'!$G$5:$G$88)</x:f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  <x:c r="W264" s="332" t="n">
        <x:f>XLOOKUP($D264&amp;"|"&amp;$E264&amp;"|"&amp;$F264,'PET_STAT_RULES'!$A$5:$A$88,'PET_STAT_RULES'!$E$5:$E$88)</x:f>
        <x:v>0</x:v>
      </x:c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40" t="n">
        <x:f>XLOOKUP($D265&amp;"|"&amp;$E265&amp;"|"&amp;$F265,'PET_STAT_RULES'!$A$5:$A$88,'PET_STAT_RULES'!$C$5:$C$88)</x:f>
        <x:v>40</x:v>
      </x:c>
      <x:c r="K265" s="340" t="n">
        <x:f>XLOOKUP($D265&amp;"|"&amp;$E265&amp;"|"&amp;$F265,'PET_STAT_RULES'!$A$5:$A$88,'PET_STAT_RULES'!$D$5:$D$88)</x:f>
        <x:v>20</x:v>
      </x:c>
      <x:c r="L265" s="340" t="n">
        <x:f>XLOOKUP($D265&amp;"|"&amp;$E265&amp;"|"&amp;$F265,'PET_STAT_RULES'!$A$5:$A$88,'PET_STAT_RULES'!$F$5:$F$88)</x:f>
        <x:v>0</x:v>
      </x:c>
      <x:c r="M265" s="340" t="n">
        <x:f>XLOOKUP($D265&amp;"|"&amp;$E265&amp;"|"&amp;$F265,'PET_STAT_RULES'!$A$5:$A$88,'PET_STAT_RULES'!$G$5:$G$88)</x:f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  <x:c r="W265" s="332" t="n">
        <x:f>XLOOKUP($D265&amp;"|"&amp;$E265&amp;"|"&amp;$F265,'PET_STAT_RULES'!$A$5:$A$88,'PET_STAT_RULES'!$E$5:$E$88)</x:f>
        <x:v>0</x:v>
      </x:c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40" t="n">
        <x:f>XLOOKUP($D266&amp;"|"&amp;$E266&amp;"|"&amp;$F266,'PET_STAT_RULES'!$A$5:$A$88,'PET_STAT_RULES'!$C$5:$C$88)</x:f>
        <x:v>56</x:v>
      </x:c>
      <x:c r="K266" s="340" t="n">
        <x:f>XLOOKUP($D266&amp;"|"&amp;$E266&amp;"|"&amp;$F266,'PET_STAT_RULES'!$A$5:$A$88,'PET_STAT_RULES'!$D$5:$D$88)</x:f>
        <x:v>20</x:v>
      </x:c>
      <x:c r="L266" s="340" t="n">
        <x:f>XLOOKUP($D266&amp;"|"&amp;$E266&amp;"|"&amp;$F266,'PET_STAT_RULES'!$A$5:$A$88,'PET_STAT_RULES'!$F$5:$F$88)</x:f>
        <x:v>0</x:v>
      </x:c>
      <x:c r="M266" s="340" t="n">
        <x:f>XLOOKUP($D266&amp;"|"&amp;$E266&amp;"|"&amp;$F266,'PET_STAT_RULES'!$A$5:$A$88,'PET_STAT_RULES'!$G$5:$G$88)</x:f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  <x:c r="W266" s="332" t="n">
        <x:f>XLOOKUP($D266&amp;"|"&amp;$E266&amp;"|"&amp;$F266,'PET_STAT_RULES'!$A$5:$A$88,'PET_STAT_RULES'!$E$5:$E$88)</x:f>
        <x:v>0</x:v>
      </x:c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40" t="n">
        <x:f>XLOOKUP($D267&amp;"|"&amp;$E267&amp;"|"&amp;$F267,'PET_STAT_RULES'!$A$5:$A$88,'PET_STAT_RULES'!$C$5:$C$88)</x:f>
        <x:v>40</x:v>
      </x:c>
      <x:c r="K267" s="340" t="n">
        <x:f>XLOOKUP($D267&amp;"|"&amp;$E267&amp;"|"&amp;$F267,'PET_STAT_RULES'!$A$5:$A$88,'PET_STAT_RULES'!$D$5:$D$88)</x:f>
        <x:v>20</x:v>
      </x:c>
      <x:c r="L267" s="340" t="n">
        <x:f>XLOOKUP($D267&amp;"|"&amp;$E267&amp;"|"&amp;$F267,'PET_STAT_RULES'!$A$5:$A$88,'PET_STAT_RULES'!$F$5:$F$88)</x:f>
        <x:v>0</x:v>
      </x:c>
      <x:c r="M267" s="340" t="n">
        <x:f>XLOOKUP($D267&amp;"|"&amp;$E267&amp;"|"&amp;$F267,'PET_STAT_RULES'!$A$5:$A$88,'PET_STAT_RULES'!$G$5:$G$88)</x:f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  <x:c r="W267" s="332" t="n">
        <x:f>XLOOKUP($D267&amp;"|"&amp;$E267&amp;"|"&amp;$F267,'PET_STAT_RULES'!$A$5:$A$88,'PET_STAT_RULES'!$E$5:$E$88)</x:f>
        <x:v>0</x:v>
      </x:c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40" t="n">
        <x:f>XLOOKUP($D268&amp;"|"&amp;$E268&amp;"|"&amp;$F268,'PET_STAT_RULES'!$A$5:$A$88,'PET_STAT_RULES'!$C$5:$C$88)</x:f>
        <x:v>52</x:v>
      </x:c>
      <x:c r="K268" s="340" t="n">
        <x:f>XLOOKUP($D268&amp;"|"&amp;$E268&amp;"|"&amp;$F268,'PET_STAT_RULES'!$A$5:$A$88,'PET_STAT_RULES'!$D$5:$D$88)</x:f>
        <x:v>18</x:v>
      </x:c>
      <x:c r="L268" s="340" t="n">
        <x:f>XLOOKUP($D268&amp;"|"&amp;$E268&amp;"|"&amp;$F268,'PET_STAT_RULES'!$A$5:$A$88,'PET_STAT_RULES'!$F$5:$F$88)</x:f>
        <x:v>0</x:v>
      </x:c>
      <x:c r="M268" s="340" t="n">
        <x:f>XLOOKUP($D268&amp;"|"&amp;$E268&amp;"|"&amp;$F268,'PET_STAT_RULES'!$A$5:$A$88,'PET_STAT_RULES'!$G$5:$G$88)</x:f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  <x:c r="W268" s="332" t="n">
        <x:f>XLOOKUP($D268&amp;"|"&amp;$E268&amp;"|"&amp;$F268,'PET_STAT_RULES'!$A$5:$A$88,'PET_STAT_RULES'!$E$5:$E$88)</x:f>
        <x:v>0</x:v>
      </x:c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40" t="n">
        <x:f>XLOOKUP($D269&amp;"|"&amp;$E269&amp;"|"&amp;$F269,'PET_STAT_RULES'!$A$5:$A$88,'PET_STAT_RULES'!$C$5:$C$88)</x:f>
        <x:v>42</x:v>
      </x:c>
      <x:c r="K269" s="340" t="n">
        <x:f>XLOOKUP($D269&amp;"|"&amp;$E269&amp;"|"&amp;$F269,'PET_STAT_RULES'!$A$5:$A$88,'PET_STAT_RULES'!$D$5:$D$88)</x:f>
        <x:v>6</x:v>
      </x:c>
      <x:c r="L269" s="340" t="n">
        <x:f>XLOOKUP($D269&amp;"|"&amp;$E269&amp;"|"&amp;$F269,'PET_STAT_RULES'!$A$5:$A$88,'PET_STAT_RULES'!$F$5:$F$88)</x:f>
        <x:v>6</x:v>
      </x:c>
      <x:c r="M269" s="340" t="n">
        <x:f>XLOOKUP($D269&amp;"|"&amp;$E269&amp;"|"&amp;$F269,'PET_STAT_RULES'!$A$5:$A$88,'PET_STAT_RULES'!$G$5:$G$88)</x:f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  <x:c r="W269" s="332" t="n">
        <x:f>XLOOKUP($D269&amp;"|"&amp;$E269&amp;"|"&amp;$F269,'PET_STAT_RULES'!$A$5:$A$88,'PET_STAT_RULES'!$E$5:$E$88)</x:f>
        <x:v>0</x:v>
      </x:c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40" t="n">
        <x:f>XLOOKUP($D270&amp;"|"&amp;$E270&amp;"|"&amp;$F270,'PET_STAT_RULES'!$A$5:$A$88,'PET_STAT_RULES'!$C$5:$C$88)</x:f>
        <x:v>44</x:v>
      </x:c>
      <x:c r="K270" s="340" t="n">
        <x:f>XLOOKUP($D270&amp;"|"&amp;$E270&amp;"|"&amp;$F270,'PET_STAT_RULES'!$A$5:$A$88,'PET_STAT_RULES'!$D$5:$D$88)</x:f>
        <x:v>14</x:v>
      </x:c>
      <x:c r="L270" s="340" t="n">
        <x:f>XLOOKUP($D270&amp;"|"&amp;$E270&amp;"|"&amp;$F270,'PET_STAT_RULES'!$A$5:$A$88,'PET_STAT_RULES'!$F$5:$F$88)</x:f>
        <x:v>0</x:v>
      </x:c>
      <x:c r="M270" s="340" t="n">
        <x:f>XLOOKUP($D270&amp;"|"&amp;$E270&amp;"|"&amp;$F270,'PET_STAT_RULES'!$A$5:$A$88,'PET_STAT_RULES'!$G$5:$G$88)</x:f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  <x:c r="W270" s="332" t="n">
        <x:f>XLOOKUP($D270&amp;"|"&amp;$E270&amp;"|"&amp;$F270,'PET_STAT_RULES'!$A$5:$A$88,'PET_STAT_RULES'!$E$5:$E$88)</x:f>
        <x:v>0</x:v>
      </x:c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40" t="n">
        <x:f>XLOOKUP($D271&amp;"|"&amp;$E271&amp;"|"&amp;$F271,'PET_STAT_RULES'!$A$5:$A$88,'PET_STAT_RULES'!$C$5:$C$88)</x:f>
        <x:v>44</x:v>
      </x:c>
      <x:c r="K271" s="340" t="n">
        <x:f>XLOOKUP($D271&amp;"|"&amp;$E271&amp;"|"&amp;$F271,'PET_STAT_RULES'!$A$5:$A$88,'PET_STAT_RULES'!$D$5:$D$88)</x:f>
        <x:v>14</x:v>
      </x:c>
      <x:c r="L271" s="340" t="n">
        <x:f>XLOOKUP($D271&amp;"|"&amp;$E271&amp;"|"&amp;$F271,'PET_STAT_RULES'!$A$5:$A$88,'PET_STAT_RULES'!$F$5:$F$88)</x:f>
        <x:v>0</x:v>
      </x:c>
      <x:c r="M271" s="340" t="n">
        <x:f>XLOOKUP($D271&amp;"|"&amp;$E271&amp;"|"&amp;$F271,'PET_STAT_RULES'!$A$5:$A$88,'PET_STAT_RULES'!$G$5:$G$88)</x:f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  <x:c r="W271" s="332" t="n">
        <x:f>XLOOKUP($D271&amp;"|"&amp;$E271&amp;"|"&amp;$F271,'PET_STAT_RULES'!$A$5:$A$88,'PET_STAT_RULES'!$E$5:$E$88)</x:f>
        <x:v>0</x:v>
      </x:c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40" t="n">
        <x:f>XLOOKUP($D272&amp;"|"&amp;$E272&amp;"|"&amp;$F272,'PET_STAT_RULES'!$A$5:$A$88,'PET_STAT_RULES'!$C$5:$C$88)</x:f>
        <x:v>44</x:v>
      </x:c>
      <x:c r="K272" s="340" t="n">
        <x:f>XLOOKUP($D272&amp;"|"&amp;$E272&amp;"|"&amp;$F272,'PET_STAT_RULES'!$A$5:$A$88,'PET_STAT_RULES'!$D$5:$D$88)</x:f>
        <x:v>14</x:v>
      </x:c>
      <x:c r="L272" s="340" t="n">
        <x:f>XLOOKUP($D272&amp;"|"&amp;$E272&amp;"|"&amp;$F272,'PET_STAT_RULES'!$A$5:$A$88,'PET_STAT_RULES'!$F$5:$F$88)</x:f>
        <x:v>0</x:v>
      </x:c>
      <x:c r="M272" s="340" t="n">
        <x:f>XLOOKUP($D272&amp;"|"&amp;$E272&amp;"|"&amp;$F272,'PET_STAT_RULES'!$A$5:$A$88,'PET_STAT_RULES'!$G$5:$G$88)</x:f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  <x:c r="W272" s="332" t="n">
        <x:f>XLOOKUP($D272&amp;"|"&amp;$E272&amp;"|"&amp;$F272,'PET_STAT_RULES'!$A$5:$A$88,'PET_STAT_RULES'!$E$5:$E$88)</x:f>
        <x:v>0</x:v>
      </x:c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40" t="n">
        <x:f>XLOOKUP($D273&amp;"|"&amp;$E273&amp;"|"&amp;$F273,'PET_STAT_RULES'!$A$5:$A$88,'PET_STAT_RULES'!$C$5:$C$88)</x:f>
        <x:v>44</x:v>
      </x:c>
      <x:c r="K273" s="340" t="n">
        <x:f>XLOOKUP($D273&amp;"|"&amp;$E273&amp;"|"&amp;$F273,'PET_STAT_RULES'!$A$5:$A$88,'PET_STAT_RULES'!$D$5:$D$88)</x:f>
        <x:v>14</x:v>
      </x:c>
      <x:c r="L273" s="340" t="n">
        <x:f>XLOOKUP($D273&amp;"|"&amp;$E273&amp;"|"&amp;$F273,'PET_STAT_RULES'!$A$5:$A$88,'PET_STAT_RULES'!$F$5:$F$88)</x:f>
        <x:v>0</x:v>
      </x:c>
      <x:c r="M273" s="340" t="n">
        <x:f>XLOOKUP($D273&amp;"|"&amp;$E273&amp;"|"&amp;$F273,'PET_STAT_RULES'!$A$5:$A$88,'PET_STAT_RULES'!$G$5:$G$88)</x:f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  <x:c r="W273" s="332" t="n">
        <x:f>XLOOKUP($D273&amp;"|"&amp;$E273&amp;"|"&amp;$F273,'PET_STAT_RULES'!$A$5:$A$88,'PET_STAT_RULES'!$E$5:$E$88)</x:f>
        <x:v>0</x:v>
      </x:c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40" t="n">
        <x:f>XLOOKUP($D274&amp;"|"&amp;$E274&amp;"|"&amp;$F274,'PET_STAT_RULES'!$A$5:$A$88,'PET_STAT_RULES'!$C$5:$C$88)</x:f>
        <x:v>40</x:v>
      </x:c>
      <x:c r="K274" s="340" t="n">
        <x:f>XLOOKUP($D274&amp;"|"&amp;$E274&amp;"|"&amp;$F274,'PET_STAT_RULES'!$A$5:$A$88,'PET_STAT_RULES'!$D$5:$D$88)</x:f>
        <x:v>20</x:v>
      </x:c>
      <x:c r="L274" s="340" t="n">
        <x:f>XLOOKUP($D274&amp;"|"&amp;$E274&amp;"|"&amp;$F274,'PET_STAT_RULES'!$A$5:$A$88,'PET_STAT_RULES'!$F$5:$F$88)</x:f>
        <x:v>0</x:v>
      </x:c>
      <x:c r="M274" s="340" t="n">
        <x:f>XLOOKUP($D274&amp;"|"&amp;$E274&amp;"|"&amp;$F274,'PET_STAT_RULES'!$A$5:$A$88,'PET_STAT_RULES'!$G$5:$G$88)</x:f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  <x:c r="W274" s="332" t="n">
        <x:f>XLOOKUP($D274&amp;"|"&amp;$E274&amp;"|"&amp;$F274,'PET_STAT_RULES'!$A$5:$A$88,'PET_STAT_RULES'!$E$5:$E$88)</x:f>
        <x:v>0</x:v>
      </x:c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40" t="n">
        <x:f>XLOOKUP($D275&amp;"|"&amp;$E275&amp;"|"&amp;$F275,'PET_STAT_RULES'!$A$5:$A$88,'PET_STAT_RULES'!$C$5:$C$88)</x:f>
        <x:v>56</x:v>
      </x:c>
      <x:c r="K275" s="340" t="n">
        <x:f>XLOOKUP($D275&amp;"|"&amp;$E275&amp;"|"&amp;$F275,'PET_STAT_RULES'!$A$5:$A$88,'PET_STAT_RULES'!$D$5:$D$88)</x:f>
        <x:v>20</x:v>
      </x:c>
      <x:c r="L275" s="340" t="n">
        <x:f>XLOOKUP($D275&amp;"|"&amp;$E275&amp;"|"&amp;$F275,'PET_STAT_RULES'!$A$5:$A$88,'PET_STAT_RULES'!$F$5:$F$88)</x:f>
        <x:v>0</x:v>
      </x:c>
      <x:c r="M275" s="340" t="n">
        <x:f>XLOOKUP($D275&amp;"|"&amp;$E275&amp;"|"&amp;$F275,'PET_STAT_RULES'!$A$5:$A$88,'PET_STAT_RULES'!$G$5:$G$88)</x:f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  <x:c r="W275" s="332" t="n">
        <x:f>XLOOKUP($D275&amp;"|"&amp;$E275&amp;"|"&amp;$F275,'PET_STAT_RULES'!$A$5:$A$88,'PET_STAT_RULES'!$E$5:$E$88)</x:f>
        <x:v>0</x:v>
      </x:c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40" t="n">
        <x:f>XLOOKUP($D276&amp;"|"&amp;$E276&amp;"|"&amp;$F276,'PET_STAT_RULES'!$A$5:$A$88,'PET_STAT_RULES'!$C$5:$C$88)</x:f>
        <x:v>70</x:v>
      </x:c>
      <x:c r="K276" s="340" t="n">
        <x:f>XLOOKUP($D276&amp;"|"&amp;$E276&amp;"|"&amp;$F276,'PET_STAT_RULES'!$A$5:$A$88,'PET_STAT_RULES'!$D$5:$D$88)</x:f>
        <x:v>24</x:v>
      </x:c>
      <x:c r="L276" s="340" t="n">
        <x:f>XLOOKUP($D276&amp;"|"&amp;$E276&amp;"|"&amp;$F276,'PET_STAT_RULES'!$A$5:$A$88,'PET_STAT_RULES'!$F$5:$F$88)</x:f>
        <x:v>8</x:v>
      </x:c>
      <x:c r="M276" s="340" t="n">
        <x:f>XLOOKUP($D276&amp;"|"&amp;$E276&amp;"|"&amp;$F276,'PET_STAT_RULES'!$A$5:$A$88,'PET_STAT_RULES'!$G$5:$G$88)</x:f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  <x:c r="W276" s="332" t="n">
        <x:f>XLOOKUP($D276&amp;"|"&amp;$E276&amp;"|"&amp;$F276,'PET_STAT_RULES'!$A$5:$A$88,'PET_STAT_RULES'!$E$5:$E$88)</x:f>
        <x:v>0</x:v>
      </x:c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40" t="n">
        <x:f>XLOOKUP($D277&amp;"|"&amp;$E277&amp;"|"&amp;$F277,'PET_STAT_RULES'!$A$5:$A$88,'PET_STAT_RULES'!$C$5:$C$88)</x:f>
        <x:v>48</x:v>
      </x:c>
      <x:c r="K277" s="340" t="n">
        <x:f>XLOOKUP($D277&amp;"|"&amp;$E277&amp;"|"&amp;$F277,'PET_STAT_RULES'!$A$5:$A$88,'PET_STAT_RULES'!$D$5:$D$88)</x:f>
        <x:v>12</x:v>
      </x:c>
      <x:c r="L277" s="340" t="n">
        <x:f>XLOOKUP($D277&amp;"|"&amp;$E277&amp;"|"&amp;$F277,'PET_STAT_RULES'!$A$5:$A$88,'PET_STAT_RULES'!$F$5:$F$88)</x:f>
        <x:v>0</x:v>
      </x:c>
      <x:c r="M277" s="340" t="n">
        <x:f>XLOOKUP($D277&amp;"|"&amp;$E277&amp;"|"&amp;$F277,'PET_STAT_RULES'!$A$5:$A$88,'PET_STAT_RULES'!$G$5:$G$88)</x:f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  <x:c r="W277" s="332" t="n">
        <x:f>XLOOKUP($D277&amp;"|"&amp;$E277&amp;"|"&amp;$F277,'PET_STAT_RULES'!$A$5:$A$88,'PET_STAT_RULES'!$E$5:$E$88)</x:f>
        <x:v>0</x:v>
      </x:c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40" t="n">
        <x:f>XLOOKUP($D278&amp;"|"&amp;$E278&amp;"|"&amp;$F278,'PET_STAT_RULES'!$A$5:$A$88,'PET_STAT_RULES'!$C$5:$C$88)</x:f>
        <x:v>46</x:v>
      </x:c>
      <x:c r="K278" s="340" t="n">
        <x:f>XLOOKUP($D278&amp;"|"&amp;$E278&amp;"|"&amp;$F278,'PET_STAT_RULES'!$A$5:$A$88,'PET_STAT_RULES'!$D$5:$D$88)</x:f>
        <x:v>10</x:v>
      </x:c>
      <x:c r="L278" s="340" t="n">
        <x:f>XLOOKUP($D278&amp;"|"&amp;$E278&amp;"|"&amp;$F278,'PET_STAT_RULES'!$A$5:$A$88,'PET_STAT_RULES'!$F$5:$F$88)</x:f>
        <x:v>0</x:v>
      </x:c>
      <x:c r="M278" s="340" t="n">
        <x:f>XLOOKUP($D278&amp;"|"&amp;$E278&amp;"|"&amp;$F278,'PET_STAT_RULES'!$A$5:$A$88,'PET_STAT_RULES'!$G$5:$G$88)</x:f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  <x:c r="W278" s="332" t="n">
        <x:f>XLOOKUP($D278&amp;"|"&amp;$E278&amp;"|"&amp;$F278,'PET_STAT_RULES'!$A$5:$A$88,'PET_STAT_RULES'!$E$5:$E$88)</x:f>
        <x:v>0</x:v>
      </x:c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40" t="n">
        <x:f>XLOOKUP($D279&amp;"|"&amp;$E279&amp;"|"&amp;$F279,'PET_STAT_RULES'!$A$5:$A$88,'PET_STAT_RULES'!$C$5:$C$88)</x:f>
        <x:v>52</x:v>
      </x:c>
      <x:c r="K279" s="340" t="n">
        <x:f>XLOOKUP($D279&amp;"|"&amp;$E279&amp;"|"&amp;$F279,'PET_STAT_RULES'!$A$5:$A$88,'PET_STAT_RULES'!$D$5:$D$88)</x:f>
        <x:v>18</x:v>
      </x:c>
      <x:c r="L279" s="340" t="n">
        <x:f>XLOOKUP($D279&amp;"|"&amp;$E279&amp;"|"&amp;$F279,'PET_STAT_RULES'!$A$5:$A$88,'PET_STAT_RULES'!$F$5:$F$88)</x:f>
        <x:v>0</x:v>
      </x:c>
      <x:c r="M279" s="340" t="n">
        <x:f>XLOOKUP($D279&amp;"|"&amp;$E279&amp;"|"&amp;$F279,'PET_STAT_RULES'!$A$5:$A$88,'PET_STAT_RULES'!$G$5:$G$88)</x:f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  <x:c r="W279" s="332" t="n">
        <x:f>XLOOKUP($D279&amp;"|"&amp;$E279&amp;"|"&amp;$F279,'PET_STAT_RULES'!$A$5:$A$88,'PET_STAT_RULES'!$E$5:$E$88)</x:f>
        <x:v>0</x:v>
      </x:c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40" t="n">
        <x:f>XLOOKUP($D280&amp;"|"&amp;$E280&amp;"|"&amp;$F280,'PET_STAT_RULES'!$A$5:$A$88,'PET_STAT_RULES'!$C$5:$C$88)</x:f>
        <x:v>46</x:v>
      </x:c>
      <x:c r="K280" s="340" t="n">
        <x:f>XLOOKUP($D280&amp;"|"&amp;$E280&amp;"|"&amp;$F280,'PET_STAT_RULES'!$A$5:$A$88,'PET_STAT_RULES'!$D$5:$D$88)</x:f>
        <x:v>20</x:v>
      </x:c>
      <x:c r="L280" s="340" t="n">
        <x:f>XLOOKUP($D280&amp;"|"&amp;$E280&amp;"|"&amp;$F280,'PET_STAT_RULES'!$A$5:$A$88,'PET_STAT_RULES'!$F$5:$F$88)</x:f>
        <x:v>0</x:v>
      </x:c>
      <x:c r="M280" s="340" t="n">
        <x:f>XLOOKUP($D280&amp;"|"&amp;$E280&amp;"|"&amp;$F280,'PET_STAT_RULES'!$A$5:$A$88,'PET_STAT_RULES'!$G$5:$G$88)</x:f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  <x:c r="W280" s="332" t="n">
        <x:f>XLOOKUP($D280&amp;"|"&amp;$E280&amp;"|"&amp;$F280,'PET_STAT_RULES'!$A$5:$A$88,'PET_STAT_RULES'!$E$5:$E$88)</x:f>
        <x:v>0</x:v>
      </x:c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40" t="n">
        <x:f>XLOOKUP($D281&amp;"|"&amp;$E281&amp;"|"&amp;$F281,'PET_STAT_RULES'!$A$5:$A$88,'PET_STAT_RULES'!$C$5:$C$88)</x:f>
        <x:v>50</x:v>
      </x:c>
      <x:c r="K281" s="340" t="n">
        <x:f>XLOOKUP($D281&amp;"|"&amp;$E281&amp;"|"&amp;$F281,'PET_STAT_RULES'!$A$5:$A$88,'PET_STAT_RULES'!$D$5:$D$88)</x:f>
        <x:v>22</x:v>
      </x:c>
      <x:c r="L281" s="340" t="n">
        <x:f>XLOOKUP($D281&amp;"|"&amp;$E281&amp;"|"&amp;$F281,'PET_STAT_RULES'!$A$5:$A$88,'PET_STAT_RULES'!$F$5:$F$88)</x:f>
        <x:v>0</x:v>
      </x:c>
      <x:c r="M281" s="340" t="n">
        <x:f>XLOOKUP($D281&amp;"|"&amp;$E281&amp;"|"&amp;$F281,'PET_STAT_RULES'!$A$5:$A$88,'PET_STAT_RULES'!$G$5:$G$88)</x:f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  <x:c r="W281" s="332" t="n">
        <x:f>XLOOKUP($D281&amp;"|"&amp;$E281&amp;"|"&amp;$F281,'PET_STAT_RULES'!$A$5:$A$88,'PET_STAT_RULES'!$E$5:$E$88)</x:f>
        <x:v>0</x:v>
      </x:c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40" t="n">
        <x:f>XLOOKUP($D282&amp;"|"&amp;$E282&amp;"|"&amp;$F282,'PET_STAT_RULES'!$A$5:$A$88,'PET_STAT_RULES'!$C$5:$C$88)</x:f>
        <x:v>50</x:v>
      </x:c>
      <x:c r="K282" s="340" t="n">
        <x:f>XLOOKUP($D282&amp;"|"&amp;$E282&amp;"|"&amp;$F282,'PET_STAT_RULES'!$A$5:$A$88,'PET_STAT_RULES'!$D$5:$D$88)</x:f>
        <x:v>12</x:v>
      </x:c>
      <x:c r="L282" s="340" t="n">
        <x:f>XLOOKUP($D282&amp;"|"&amp;$E282&amp;"|"&amp;$F282,'PET_STAT_RULES'!$A$5:$A$88,'PET_STAT_RULES'!$F$5:$F$88)</x:f>
        <x:v>0</x:v>
      </x:c>
      <x:c r="M282" s="340" t="n">
        <x:f>XLOOKUP($D282&amp;"|"&amp;$E282&amp;"|"&amp;$F282,'PET_STAT_RULES'!$A$5:$A$88,'PET_STAT_RULES'!$G$5:$G$88)</x:f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  <x:c r="W282" s="332" t="n">
        <x:f>XLOOKUP($D282&amp;"|"&amp;$E282&amp;"|"&amp;$F282,'PET_STAT_RULES'!$A$5:$A$88,'PET_STAT_RULES'!$E$5:$E$88)</x:f>
        <x:v>0</x:v>
      </x:c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40" t="n">
        <x:f>XLOOKUP($D283&amp;"|"&amp;$E283&amp;"|"&amp;$F283,'PET_STAT_RULES'!$A$5:$A$88,'PET_STAT_RULES'!$C$5:$C$88)</x:f>
        <x:v>56</x:v>
      </x:c>
      <x:c r="K283" s="340" t="n">
        <x:f>XLOOKUP($D283&amp;"|"&amp;$E283&amp;"|"&amp;$F283,'PET_STAT_RULES'!$A$5:$A$88,'PET_STAT_RULES'!$D$5:$D$88)</x:f>
        <x:v>20</x:v>
      </x:c>
      <x:c r="L283" s="340" t="n">
        <x:f>XLOOKUP($D283&amp;"|"&amp;$E283&amp;"|"&amp;$F283,'PET_STAT_RULES'!$A$5:$A$88,'PET_STAT_RULES'!$F$5:$F$88)</x:f>
        <x:v>0</x:v>
      </x:c>
      <x:c r="M283" s="340" t="n">
        <x:f>XLOOKUP($D283&amp;"|"&amp;$E283&amp;"|"&amp;$F283,'PET_STAT_RULES'!$A$5:$A$88,'PET_STAT_RULES'!$G$5:$G$88)</x:f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  <x:c r="W283" s="332" t="n">
        <x:f>XLOOKUP($D283&amp;"|"&amp;$E283&amp;"|"&amp;$F283,'PET_STAT_RULES'!$A$5:$A$88,'PET_STAT_RULES'!$E$5:$E$88)</x:f>
        <x:v>0</x:v>
      </x:c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40" t="n">
        <x:f>XLOOKUP($D284&amp;"|"&amp;$E284&amp;"|"&amp;$F284,'PET_STAT_RULES'!$A$5:$A$88,'PET_STAT_RULES'!$C$5:$C$88)</x:f>
        <x:v>50</x:v>
      </x:c>
      <x:c r="K284" s="340" t="n">
        <x:f>XLOOKUP($D284&amp;"|"&amp;$E284&amp;"|"&amp;$F284,'PET_STAT_RULES'!$A$5:$A$88,'PET_STAT_RULES'!$D$5:$D$88)</x:f>
        <x:v>22</x:v>
      </x:c>
      <x:c r="L284" s="340" t="n">
        <x:f>XLOOKUP($D284&amp;"|"&amp;$E284&amp;"|"&amp;$F284,'PET_STAT_RULES'!$A$5:$A$88,'PET_STAT_RULES'!$F$5:$F$88)</x:f>
        <x:v>0</x:v>
      </x:c>
      <x:c r="M284" s="340" t="n">
        <x:f>XLOOKUP($D284&amp;"|"&amp;$E284&amp;"|"&amp;$F284,'PET_STAT_RULES'!$A$5:$A$88,'PET_STAT_RULES'!$G$5:$G$88)</x:f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  <x:c r="W284" s="332" t="n">
        <x:f>XLOOKUP($D284&amp;"|"&amp;$E284&amp;"|"&amp;$F284,'PET_STAT_RULES'!$A$5:$A$88,'PET_STAT_RULES'!$E$5:$E$88)</x:f>
        <x:v>0</x:v>
      </x:c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40" t="n">
        <x:f>XLOOKUP($D285&amp;"|"&amp;$E285&amp;"|"&amp;$F285,'PET_STAT_RULES'!$A$5:$A$88,'PET_STAT_RULES'!$C$5:$C$88)</x:f>
        <x:v>50</x:v>
      </x:c>
      <x:c r="K285" s="340" t="n">
        <x:f>XLOOKUP($D285&amp;"|"&amp;$E285&amp;"|"&amp;$F285,'PET_STAT_RULES'!$A$5:$A$88,'PET_STAT_RULES'!$D$5:$D$88)</x:f>
        <x:v>12</x:v>
      </x:c>
      <x:c r="L285" s="340" t="n">
        <x:f>XLOOKUP($D285&amp;"|"&amp;$E285&amp;"|"&amp;$F285,'PET_STAT_RULES'!$A$5:$A$88,'PET_STAT_RULES'!$F$5:$F$88)</x:f>
        <x:v>0</x:v>
      </x:c>
      <x:c r="M285" s="340" t="n">
        <x:f>XLOOKUP($D285&amp;"|"&amp;$E285&amp;"|"&amp;$F285,'PET_STAT_RULES'!$A$5:$A$88,'PET_STAT_RULES'!$G$5:$G$88)</x:f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  <x:c r="W285" s="332" t="n">
        <x:f>XLOOKUP($D285&amp;"|"&amp;$E285&amp;"|"&amp;$F285,'PET_STAT_RULES'!$A$5:$A$88,'PET_STAT_RULES'!$E$5:$E$88)</x:f>
        <x:v>0</x:v>
      </x:c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40" t="n">
        <x:f>XLOOKUP($D286&amp;"|"&amp;$E286&amp;"|"&amp;$F286,'PET_STAT_RULES'!$A$5:$A$88,'PET_STAT_RULES'!$C$5:$C$88)</x:f>
        <x:v>56</x:v>
      </x:c>
      <x:c r="K286" s="340" t="n">
        <x:f>XLOOKUP($D286&amp;"|"&amp;$E286&amp;"|"&amp;$F286,'PET_STAT_RULES'!$A$5:$A$88,'PET_STAT_RULES'!$D$5:$D$88)</x:f>
        <x:v>20</x:v>
      </x:c>
      <x:c r="L286" s="340" t="n">
        <x:f>XLOOKUP($D286&amp;"|"&amp;$E286&amp;"|"&amp;$F286,'PET_STAT_RULES'!$A$5:$A$88,'PET_STAT_RULES'!$F$5:$F$88)</x:f>
        <x:v>0</x:v>
      </x:c>
      <x:c r="M286" s="340" t="n">
        <x:f>XLOOKUP($D286&amp;"|"&amp;$E286&amp;"|"&amp;$F286,'PET_STAT_RULES'!$A$5:$A$88,'PET_STAT_RULES'!$G$5:$G$88)</x:f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  <x:c r="W286" s="332" t="n">
        <x:f>XLOOKUP($D286&amp;"|"&amp;$E286&amp;"|"&amp;$F286,'PET_STAT_RULES'!$A$5:$A$88,'PET_STAT_RULES'!$E$5:$E$88)</x:f>
        <x:v>0</x:v>
      </x:c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40" t="n">
        <x:f>XLOOKUP($D287&amp;"|"&amp;$E287&amp;"|"&amp;$F287,'PET_STAT_RULES'!$A$5:$A$88,'PET_STAT_RULES'!$C$5:$C$88)</x:f>
        <x:v>46</x:v>
      </x:c>
      <x:c r="K287" s="340" t="n">
        <x:f>XLOOKUP($D287&amp;"|"&amp;$E287&amp;"|"&amp;$F287,'PET_STAT_RULES'!$A$5:$A$88,'PET_STAT_RULES'!$D$5:$D$88)</x:f>
        <x:v>20</x:v>
      </x:c>
      <x:c r="L287" s="340" t="n">
        <x:f>XLOOKUP($D287&amp;"|"&amp;$E287&amp;"|"&amp;$F287,'PET_STAT_RULES'!$A$5:$A$88,'PET_STAT_RULES'!$F$5:$F$88)</x:f>
        <x:v>0</x:v>
      </x:c>
      <x:c r="M287" s="340" t="n">
        <x:f>XLOOKUP($D287&amp;"|"&amp;$E287&amp;"|"&amp;$F287,'PET_STAT_RULES'!$A$5:$A$88,'PET_STAT_RULES'!$G$5:$G$88)</x:f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  <x:c r="W287" s="332" t="n">
        <x:f>XLOOKUP($D287&amp;"|"&amp;$E287&amp;"|"&amp;$F287,'PET_STAT_RULES'!$A$5:$A$88,'PET_STAT_RULES'!$E$5:$E$88)</x:f>
        <x:v>0</x:v>
      </x:c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40" t="n">
        <x:f>XLOOKUP($D288&amp;"|"&amp;$E288&amp;"|"&amp;$F288,'PET_STAT_RULES'!$A$5:$A$88,'PET_STAT_RULES'!$C$5:$C$88)</x:f>
        <x:v>52</x:v>
      </x:c>
      <x:c r="K288" s="340" t="n">
        <x:f>XLOOKUP($D288&amp;"|"&amp;$E288&amp;"|"&amp;$F288,'PET_STAT_RULES'!$A$5:$A$88,'PET_STAT_RULES'!$D$5:$D$88)</x:f>
        <x:v>18</x:v>
      </x:c>
      <x:c r="L288" s="340" t="n">
        <x:f>XLOOKUP($D288&amp;"|"&amp;$E288&amp;"|"&amp;$F288,'PET_STAT_RULES'!$A$5:$A$88,'PET_STAT_RULES'!$F$5:$F$88)</x:f>
        <x:v>0</x:v>
      </x:c>
      <x:c r="M288" s="340" t="n">
        <x:f>XLOOKUP($D288&amp;"|"&amp;$E288&amp;"|"&amp;$F288,'PET_STAT_RULES'!$A$5:$A$88,'PET_STAT_RULES'!$G$5:$G$88)</x:f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  <x:c r="W288" s="332" t="n">
        <x:f>XLOOKUP($D288&amp;"|"&amp;$E288&amp;"|"&amp;$F288,'PET_STAT_RULES'!$A$5:$A$88,'PET_STAT_RULES'!$E$5:$E$88)</x:f>
        <x:v>0</x:v>
      </x:c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40" t="n">
        <x:f>XLOOKUP($D289&amp;"|"&amp;$E289&amp;"|"&amp;$F289,'PET_STAT_RULES'!$A$5:$A$88,'PET_STAT_RULES'!$C$5:$C$88)</x:f>
        <x:v>46</x:v>
      </x:c>
      <x:c r="K289" s="340" t="n">
        <x:f>XLOOKUP($D289&amp;"|"&amp;$E289&amp;"|"&amp;$F289,'PET_STAT_RULES'!$A$5:$A$88,'PET_STAT_RULES'!$D$5:$D$88)</x:f>
        <x:v>10</x:v>
      </x:c>
      <x:c r="L289" s="340" t="n">
        <x:f>XLOOKUP($D289&amp;"|"&amp;$E289&amp;"|"&amp;$F289,'PET_STAT_RULES'!$A$5:$A$88,'PET_STAT_RULES'!$F$5:$F$88)</x:f>
        <x:v>0</x:v>
      </x:c>
      <x:c r="M289" s="340" t="n">
        <x:f>XLOOKUP($D289&amp;"|"&amp;$E289&amp;"|"&amp;$F289,'PET_STAT_RULES'!$A$5:$A$88,'PET_STAT_RULES'!$G$5:$G$88)</x:f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  <x:c r="W289" s="332" t="n">
        <x:f>XLOOKUP($D289&amp;"|"&amp;$E289&amp;"|"&amp;$F289,'PET_STAT_RULES'!$A$5:$A$88,'PET_STAT_RULES'!$E$5:$E$88)</x:f>
        <x:v>0</x:v>
      </x:c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40" t="n">
        <x:f>XLOOKUP($D290&amp;"|"&amp;$E290&amp;"|"&amp;$F290,'PET_STAT_RULES'!$A$5:$A$88,'PET_STAT_RULES'!$C$5:$C$88)</x:f>
        <x:v>50</x:v>
      </x:c>
      <x:c r="K290" s="340" t="n">
        <x:f>XLOOKUP($D290&amp;"|"&amp;$E290&amp;"|"&amp;$F290,'PET_STAT_RULES'!$A$5:$A$88,'PET_STAT_RULES'!$D$5:$D$88)</x:f>
        <x:v>12</x:v>
      </x:c>
      <x:c r="L290" s="340" t="n">
        <x:f>XLOOKUP($D290&amp;"|"&amp;$E290&amp;"|"&amp;$F290,'PET_STAT_RULES'!$A$5:$A$88,'PET_STAT_RULES'!$F$5:$F$88)</x:f>
        <x:v>0</x:v>
      </x:c>
      <x:c r="M290" s="340" t="n">
        <x:f>XLOOKUP($D290&amp;"|"&amp;$E290&amp;"|"&amp;$F290,'PET_STAT_RULES'!$A$5:$A$88,'PET_STAT_RULES'!$G$5:$G$88)</x:f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  <x:c r="W290" s="332" t="n">
        <x:f>XLOOKUP($D290&amp;"|"&amp;$E290&amp;"|"&amp;$F290,'PET_STAT_RULES'!$A$5:$A$88,'PET_STAT_RULES'!$E$5:$E$88)</x:f>
        <x:v>0</x:v>
      </x:c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40" t="n">
        <x:f>XLOOKUP($D291&amp;"|"&amp;$E291&amp;"|"&amp;$F291,'PET_STAT_RULES'!$A$5:$A$88,'PET_STAT_RULES'!$C$5:$C$88)</x:f>
        <x:v>50</x:v>
      </x:c>
      <x:c r="K291" s="340" t="n">
        <x:f>XLOOKUP($D291&amp;"|"&amp;$E291&amp;"|"&amp;$F291,'PET_STAT_RULES'!$A$5:$A$88,'PET_STAT_RULES'!$D$5:$D$88)</x:f>
        <x:v>22</x:v>
      </x:c>
      <x:c r="L291" s="340" t="n">
        <x:f>XLOOKUP($D291&amp;"|"&amp;$E291&amp;"|"&amp;$F291,'PET_STAT_RULES'!$A$5:$A$88,'PET_STAT_RULES'!$F$5:$F$88)</x:f>
        <x:v>0</x:v>
      </x:c>
      <x:c r="M291" s="340" t="n">
        <x:f>XLOOKUP($D291&amp;"|"&amp;$E291&amp;"|"&amp;$F291,'PET_STAT_RULES'!$A$5:$A$88,'PET_STAT_RULES'!$G$5:$G$88)</x:f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  <x:c r="W291" s="332" t="n">
        <x:f>XLOOKUP($D291&amp;"|"&amp;$E291&amp;"|"&amp;$F291,'PET_STAT_RULES'!$A$5:$A$88,'PET_STAT_RULES'!$E$5:$E$88)</x:f>
        <x:v>0</x:v>
      </x:c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40" t="n">
        <x:f>XLOOKUP($D292&amp;"|"&amp;$E292&amp;"|"&amp;$F292,'PET_STAT_RULES'!$A$5:$A$88,'PET_STAT_RULES'!$C$5:$C$88)</x:f>
        <x:v>56</x:v>
      </x:c>
      <x:c r="K292" s="340" t="n">
        <x:f>XLOOKUP($D292&amp;"|"&amp;$E292&amp;"|"&amp;$F292,'PET_STAT_RULES'!$A$5:$A$88,'PET_STAT_RULES'!$D$5:$D$88)</x:f>
        <x:v>20</x:v>
      </x:c>
      <x:c r="L292" s="340" t="n">
        <x:f>XLOOKUP($D292&amp;"|"&amp;$E292&amp;"|"&amp;$F292,'PET_STAT_RULES'!$A$5:$A$88,'PET_STAT_RULES'!$F$5:$F$88)</x:f>
        <x:v>0</x:v>
      </x:c>
      <x:c r="M292" s="340" t="n">
        <x:f>XLOOKUP($D292&amp;"|"&amp;$E292&amp;"|"&amp;$F292,'PET_STAT_RULES'!$A$5:$A$88,'PET_STAT_RULES'!$G$5:$G$88)</x:f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  <x:c r="W292" s="332" t="n">
        <x:f>XLOOKUP($D292&amp;"|"&amp;$E292&amp;"|"&amp;$F292,'PET_STAT_RULES'!$A$5:$A$88,'PET_STAT_RULES'!$E$5:$E$88)</x:f>
        <x:v>0</x:v>
      </x:c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40" t="n">
        <x:f>XLOOKUP($D293&amp;"|"&amp;$E293&amp;"|"&amp;$F293,'PET_STAT_RULES'!$A$5:$A$88,'PET_STAT_RULES'!$C$5:$C$88)</x:f>
        <x:v>46</x:v>
      </x:c>
      <x:c r="K293" s="340" t="n">
        <x:f>XLOOKUP($D293&amp;"|"&amp;$E293&amp;"|"&amp;$F293,'PET_STAT_RULES'!$A$5:$A$88,'PET_STAT_RULES'!$D$5:$D$88)</x:f>
        <x:v>20</x:v>
      </x:c>
      <x:c r="L293" s="340" t="n">
        <x:f>XLOOKUP($D293&amp;"|"&amp;$E293&amp;"|"&amp;$F293,'PET_STAT_RULES'!$A$5:$A$88,'PET_STAT_RULES'!$F$5:$F$88)</x:f>
        <x:v>0</x:v>
      </x:c>
      <x:c r="M293" s="340" t="n">
        <x:f>XLOOKUP($D293&amp;"|"&amp;$E293&amp;"|"&amp;$F293,'PET_STAT_RULES'!$A$5:$A$88,'PET_STAT_RULES'!$G$5:$G$88)</x:f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  <x:c r="W293" s="332" t="n">
        <x:f>XLOOKUP($D293&amp;"|"&amp;$E293&amp;"|"&amp;$F293,'PET_STAT_RULES'!$A$5:$A$88,'PET_STAT_RULES'!$E$5:$E$88)</x:f>
        <x:v>0</x:v>
      </x:c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40" t="n">
        <x:f>XLOOKUP($D294&amp;"|"&amp;$E294&amp;"|"&amp;$F294,'PET_STAT_RULES'!$A$5:$A$88,'PET_STAT_RULES'!$C$5:$C$88)</x:f>
        <x:v>46</x:v>
      </x:c>
      <x:c r="K294" s="340" t="n">
        <x:f>XLOOKUP($D294&amp;"|"&amp;$E294&amp;"|"&amp;$F294,'PET_STAT_RULES'!$A$5:$A$88,'PET_STAT_RULES'!$D$5:$D$88)</x:f>
        <x:v>10</x:v>
      </x:c>
      <x:c r="L294" s="340" t="n">
        <x:f>XLOOKUP($D294&amp;"|"&amp;$E294&amp;"|"&amp;$F294,'PET_STAT_RULES'!$A$5:$A$88,'PET_STAT_RULES'!$F$5:$F$88)</x:f>
        <x:v>0</x:v>
      </x:c>
      <x:c r="M294" s="340" t="n">
        <x:f>XLOOKUP($D294&amp;"|"&amp;$E294&amp;"|"&amp;$F294,'PET_STAT_RULES'!$A$5:$A$88,'PET_STAT_RULES'!$G$5:$G$88)</x:f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  <x:c r="W294" s="332" t="n">
        <x:f>XLOOKUP($D294&amp;"|"&amp;$E294&amp;"|"&amp;$F294,'PET_STAT_RULES'!$A$5:$A$88,'PET_STAT_RULES'!$E$5:$E$88)</x:f>
        <x:v>0</x:v>
      </x:c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40" t="n">
        <x:f>XLOOKUP($D295&amp;"|"&amp;$E295&amp;"|"&amp;$F295,'PET_STAT_RULES'!$A$5:$A$88,'PET_STAT_RULES'!$C$5:$C$88)</x:f>
        <x:v>52</x:v>
      </x:c>
      <x:c r="K295" s="340" t="n">
        <x:f>XLOOKUP($D295&amp;"|"&amp;$E295&amp;"|"&amp;$F295,'PET_STAT_RULES'!$A$5:$A$88,'PET_STAT_RULES'!$D$5:$D$88)</x:f>
        <x:v>18</x:v>
      </x:c>
      <x:c r="L295" s="340" t="n">
        <x:f>XLOOKUP($D295&amp;"|"&amp;$E295&amp;"|"&amp;$F295,'PET_STAT_RULES'!$A$5:$A$88,'PET_STAT_RULES'!$F$5:$F$88)</x:f>
        <x:v>0</x:v>
      </x:c>
      <x:c r="M295" s="340" t="n">
        <x:f>XLOOKUP($D295&amp;"|"&amp;$E295&amp;"|"&amp;$F295,'PET_STAT_RULES'!$A$5:$A$88,'PET_STAT_RULES'!$G$5:$G$88)</x:f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  <x:c r="W295" s="332" t="n">
        <x:f>XLOOKUP($D295&amp;"|"&amp;$E295&amp;"|"&amp;$F295,'PET_STAT_RULES'!$A$5:$A$88,'PET_STAT_RULES'!$E$5:$E$88)</x:f>
        <x:v>0</x:v>
      </x:c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40" t="n">
        <x:f>XLOOKUP($D296&amp;"|"&amp;$E296&amp;"|"&amp;$F296,'PET_STAT_RULES'!$A$5:$A$88,'PET_STAT_RULES'!$C$5:$C$88)</x:f>
        <x:v>42</x:v>
      </x:c>
      <x:c r="K296" s="340" t="n">
        <x:f>XLOOKUP($D296&amp;"|"&amp;$E296&amp;"|"&amp;$F296,'PET_STAT_RULES'!$A$5:$A$88,'PET_STAT_RULES'!$D$5:$D$88)</x:f>
        <x:v>6</x:v>
      </x:c>
      <x:c r="L296" s="340" t="n">
        <x:f>XLOOKUP($D296&amp;"|"&amp;$E296&amp;"|"&amp;$F296,'PET_STAT_RULES'!$A$5:$A$88,'PET_STAT_RULES'!$F$5:$F$88)</x:f>
        <x:v>6</x:v>
      </x:c>
      <x:c r="M296" s="340" t="n">
        <x:f>XLOOKUP($D296&amp;"|"&amp;$E296&amp;"|"&amp;$F296,'PET_STAT_RULES'!$A$5:$A$88,'PET_STAT_RULES'!$G$5:$G$88)</x:f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  <x:c r="W296" s="332" t="n">
        <x:f>XLOOKUP($D296&amp;"|"&amp;$E296&amp;"|"&amp;$F296,'PET_STAT_RULES'!$A$5:$A$88,'PET_STAT_RULES'!$E$5:$E$88)</x:f>
        <x:v>0</x:v>
      </x:c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40" t="n">
        <x:f>XLOOKUP($D297&amp;"|"&amp;$E297&amp;"|"&amp;$F297,'PET_STAT_RULES'!$A$5:$A$88,'PET_STAT_RULES'!$C$5:$C$88)</x:f>
        <x:v>36</x:v>
      </x:c>
      <x:c r="K297" s="340" t="n">
        <x:f>XLOOKUP($D297&amp;"|"&amp;$E297&amp;"|"&amp;$F297,'PET_STAT_RULES'!$A$5:$A$88,'PET_STAT_RULES'!$D$5:$D$88)</x:f>
        <x:v>8</x:v>
      </x:c>
      <x:c r="L297" s="340" t="n">
        <x:f>XLOOKUP($D297&amp;"|"&amp;$E297&amp;"|"&amp;$F297,'PET_STAT_RULES'!$A$5:$A$88,'PET_STAT_RULES'!$F$5:$F$88)</x:f>
        <x:v>6</x:v>
      </x:c>
      <x:c r="M297" s="340" t="n">
        <x:f>XLOOKUP($D297&amp;"|"&amp;$E297&amp;"|"&amp;$F297,'PET_STAT_RULES'!$A$5:$A$88,'PET_STAT_RULES'!$G$5:$G$88)</x:f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  <x:c r="W297" s="332" t="n">
        <x:f>XLOOKUP($D297&amp;"|"&amp;$E297&amp;"|"&amp;$F297,'PET_STAT_RULES'!$A$5:$A$88,'PET_STAT_RULES'!$E$5:$E$88)</x:f>
        <x:v>0</x:v>
      </x:c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40" t="n">
        <x:f>XLOOKUP($D298&amp;"|"&amp;$E298&amp;"|"&amp;$F298,'PET_STAT_RULES'!$A$5:$A$88,'PET_STAT_RULES'!$C$5:$C$88)</x:f>
        <x:v>40</x:v>
      </x:c>
      <x:c r="K298" s="340" t="n">
        <x:f>XLOOKUP($D298&amp;"|"&amp;$E298&amp;"|"&amp;$F298,'PET_STAT_RULES'!$A$5:$A$88,'PET_STAT_RULES'!$D$5:$D$88)</x:f>
        <x:v>20</x:v>
      </x:c>
      <x:c r="L298" s="340" t="n">
        <x:f>XLOOKUP($D298&amp;"|"&amp;$E298&amp;"|"&amp;$F298,'PET_STAT_RULES'!$A$5:$A$88,'PET_STAT_RULES'!$F$5:$F$88)</x:f>
        <x:v>0</x:v>
      </x:c>
      <x:c r="M298" s="340" t="n">
        <x:f>XLOOKUP($D298&amp;"|"&amp;$E298&amp;"|"&amp;$F298,'PET_STAT_RULES'!$A$5:$A$88,'PET_STAT_RULES'!$G$5:$G$88)</x:f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  <x:c r="W298" s="332" t="n">
        <x:f>XLOOKUP($D298&amp;"|"&amp;$E298&amp;"|"&amp;$F298,'PET_STAT_RULES'!$A$5:$A$88,'PET_STAT_RULES'!$E$5:$E$88)</x:f>
        <x:v>0</x:v>
      </x:c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40" t="n">
        <x:f>XLOOKUP($D299&amp;"|"&amp;$E299&amp;"|"&amp;$F299,'PET_STAT_RULES'!$A$5:$A$88,'PET_STAT_RULES'!$C$5:$C$88)</x:f>
        <x:v>46</x:v>
      </x:c>
      <x:c r="K299" s="340" t="n">
        <x:f>XLOOKUP($D299&amp;"|"&amp;$E299&amp;"|"&amp;$F299,'PET_STAT_RULES'!$A$5:$A$88,'PET_STAT_RULES'!$D$5:$D$88)</x:f>
        <x:v>10</x:v>
      </x:c>
      <x:c r="L299" s="340" t="n">
        <x:f>XLOOKUP($D299&amp;"|"&amp;$E299&amp;"|"&amp;$F299,'PET_STAT_RULES'!$A$5:$A$88,'PET_STAT_RULES'!$F$5:$F$88)</x:f>
        <x:v>0</x:v>
      </x:c>
      <x:c r="M299" s="340" t="n">
        <x:f>XLOOKUP($D299&amp;"|"&amp;$E299&amp;"|"&amp;$F299,'PET_STAT_RULES'!$A$5:$A$88,'PET_STAT_RULES'!$G$5:$G$88)</x:f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  <x:c r="W299" s="332" t="n">
        <x:f>XLOOKUP($D299&amp;"|"&amp;$E299&amp;"|"&amp;$F299,'PET_STAT_RULES'!$A$5:$A$88,'PET_STAT_RULES'!$E$5:$E$88)</x:f>
        <x:v>0</x:v>
      </x:c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40" t="n">
        <x:f>XLOOKUP($D300&amp;"|"&amp;$E300&amp;"|"&amp;$F300,'PET_STAT_RULES'!$A$5:$A$88,'PET_STAT_RULES'!$C$5:$C$88)</x:f>
        <x:v>34</x:v>
      </x:c>
      <x:c r="K300" s="340" t="n">
        <x:f>XLOOKUP($D300&amp;"|"&amp;$E300&amp;"|"&amp;$F300,'PET_STAT_RULES'!$A$5:$A$88,'PET_STAT_RULES'!$D$5:$D$88)</x:f>
        <x:v>22</x:v>
      </x:c>
      <x:c r="L300" s="340" t="n">
        <x:f>XLOOKUP($D300&amp;"|"&amp;$E300&amp;"|"&amp;$F300,'PET_STAT_RULES'!$A$5:$A$88,'PET_STAT_RULES'!$F$5:$F$88)</x:f>
        <x:v>0</x:v>
      </x:c>
      <x:c r="M300" s="340" t="n">
        <x:f>XLOOKUP($D300&amp;"|"&amp;$E300&amp;"|"&amp;$F300,'PET_STAT_RULES'!$A$5:$A$88,'PET_STAT_RULES'!$G$5:$G$88)</x:f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  <x:c r="W300" s="332" t="n">
        <x:f>XLOOKUP($D300&amp;"|"&amp;$E300&amp;"|"&amp;$F300,'PET_STAT_RULES'!$A$5:$A$88,'PET_STAT_RULES'!$E$5:$E$88)</x:f>
        <x:v>0</x:v>
      </x:c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40" t="n">
        <x:f>XLOOKUP($D301&amp;"|"&amp;$E301&amp;"|"&amp;$F301,'PET_STAT_RULES'!$A$5:$A$88,'PET_STAT_RULES'!$C$5:$C$88)</x:f>
        <x:v>46</x:v>
      </x:c>
      <x:c r="K301" s="340" t="n">
        <x:f>XLOOKUP($D301&amp;"|"&amp;$E301&amp;"|"&amp;$F301,'PET_STAT_RULES'!$A$5:$A$88,'PET_STAT_RULES'!$D$5:$D$88)</x:f>
        <x:v>18</x:v>
      </x:c>
      <x:c r="L301" s="340" t="n">
        <x:f>XLOOKUP($D301&amp;"|"&amp;$E301&amp;"|"&amp;$F301,'PET_STAT_RULES'!$A$5:$A$88,'PET_STAT_RULES'!$F$5:$F$88)</x:f>
        <x:v>0</x:v>
      </x:c>
      <x:c r="M301" s="340" t="n">
        <x:f>XLOOKUP($D301&amp;"|"&amp;$E301&amp;"|"&amp;$F301,'PET_STAT_RULES'!$A$5:$A$88,'PET_STAT_RULES'!$G$5:$G$88)</x:f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  <x:c r="W301" s="332" t="n">
        <x:f>XLOOKUP($D301&amp;"|"&amp;$E301&amp;"|"&amp;$F301,'PET_STAT_RULES'!$A$5:$A$88,'PET_STAT_RULES'!$E$5:$E$88)</x:f>
        <x:v>0</x:v>
      </x:c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40" t="n">
        <x:f>XLOOKUP($D302&amp;"|"&amp;$E302&amp;"|"&amp;$F302,'PET_STAT_RULES'!$A$5:$A$88,'PET_STAT_RULES'!$C$5:$C$88)</x:f>
        <x:v>40</x:v>
      </x:c>
      <x:c r="K302" s="340" t="n">
        <x:f>XLOOKUP($D302&amp;"|"&amp;$E302&amp;"|"&amp;$F302,'PET_STAT_RULES'!$A$5:$A$88,'PET_STAT_RULES'!$D$5:$D$88)</x:f>
        <x:v>20</x:v>
      </x:c>
      <x:c r="L302" s="340" t="n">
        <x:f>XLOOKUP($D302&amp;"|"&amp;$E302&amp;"|"&amp;$F302,'PET_STAT_RULES'!$A$5:$A$88,'PET_STAT_RULES'!$F$5:$F$88)</x:f>
        <x:v>0</x:v>
      </x:c>
      <x:c r="M302" s="340" t="n">
        <x:f>XLOOKUP($D302&amp;"|"&amp;$E302&amp;"|"&amp;$F302,'PET_STAT_RULES'!$A$5:$A$88,'PET_STAT_RULES'!$G$5:$G$88)</x:f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  <x:c r="W302" s="332" t="n">
        <x:f>XLOOKUP($D302&amp;"|"&amp;$E302&amp;"|"&amp;$F302,'PET_STAT_RULES'!$A$5:$A$88,'PET_STAT_RULES'!$E$5:$E$88)</x:f>
        <x:v>0</x:v>
      </x:c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40" t="n">
        <x:f>XLOOKUP($D303&amp;"|"&amp;$E303&amp;"|"&amp;$F303,'PET_STAT_RULES'!$A$5:$A$88,'PET_STAT_RULES'!$C$5:$C$88)</x:f>
        <x:v>34</x:v>
      </x:c>
      <x:c r="K303" s="340" t="n">
        <x:f>XLOOKUP($D303&amp;"|"&amp;$E303&amp;"|"&amp;$F303,'PET_STAT_RULES'!$A$5:$A$88,'PET_STAT_RULES'!$D$5:$D$88)</x:f>
        <x:v>22</x:v>
      </x:c>
      <x:c r="L303" s="340" t="n">
        <x:f>XLOOKUP($D303&amp;"|"&amp;$E303&amp;"|"&amp;$F303,'PET_STAT_RULES'!$A$5:$A$88,'PET_STAT_RULES'!$F$5:$F$88)</x:f>
        <x:v>0</x:v>
      </x:c>
      <x:c r="M303" s="340" t="n">
        <x:f>XLOOKUP($D303&amp;"|"&amp;$E303&amp;"|"&amp;$F303,'PET_STAT_RULES'!$A$5:$A$88,'PET_STAT_RULES'!$G$5:$G$88)</x:f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  <x:c r="W303" s="332" t="n">
        <x:f>XLOOKUP($D303&amp;"|"&amp;$E303&amp;"|"&amp;$F303,'PET_STAT_RULES'!$A$5:$A$88,'PET_STAT_RULES'!$E$5:$E$88)</x:f>
        <x:v>0</x:v>
      </x:c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40" t="n">
        <x:f>XLOOKUP($D304&amp;"|"&amp;$E304&amp;"|"&amp;$F304,'PET_STAT_RULES'!$A$5:$A$88,'PET_STAT_RULES'!$C$5:$C$88)</x:f>
        <x:v>22</x:v>
      </x:c>
      <x:c r="K304" s="340" t="n">
        <x:f>XLOOKUP($D304&amp;"|"&amp;$E304&amp;"|"&amp;$F304,'PET_STAT_RULES'!$A$5:$A$88,'PET_STAT_RULES'!$D$5:$D$88)</x:f>
        <x:v>14</x:v>
      </x:c>
      <x:c r="L304" s="340" t="n">
        <x:f>XLOOKUP($D304&amp;"|"&amp;$E304&amp;"|"&amp;$F304,'PET_STAT_RULES'!$A$5:$A$88,'PET_STAT_RULES'!$F$5:$F$88)</x:f>
        <x:v>0</x:v>
      </x:c>
      <x:c r="M304" s="340" t="n">
        <x:f>XLOOKUP($D304&amp;"|"&amp;$E304&amp;"|"&amp;$F304,'PET_STAT_RULES'!$A$5:$A$88,'PET_STAT_RULES'!$G$5:$G$88)</x:f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  <x:c r="W304" s="332" t="n">
        <x:f>XLOOKUP($D304&amp;"|"&amp;$E304&amp;"|"&amp;$F304,'PET_STAT_RULES'!$A$5:$A$88,'PET_STAT_RULES'!$E$5:$E$88)</x:f>
        <x:v>0</x:v>
      </x:c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40" t="n">
        <x:f>XLOOKUP($D305&amp;"|"&amp;$E305&amp;"|"&amp;$F305,'PET_STAT_RULES'!$A$5:$A$88,'PET_STAT_RULES'!$C$5:$C$88)</x:f>
        <x:v>46</x:v>
      </x:c>
      <x:c r="K305" s="340" t="n">
        <x:f>XLOOKUP($D305&amp;"|"&amp;$E305&amp;"|"&amp;$F305,'PET_STAT_RULES'!$A$5:$A$88,'PET_STAT_RULES'!$D$5:$D$88)</x:f>
        <x:v>18</x:v>
      </x:c>
      <x:c r="L305" s="340" t="n">
        <x:f>XLOOKUP($D305&amp;"|"&amp;$E305&amp;"|"&amp;$F305,'PET_STAT_RULES'!$A$5:$A$88,'PET_STAT_RULES'!$F$5:$F$88)</x:f>
        <x:v>0</x:v>
      </x:c>
      <x:c r="M305" s="340" t="n">
        <x:f>XLOOKUP($D305&amp;"|"&amp;$E305&amp;"|"&amp;$F305,'PET_STAT_RULES'!$A$5:$A$88,'PET_STAT_RULES'!$G$5:$G$88)</x:f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  <x:c r="W305" s="332" t="n">
        <x:f>XLOOKUP($D305&amp;"|"&amp;$E305&amp;"|"&amp;$F305,'PET_STAT_RULES'!$A$5:$A$88,'PET_STAT_RULES'!$E$5:$E$88)</x:f>
        <x:v>0</x:v>
      </x:c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40" t="n">
        <x:f>XLOOKUP($D306&amp;"|"&amp;$E306&amp;"|"&amp;$F306,'PET_STAT_RULES'!$A$5:$A$88,'PET_STAT_RULES'!$C$5:$C$88)</x:f>
        <x:v>28</x:v>
      </x:c>
      <x:c r="K306" s="340" t="n">
        <x:f>XLOOKUP($D306&amp;"|"&amp;$E306&amp;"|"&amp;$F306,'PET_STAT_RULES'!$A$5:$A$88,'PET_STAT_RULES'!$D$5:$D$88)</x:f>
        <x:v>12</x:v>
      </x:c>
      <x:c r="L306" s="340" t="n">
        <x:f>XLOOKUP($D306&amp;"|"&amp;$E306&amp;"|"&amp;$F306,'PET_STAT_RULES'!$A$5:$A$88,'PET_STAT_RULES'!$F$5:$F$88)</x:f>
        <x:v>0</x:v>
      </x:c>
      <x:c r="M306" s="340" t="n">
        <x:f>XLOOKUP($D306&amp;"|"&amp;$E306&amp;"|"&amp;$F306,'PET_STAT_RULES'!$A$5:$A$88,'PET_STAT_RULES'!$G$5:$G$88)</x:f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  <x:c r="W306" s="332" t="n">
        <x:f>XLOOKUP($D306&amp;"|"&amp;$E306&amp;"|"&amp;$F306,'PET_STAT_RULES'!$A$5:$A$88,'PET_STAT_RULES'!$E$5:$E$88)</x:f>
        <x:v>0</x:v>
      </x:c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40" t="n">
        <x:f>XLOOKUP($D307&amp;"|"&amp;$E307&amp;"|"&amp;$F307,'PET_STAT_RULES'!$A$5:$A$88,'PET_STAT_RULES'!$C$5:$C$88)</x:f>
        <x:v>40</x:v>
      </x:c>
      <x:c r="K307" s="340" t="n">
        <x:f>XLOOKUP($D307&amp;"|"&amp;$E307&amp;"|"&amp;$F307,'PET_STAT_RULES'!$A$5:$A$88,'PET_STAT_RULES'!$D$5:$D$88)</x:f>
        <x:v>20</x:v>
      </x:c>
      <x:c r="L307" s="340" t="n">
        <x:f>XLOOKUP($D307&amp;"|"&amp;$E307&amp;"|"&amp;$F307,'PET_STAT_RULES'!$A$5:$A$88,'PET_STAT_RULES'!$F$5:$F$88)</x:f>
        <x:v>0</x:v>
      </x:c>
      <x:c r="M307" s="340" t="n">
        <x:f>XLOOKUP($D307&amp;"|"&amp;$E307&amp;"|"&amp;$F307,'PET_STAT_RULES'!$A$5:$A$88,'PET_STAT_RULES'!$G$5:$G$88)</x:f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  <x:c r="W307" s="332" t="n">
        <x:f>XLOOKUP($D307&amp;"|"&amp;$E307&amp;"|"&amp;$F307,'PET_STAT_RULES'!$A$5:$A$88,'PET_STAT_RULES'!$E$5:$E$88)</x:f>
        <x:v>0</x:v>
      </x:c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40" t="n">
        <x:f>XLOOKUP($D308&amp;"|"&amp;$E308&amp;"|"&amp;$F308,'PET_STAT_RULES'!$A$5:$A$88,'PET_STAT_RULES'!$C$5:$C$88)</x:f>
        <x:v>46</x:v>
      </x:c>
      <x:c r="K308" s="340" t="n">
        <x:f>XLOOKUP($D308&amp;"|"&amp;$E308&amp;"|"&amp;$F308,'PET_STAT_RULES'!$A$5:$A$88,'PET_STAT_RULES'!$D$5:$D$88)</x:f>
        <x:v>10</x:v>
      </x:c>
      <x:c r="L308" s="340" t="n">
        <x:f>XLOOKUP($D308&amp;"|"&amp;$E308&amp;"|"&amp;$F308,'PET_STAT_RULES'!$A$5:$A$88,'PET_STAT_RULES'!$F$5:$F$88)</x:f>
        <x:v>0</x:v>
      </x:c>
      <x:c r="M308" s="340" t="n">
        <x:f>XLOOKUP($D308&amp;"|"&amp;$E308&amp;"|"&amp;$F308,'PET_STAT_RULES'!$A$5:$A$88,'PET_STAT_RULES'!$G$5:$G$88)</x:f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  <x:c r="W308" s="332" t="n">
        <x:f>XLOOKUP($D308&amp;"|"&amp;$E308&amp;"|"&amp;$F308,'PET_STAT_RULES'!$A$5:$A$88,'PET_STAT_RULES'!$E$5:$E$88)</x:f>
        <x:v>0</x:v>
      </x:c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40" t="n">
        <x:f>XLOOKUP($D309&amp;"|"&amp;$E309&amp;"|"&amp;$F309,'PET_STAT_RULES'!$A$5:$A$88,'PET_STAT_RULES'!$C$5:$C$88)</x:f>
        <x:v>34</x:v>
      </x:c>
      <x:c r="K309" s="340" t="n">
        <x:f>XLOOKUP($D309&amp;"|"&amp;$E309&amp;"|"&amp;$F309,'PET_STAT_RULES'!$A$5:$A$88,'PET_STAT_RULES'!$D$5:$D$88)</x:f>
        <x:v>22</x:v>
      </x:c>
      <x:c r="L309" s="340" t="n">
        <x:f>XLOOKUP($D309&amp;"|"&amp;$E309&amp;"|"&amp;$F309,'PET_STAT_RULES'!$A$5:$A$88,'PET_STAT_RULES'!$F$5:$F$88)</x:f>
        <x:v>0</x:v>
      </x:c>
      <x:c r="M309" s="340" t="n">
        <x:f>XLOOKUP($D309&amp;"|"&amp;$E309&amp;"|"&amp;$F309,'PET_STAT_RULES'!$A$5:$A$88,'PET_STAT_RULES'!$G$5:$G$88)</x:f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  <x:c r="W309" s="332" t="n">
        <x:f>XLOOKUP($D309&amp;"|"&amp;$E309&amp;"|"&amp;$F309,'PET_STAT_RULES'!$A$5:$A$88,'PET_STAT_RULES'!$E$5:$E$88)</x:f>
        <x:v>0</x:v>
      </x:c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40" t="n">
        <x:f>XLOOKUP($D310&amp;"|"&amp;$E310&amp;"|"&amp;$F310,'PET_STAT_RULES'!$A$5:$A$88,'PET_STAT_RULES'!$C$5:$C$88)</x:f>
        <x:v>28</x:v>
      </x:c>
      <x:c r="K310" s="340" t="n">
        <x:f>XLOOKUP($D310&amp;"|"&amp;$E310&amp;"|"&amp;$F310,'PET_STAT_RULES'!$A$5:$A$88,'PET_STAT_RULES'!$D$5:$D$88)</x:f>
        <x:v>12</x:v>
      </x:c>
      <x:c r="L310" s="340" t="n">
        <x:f>XLOOKUP($D310&amp;"|"&amp;$E310&amp;"|"&amp;$F310,'PET_STAT_RULES'!$A$5:$A$88,'PET_STAT_RULES'!$F$5:$F$88)</x:f>
        <x:v>0</x:v>
      </x:c>
      <x:c r="M310" s="340" t="n">
        <x:f>XLOOKUP($D310&amp;"|"&amp;$E310&amp;"|"&amp;$F310,'PET_STAT_RULES'!$A$5:$A$88,'PET_STAT_RULES'!$G$5:$G$88)</x:f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  <x:c r="W310" s="332" t="n">
        <x:f>XLOOKUP($D310&amp;"|"&amp;$E310&amp;"|"&amp;$F310,'PET_STAT_RULES'!$A$5:$A$88,'PET_STAT_RULES'!$E$5:$E$88)</x:f>
        <x:v>0</x:v>
      </x:c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40" t="n">
        <x:f>XLOOKUP($D311&amp;"|"&amp;$E311&amp;"|"&amp;$F311,'PET_STAT_RULES'!$A$5:$A$88,'PET_STAT_RULES'!$C$5:$C$88)</x:f>
        <x:v>22</x:v>
      </x:c>
      <x:c r="K311" s="340" t="n">
        <x:f>XLOOKUP($D311&amp;"|"&amp;$E311&amp;"|"&amp;$F311,'PET_STAT_RULES'!$A$5:$A$88,'PET_STAT_RULES'!$D$5:$D$88)</x:f>
        <x:v>14</x:v>
      </x:c>
      <x:c r="L311" s="340" t="n">
        <x:f>XLOOKUP($D311&amp;"|"&amp;$E311&amp;"|"&amp;$F311,'PET_STAT_RULES'!$A$5:$A$88,'PET_STAT_RULES'!$F$5:$F$88)</x:f>
        <x:v>0</x:v>
      </x:c>
      <x:c r="M311" s="340" t="n">
        <x:f>XLOOKUP($D311&amp;"|"&amp;$E311&amp;"|"&amp;$F311,'PET_STAT_RULES'!$A$5:$A$88,'PET_STAT_RULES'!$G$5:$G$88)</x:f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  <x:c r="W311" s="332" t="n">
        <x:f>XLOOKUP($D311&amp;"|"&amp;$E311&amp;"|"&amp;$F311,'PET_STAT_RULES'!$A$5:$A$88,'PET_STAT_RULES'!$E$5:$E$88)</x:f>
        <x:v>0</x:v>
      </x:c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40" t="n">
        <x:f>XLOOKUP($D312&amp;"|"&amp;$E312&amp;"|"&amp;$F312,'PET_STAT_RULES'!$A$5:$A$88,'PET_STAT_RULES'!$C$5:$C$88)</x:f>
        <x:v>46</x:v>
      </x:c>
      <x:c r="K312" s="340" t="n">
        <x:f>XLOOKUP($D312&amp;"|"&amp;$E312&amp;"|"&amp;$F312,'PET_STAT_RULES'!$A$5:$A$88,'PET_STAT_RULES'!$D$5:$D$88)</x:f>
        <x:v>18</x:v>
      </x:c>
      <x:c r="L312" s="340" t="n">
        <x:f>XLOOKUP($D312&amp;"|"&amp;$E312&amp;"|"&amp;$F312,'PET_STAT_RULES'!$A$5:$A$88,'PET_STAT_RULES'!$F$5:$F$88)</x:f>
        <x:v>0</x:v>
      </x:c>
      <x:c r="M312" s="340" t="n">
        <x:f>XLOOKUP($D312&amp;"|"&amp;$E312&amp;"|"&amp;$F312,'PET_STAT_RULES'!$A$5:$A$88,'PET_STAT_RULES'!$G$5:$G$88)</x:f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  <x:c r="W312" s="332" t="n">
        <x:f>XLOOKUP($D312&amp;"|"&amp;$E312&amp;"|"&amp;$F312,'PET_STAT_RULES'!$A$5:$A$88,'PET_STAT_RULES'!$E$5:$E$88)</x:f>
        <x:v>0</x:v>
      </x:c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40" t="n">
        <x:f>XLOOKUP($D313&amp;"|"&amp;$E313&amp;"|"&amp;$F313,'PET_STAT_RULES'!$A$5:$A$88,'PET_STAT_RULES'!$C$5:$C$88)</x:f>
        <x:v>22</x:v>
      </x:c>
      <x:c r="K313" s="340" t="n">
        <x:f>XLOOKUP($D313&amp;"|"&amp;$E313&amp;"|"&amp;$F313,'PET_STAT_RULES'!$A$5:$A$88,'PET_STAT_RULES'!$D$5:$D$88)</x:f>
        <x:v>14</x:v>
      </x:c>
      <x:c r="L313" s="340" t="n">
        <x:f>XLOOKUP($D313&amp;"|"&amp;$E313&amp;"|"&amp;$F313,'PET_STAT_RULES'!$A$5:$A$88,'PET_STAT_RULES'!$F$5:$F$88)</x:f>
        <x:v>0</x:v>
      </x:c>
      <x:c r="M313" s="340" t="n">
        <x:f>XLOOKUP($D313&amp;"|"&amp;$E313&amp;"|"&amp;$F313,'PET_STAT_RULES'!$A$5:$A$88,'PET_STAT_RULES'!$G$5:$G$88)</x:f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  <x:c r="W313" s="332" t="n">
        <x:f>XLOOKUP($D313&amp;"|"&amp;$E313&amp;"|"&amp;$F313,'PET_STAT_RULES'!$A$5:$A$88,'PET_STAT_RULES'!$E$5:$E$88)</x:f>
        <x:v>0</x:v>
      </x:c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40" t="n">
        <x:f>XLOOKUP($D314&amp;"|"&amp;$E314&amp;"|"&amp;$F314,'PET_STAT_RULES'!$A$5:$A$88,'PET_STAT_RULES'!$C$5:$C$88)</x:f>
        <x:v>28</x:v>
      </x:c>
      <x:c r="K314" s="340" t="n">
        <x:f>XLOOKUP($D314&amp;"|"&amp;$E314&amp;"|"&amp;$F314,'PET_STAT_RULES'!$A$5:$A$88,'PET_STAT_RULES'!$D$5:$D$88)</x:f>
        <x:v>12</x:v>
      </x:c>
      <x:c r="L314" s="340" t="n">
        <x:f>XLOOKUP($D314&amp;"|"&amp;$E314&amp;"|"&amp;$F314,'PET_STAT_RULES'!$A$5:$A$88,'PET_STAT_RULES'!$F$5:$F$88)</x:f>
        <x:v>0</x:v>
      </x:c>
      <x:c r="M314" s="340" t="n">
        <x:f>XLOOKUP($D314&amp;"|"&amp;$E314&amp;"|"&amp;$F314,'PET_STAT_RULES'!$A$5:$A$88,'PET_STAT_RULES'!$G$5:$G$88)</x:f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  <x:c r="W314" s="332" t="n">
        <x:f>XLOOKUP($D314&amp;"|"&amp;$E314&amp;"|"&amp;$F314,'PET_STAT_RULES'!$A$5:$A$88,'PET_STAT_RULES'!$E$5:$E$88)</x:f>
        <x:v>0</x:v>
      </x:c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40" t="n">
        <x:f>XLOOKUP($D315&amp;"|"&amp;$E315&amp;"|"&amp;$F315,'PET_STAT_RULES'!$A$5:$A$88,'PET_STAT_RULES'!$C$5:$C$88)</x:f>
        <x:v>46</x:v>
      </x:c>
      <x:c r="K315" s="340" t="n">
        <x:f>XLOOKUP($D315&amp;"|"&amp;$E315&amp;"|"&amp;$F315,'PET_STAT_RULES'!$A$5:$A$88,'PET_STAT_RULES'!$D$5:$D$88)</x:f>
        <x:v>18</x:v>
      </x:c>
      <x:c r="L315" s="340" t="n">
        <x:f>XLOOKUP($D315&amp;"|"&amp;$E315&amp;"|"&amp;$F315,'PET_STAT_RULES'!$A$5:$A$88,'PET_STAT_RULES'!$F$5:$F$88)</x:f>
        <x:v>0</x:v>
      </x:c>
      <x:c r="M315" s="340" t="n">
        <x:f>XLOOKUP($D315&amp;"|"&amp;$E315&amp;"|"&amp;$F315,'PET_STAT_RULES'!$A$5:$A$88,'PET_STAT_RULES'!$G$5:$G$88)</x:f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  <x:c r="W315" s="332" t="n">
        <x:f>XLOOKUP($D315&amp;"|"&amp;$E315&amp;"|"&amp;$F315,'PET_STAT_RULES'!$A$5:$A$88,'PET_STAT_RULES'!$E$5:$E$88)</x:f>
        <x:v>0</x:v>
      </x:c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40" t="n">
        <x:f>XLOOKUP($D316&amp;"|"&amp;$E316&amp;"|"&amp;$F316,'PET_STAT_RULES'!$A$5:$A$88,'PET_STAT_RULES'!$C$5:$C$88)</x:f>
        <x:v>22</x:v>
      </x:c>
      <x:c r="K316" s="340" t="n">
        <x:f>XLOOKUP($D316&amp;"|"&amp;$E316&amp;"|"&amp;$F316,'PET_STAT_RULES'!$A$5:$A$88,'PET_STAT_RULES'!$D$5:$D$88)</x:f>
        <x:v>14</x:v>
      </x:c>
      <x:c r="L316" s="340" t="n">
        <x:f>XLOOKUP($D316&amp;"|"&amp;$E316&amp;"|"&amp;$F316,'PET_STAT_RULES'!$A$5:$A$88,'PET_STAT_RULES'!$F$5:$F$88)</x:f>
        <x:v>0</x:v>
      </x:c>
      <x:c r="M316" s="340" t="n">
        <x:f>XLOOKUP($D316&amp;"|"&amp;$E316&amp;"|"&amp;$F316,'PET_STAT_RULES'!$A$5:$A$88,'PET_STAT_RULES'!$G$5:$G$88)</x:f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  <x:c r="W316" s="332" t="n">
        <x:f>XLOOKUP($D316&amp;"|"&amp;$E316&amp;"|"&amp;$F316,'PET_STAT_RULES'!$A$5:$A$88,'PET_STAT_RULES'!$E$5:$E$88)</x:f>
        <x:v>0</x:v>
      </x:c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40" t="n">
        <x:f>XLOOKUP($D317&amp;"|"&amp;$E317&amp;"|"&amp;$F317,'PET_STAT_RULES'!$A$5:$A$88,'PET_STAT_RULES'!$C$5:$C$88)</x:f>
        <x:v>28</x:v>
      </x:c>
      <x:c r="K317" s="340" t="n">
        <x:f>XLOOKUP($D317&amp;"|"&amp;$E317&amp;"|"&amp;$F317,'PET_STAT_RULES'!$A$5:$A$88,'PET_STAT_RULES'!$D$5:$D$88)</x:f>
        <x:v>12</x:v>
      </x:c>
      <x:c r="L317" s="340" t="n">
        <x:f>XLOOKUP($D317&amp;"|"&amp;$E317&amp;"|"&amp;$F317,'PET_STAT_RULES'!$A$5:$A$88,'PET_STAT_RULES'!$F$5:$F$88)</x:f>
        <x:v>0</x:v>
      </x:c>
      <x:c r="M317" s="340" t="n">
        <x:f>XLOOKUP($D317&amp;"|"&amp;$E317&amp;"|"&amp;$F317,'PET_STAT_RULES'!$A$5:$A$88,'PET_STAT_RULES'!$G$5:$G$88)</x:f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  <x:c r="W317" s="332" t="n">
        <x:f>XLOOKUP($D317&amp;"|"&amp;$E317&amp;"|"&amp;$F317,'PET_STAT_RULES'!$A$5:$A$88,'PET_STAT_RULES'!$E$5:$E$88)</x:f>
        <x:v>0</x:v>
      </x:c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40" t="n">
        <x:f>XLOOKUP($D318&amp;"|"&amp;$E318&amp;"|"&amp;$F318,'PET_STAT_RULES'!$A$5:$A$88,'PET_STAT_RULES'!$C$5:$C$88)</x:f>
        <x:v>28</x:v>
      </x:c>
      <x:c r="K318" s="340" t="n">
        <x:f>XLOOKUP($D318&amp;"|"&amp;$E318&amp;"|"&amp;$F318,'PET_STAT_RULES'!$A$5:$A$88,'PET_STAT_RULES'!$D$5:$D$88)</x:f>
        <x:v>12</x:v>
      </x:c>
      <x:c r="L318" s="340" t="n">
        <x:f>XLOOKUP($D318&amp;"|"&amp;$E318&amp;"|"&amp;$F318,'PET_STAT_RULES'!$A$5:$A$88,'PET_STAT_RULES'!$F$5:$F$88)</x:f>
        <x:v>0</x:v>
      </x:c>
      <x:c r="M318" s="340" t="n">
        <x:f>XLOOKUP($D318&amp;"|"&amp;$E318&amp;"|"&amp;$F318,'PET_STAT_RULES'!$A$5:$A$88,'PET_STAT_RULES'!$G$5:$G$88)</x:f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  <x:c r="W318" s="332" t="n">
        <x:f>XLOOKUP($D318&amp;"|"&amp;$E318&amp;"|"&amp;$F318,'PET_STAT_RULES'!$A$5:$A$88,'PET_STAT_RULES'!$E$5:$E$88)</x:f>
        <x:v>0</x:v>
      </x:c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40" t="n">
        <x:f>XLOOKUP($D319&amp;"|"&amp;$E319&amp;"|"&amp;$F319,'PET_STAT_RULES'!$A$5:$A$88,'PET_STAT_RULES'!$C$5:$C$88)</x:f>
        <x:v>22</x:v>
      </x:c>
      <x:c r="K319" s="340" t="n">
        <x:f>XLOOKUP($D319&amp;"|"&amp;$E319&amp;"|"&amp;$F319,'PET_STAT_RULES'!$A$5:$A$88,'PET_STAT_RULES'!$D$5:$D$88)</x:f>
        <x:v>14</x:v>
      </x:c>
      <x:c r="L319" s="340" t="n">
        <x:f>XLOOKUP($D319&amp;"|"&amp;$E319&amp;"|"&amp;$F319,'PET_STAT_RULES'!$A$5:$A$88,'PET_STAT_RULES'!$F$5:$F$88)</x:f>
        <x:v>0</x:v>
      </x:c>
      <x:c r="M319" s="340" t="n">
        <x:f>XLOOKUP($D319&amp;"|"&amp;$E319&amp;"|"&amp;$F319,'PET_STAT_RULES'!$A$5:$A$88,'PET_STAT_RULES'!$G$5:$G$88)</x:f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  <x:c r="W319" s="332" t="n">
        <x:f>XLOOKUP($D319&amp;"|"&amp;$E319&amp;"|"&amp;$F319,'PET_STAT_RULES'!$A$5:$A$88,'PET_STAT_RULES'!$E$5:$E$88)</x:f>
        <x:v>0</x:v>
      </x:c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40" t="n">
        <x:f>XLOOKUP($D320&amp;"|"&amp;$E320&amp;"|"&amp;$F320,'PET_STAT_RULES'!$A$5:$A$88,'PET_STAT_RULES'!$C$5:$C$88)</x:f>
        <x:v>46</x:v>
      </x:c>
      <x:c r="K320" s="340" t="n">
        <x:f>XLOOKUP($D320&amp;"|"&amp;$E320&amp;"|"&amp;$F320,'PET_STAT_RULES'!$A$5:$A$88,'PET_STAT_RULES'!$D$5:$D$88)</x:f>
        <x:v>18</x:v>
      </x:c>
      <x:c r="L320" s="340" t="n">
        <x:f>XLOOKUP($D320&amp;"|"&amp;$E320&amp;"|"&amp;$F320,'PET_STAT_RULES'!$A$5:$A$88,'PET_STAT_RULES'!$F$5:$F$88)</x:f>
        <x:v>0</x:v>
      </x:c>
      <x:c r="M320" s="340" t="n">
        <x:f>XLOOKUP($D320&amp;"|"&amp;$E320&amp;"|"&amp;$F320,'PET_STAT_RULES'!$A$5:$A$88,'PET_STAT_RULES'!$G$5:$G$88)</x:f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  <x:c r="W320" s="332" t="n">
        <x:f>XLOOKUP($D320&amp;"|"&amp;$E320&amp;"|"&amp;$F320,'PET_STAT_RULES'!$A$5:$A$88,'PET_STAT_RULES'!$E$5:$E$88)</x:f>
        <x:v>0</x:v>
      </x:c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40" t="n">
        <x:f>XLOOKUP($D321&amp;"|"&amp;$E321&amp;"|"&amp;$F321,'PET_STAT_RULES'!$A$5:$A$88,'PET_STAT_RULES'!$C$5:$C$88)</x:f>
        <x:v>34</x:v>
      </x:c>
      <x:c r="K321" s="340" t="n">
        <x:f>XLOOKUP($D321&amp;"|"&amp;$E321&amp;"|"&amp;$F321,'PET_STAT_RULES'!$A$5:$A$88,'PET_STAT_RULES'!$D$5:$D$88)</x:f>
        <x:v>14</x:v>
      </x:c>
      <x:c r="L321" s="340" t="n">
        <x:f>XLOOKUP($D321&amp;"|"&amp;$E321&amp;"|"&amp;$F321,'PET_STAT_RULES'!$A$5:$A$88,'PET_STAT_RULES'!$F$5:$F$88)</x:f>
        <x:v>0</x:v>
      </x:c>
      <x:c r="M321" s="340" t="n">
        <x:f>XLOOKUP($D321&amp;"|"&amp;$E321&amp;"|"&amp;$F321,'PET_STAT_RULES'!$A$5:$A$88,'PET_STAT_RULES'!$G$5:$G$88)</x:f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  <x:c r="W321" s="332" t="n">
        <x:f>XLOOKUP($D321&amp;"|"&amp;$E321&amp;"|"&amp;$F321,'PET_STAT_RULES'!$A$5:$A$88,'PET_STAT_RULES'!$E$5:$E$88)</x:f>
        <x:v>0</x:v>
      </x:c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40" t="n">
        <x:f>XLOOKUP($D322&amp;"|"&amp;$E322&amp;"|"&amp;$F322,'PET_STAT_RULES'!$A$5:$A$88,'PET_STAT_RULES'!$C$5:$C$88)</x:f>
        <x:v>40</x:v>
      </x:c>
      <x:c r="K322" s="340" t="n">
        <x:f>XLOOKUP($D322&amp;"|"&amp;$E322&amp;"|"&amp;$F322,'PET_STAT_RULES'!$A$5:$A$88,'PET_STAT_RULES'!$D$5:$D$88)</x:f>
        <x:v>12</x:v>
      </x:c>
      <x:c r="L322" s="340" t="n">
        <x:f>XLOOKUP($D322&amp;"|"&amp;$E322&amp;"|"&amp;$F322,'PET_STAT_RULES'!$A$5:$A$88,'PET_STAT_RULES'!$F$5:$F$88)</x:f>
        <x:v>0</x:v>
      </x:c>
      <x:c r="M322" s="340" t="n">
        <x:f>XLOOKUP($D322&amp;"|"&amp;$E322&amp;"|"&amp;$F322,'PET_STAT_RULES'!$A$5:$A$88,'PET_STAT_RULES'!$G$5:$G$88)</x:f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  <x:c r="W322" s="332" t="n">
        <x:f>XLOOKUP($D322&amp;"|"&amp;$E322&amp;"|"&amp;$F322,'PET_STAT_RULES'!$A$5:$A$88,'PET_STAT_RULES'!$E$5:$E$88)</x:f>
        <x:v>0</x:v>
      </x:c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40" t="n">
        <x:f>XLOOKUP($D323&amp;"|"&amp;$E323&amp;"|"&amp;$F323,'PET_STAT_RULES'!$A$5:$A$88,'PET_STAT_RULES'!$C$5:$C$88)</x:f>
        <x:v>46</x:v>
      </x:c>
      <x:c r="K323" s="340" t="n">
        <x:f>XLOOKUP($D323&amp;"|"&amp;$E323&amp;"|"&amp;$F323,'PET_STAT_RULES'!$A$5:$A$88,'PET_STAT_RULES'!$D$5:$D$88)</x:f>
        <x:v>10</x:v>
      </x:c>
      <x:c r="L323" s="340" t="n">
        <x:f>XLOOKUP($D323&amp;"|"&amp;$E323&amp;"|"&amp;$F323,'PET_STAT_RULES'!$A$5:$A$88,'PET_STAT_RULES'!$F$5:$F$88)</x:f>
        <x:v>0</x:v>
      </x:c>
      <x:c r="M323" s="340" t="n">
        <x:f>XLOOKUP($D323&amp;"|"&amp;$E323&amp;"|"&amp;$F323,'PET_STAT_RULES'!$A$5:$A$88,'PET_STAT_RULES'!$G$5:$G$88)</x:f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  <x:c r="W323" s="332" t="n">
        <x:f>XLOOKUP($D323&amp;"|"&amp;$E323&amp;"|"&amp;$F323,'PET_STAT_RULES'!$A$5:$A$88,'PET_STAT_RULES'!$E$5:$E$88)</x:f>
        <x:v>0</x:v>
      </x:c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40" t="n">
        <x:f>XLOOKUP($D324&amp;"|"&amp;$E324&amp;"|"&amp;$F324,'PET_STAT_RULES'!$A$5:$A$88,'PET_STAT_RULES'!$C$5:$C$88)</x:f>
        <x:v>46</x:v>
      </x:c>
      <x:c r="K324" s="340" t="n">
        <x:f>XLOOKUP($D324&amp;"|"&amp;$E324&amp;"|"&amp;$F324,'PET_STAT_RULES'!$A$5:$A$88,'PET_STAT_RULES'!$D$5:$D$88)</x:f>
        <x:v>18</x:v>
      </x:c>
      <x:c r="L324" s="340" t="n">
        <x:f>XLOOKUP($D324&amp;"|"&amp;$E324&amp;"|"&amp;$F324,'PET_STAT_RULES'!$A$5:$A$88,'PET_STAT_RULES'!$F$5:$F$88)</x:f>
        <x:v>0</x:v>
      </x:c>
      <x:c r="M324" s="340" t="n">
        <x:f>XLOOKUP($D324&amp;"|"&amp;$E324&amp;"|"&amp;$F324,'PET_STAT_RULES'!$A$5:$A$88,'PET_STAT_RULES'!$G$5:$G$88)</x:f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  <x:c r="W324" s="332" t="n">
        <x:f>XLOOKUP($D324&amp;"|"&amp;$E324&amp;"|"&amp;$F324,'PET_STAT_RULES'!$A$5:$A$88,'PET_STAT_RULES'!$E$5:$E$88)</x:f>
        <x:v>0</x:v>
      </x:c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40" t="n">
        <x:f>XLOOKUP($D325&amp;"|"&amp;$E325&amp;"|"&amp;$F325,'PET_STAT_RULES'!$A$5:$A$88,'PET_STAT_RULES'!$C$5:$C$88)</x:f>
        <x:v>40</x:v>
      </x:c>
      <x:c r="K325" s="340" t="n">
        <x:f>XLOOKUP($D325&amp;"|"&amp;$E325&amp;"|"&amp;$F325,'PET_STAT_RULES'!$A$5:$A$88,'PET_STAT_RULES'!$D$5:$D$88)</x:f>
        <x:v>20</x:v>
      </x:c>
      <x:c r="L325" s="340" t="n">
        <x:f>XLOOKUP($D325&amp;"|"&amp;$E325&amp;"|"&amp;$F325,'PET_STAT_RULES'!$A$5:$A$88,'PET_STAT_RULES'!$F$5:$F$88)</x:f>
        <x:v>0</x:v>
      </x:c>
      <x:c r="M325" s="340" t="n">
        <x:f>XLOOKUP($D325&amp;"|"&amp;$E325&amp;"|"&amp;$F325,'PET_STAT_RULES'!$A$5:$A$88,'PET_STAT_RULES'!$G$5:$G$88)</x:f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  <x:c r="W325" s="332" t="n">
        <x:f>XLOOKUP($D325&amp;"|"&amp;$E325&amp;"|"&amp;$F325,'PET_STAT_RULES'!$A$5:$A$88,'PET_STAT_RULES'!$E$5:$E$88)</x:f>
        <x:v>0</x:v>
      </x:c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40" t="n">
        <x:f>XLOOKUP($D326&amp;"|"&amp;$E326&amp;"|"&amp;$F326,'PET_STAT_RULES'!$A$5:$A$88,'PET_STAT_RULES'!$C$5:$C$88)</x:f>
        <x:v>22</x:v>
      </x:c>
      <x:c r="K326" s="340" t="n">
        <x:f>XLOOKUP($D326&amp;"|"&amp;$E326&amp;"|"&amp;$F326,'PET_STAT_RULES'!$A$5:$A$88,'PET_STAT_RULES'!$D$5:$D$88)</x:f>
        <x:v>14</x:v>
      </x:c>
      <x:c r="L326" s="340" t="n">
        <x:f>XLOOKUP($D326&amp;"|"&amp;$E326&amp;"|"&amp;$F326,'PET_STAT_RULES'!$A$5:$A$88,'PET_STAT_RULES'!$F$5:$F$88)</x:f>
        <x:v>0</x:v>
      </x:c>
      <x:c r="M326" s="340" t="n">
        <x:f>XLOOKUP($D326&amp;"|"&amp;$E326&amp;"|"&amp;$F326,'PET_STAT_RULES'!$A$5:$A$88,'PET_STAT_RULES'!$G$5:$G$88)</x:f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  <x:c r="W326" s="332" t="n">
        <x:f>XLOOKUP($D326&amp;"|"&amp;$E326&amp;"|"&amp;$F326,'PET_STAT_RULES'!$A$5:$A$88,'PET_STAT_RULES'!$E$5:$E$88)</x:f>
        <x:v>0</x:v>
      </x:c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40" t="n">
        <x:f>XLOOKUP($D327&amp;"|"&amp;$E327&amp;"|"&amp;$F327,'PET_STAT_RULES'!$A$5:$A$88,'PET_STAT_RULES'!$C$5:$C$88)</x:f>
        <x:v>22</x:v>
      </x:c>
      <x:c r="K327" s="340" t="n">
        <x:f>XLOOKUP($D327&amp;"|"&amp;$E327&amp;"|"&amp;$F327,'PET_STAT_RULES'!$A$5:$A$88,'PET_STAT_RULES'!$D$5:$D$88)</x:f>
        <x:v>14</x:v>
      </x:c>
      <x:c r="L327" s="340" t="n">
        <x:f>XLOOKUP($D327&amp;"|"&amp;$E327&amp;"|"&amp;$F327,'PET_STAT_RULES'!$A$5:$A$88,'PET_STAT_RULES'!$F$5:$F$88)</x:f>
        <x:v>0</x:v>
      </x:c>
      <x:c r="M327" s="340" t="n">
        <x:f>XLOOKUP($D327&amp;"|"&amp;$E327&amp;"|"&amp;$F327,'PET_STAT_RULES'!$A$5:$A$88,'PET_STAT_RULES'!$G$5:$G$88)</x:f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  <x:c r="W327" s="332" t="n">
        <x:f>XLOOKUP($D327&amp;"|"&amp;$E327&amp;"|"&amp;$F327,'PET_STAT_RULES'!$A$5:$A$88,'PET_STAT_RULES'!$E$5:$E$88)</x:f>
        <x:v>0</x:v>
      </x:c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40" t="n">
        <x:f>XLOOKUP($D328&amp;"|"&amp;$E328&amp;"|"&amp;$F328,'PET_STAT_RULES'!$A$5:$A$88,'PET_STAT_RULES'!$C$5:$C$88)</x:f>
        <x:v>40</x:v>
      </x:c>
      <x:c r="K328" s="340" t="n">
        <x:f>XLOOKUP($D328&amp;"|"&amp;$E328&amp;"|"&amp;$F328,'PET_STAT_RULES'!$A$5:$A$88,'PET_STAT_RULES'!$D$5:$D$88)</x:f>
        <x:v>20</x:v>
      </x:c>
      <x:c r="L328" s="340" t="n">
        <x:f>XLOOKUP($D328&amp;"|"&amp;$E328&amp;"|"&amp;$F328,'PET_STAT_RULES'!$A$5:$A$88,'PET_STAT_RULES'!$F$5:$F$88)</x:f>
        <x:v>0</x:v>
      </x:c>
      <x:c r="M328" s="340" t="n">
        <x:f>XLOOKUP($D328&amp;"|"&amp;$E328&amp;"|"&amp;$F328,'PET_STAT_RULES'!$A$5:$A$88,'PET_STAT_RULES'!$G$5:$G$88)</x:f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  <x:c r="W328" s="332" t="n">
        <x:f>XLOOKUP($D328&amp;"|"&amp;$E328&amp;"|"&amp;$F328,'PET_STAT_RULES'!$A$5:$A$88,'PET_STAT_RULES'!$E$5:$E$88)</x:f>
        <x:v>0</x:v>
      </x:c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40" t="n">
        <x:f>XLOOKUP($D329&amp;"|"&amp;$E329&amp;"|"&amp;$F329,'PET_STAT_RULES'!$A$5:$A$88,'PET_STAT_RULES'!$C$5:$C$88)</x:f>
        <x:v>46</x:v>
      </x:c>
      <x:c r="K329" s="340" t="n">
        <x:f>XLOOKUP($D329&amp;"|"&amp;$E329&amp;"|"&amp;$F329,'PET_STAT_RULES'!$A$5:$A$88,'PET_STAT_RULES'!$D$5:$D$88)</x:f>
        <x:v>10</x:v>
      </x:c>
      <x:c r="L329" s="340" t="n">
        <x:f>XLOOKUP($D329&amp;"|"&amp;$E329&amp;"|"&amp;$F329,'PET_STAT_RULES'!$A$5:$A$88,'PET_STAT_RULES'!$F$5:$F$88)</x:f>
        <x:v>0</x:v>
      </x:c>
      <x:c r="M329" s="340" t="n">
        <x:f>XLOOKUP($D329&amp;"|"&amp;$E329&amp;"|"&amp;$F329,'PET_STAT_RULES'!$A$5:$A$88,'PET_STAT_RULES'!$G$5:$G$88)</x:f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  <x:c r="W329" s="332" t="n">
        <x:f>XLOOKUP($D329&amp;"|"&amp;$E329&amp;"|"&amp;$F329,'PET_STAT_RULES'!$A$5:$A$88,'PET_STAT_RULES'!$E$5:$E$88)</x:f>
        <x:v>0</x:v>
      </x:c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40" t="n">
        <x:f>XLOOKUP($D330&amp;"|"&amp;$E330&amp;"|"&amp;$F330,'PET_STAT_RULES'!$A$5:$A$88,'PET_STAT_RULES'!$C$5:$C$88)</x:f>
        <x:v>46</x:v>
      </x:c>
      <x:c r="K330" s="340" t="n">
        <x:f>XLOOKUP($D330&amp;"|"&amp;$E330&amp;"|"&amp;$F330,'PET_STAT_RULES'!$A$5:$A$88,'PET_STAT_RULES'!$D$5:$D$88)</x:f>
        <x:v>18</x:v>
      </x:c>
      <x:c r="L330" s="340" t="n">
        <x:f>XLOOKUP($D330&amp;"|"&amp;$E330&amp;"|"&amp;$F330,'PET_STAT_RULES'!$A$5:$A$88,'PET_STAT_RULES'!$F$5:$F$88)</x:f>
        <x:v>0</x:v>
      </x:c>
      <x:c r="M330" s="340" t="n">
        <x:f>XLOOKUP($D330&amp;"|"&amp;$E330&amp;"|"&amp;$F330,'PET_STAT_RULES'!$A$5:$A$88,'PET_STAT_RULES'!$G$5:$G$88)</x:f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  <x:c r="W330" s="332" t="n">
        <x:f>XLOOKUP($D330&amp;"|"&amp;$E330&amp;"|"&amp;$F330,'PET_STAT_RULES'!$A$5:$A$88,'PET_STAT_RULES'!$E$5:$E$88)</x:f>
        <x:v>0</x:v>
      </x:c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40" t="n">
        <x:f>XLOOKUP($D331&amp;"|"&amp;$E331&amp;"|"&amp;$F331,'PET_STAT_RULES'!$A$5:$A$88,'PET_STAT_RULES'!$C$5:$C$88)</x:f>
        <x:v>28</x:v>
      </x:c>
      <x:c r="K331" s="340" t="n">
        <x:f>XLOOKUP($D331&amp;"|"&amp;$E331&amp;"|"&amp;$F331,'PET_STAT_RULES'!$A$5:$A$88,'PET_STAT_RULES'!$D$5:$D$88)</x:f>
        <x:v>12</x:v>
      </x:c>
      <x:c r="L331" s="340" t="n">
        <x:f>XLOOKUP($D331&amp;"|"&amp;$E331&amp;"|"&amp;$F331,'PET_STAT_RULES'!$A$5:$A$88,'PET_STAT_RULES'!$F$5:$F$88)</x:f>
        <x:v>0</x:v>
      </x:c>
      <x:c r="M331" s="340" t="n">
        <x:f>XLOOKUP($D331&amp;"|"&amp;$E331&amp;"|"&amp;$F331,'PET_STAT_RULES'!$A$5:$A$88,'PET_STAT_RULES'!$G$5:$G$88)</x:f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  <x:c r="W331" s="332" t="n">
        <x:f>XLOOKUP($D331&amp;"|"&amp;$E331&amp;"|"&amp;$F331,'PET_STAT_RULES'!$A$5:$A$88,'PET_STAT_RULES'!$E$5:$E$88)</x:f>
        <x:v>0</x:v>
      </x:c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40" t="n">
        <x:f>XLOOKUP($D332&amp;"|"&amp;$E332&amp;"|"&amp;$F332,'PET_STAT_RULES'!$A$5:$A$88,'PET_STAT_RULES'!$C$5:$C$88)</x:f>
        <x:v>46</x:v>
      </x:c>
      <x:c r="K332" s="340" t="n">
        <x:f>XLOOKUP($D332&amp;"|"&amp;$E332&amp;"|"&amp;$F332,'PET_STAT_RULES'!$A$5:$A$88,'PET_STAT_RULES'!$D$5:$D$88)</x:f>
        <x:v>18</x:v>
      </x:c>
      <x:c r="L332" s="340" t="n">
        <x:f>XLOOKUP($D332&amp;"|"&amp;$E332&amp;"|"&amp;$F332,'PET_STAT_RULES'!$A$5:$A$88,'PET_STAT_RULES'!$F$5:$F$88)</x:f>
        <x:v>0</x:v>
      </x:c>
      <x:c r="M332" s="340" t="n">
        <x:f>XLOOKUP($D332&amp;"|"&amp;$E332&amp;"|"&amp;$F332,'PET_STAT_RULES'!$A$5:$A$88,'PET_STAT_RULES'!$G$5:$G$88)</x:f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  <x:c r="W332" s="332" t="n">
        <x:f>XLOOKUP($D332&amp;"|"&amp;$E332&amp;"|"&amp;$F332,'PET_STAT_RULES'!$A$5:$A$88,'PET_STAT_RULES'!$E$5:$E$88)</x:f>
        <x:v>0</x:v>
      </x:c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40" t="n">
        <x:f>XLOOKUP($D333&amp;"|"&amp;$E333&amp;"|"&amp;$F333,'PET_STAT_RULES'!$A$5:$A$88,'PET_STAT_RULES'!$C$5:$C$88)</x:f>
        <x:v>22</x:v>
      </x:c>
      <x:c r="K333" s="340" t="n">
        <x:f>XLOOKUP($D333&amp;"|"&amp;$E333&amp;"|"&amp;$F333,'PET_STAT_RULES'!$A$5:$A$88,'PET_STAT_RULES'!$D$5:$D$88)</x:f>
        <x:v>14</x:v>
      </x:c>
      <x:c r="L333" s="340" t="n">
        <x:f>XLOOKUP($D333&amp;"|"&amp;$E333&amp;"|"&amp;$F333,'PET_STAT_RULES'!$A$5:$A$88,'PET_STAT_RULES'!$F$5:$F$88)</x:f>
        <x:v>0</x:v>
      </x:c>
      <x:c r="M333" s="340" t="n">
        <x:f>XLOOKUP($D333&amp;"|"&amp;$E333&amp;"|"&amp;$F333,'PET_STAT_RULES'!$A$5:$A$88,'PET_STAT_RULES'!$G$5:$G$88)</x:f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  <x:c r="W333" s="332" t="n">
        <x:f>XLOOKUP($D333&amp;"|"&amp;$E333&amp;"|"&amp;$F333,'PET_STAT_RULES'!$A$5:$A$88,'PET_STAT_RULES'!$E$5:$E$88)</x:f>
        <x:v>0</x:v>
      </x:c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40" t="n">
        <x:f>XLOOKUP($D334&amp;"|"&amp;$E334&amp;"|"&amp;$F334,'PET_STAT_RULES'!$A$5:$A$88,'PET_STAT_RULES'!$C$5:$C$88)</x:f>
        <x:v>28</x:v>
      </x:c>
      <x:c r="K334" s="340" t="n">
        <x:f>XLOOKUP($D334&amp;"|"&amp;$E334&amp;"|"&amp;$F334,'PET_STAT_RULES'!$A$5:$A$88,'PET_STAT_RULES'!$D$5:$D$88)</x:f>
        <x:v>12</x:v>
      </x:c>
      <x:c r="L334" s="340" t="n">
        <x:f>XLOOKUP($D334&amp;"|"&amp;$E334&amp;"|"&amp;$F334,'PET_STAT_RULES'!$A$5:$A$88,'PET_STAT_RULES'!$F$5:$F$88)</x:f>
        <x:v>0</x:v>
      </x:c>
      <x:c r="M334" s="340" t="n">
        <x:f>XLOOKUP($D334&amp;"|"&amp;$E334&amp;"|"&amp;$F334,'PET_STAT_RULES'!$A$5:$A$88,'PET_STAT_RULES'!$G$5:$G$88)</x:f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  <x:c r="W334" s="332" t="n">
        <x:f>XLOOKUP($D334&amp;"|"&amp;$E334&amp;"|"&amp;$F334,'PET_STAT_RULES'!$A$5:$A$88,'PET_STAT_RULES'!$E$5:$E$88)</x:f>
        <x:v>0</x:v>
      </x:c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40" t="n">
        <x:f>XLOOKUP($D335&amp;"|"&amp;$E335&amp;"|"&amp;$F335,'PET_STAT_RULES'!$A$5:$A$88,'PET_STAT_RULES'!$C$5:$C$88)</x:f>
        <x:v>46</x:v>
      </x:c>
      <x:c r="K335" s="340" t="n">
        <x:f>XLOOKUP($D335&amp;"|"&amp;$E335&amp;"|"&amp;$F335,'PET_STAT_RULES'!$A$5:$A$88,'PET_STAT_RULES'!$D$5:$D$88)</x:f>
        <x:v>20</x:v>
      </x:c>
      <x:c r="L335" s="340" t="n">
        <x:f>XLOOKUP($D335&amp;"|"&amp;$E335&amp;"|"&amp;$F335,'PET_STAT_RULES'!$A$5:$A$88,'PET_STAT_RULES'!$F$5:$F$88)</x:f>
        <x:v>0</x:v>
      </x:c>
      <x:c r="M335" s="340" t="n">
        <x:f>XLOOKUP($D335&amp;"|"&amp;$E335&amp;"|"&amp;$F335,'PET_STAT_RULES'!$A$5:$A$88,'PET_STAT_RULES'!$G$5:$G$88)</x:f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  <x:c r="W335" s="332" t="n">
        <x:f>XLOOKUP($D335&amp;"|"&amp;$E335&amp;"|"&amp;$F335,'PET_STAT_RULES'!$A$5:$A$88,'PET_STAT_RULES'!$E$5:$E$88)</x:f>
        <x:v>0</x:v>
      </x:c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40" t="n">
        <x:f>XLOOKUP($D336&amp;"|"&amp;$E336&amp;"|"&amp;$F336,'PET_STAT_RULES'!$A$5:$A$88,'PET_STAT_RULES'!$C$5:$C$88)</x:f>
        <x:v>46</x:v>
      </x:c>
      <x:c r="K336" s="340" t="n">
        <x:f>XLOOKUP($D336&amp;"|"&amp;$E336&amp;"|"&amp;$F336,'PET_STAT_RULES'!$A$5:$A$88,'PET_STAT_RULES'!$D$5:$D$88)</x:f>
        <x:v>18</x:v>
      </x:c>
      <x:c r="L336" s="340" t="n">
        <x:f>XLOOKUP($D336&amp;"|"&amp;$E336&amp;"|"&amp;$F336,'PET_STAT_RULES'!$A$5:$A$88,'PET_STAT_RULES'!$F$5:$F$88)</x:f>
        <x:v>0</x:v>
      </x:c>
      <x:c r="M336" s="340" t="n">
        <x:f>XLOOKUP($D336&amp;"|"&amp;$E336&amp;"|"&amp;$F336,'PET_STAT_RULES'!$A$5:$A$88,'PET_STAT_RULES'!$G$5:$G$88)</x:f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  <x:c r="W336" s="332" t="n">
        <x:f>XLOOKUP($D336&amp;"|"&amp;$E336&amp;"|"&amp;$F336,'PET_STAT_RULES'!$A$5:$A$88,'PET_STAT_RULES'!$E$5:$E$88)</x:f>
        <x:v>0</x:v>
      </x:c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40" t="n">
        <x:f>XLOOKUP($D337&amp;"|"&amp;$E337&amp;"|"&amp;$F337,'PET_STAT_RULES'!$A$5:$A$88,'PET_STAT_RULES'!$C$5:$C$88)</x:f>
        <x:v>52</x:v>
      </x:c>
      <x:c r="K337" s="340" t="n">
        <x:f>XLOOKUP($D337&amp;"|"&amp;$E337&amp;"|"&amp;$F337,'PET_STAT_RULES'!$A$5:$A$88,'PET_STAT_RULES'!$D$5:$D$88)</x:f>
        <x:v>18</x:v>
      </x:c>
      <x:c r="L337" s="340" t="n">
        <x:f>XLOOKUP($D337&amp;"|"&amp;$E337&amp;"|"&amp;$F337,'PET_STAT_RULES'!$A$5:$A$88,'PET_STAT_RULES'!$F$5:$F$88)</x:f>
        <x:v>0</x:v>
      </x:c>
      <x:c r="M337" s="340" t="n">
        <x:f>XLOOKUP($D337&amp;"|"&amp;$E337&amp;"|"&amp;$F337,'PET_STAT_RULES'!$A$5:$A$88,'PET_STAT_RULES'!$G$5:$G$88)</x:f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  <x:c r="W337" s="332" t="n">
        <x:f>XLOOKUP($D337&amp;"|"&amp;$E337&amp;"|"&amp;$F337,'PET_STAT_RULES'!$A$5:$A$88,'PET_STAT_RULES'!$E$5:$E$88)</x:f>
        <x:v>0</x:v>
      </x:c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40" t="n">
        <x:f>XLOOKUP($D338&amp;"|"&amp;$E338&amp;"|"&amp;$F338,'PET_STAT_RULES'!$A$5:$A$88,'PET_STAT_RULES'!$C$5:$C$88)</x:f>
        <x:v>46</x:v>
      </x:c>
      <x:c r="K338" s="340" t="n">
        <x:f>XLOOKUP($D338&amp;"|"&amp;$E338&amp;"|"&amp;$F338,'PET_STAT_RULES'!$A$5:$A$88,'PET_STAT_RULES'!$D$5:$D$88)</x:f>
        <x:v>18</x:v>
      </x:c>
      <x:c r="L338" s="340" t="n">
        <x:f>XLOOKUP($D338&amp;"|"&amp;$E338&amp;"|"&amp;$F338,'PET_STAT_RULES'!$A$5:$A$88,'PET_STAT_RULES'!$F$5:$F$88)</x:f>
        <x:v>0</x:v>
      </x:c>
      <x:c r="M338" s="340" t="n">
        <x:f>XLOOKUP($D338&amp;"|"&amp;$E338&amp;"|"&amp;$F338,'PET_STAT_RULES'!$A$5:$A$88,'PET_STAT_RULES'!$G$5:$G$88)</x:f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  <x:c r="W338" s="332" t="n">
        <x:f>XLOOKUP($D338&amp;"|"&amp;$E338&amp;"|"&amp;$F338,'PET_STAT_RULES'!$A$5:$A$88,'PET_STAT_RULES'!$E$5:$E$88)</x:f>
        <x:v>0</x:v>
      </x:c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40" t="n">
        <x:f>XLOOKUP($D339&amp;"|"&amp;$E339&amp;"|"&amp;$F339,'PET_STAT_RULES'!$A$5:$A$88,'PET_STAT_RULES'!$C$5:$C$88)</x:f>
        <x:v>40</x:v>
      </x:c>
      <x:c r="K339" s="340" t="n">
        <x:f>XLOOKUP($D339&amp;"|"&amp;$E339&amp;"|"&amp;$F339,'PET_STAT_RULES'!$A$5:$A$88,'PET_STAT_RULES'!$D$5:$D$88)</x:f>
        <x:v>20</x:v>
      </x:c>
      <x:c r="L339" s="340" t="n">
        <x:f>XLOOKUP($D339&amp;"|"&amp;$E339&amp;"|"&amp;$F339,'PET_STAT_RULES'!$A$5:$A$88,'PET_STAT_RULES'!$F$5:$F$88)</x:f>
        <x:v>0</x:v>
      </x:c>
      <x:c r="M339" s="340" t="n">
        <x:f>XLOOKUP($D339&amp;"|"&amp;$E339&amp;"|"&amp;$F339,'PET_STAT_RULES'!$A$5:$A$88,'PET_STAT_RULES'!$G$5:$G$88)</x:f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  <x:c r="W339" s="332" t="n">
        <x:f>XLOOKUP($D339&amp;"|"&amp;$E339&amp;"|"&amp;$F339,'PET_STAT_RULES'!$A$5:$A$88,'PET_STAT_RULES'!$E$5:$E$88)</x:f>
        <x:v>0</x:v>
      </x:c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40" t="n">
        <x:f>XLOOKUP($D340&amp;"|"&amp;$E340&amp;"|"&amp;$F340,'PET_STAT_RULES'!$A$5:$A$88,'PET_STAT_RULES'!$C$5:$C$88)</x:f>
        <x:v>34</x:v>
      </x:c>
      <x:c r="K340" s="340" t="n">
        <x:f>XLOOKUP($D340&amp;"|"&amp;$E340&amp;"|"&amp;$F340,'PET_STAT_RULES'!$A$5:$A$88,'PET_STAT_RULES'!$D$5:$D$88)</x:f>
        <x:v>22</x:v>
      </x:c>
      <x:c r="L340" s="340" t="n">
        <x:f>XLOOKUP($D340&amp;"|"&amp;$E340&amp;"|"&amp;$F340,'PET_STAT_RULES'!$A$5:$A$88,'PET_STAT_RULES'!$F$5:$F$88)</x:f>
        <x:v>0</x:v>
      </x:c>
      <x:c r="M340" s="340" t="n">
        <x:f>XLOOKUP($D340&amp;"|"&amp;$E340&amp;"|"&amp;$F340,'PET_STAT_RULES'!$A$5:$A$88,'PET_STAT_RULES'!$G$5:$G$88)</x:f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  <x:c r="W340" s="332" t="n">
        <x:f>XLOOKUP($D340&amp;"|"&amp;$E340&amp;"|"&amp;$F340,'PET_STAT_RULES'!$A$5:$A$88,'PET_STAT_RULES'!$E$5:$E$88)</x:f>
        <x:v>0</x:v>
      </x:c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40" t="n">
        <x:f>XLOOKUP($D341&amp;"|"&amp;$E341&amp;"|"&amp;$F341,'PET_STAT_RULES'!$A$5:$A$88,'PET_STAT_RULES'!$C$5:$C$88)</x:f>
        <x:v>28</x:v>
      </x:c>
      <x:c r="K341" s="340" t="n">
        <x:f>XLOOKUP($D341&amp;"|"&amp;$E341&amp;"|"&amp;$F341,'PET_STAT_RULES'!$A$5:$A$88,'PET_STAT_RULES'!$D$5:$D$88)</x:f>
        <x:v>12</x:v>
      </x:c>
      <x:c r="L341" s="340" t="n">
        <x:f>XLOOKUP($D341&amp;"|"&amp;$E341&amp;"|"&amp;$F341,'PET_STAT_RULES'!$A$5:$A$88,'PET_STAT_RULES'!$F$5:$F$88)</x:f>
        <x:v>0</x:v>
      </x:c>
      <x:c r="M341" s="340" t="n">
        <x:f>XLOOKUP($D341&amp;"|"&amp;$E341&amp;"|"&amp;$F341,'PET_STAT_RULES'!$A$5:$A$88,'PET_STAT_RULES'!$G$5:$G$88)</x:f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  <x:c r="W341" s="332" t="n">
        <x:f>XLOOKUP($D341&amp;"|"&amp;$E341&amp;"|"&amp;$F341,'PET_STAT_RULES'!$A$5:$A$88,'PET_STAT_RULES'!$E$5:$E$88)</x:f>
        <x:v>0</x:v>
      </x:c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40" t="n">
        <x:f>XLOOKUP($D342&amp;"|"&amp;$E342&amp;"|"&amp;$F342,'PET_STAT_RULES'!$A$5:$A$88,'PET_STAT_RULES'!$C$5:$C$88)</x:f>
        <x:v>46</x:v>
      </x:c>
      <x:c r="K342" s="340" t="n">
        <x:f>XLOOKUP($D342&amp;"|"&amp;$E342&amp;"|"&amp;$F342,'PET_STAT_RULES'!$A$5:$A$88,'PET_STAT_RULES'!$D$5:$D$88)</x:f>
        <x:v>18</x:v>
      </x:c>
      <x:c r="L342" s="340" t="n">
        <x:f>XLOOKUP($D342&amp;"|"&amp;$E342&amp;"|"&amp;$F342,'PET_STAT_RULES'!$A$5:$A$88,'PET_STAT_RULES'!$F$5:$F$88)</x:f>
        <x:v>0</x:v>
      </x:c>
      <x:c r="M342" s="340" t="n">
        <x:f>XLOOKUP($D342&amp;"|"&amp;$E342&amp;"|"&amp;$F342,'PET_STAT_RULES'!$A$5:$A$88,'PET_STAT_RULES'!$G$5:$G$88)</x:f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  <x:c r="W342" s="332" t="n">
        <x:f>XLOOKUP($D342&amp;"|"&amp;$E342&amp;"|"&amp;$F342,'PET_STAT_RULES'!$A$5:$A$88,'PET_STAT_RULES'!$E$5:$E$88)</x:f>
        <x:v>0</x:v>
      </x:c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40" t="n">
        <x:f>XLOOKUP($D343&amp;"|"&amp;$E343&amp;"|"&amp;$F343,'PET_STAT_RULES'!$A$5:$A$88,'PET_STAT_RULES'!$C$5:$C$88)</x:f>
        <x:v>22</x:v>
      </x:c>
      <x:c r="K343" s="340" t="n">
        <x:f>XLOOKUP($D343&amp;"|"&amp;$E343&amp;"|"&amp;$F343,'PET_STAT_RULES'!$A$5:$A$88,'PET_STAT_RULES'!$D$5:$D$88)</x:f>
        <x:v>14</x:v>
      </x:c>
      <x:c r="L343" s="340" t="n">
        <x:f>XLOOKUP($D343&amp;"|"&amp;$E343&amp;"|"&amp;$F343,'PET_STAT_RULES'!$A$5:$A$88,'PET_STAT_RULES'!$F$5:$F$88)</x:f>
        <x:v>0</x:v>
      </x:c>
      <x:c r="M343" s="340" t="n">
        <x:f>XLOOKUP($D343&amp;"|"&amp;$E343&amp;"|"&amp;$F343,'PET_STAT_RULES'!$A$5:$A$88,'PET_STAT_RULES'!$G$5:$G$88)</x:f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  <x:c r="W343" s="332" t="n">
        <x:f>XLOOKUP($D343&amp;"|"&amp;$E343&amp;"|"&amp;$F343,'PET_STAT_RULES'!$A$5:$A$88,'PET_STAT_RULES'!$E$5:$E$88)</x:f>
        <x:v>0</x:v>
      </x:c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40" t="n">
        <x:f>XLOOKUP($D344&amp;"|"&amp;$E344&amp;"|"&amp;$F344,'PET_STAT_RULES'!$A$5:$A$88,'PET_STAT_RULES'!$C$5:$C$88)</x:f>
        <x:v>46</x:v>
      </x:c>
      <x:c r="K344" s="340" t="n">
        <x:f>XLOOKUP($D344&amp;"|"&amp;$E344&amp;"|"&amp;$F344,'PET_STAT_RULES'!$A$5:$A$88,'PET_STAT_RULES'!$D$5:$D$88)</x:f>
        <x:v>18</x:v>
      </x:c>
      <x:c r="L344" s="340" t="n">
        <x:f>XLOOKUP($D344&amp;"|"&amp;$E344&amp;"|"&amp;$F344,'PET_STAT_RULES'!$A$5:$A$88,'PET_STAT_RULES'!$F$5:$F$88)</x:f>
        <x:v>0</x:v>
      </x:c>
      <x:c r="M344" s="340" t="n">
        <x:f>XLOOKUP($D344&amp;"|"&amp;$E344&amp;"|"&amp;$F344,'PET_STAT_RULES'!$A$5:$A$88,'PET_STAT_RULES'!$G$5:$G$88)</x:f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  <x:c r="W344" s="332" t="n">
        <x:f>XLOOKUP($D344&amp;"|"&amp;$E344&amp;"|"&amp;$F344,'PET_STAT_RULES'!$A$5:$A$88,'PET_STAT_RULES'!$E$5:$E$88)</x:f>
        <x:v>0</x:v>
      </x:c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40" t="n">
        <x:f>XLOOKUP($D345&amp;"|"&amp;$E345&amp;"|"&amp;$F345,'PET_STAT_RULES'!$A$5:$A$88,'PET_STAT_RULES'!$C$5:$C$88)</x:f>
        <x:v>22</x:v>
      </x:c>
      <x:c r="K345" s="340" t="n">
        <x:f>XLOOKUP($D345&amp;"|"&amp;$E345&amp;"|"&amp;$F345,'PET_STAT_RULES'!$A$5:$A$88,'PET_STAT_RULES'!$D$5:$D$88)</x:f>
        <x:v>14</x:v>
      </x:c>
      <x:c r="L345" s="340" t="n">
        <x:f>XLOOKUP($D345&amp;"|"&amp;$E345&amp;"|"&amp;$F345,'PET_STAT_RULES'!$A$5:$A$88,'PET_STAT_RULES'!$F$5:$F$88)</x:f>
        <x:v>0</x:v>
      </x:c>
      <x:c r="M345" s="340" t="n">
        <x:f>XLOOKUP($D345&amp;"|"&amp;$E345&amp;"|"&amp;$F345,'PET_STAT_RULES'!$A$5:$A$88,'PET_STAT_RULES'!$G$5:$G$88)</x:f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  <x:c r="W345" s="332" t="n">
        <x:f>XLOOKUP($D345&amp;"|"&amp;$E345&amp;"|"&amp;$F345,'PET_STAT_RULES'!$A$5:$A$88,'PET_STAT_RULES'!$E$5:$E$88)</x:f>
        <x:v>0</x:v>
      </x:c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40" t="n">
        <x:f>XLOOKUP($D346&amp;"|"&amp;$E346&amp;"|"&amp;$F346,'PET_STAT_RULES'!$A$5:$A$88,'PET_STAT_RULES'!$C$5:$C$88)</x:f>
        <x:v>28</x:v>
      </x:c>
      <x:c r="K346" s="340" t="n">
        <x:f>XLOOKUP($D346&amp;"|"&amp;$E346&amp;"|"&amp;$F346,'PET_STAT_RULES'!$A$5:$A$88,'PET_STAT_RULES'!$D$5:$D$88)</x:f>
        <x:v>12</x:v>
      </x:c>
      <x:c r="L346" s="340" t="n">
        <x:f>XLOOKUP($D346&amp;"|"&amp;$E346&amp;"|"&amp;$F346,'PET_STAT_RULES'!$A$5:$A$88,'PET_STAT_RULES'!$F$5:$F$88)</x:f>
        <x:v>0</x:v>
      </x:c>
      <x:c r="M346" s="340" t="n">
        <x:f>XLOOKUP($D346&amp;"|"&amp;$E346&amp;"|"&amp;$F346,'PET_STAT_RULES'!$A$5:$A$88,'PET_STAT_RULES'!$G$5:$G$88)</x:f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  <x:c r="W346" s="332" t="n">
        <x:f>XLOOKUP($D346&amp;"|"&amp;$E346&amp;"|"&amp;$F346,'PET_STAT_RULES'!$A$5:$A$88,'PET_STAT_RULES'!$E$5:$E$88)</x:f>
        <x:v>0</x:v>
      </x:c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40" t="n">
        <x:f>XLOOKUP($D347&amp;"|"&amp;$E347&amp;"|"&amp;$F347,'PET_STAT_RULES'!$A$5:$A$88,'PET_STAT_RULES'!$C$5:$C$88)</x:f>
        <x:v>28</x:v>
      </x:c>
      <x:c r="K347" s="340" t="n">
        <x:f>XLOOKUP($D347&amp;"|"&amp;$E347&amp;"|"&amp;$F347,'PET_STAT_RULES'!$A$5:$A$88,'PET_STAT_RULES'!$D$5:$D$88)</x:f>
        <x:v>12</x:v>
      </x:c>
      <x:c r="L347" s="340" t="n">
        <x:f>XLOOKUP($D347&amp;"|"&amp;$E347&amp;"|"&amp;$F347,'PET_STAT_RULES'!$A$5:$A$88,'PET_STAT_RULES'!$F$5:$F$88)</x:f>
        <x:v>0</x:v>
      </x:c>
      <x:c r="M347" s="340" t="n">
        <x:f>XLOOKUP($D347&amp;"|"&amp;$E347&amp;"|"&amp;$F347,'PET_STAT_RULES'!$A$5:$A$88,'PET_STAT_RULES'!$G$5:$G$88)</x:f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  <x:c r="W347" s="332" t="n">
        <x:f>XLOOKUP($D347&amp;"|"&amp;$E347&amp;"|"&amp;$F347,'PET_STAT_RULES'!$A$5:$A$88,'PET_STAT_RULES'!$E$5:$E$88)</x:f>
        <x:v>0</x:v>
      </x:c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40" t="n">
        <x:f>XLOOKUP($D348&amp;"|"&amp;$E348&amp;"|"&amp;$F348,'PET_STAT_RULES'!$A$5:$A$88,'PET_STAT_RULES'!$C$5:$C$88)</x:f>
        <x:v>46</x:v>
      </x:c>
      <x:c r="K348" s="340" t="n">
        <x:f>XLOOKUP($D348&amp;"|"&amp;$E348&amp;"|"&amp;$F348,'PET_STAT_RULES'!$A$5:$A$88,'PET_STAT_RULES'!$D$5:$D$88)</x:f>
        <x:v>18</x:v>
      </x:c>
      <x:c r="L348" s="340" t="n">
        <x:f>XLOOKUP($D348&amp;"|"&amp;$E348&amp;"|"&amp;$F348,'PET_STAT_RULES'!$A$5:$A$88,'PET_STAT_RULES'!$F$5:$F$88)</x:f>
        <x:v>0</x:v>
      </x:c>
      <x:c r="M348" s="340" t="n">
        <x:f>XLOOKUP($D348&amp;"|"&amp;$E348&amp;"|"&amp;$F348,'PET_STAT_RULES'!$A$5:$A$88,'PET_STAT_RULES'!$G$5:$G$88)</x:f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  <x:c r="W348" s="332" t="n">
        <x:f>XLOOKUP($D348&amp;"|"&amp;$E348&amp;"|"&amp;$F348,'PET_STAT_RULES'!$A$5:$A$88,'PET_STAT_RULES'!$E$5:$E$88)</x:f>
        <x:v>0</x:v>
      </x:c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40" t="n">
        <x:f>XLOOKUP($D349&amp;"|"&amp;$E349&amp;"|"&amp;$F349,'PET_STAT_RULES'!$A$5:$A$88,'PET_STAT_RULES'!$C$5:$C$88)</x:f>
        <x:v>22</x:v>
      </x:c>
      <x:c r="K349" s="340" t="n">
        <x:f>XLOOKUP($D349&amp;"|"&amp;$E349&amp;"|"&amp;$F349,'PET_STAT_RULES'!$A$5:$A$88,'PET_STAT_RULES'!$D$5:$D$88)</x:f>
        <x:v>14</x:v>
      </x:c>
      <x:c r="L349" s="340" t="n">
        <x:f>XLOOKUP($D349&amp;"|"&amp;$E349&amp;"|"&amp;$F349,'PET_STAT_RULES'!$A$5:$A$88,'PET_STAT_RULES'!$F$5:$F$88)</x:f>
        <x:v>0</x:v>
      </x:c>
      <x:c r="M349" s="340" t="n">
        <x:f>XLOOKUP($D349&amp;"|"&amp;$E349&amp;"|"&amp;$F349,'PET_STAT_RULES'!$A$5:$A$88,'PET_STAT_RULES'!$G$5:$G$88)</x:f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  <x:c r="W349" s="332" t="n">
        <x:f>XLOOKUP($D349&amp;"|"&amp;$E349&amp;"|"&amp;$F349,'PET_STAT_RULES'!$A$5:$A$88,'PET_STAT_RULES'!$E$5:$E$88)</x:f>
        <x:v>0</x:v>
      </x:c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40" t="n">
        <x:f>XLOOKUP($D350&amp;"|"&amp;$E350&amp;"|"&amp;$F350,'PET_STAT_RULES'!$A$5:$A$88,'PET_STAT_RULES'!$C$5:$C$88)</x:f>
        <x:v>22</x:v>
      </x:c>
      <x:c r="K350" s="340" t="n">
        <x:f>XLOOKUP($D350&amp;"|"&amp;$E350&amp;"|"&amp;$F350,'PET_STAT_RULES'!$A$5:$A$88,'PET_STAT_RULES'!$D$5:$D$88)</x:f>
        <x:v>14</x:v>
      </x:c>
      <x:c r="L350" s="340" t="n">
        <x:f>XLOOKUP($D350&amp;"|"&amp;$E350&amp;"|"&amp;$F350,'PET_STAT_RULES'!$A$5:$A$88,'PET_STAT_RULES'!$F$5:$F$88)</x:f>
        <x:v>0</x:v>
      </x:c>
      <x:c r="M350" s="340" t="n">
        <x:f>XLOOKUP($D350&amp;"|"&amp;$E350&amp;"|"&amp;$F350,'PET_STAT_RULES'!$A$5:$A$88,'PET_STAT_RULES'!$G$5:$G$88)</x:f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  <x:c r="W350" s="332" t="n">
        <x:f>XLOOKUP($D350&amp;"|"&amp;$E350&amp;"|"&amp;$F350,'PET_STAT_RULES'!$A$5:$A$88,'PET_STAT_RULES'!$E$5:$E$88)</x:f>
        <x:v>0</x:v>
      </x:c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40" t="n">
        <x:f>XLOOKUP($D351&amp;"|"&amp;$E351&amp;"|"&amp;$F351,'PET_STAT_RULES'!$A$5:$A$88,'PET_STAT_RULES'!$C$5:$C$88)</x:f>
        <x:v>46</x:v>
      </x:c>
      <x:c r="K351" s="340" t="n">
        <x:f>XLOOKUP($D351&amp;"|"&amp;$E351&amp;"|"&amp;$F351,'PET_STAT_RULES'!$A$5:$A$88,'PET_STAT_RULES'!$D$5:$D$88)</x:f>
        <x:v>18</x:v>
      </x:c>
      <x:c r="L351" s="340" t="n">
        <x:f>XLOOKUP($D351&amp;"|"&amp;$E351&amp;"|"&amp;$F351,'PET_STAT_RULES'!$A$5:$A$88,'PET_STAT_RULES'!$F$5:$F$88)</x:f>
        <x:v>0</x:v>
      </x:c>
      <x:c r="M351" s="340" t="n">
        <x:f>XLOOKUP($D351&amp;"|"&amp;$E351&amp;"|"&amp;$F351,'PET_STAT_RULES'!$A$5:$A$88,'PET_STAT_RULES'!$G$5:$G$88)</x:f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  <x:c r="W351" s="332" t="n">
        <x:f>XLOOKUP($D351&amp;"|"&amp;$E351&amp;"|"&amp;$F351,'PET_STAT_RULES'!$A$5:$A$88,'PET_STAT_RULES'!$E$5:$E$88)</x:f>
        <x:v>0</x:v>
      </x:c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40" t="n">
        <x:f>XLOOKUP($D352&amp;"|"&amp;$E352&amp;"|"&amp;$F352,'PET_STAT_RULES'!$A$5:$A$88,'PET_STAT_RULES'!$C$5:$C$88)</x:f>
        <x:v>40</x:v>
      </x:c>
      <x:c r="K352" s="340" t="n">
        <x:f>XLOOKUP($D352&amp;"|"&amp;$E352&amp;"|"&amp;$F352,'PET_STAT_RULES'!$A$5:$A$88,'PET_STAT_RULES'!$D$5:$D$88)</x:f>
        <x:v>20</x:v>
      </x:c>
      <x:c r="L352" s="340" t="n">
        <x:f>XLOOKUP($D352&amp;"|"&amp;$E352&amp;"|"&amp;$F352,'PET_STAT_RULES'!$A$5:$A$88,'PET_STAT_RULES'!$F$5:$F$88)</x:f>
        <x:v>0</x:v>
      </x:c>
      <x:c r="M352" s="340" t="n">
        <x:f>XLOOKUP($D352&amp;"|"&amp;$E352&amp;"|"&amp;$F352,'PET_STAT_RULES'!$A$5:$A$88,'PET_STAT_RULES'!$G$5:$G$88)</x:f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  <x:c r="W352" s="332" t="n">
        <x:f>XLOOKUP($D352&amp;"|"&amp;$E352&amp;"|"&amp;$F352,'PET_STAT_RULES'!$A$5:$A$88,'PET_STAT_RULES'!$E$5:$E$88)</x:f>
        <x:v>0</x:v>
      </x:c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40" t="n">
        <x:f>XLOOKUP($D353&amp;"|"&amp;$E353&amp;"|"&amp;$F353,'PET_STAT_RULES'!$A$5:$A$88,'PET_STAT_RULES'!$C$5:$C$88)</x:f>
        <x:v>46</x:v>
      </x:c>
      <x:c r="K353" s="340" t="n">
        <x:f>XLOOKUP($D353&amp;"|"&amp;$E353&amp;"|"&amp;$F353,'PET_STAT_RULES'!$A$5:$A$88,'PET_STAT_RULES'!$D$5:$D$88)</x:f>
        <x:v>18</x:v>
      </x:c>
      <x:c r="L353" s="340" t="n">
        <x:f>XLOOKUP($D353&amp;"|"&amp;$E353&amp;"|"&amp;$F353,'PET_STAT_RULES'!$A$5:$A$88,'PET_STAT_RULES'!$F$5:$F$88)</x:f>
        <x:v>0</x:v>
      </x:c>
      <x:c r="M353" s="340" t="n">
        <x:f>XLOOKUP($D353&amp;"|"&amp;$E353&amp;"|"&amp;$F353,'PET_STAT_RULES'!$A$5:$A$88,'PET_STAT_RULES'!$G$5:$G$88)</x:f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  <x:c r="W353" s="332" t="n">
        <x:f>XLOOKUP($D353&amp;"|"&amp;$E353&amp;"|"&amp;$F353,'PET_STAT_RULES'!$A$5:$A$88,'PET_STAT_RULES'!$E$5:$E$88)</x:f>
        <x:v>0</x:v>
      </x:c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40" t="n">
        <x:f>XLOOKUP($D354&amp;"|"&amp;$E354&amp;"|"&amp;$F354,'PET_STAT_RULES'!$A$5:$A$88,'PET_STAT_RULES'!$C$5:$C$88)</x:f>
        <x:v>40</x:v>
      </x:c>
      <x:c r="K354" s="340" t="n">
        <x:f>XLOOKUP($D354&amp;"|"&amp;$E354&amp;"|"&amp;$F354,'PET_STAT_RULES'!$A$5:$A$88,'PET_STAT_RULES'!$D$5:$D$88)</x:f>
        <x:v>20</x:v>
      </x:c>
      <x:c r="L354" s="340" t="n">
        <x:f>XLOOKUP($D354&amp;"|"&amp;$E354&amp;"|"&amp;$F354,'PET_STAT_RULES'!$A$5:$A$88,'PET_STAT_RULES'!$F$5:$F$88)</x:f>
        <x:v>0</x:v>
      </x:c>
      <x:c r="M354" s="340" t="n">
        <x:f>XLOOKUP($D354&amp;"|"&amp;$E354&amp;"|"&amp;$F354,'PET_STAT_RULES'!$A$5:$A$88,'PET_STAT_RULES'!$G$5:$G$88)</x:f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  <x:c r="W354" s="332" t="n">
        <x:f>XLOOKUP($D354&amp;"|"&amp;$E354&amp;"|"&amp;$F354,'PET_STAT_RULES'!$A$5:$A$88,'PET_STAT_RULES'!$E$5:$E$88)</x:f>
        <x:v>0</x:v>
      </x:c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40" t="n">
        <x:f>XLOOKUP($D355&amp;"|"&amp;$E355&amp;"|"&amp;$F355,'PET_STAT_RULES'!$A$5:$A$88,'PET_STAT_RULES'!$C$5:$C$88)</x:f>
        <x:v>34</x:v>
      </x:c>
      <x:c r="K355" s="340" t="n">
        <x:f>XLOOKUP($D355&amp;"|"&amp;$E355&amp;"|"&amp;$F355,'PET_STAT_RULES'!$A$5:$A$88,'PET_STAT_RULES'!$D$5:$D$88)</x:f>
        <x:v>22</x:v>
      </x:c>
      <x:c r="L355" s="340" t="n">
        <x:f>XLOOKUP($D355&amp;"|"&amp;$E355&amp;"|"&amp;$F355,'PET_STAT_RULES'!$A$5:$A$88,'PET_STAT_RULES'!$F$5:$F$88)</x:f>
        <x:v>0</x:v>
      </x:c>
      <x:c r="M355" s="340" t="n">
        <x:f>XLOOKUP($D355&amp;"|"&amp;$E355&amp;"|"&amp;$F355,'PET_STAT_RULES'!$A$5:$A$88,'PET_STAT_RULES'!$G$5:$G$88)</x:f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  <x:c r="W355" s="332" t="n">
        <x:f>XLOOKUP($D355&amp;"|"&amp;$E355&amp;"|"&amp;$F355,'PET_STAT_RULES'!$A$5:$A$88,'PET_STAT_RULES'!$E$5:$E$88)</x:f>
        <x:v>0</x:v>
      </x:c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40" t="n">
        <x:f>XLOOKUP($D356&amp;"|"&amp;$E356&amp;"|"&amp;$F356,'PET_STAT_RULES'!$A$5:$A$88,'PET_STAT_RULES'!$C$5:$C$88)</x:f>
        <x:v>28</x:v>
      </x:c>
      <x:c r="K356" s="340" t="n">
        <x:f>XLOOKUP($D356&amp;"|"&amp;$E356&amp;"|"&amp;$F356,'PET_STAT_RULES'!$A$5:$A$88,'PET_STAT_RULES'!$D$5:$D$88)</x:f>
        <x:v>12</x:v>
      </x:c>
      <x:c r="L356" s="340" t="n">
        <x:f>XLOOKUP($D356&amp;"|"&amp;$E356&amp;"|"&amp;$F356,'PET_STAT_RULES'!$A$5:$A$88,'PET_STAT_RULES'!$F$5:$F$88)</x:f>
        <x:v>0</x:v>
      </x:c>
      <x:c r="M356" s="340" t="n">
        <x:f>XLOOKUP($D356&amp;"|"&amp;$E356&amp;"|"&amp;$F356,'PET_STAT_RULES'!$A$5:$A$88,'PET_STAT_RULES'!$G$5:$G$88)</x:f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  <x:c r="W356" s="332" t="n">
        <x:f>XLOOKUP($D356&amp;"|"&amp;$E356&amp;"|"&amp;$F356,'PET_STAT_RULES'!$A$5:$A$88,'PET_STAT_RULES'!$E$5:$E$88)</x:f>
        <x:v>0</x:v>
      </x:c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40" t="n">
        <x:f>XLOOKUP($D357&amp;"|"&amp;$E357&amp;"|"&amp;$F357,'PET_STAT_RULES'!$A$5:$A$88,'PET_STAT_RULES'!$C$5:$C$88)</x:f>
        <x:v>22</x:v>
      </x:c>
      <x:c r="K357" s="340" t="n">
        <x:f>XLOOKUP($D357&amp;"|"&amp;$E357&amp;"|"&amp;$F357,'PET_STAT_RULES'!$A$5:$A$88,'PET_STAT_RULES'!$D$5:$D$88)</x:f>
        <x:v>14</x:v>
      </x:c>
      <x:c r="L357" s="340" t="n">
        <x:f>XLOOKUP($D357&amp;"|"&amp;$E357&amp;"|"&amp;$F357,'PET_STAT_RULES'!$A$5:$A$88,'PET_STAT_RULES'!$F$5:$F$88)</x:f>
        <x:v>0</x:v>
      </x:c>
      <x:c r="M357" s="340" t="n">
        <x:f>XLOOKUP($D357&amp;"|"&amp;$E357&amp;"|"&amp;$F357,'PET_STAT_RULES'!$A$5:$A$88,'PET_STAT_RULES'!$G$5:$G$88)</x:f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  <x:c r="W357" s="332" t="n">
        <x:f>XLOOKUP($D357&amp;"|"&amp;$E357&amp;"|"&amp;$F357,'PET_STAT_RULES'!$A$5:$A$88,'PET_STAT_RULES'!$E$5:$E$88)</x:f>
        <x:v>0</x:v>
      </x:c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40" t="n">
        <x:f>XLOOKUP($D358&amp;"|"&amp;$E358&amp;"|"&amp;$F358,'PET_STAT_RULES'!$A$5:$A$88,'PET_STAT_RULES'!$C$5:$C$88)</x:f>
        <x:v>46</x:v>
      </x:c>
      <x:c r="K358" s="340" t="n">
        <x:f>XLOOKUP($D358&amp;"|"&amp;$E358&amp;"|"&amp;$F358,'PET_STAT_RULES'!$A$5:$A$88,'PET_STAT_RULES'!$D$5:$D$88)</x:f>
        <x:v>18</x:v>
      </x:c>
      <x:c r="L358" s="340" t="n">
        <x:f>XLOOKUP($D358&amp;"|"&amp;$E358&amp;"|"&amp;$F358,'PET_STAT_RULES'!$A$5:$A$88,'PET_STAT_RULES'!$F$5:$F$88)</x:f>
        <x:v>0</x:v>
      </x:c>
      <x:c r="M358" s="340" t="n">
        <x:f>XLOOKUP($D358&amp;"|"&amp;$E358&amp;"|"&amp;$F358,'PET_STAT_RULES'!$A$5:$A$88,'PET_STAT_RULES'!$G$5:$G$88)</x:f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  <x:c r="W358" s="332" t="n">
        <x:f>XLOOKUP($D358&amp;"|"&amp;$E358&amp;"|"&amp;$F358,'PET_STAT_RULES'!$A$5:$A$88,'PET_STAT_RULES'!$E$5:$E$88)</x:f>
        <x:v>0</x:v>
      </x:c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40" t="n">
        <x:f>XLOOKUP($D359&amp;"|"&amp;$E359&amp;"|"&amp;$F359,'PET_STAT_RULES'!$A$5:$A$88,'PET_STAT_RULES'!$C$5:$C$88)</x:f>
        <x:v>22</x:v>
      </x:c>
      <x:c r="K359" s="340" t="n">
        <x:f>XLOOKUP($D359&amp;"|"&amp;$E359&amp;"|"&amp;$F359,'PET_STAT_RULES'!$A$5:$A$88,'PET_STAT_RULES'!$D$5:$D$88)</x:f>
        <x:v>14</x:v>
      </x:c>
      <x:c r="L359" s="340" t="n">
        <x:f>XLOOKUP($D359&amp;"|"&amp;$E359&amp;"|"&amp;$F359,'PET_STAT_RULES'!$A$5:$A$88,'PET_STAT_RULES'!$F$5:$F$88)</x:f>
        <x:v>0</x:v>
      </x:c>
      <x:c r="M359" s="340" t="n">
        <x:f>XLOOKUP($D359&amp;"|"&amp;$E359&amp;"|"&amp;$F359,'PET_STAT_RULES'!$A$5:$A$88,'PET_STAT_RULES'!$G$5:$G$88)</x:f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  <x:c r="W359" s="332" t="n">
        <x:f>XLOOKUP($D359&amp;"|"&amp;$E359&amp;"|"&amp;$F359,'PET_STAT_RULES'!$A$5:$A$88,'PET_STAT_RULES'!$E$5:$E$88)</x:f>
        <x:v>0</x:v>
      </x:c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40" t="n">
        <x:f>XLOOKUP($D360&amp;"|"&amp;$E360&amp;"|"&amp;$F360,'PET_STAT_RULES'!$A$5:$A$88,'PET_STAT_RULES'!$C$5:$C$88)</x:f>
        <x:v>46</x:v>
      </x:c>
      <x:c r="K360" s="340" t="n">
        <x:f>XLOOKUP($D360&amp;"|"&amp;$E360&amp;"|"&amp;$F360,'PET_STAT_RULES'!$A$5:$A$88,'PET_STAT_RULES'!$D$5:$D$88)</x:f>
        <x:v>18</x:v>
      </x:c>
      <x:c r="L360" s="340" t="n">
        <x:f>XLOOKUP($D360&amp;"|"&amp;$E360&amp;"|"&amp;$F360,'PET_STAT_RULES'!$A$5:$A$88,'PET_STAT_RULES'!$F$5:$F$88)</x:f>
        <x:v>0</x:v>
      </x:c>
      <x:c r="M360" s="340" t="n">
        <x:f>XLOOKUP($D360&amp;"|"&amp;$E360&amp;"|"&amp;$F360,'PET_STAT_RULES'!$A$5:$A$88,'PET_STAT_RULES'!$G$5:$G$88)</x:f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  <x:c r="W360" s="332" t="n">
        <x:f>XLOOKUP($D360&amp;"|"&amp;$E360&amp;"|"&amp;$F360,'PET_STAT_RULES'!$A$5:$A$88,'PET_STAT_RULES'!$E$5:$E$88)</x:f>
        <x:v>0</x:v>
      </x:c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40" t="n">
        <x:f>XLOOKUP($D361&amp;"|"&amp;$E361&amp;"|"&amp;$F361,'PET_STAT_RULES'!$A$5:$A$88,'PET_STAT_RULES'!$C$5:$C$88)</x:f>
        <x:v>28</x:v>
      </x:c>
      <x:c r="K361" s="340" t="n">
        <x:f>XLOOKUP($D361&amp;"|"&amp;$E361&amp;"|"&amp;$F361,'PET_STAT_RULES'!$A$5:$A$88,'PET_STAT_RULES'!$D$5:$D$88)</x:f>
        <x:v>12</x:v>
      </x:c>
      <x:c r="L361" s="340" t="n">
        <x:f>XLOOKUP($D361&amp;"|"&amp;$E361&amp;"|"&amp;$F361,'PET_STAT_RULES'!$A$5:$A$88,'PET_STAT_RULES'!$F$5:$F$88)</x:f>
        <x:v>0</x:v>
      </x:c>
      <x:c r="M361" s="340" t="n">
        <x:f>XLOOKUP($D361&amp;"|"&amp;$E361&amp;"|"&amp;$F361,'PET_STAT_RULES'!$A$5:$A$88,'PET_STAT_RULES'!$G$5:$G$88)</x:f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  <x:c r="W361" s="332" t="n">
        <x:f>XLOOKUP($D361&amp;"|"&amp;$E361&amp;"|"&amp;$F361,'PET_STAT_RULES'!$A$5:$A$88,'PET_STAT_RULES'!$E$5:$E$88)</x:f>
        <x:v>0</x:v>
      </x:c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40" t="n">
        <x:f>XLOOKUP($D362&amp;"|"&amp;$E362&amp;"|"&amp;$F362,'PET_STAT_RULES'!$A$5:$A$88,'PET_STAT_RULES'!$C$5:$C$88)</x:f>
        <x:v>28</x:v>
      </x:c>
      <x:c r="K362" s="340" t="n">
        <x:f>XLOOKUP($D362&amp;"|"&amp;$E362&amp;"|"&amp;$F362,'PET_STAT_RULES'!$A$5:$A$88,'PET_STAT_RULES'!$D$5:$D$88)</x:f>
        <x:v>12</x:v>
      </x:c>
      <x:c r="L362" s="340" t="n">
        <x:f>XLOOKUP($D362&amp;"|"&amp;$E362&amp;"|"&amp;$F362,'PET_STAT_RULES'!$A$5:$A$88,'PET_STAT_RULES'!$F$5:$F$88)</x:f>
        <x:v>0</x:v>
      </x:c>
      <x:c r="M362" s="340" t="n">
        <x:f>XLOOKUP($D362&amp;"|"&amp;$E362&amp;"|"&amp;$F362,'PET_STAT_RULES'!$A$5:$A$88,'PET_STAT_RULES'!$G$5:$G$88)</x:f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  <x:c r="W362" s="332" t="n">
        <x:f>XLOOKUP($D362&amp;"|"&amp;$E362&amp;"|"&amp;$F362,'PET_STAT_RULES'!$A$5:$A$88,'PET_STAT_RULES'!$E$5:$E$88)</x:f>
        <x:v>0</x:v>
      </x:c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40" t="n">
        <x:f>XLOOKUP($D363&amp;"|"&amp;$E363&amp;"|"&amp;$F363,'PET_STAT_RULES'!$A$5:$A$88,'PET_STAT_RULES'!$C$5:$C$88)</x:f>
        <x:v>22</x:v>
      </x:c>
      <x:c r="K363" s="340" t="n">
        <x:f>XLOOKUP($D363&amp;"|"&amp;$E363&amp;"|"&amp;$F363,'PET_STAT_RULES'!$A$5:$A$88,'PET_STAT_RULES'!$D$5:$D$88)</x:f>
        <x:v>14</x:v>
      </x:c>
      <x:c r="L363" s="340" t="n">
        <x:f>XLOOKUP($D363&amp;"|"&amp;$E363&amp;"|"&amp;$F363,'PET_STAT_RULES'!$A$5:$A$88,'PET_STAT_RULES'!$F$5:$F$88)</x:f>
        <x:v>0</x:v>
      </x:c>
      <x:c r="M363" s="340" t="n">
        <x:f>XLOOKUP($D363&amp;"|"&amp;$E363&amp;"|"&amp;$F363,'PET_STAT_RULES'!$A$5:$A$88,'PET_STAT_RULES'!$G$5:$G$88)</x:f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  <x:c r="W363" s="332" t="n">
        <x:f>XLOOKUP($D363&amp;"|"&amp;$E363&amp;"|"&amp;$F363,'PET_STAT_RULES'!$A$5:$A$88,'PET_STAT_RULES'!$E$5:$E$88)</x:f>
        <x:v>0</x:v>
      </x:c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40" t="n">
        <x:f>XLOOKUP($D364&amp;"|"&amp;$E364&amp;"|"&amp;$F364,'PET_STAT_RULES'!$A$5:$A$88,'PET_STAT_RULES'!$C$5:$C$88)</x:f>
        <x:v>46</x:v>
      </x:c>
      <x:c r="K364" s="340" t="n">
        <x:f>XLOOKUP($D364&amp;"|"&amp;$E364&amp;"|"&amp;$F364,'PET_STAT_RULES'!$A$5:$A$88,'PET_STAT_RULES'!$D$5:$D$88)</x:f>
        <x:v>18</x:v>
      </x:c>
      <x:c r="L364" s="340" t="n">
        <x:f>XLOOKUP($D364&amp;"|"&amp;$E364&amp;"|"&amp;$F364,'PET_STAT_RULES'!$A$5:$A$88,'PET_STAT_RULES'!$F$5:$F$88)</x:f>
        <x:v>0</x:v>
      </x:c>
      <x:c r="M364" s="340" t="n">
        <x:f>XLOOKUP($D364&amp;"|"&amp;$E364&amp;"|"&amp;$F364,'PET_STAT_RULES'!$A$5:$A$88,'PET_STAT_RULES'!$G$5:$G$88)</x:f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  <x:c r="W364" s="332" t="n">
        <x:f>XLOOKUP($D364&amp;"|"&amp;$E364&amp;"|"&amp;$F364,'PET_STAT_RULES'!$A$5:$A$88,'PET_STAT_RULES'!$E$5:$E$88)</x:f>
        <x:v>0</x:v>
      </x:c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40" t="n">
        <x:f>XLOOKUP($D365&amp;"|"&amp;$E365&amp;"|"&amp;$F365,'PET_STAT_RULES'!$A$5:$A$88,'PET_STAT_RULES'!$C$5:$C$88)</x:f>
        <x:v>46</x:v>
      </x:c>
      <x:c r="K365" s="340" t="n">
        <x:f>XLOOKUP($D365&amp;"|"&amp;$E365&amp;"|"&amp;$F365,'PET_STAT_RULES'!$A$5:$A$88,'PET_STAT_RULES'!$D$5:$D$88)</x:f>
        <x:v>20</x:v>
      </x:c>
      <x:c r="L365" s="340" t="n">
        <x:f>XLOOKUP($D365&amp;"|"&amp;$E365&amp;"|"&amp;$F365,'PET_STAT_RULES'!$A$5:$A$88,'PET_STAT_RULES'!$F$5:$F$88)</x:f>
        <x:v>0</x:v>
      </x:c>
      <x:c r="M365" s="340" t="n">
        <x:f>XLOOKUP($D365&amp;"|"&amp;$E365&amp;"|"&amp;$F365,'PET_STAT_RULES'!$A$5:$A$88,'PET_STAT_RULES'!$G$5:$G$88)</x:f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  <x:c r="W365" s="332" t="n">
        <x:f>XLOOKUP($D365&amp;"|"&amp;$E365&amp;"|"&amp;$F365,'PET_STAT_RULES'!$A$5:$A$88,'PET_STAT_RULES'!$E$5:$E$88)</x:f>
        <x:v>0</x:v>
      </x:c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40" t="n">
        <x:f>XLOOKUP($D366&amp;"|"&amp;$E366&amp;"|"&amp;$F366,'PET_STAT_RULES'!$A$5:$A$88,'PET_STAT_RULES'!$C$5:$C$88)</x:f>
        <x:v>52</x:v>
      </x:c>
      <x:c r="K366" s="340" t="n">
        <x:f>XLOOKUP($D366&amp;"|"&amp;$E366&amp;"|"&amp;$F366,'PET_STAT_RULES'!$A$5:$A$88,'PET_STAT_RULES'!$D$5:$D$88)</x:f>
        <x:v>18</x:v>
      </x:c>
      <x:c r="L366" s="340" t="n">
        <x:f>XLOOKUP($D366&amp;"|"&amp;$E366&amp;"|"&amp;$F366,'PET_STAT_RULES'!$A$5:$A$88,'PET_STAT_RULES'!$F$5:$F$88)</x:f>
        <x:v>0</x:v>
      </x:c>
      <x:c r="M366" s="340" t="n">
        <x:f>XLOOKUP($D366&amp;"|"&amp;$E366&amp;"|"&amp;$F366,'PET_STAT_RULES'!$A$5:$A$88,'PET_STAT_RULES'!$G$5:$G$88)</x:f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  <x:c r="W366" s="332" t="n">
        <x:f>XLOOKUP($D366&amp;"|"&amp;$E366&amp;"|"&amp;$F366,'PET_STAT_RULES'!$A$5:$A$88,'PET_STAT_RULES'!$E$5:$E$88)</x:f>
        <x:v>0</x:v>
      </x:c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40" t="n">
        <x:f>XLOOKUP($D367&amp;"|"&amp;$E367&amp;"|"&amp;$F367,'PET_STAT_RULES'!$A$5:$A$88,'PET_STAT_RULES'!$C$5:$C$88)</x:f>
        <x:v>58</x:v>
      </x:c>
      <x:c r="K367" s="340" t="n">
        <x:f>XLOOKUP($D367&amp;"|"&amp;$E367&amp;"|"&amp;$F367,'PET_STAT_RULES'!$A$5:$A$88,'PET_STAT_RULES'!$D$5:$D$88)</x:f>
        <x:v>16</x:v>
      </x:c>
      <x:c r="L367" s="340" t="n">
        <x:f>XLOOKUP($D367&amp;"|"&amp;$E367&amp;"|"&amp;$F367,'PET_STAT_RULES'!$A$5:$A$88,'PET_STAT_RULES'!$F$5:$F$88)</x:f>
        <x:v>0</x:v>
      </x:c>
      <x:c r="M367" s="340" t="n">
        <x:f>XLOOKUP($D367&amp;"|"&amp;$E367&amp;"|"&amp;$F367,'PET_STAT_RULES'!$A$5:$A$88,'PET_STAT_RULES'!$G$5:$G$88)</x:f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  <x:c r="W367" s="332" t="n">
        <x:f>XLOOKUP($D367&amp;"|"&amp;$E367&amp;"|"&amp;$F367,'PET_STAT_RULES'!$A$5:$A$88,'PET_STAT_RULES'!$E$5:$E$88)</x:f>
        <x:v>0</x:v>
      </x:c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40" t="n">
        <x:f>XLOOKUP($D368&amp;"|"&amp;$E368&amp;"|"&amp;$F368,'PET_STAT_RULES'!$A$5:$A$88,'PET_STAT_RULES'!$C$5:$C$88)</x:f>
        <x:v>46</x:v>
      </x:c>
      <x:c r="K368" s="340" t="n">
        <x:f>XLOOKUP($D368&amp;"|"&amp;$E368&amp;"|"&amp;$F368,'PET_STAT_RULES'!$A$5:$A$88,'PET_STAT_RULES'!$D$5:$D$88)</x:f>
        <x:v>18</x:v>
      </x:c>
      <x:c r="L368" s="340" t="n">
        <x:f>XLOOKUP($D368&amp;"|"&amp;$E368&amp;"|"&amp;$F368,'PET_STAT_RULES'!$A$5:$A$88,'PET_STAT_RULES'!$F$5:$F$88)</x:f>
        <x:v>0</x:v>
      </x:c>
      <x:c r="M368" s="340" t="n">
        <x:f>XLOOKUP($D368&amp;"|"&amp;$E368&amp;"|"&amp;$F368,'PET_STAT_RULES'!$A$5:$A$88,'PET_STAT_RULES'!$G$5:$G$88)</x:f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  <x:c r="W368" s="332" t="n">
        <x:f>XLOOKUP($D368&amp;"|"&amp;$E368&amp;"|"&amp;$F368,'PET_STAT_RULES'!$A$5:$A$88,'PET_STAT_RULES'!$E$5:$E$88)</x:f>
        <x:v>0</x:v>
      </x:c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40" t="n">
        <x:f>XLOOKUP($D369&amp;"|"&amp;$E369&amp;"|"&amp;$F369,'PET_STAT_RULES'!$A$5:$A$88,'PET_STAT_RULES'!$C$5:$C$88)</x:f>
        <x:v>34</x:v>
      </x:c>
      <x:c r="K369" s="340" t="n">
        <x:f>XLOOKUP($D369&amp;"|"&amp;$E369&amp;"|"&amp;$F369,'PET_STAT_RULES'!$A$5:$A$88,'PET_STAT_RULES'!$D$5:$D$88)</x:f>
        <x:v>22</x:v>
      </x:c>
      <x:c r="L369" s="340" t="n">
        <x:f>XLOOKUP($D369&amp;"|"&amp;$E369&amp;"|"&amp;$F369,'PET_STAT_RULES'!$A$5:$A$88,'PET_STAT_RULES'!$F$5:$F$88)</x:f>
        <x:v>0</x:v>
      </x:c>
      <x:c r="M369" s="340" t="n">
        <x:f>XLOOKUP($D369&amp;"|"&amp;$E369&amp;"|"&amp;$F369,'PET_STAT_RULES'!$A$5:$A$88,'PET_STAT_RULES'!$G$5:$G$88)</x:f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  <x:c r="W369" s="332" t="n">
        <x:f>XLOOKUP($D369&amp;"|"&amp;$E369&amp;"|"&amp;$F369,'PET_STAT_RULES'!$A$5:$A$88,'PET_STAT_RULES'!$E$5:$E$88)</x:f>
        <x:v>0</x:v>
      </x:c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40" t="n">
        <x:f>XLOOKUP($D370&amp;"|"&amp;$E370&amp;"|"&amp;$F370,'PET_STAT_RULES'!$A$5:$A$88,'PET_STAT_RULES'!$C$5:$C$88)</x:f>
        <x:v>40</x:v>
      </x:c>
      <x:c r="K370" s="340" t="n">
        <x:f>XLOOKUP($D370&amp;"|"&amp;$E370&amp;"|"&amp;$F370,'PET_STAT_RULES'!$A$5:$A$88,'PET_STAT_RULES'!$D$5:$D$88)</x:f>
        <x:v>20</x:v>
      </x:c>
      <x:c r="L370" s="340" t="n">
        <x:f>XLOOKUP($D370&amp;"|"&amp;$E370&amp;"|"&amp;$F370,'PET_STAT_RULES'!$A$5:$A$88,'PET_STAT_RULES'!$F$5:$F$88)</x:f>
        <x:v>0</x:v>
      </x:c>
      <x:c r="M370" s="340" t="n">
        <x:f>XLOOKUP($D370&amp;"|"&amp;$E370&amp;"|"&amp;$F370,'PET_STAT_RULES'!$A$5:$A$88,'PET_STAT_RULES'!$G$5:$G$88)</x:f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  <x:c r="W370" s="332" t="n">
        <x:f>XLOOKUP($D370&amp;"|"&amp;$E370&amp;"|"&amp;$F370,'PET_STAT_RULES'!$A$5:$A$88,'PET_STAT_RULES'!$E$5:$E$88)</x:f>
        <x:v>0</x:v>
      </x:c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5249364dc79427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2980dabbeab14092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  <x:row r="136">
      <x:c r="A136" t="str">
        <x:v>wave_d01_enc_scout</x:v>
      </x:c>
      <x:c r="B136" t="n">
        <x:v>1</x:v>
      </x:c>
      <x:c r="C136" t="str">
        <x:v>上午</x:v>
      </x:c>
      <x:c r="D136" t="n">
        <x:v>1</x:v>
      </x:c>
      <x:c r="E136" t="str">
        <x:v>1,2,3</x:v>
      </x:c>
      <x:c r="F136" t="n">
        <x:v>3</x:v>
      </x:c>
      <x:c r="G136" t="str">
        <x:v>100,0,0,0</x:v>
      </x:c>
      <x:c r="H136" t="n">
        <x:v>171</x:v>
      </x:c>
      <x:c r="I136" t="str">
        <x:v>低风险：3只青铜基础敌人</x:v>
      </x:c>
    </x:row>
    <x:row r="137">
      <x:c r="A137" t="str">
        <x:v>wave_d01_enc_assault</x:v>
      </x:c>
      <x:c r="B137" t="n">
        <x:v>1</x:v>
      </x:c>
      <x:c r="C137" t="str">
        <x:v>上午</x:v>
      </x:c>
      <x:c r="D137" t="n">
        <x:v>1</x:v>
      </x:c>
      <x:c r="E137" t="str">
        <x:v>5,7,9,12</x:v>
      </x:c>
      <x:c r="F137" t="n">
        <x:v>4</x:v>
      </x:c>
      <x:c r="G137" t="str">
        <x:v>100,0,0,0</x:v>
      </x:c>
      <x:c r="H137" t="n">
        <x:v>208</x:v>
      </x:c>
      <x:c r="I137" t="str">
        <x:v>中风险：4只青铜进攻敌人</x:v>
      </x:c>
    </x:row>
    <x:row r="138">
      <x:c r="A138" t="str">
        <x:v>wave_d01_enc_guard</x:v>
      </x:c>
      <x:c r="B138" t="n">
        <x:v>1</x:v>
      </x:c>
      <x:c r="C138" t="str">
        <x:v>上午</x:v>
      </x:c>
      <x:c r="D138" t="n">
        <x:v>1</x:v>
      </x:c>
      <x:c r="E138" t="str">
        <x:v>6,13,15,17</x:v>
      </x:c>
      <x:c r="F138" t="n">
        <x:v>4</x:v>
      </x:c>
      <x:c r="G138" t="str">
        <x:v>0,100,0,0</x:v>
      </x:c>
      <x:c r="H138" t="n">
        <x:v>330</x:v>
      </x:c>
      <x:c r="I138" t="str">
        <x:v>高风险：4只白银防守敌人</x:v>
      </x:c>
    </x:row>
    <x:row r="139">
      <x:c r="A139" t="str">
        <x:v>wave_d03_enc_safe</x:v>
      </x:c>
      <x:c r="B139" t="n">
        <x:v>3</x:v>
      </x:c>
      <x:c r="C139" t="str">
        <x:v>上午</x:v>
      </x:c>
      <x:c r="D139" t="n">
        <x:v>1</x:v>
      </x:c>
      <x:c r="E139" t="str">
        <x:v>1,6,8,10</x:v>
      </x:c>
      <x:c r="F139" t="n">
        <x:v>4</x:v>
      </x:c>
      <x:c r="G139" t="str">
        <x:v>0,100,0,0</x:v>
      </x:c>
      <x:c r="H139" t="n">
        <x:v>342</x:v>
      </x:c>
      <x:c r="I139" t="str">
        <x:v>低风险：4只白银稳阵敌人</x:v>
      </x:c>
    </x:row>
    <x:row r="140">
      <x:c r="A140" t="str">
        <x:v>wave_d03_enc_assault</x:v>
      </x:c>
      <x:c r="B140" t="n">
        <x:v>3</x:v>
      </x:c>
      <x:c r="C140" t="str">
        <x:v>上午</x:v>
      </x:c>
      <x:c r="D140" t="n">
        <x:v>1</x:v>
      </x:c>
      <x:c r="E140" t="str">
        <x:v>5,7,9,12,14</x:v>
      </x:c>
      <x:c r="F140" t="n">
        <x:v>5</x:v>
      </x:c>
      <x:c r="G140" t="str">
        <x:v>0,100,0,0</x:v>
      </x:c>
      <x:c r="H140" t="n">
        <x:v>462</x:v>
      </x:c>
      <x:c r="I140" t="str">
        <x:v>中风险：5只白银雷火敌人</x:v>
      </x:c>
    </x:row>
    <x:row r="141">
      <x:c r="A141" t="str">
        <x:v>wave_d03_enc_breaker</x:v>
      </x:c>
      <x:c r="B141" t="n">
        <x:v>3</x:v>
      </x:c>
      <x:c r="C141" t="str">
        <x:v>上午</x:v>
      </x:c>
      <x:c r="D141" t="n">
        <x:v>1</x:v>
      </x:c>
      <x:c r="E141" t="str">
        <x:v>13,15,17,19,20</x:v>
      </x:c>
      <x:c r="F141" t="n">
        <x:v>5</x:v>
      </x:c>
      <x:c r="G141" t="str">
        <x:v>0,0,100,0</x:v>
      </x:c>
      <x:c r="H141" t="n">
        <x:v>662</x:v>
      </x:c>
      <x:c r="I141" t="str">
        <x:v>高风险：5只黄金破阵敌人</x:v>
      </x:c>
    </x:row>
    <x:row r="142">
      <x:c r="A142" t="str">
        <x:v>wave_d06_enc_anchor</x:v>
      </x:c>
      <x:c r="B142" t="n">
        <x:v>6</x:v>
      </x:c>
      <x:c r="C142" t="str">
        <x:v>上午</x:v>
      </x:c>
      <x:c r="D142" t="n">
        <x:v>1</x:v>
      </x:c>
      <x:c r="E142" t="str">
        <x:v>90,91,93,99,100</x:v>
      </x:c>
      <x:c r="F142" t="n">
        <x:v>6</x:v>
      </x:c>
      <x:c r="G142" t="str">
        <x:v>0,100,0,0</x:v>
      </x:c>
      <x:c r="H142" t="n">
        <x:v>967</x:v>
      </x:c>
      <x:c r="I142" t="str">
        <x:v>低风险：6只白银稳压敌人</x:v>
      </x:c>
    </x:row>
    <x:row r="143">
      <x:c r="A143" t="str">
        <x:v>wave_d06_enc_assault</x:v>
      </x:c>
      <x:c r="B143" t="n">
        <x:v>6</x:v>
      </x:c>
      <x:c r="C143" t="str">
        <x:v>上午</x:v>
      </x:c>
      <x:c r="D143" t="n">
        <x:v>1</x:v>
      </x:c>
      <x:c r="E143" t="str">
        <x:v>92,94,95,96,98,108</x:v>
      </x:c>
      <x:c r="F143" t="n">
        <x:v>6</x:v>
      </x:c>
      <x:c r="G143" t="str">
        <x:v>0,50,50,0</x:v>
      </x:c>
      <x:c r="H143" t="n">
        <x:v>1120</x:v>
      </x:c>
      <x:c r="I143" t="str">
        <x:v>中风险：6只白银/黄金突袭敌人</x:v>
      </x:c>
    </x:row>
    <x:row r="144">
      <x:c r="A144" t="str">
        <x:v>wave_d06_enc_elite</x:v>
      </x:c>
      <x:c r="B144" t="n">
        <x:v>6</x:v>
      </x:c>
      <x:c r="C144" t="str">
        <x:v>上午</x:v>
      </x:c>
      <x:c r="D144" t="n">
        <x:v>1</x:v>
      </x:c>
      <x:c r="E144" t="str">
        <x:v>29,46,61,97,101,107</x:v>
      </x:c>
      <x:c r="F144" t="n">
        <x:v>6</x:v>
      </x:c>
      <x:c r="G144" t="str">
        <x:v>0,0,100,0</x:v>
      </x:c>
      <x:c r="H144" t="n">
        <x:v>1540</x:v>
      </x:c>
      <x:c r="I144" s="15" t="str">
        <x:v>高风险：护甲减伤、三名反击与回合攻盾成长</x:v>
      </x:c>
    </x:row>
    <x:row r="145">
      <x:c r="A145" t="str">
        <x:v>wave_d09_enc_guard</x:v>
      </x:c>
      <x:c r="B145" t="n">
        <x:v>9</x:v>
      </x:c>
      <x:c r="C145" t="str">
        <x:v>上午</x:v>
      </x:c>
      <x:c r="D145" t="n">
        <x:v>1</x:v>
      </x:c>
      <x:c r="E145" t="str">
        <x:v>191,192,193,194,195</x:v>
      </x:c>
      <x:c r="F145" t="n">
        <x:v>6</x:v>
      </x:c>
      <x:c r="G145" t="str">
        <x:v>0,0,100,0</x:v>
      </x:c>
      <x:c r="H145" t="n">
        <x:v>1562</x:v>
      </x:c>
      <x:c r="I145" s="15" t="str">
        <x:v>低风险：6只黄金王侯敌人</x:v>
      </x:c>
    </x:row>
    <x:row r="146">
      <x:c r="A146" t="str">
        <x:v>wave_d09_enc_decisive</x:v>
      </x:c>
      <x:c r="B146" t="n">
        <x:v>9</x:v>
      </x:c>
      <x:c r="C146" t="str">
        <x:v>上午</x:v>
      </x:c>
      <x:c r="D146" t="n">
        <x:v>1</x:v>
      </x:c>
      <x:c r="E146" t="str">
        <x:v>183,184,185,187,188,190</x:v>
      </x:c>
      <x:c r="F146" t="n">
        <x:v>6</x:v>
      </x:c>
      <x:c r="G146" t="str">
        <x:v>0,0,0,100</x:v>
      </x:c>
      <x:c r="H146" t="n">
        <x:v>1783</x:v>
      </x:c>
      <x:c r="I146" s="15" t="str">
        <x:v>中风险：6只钻石地雷敌人</x:v>
      </x:c>
    </x:row>
    <x:row r="147">
      <x:c r="A147" t="str">
        <x:v>wave_d09_enc_ancestral</x:v>
      </x:c>
      <x:c r="B147" t="n">
        <x:v>9</x:v>
      </x:c>
      <x:c r="C147" t="str">
        <x:v>上午</x:v>
      </x:c>
      <x:c r="D147" t="n">
        <x:v>1</x:v>
      </x:c>
      <x:c r="E147" t="str">
        <x:v>35,54,182,186,197,241</x:v>
      </x:c>
      <x:c r="F147" t="n">
        <x:v>6</x:v>
      </x:c>
      <x:c r="G147" t="str">
        <x:v>0,0,0,100</x:v>
      </x:c>
      <x:c r="H147" t="n">
        <x:v>2225</x:v>
      </x:c>
      <x:c r="I147" s="15" t="str">
        <x:v>高风险：三名死亡爆炸、回合攻盾成长与反击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</x:row>
  </x:sheetData>
  <x:pageMargins left="0.7" right="0.7" top="0.75" bottom="0.75" header="0.3" footer="0.3"/>
  <x:tableParts count="1">
    <x:tablePart xmlns:r="http://schemas.openxmlformats.org/officeDocument/2006/relationships" r:id="R191233b48623427c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指定元素命中(element 参数为空时任意元素)</x:v>
      </x:c>
      <x:c r="H46" s="3" t="str">
        <x:v>element=火; distance=1</x:v>
      </x:c>
      <x:c r="I46" s="3" t="str">
        <x:v>命中后按攻击方向推开/拉动目标。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可接入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兼容旧机制ID；适配九系与双属性；第一套黑角犀以 element=火 接入。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英雄耐久损耗（兼容ID）</x:v>
      </x:c>
      <x:c r="D56" s="3" t="str">
        <x:v>外层/失败</x:v>
      </x:c>
      <x:c r="E56" s="3" t="str">
        <x:v>单局</x:v>
      </x:c>
      <x:c r="F56" s="3" t="str">
        <x:v>battle_fail</x:v>
      </x:c>
      <x:c r="G56" s="3" t="str">
        <x:v>战斗失败</x:v>
      </x:c>
      <x:c r="H56" s="3" t="str">
        <x:v>run_health=-day</x:v>
      </x:c>
      <x:c r="I56" s="3" t="str">
        <x:v>按当前天数扣英雄耐久。</x:v>
      </x:c>
      <x:c r="J56" s="3" t="str">
        <x:v>英雄耐久受到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已替代旧城堡规则</x:v>
      </x:c>
      <x:c r="O56" s="3" t="str">
        <x:v>0</x:v>
      </x:c>
      <x:c r="P56" s="3" t="str">
        <x:v>0</x:v>
      </x:c>
      <x:c r="Q56" s="3" t="str">
        <x:v>1</x:v>
      </x:c>
      <x:c r="R56" s="3" t="str">
        <x:v>0</x:v>
      </x:c>
      <x:c r="S56" s="3" t="str">
        <x:v>兼容旧机制ID；城堡扣线与经济衰减已由英雄耐久外层规则取代。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失败经济折损（兼容ID）</x:v>
      </x:c>
      <x:c r="D57" s="3" t="str">
        <x:v>外层/失败</x:v>
      </x:c>
      <x:c r="E57" s="3" t="str">
        <x:v>单局</x:v>
      </x:c>
      <x:c r="F57" s="3" t="str">
        <x:v>battle_fail</x:v>
      </x:c>
      <x:c r="G57" s="3" t="str">
        <x:v>战斗失败</x:v>
      </x:c>
      <x:c r="H57" s="3" t="str">
        <x:v>none</x:v>
      </x:c>
      <x:c r="I57" s="3" t="str">
        <x:v>不再降低经济倍率。</x:v>
      </x:c>
      <x:c r="J57" s="3" t="str">
        <x:v>英雄耐久规则已取代失败经济折损。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已由英雄耐久取代</x:v>
      </x:c>
      <x:c r="O57" s="3" t="str">
        <x:v>0</x:v>
      </x:c>
      <x:c r="P57" s="3" t="str">
        <x:v>0</x:v>
      </x:c>
      <x:c r="Q57" s="3" t="str">
        <x:v>1</x:v>
      </x:c>
      <x:c r="R57" s="3" t="str">
        <x:v>0</x:v>
      </x:c>
      <x:c r="S57" s="3" t="str">
        <x:v>兼容旧机制ID；战败经济衰减不再生效。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</x:row>
    <x:row r="64">
      <x:c r="A64" s="3" t="str">
        <x:v>M62</x:v>
      </x:c>
      <x:c r="B64" s="3" t="str">
        <x:v>mech_element_spread_adjacent</x:v>
      </x:c>
      <x:c r="C64" s="3" t="str">
        <x:v>雷火跃迁</x:v>
      </x:c>
      <x:c r="D64" s="3" t="str">
        <x:v>宠物/火种</x:v>
      </x:c>
      <x:c r="E64" s="3" t="str">
        <x:v>宠物</x:v>
      </x:c>
      <x:c r="F64" s="3" t="str">
        <x:v>after_element_apply</x:v>
      </x:c>
      <x:c r="G64" s="3" t="str">
        <x:v>自身铺设火种地形</x:v>
      </x:c>
      <x:c r="H64" s="3" t="str">
        <x:v>element=火; spread_layers=1</x:v>
      </x:c>
      <x:c r="I64" s="3" t="str">
        <x:v>上下左右相邻格各获得1层火种地形。</x:v>
      </x:c>
      <x:c r="J64" s="3" t="str">
        <x:v>雷火跃迁：相邻格各获得1层火种。</x:v>
      </x:c>
      <x:c r="K64" s="3" t="n">
        <x:v>6</x:v>
      </x:c>
      <x:c r="L64" s="3" t="str">
        <x:v>中</x:v>
      </x:c>
      <x:c r="M64" s="3" t="str">
        <x:v>正式</x:v>
      </x:c>
      <x:c r="N64" s="3" t="str">
        <x:v>可接入</x:v>
      </x:c>
      <x:c r="O64" s="3" t="n">
        <x:v>1</x:v>
      </x:c>
      <x:c r="P64" s="3" t="n">
        <x:v>0</x:v>
      </x:c>
      <x:c r="Q64" s="3" t="n">
        <x:v>0</x:v>
      </x:c>
      <x:c r="R64" s="3" t="n">
        <x:v>0</x:v>
      </x:c>
      <x:c r="S64" s="3" t="str">
        <x:v>只写地形；扩散不会递归触发。</x:v>
      </x:c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</x:row>
    <x:row r="65">
      <x:c r="A65" s="3" t="str">
        <x:v>M63</x:v>
      </x:c>
      <x:c r="B65" s="3" t="str">
        <x:v>mech_element_apply_bonus</x:v>
      </x:c>
      <x:c r="C65" s="3" t="str">
        <x:v>踏火留种</x:v>
      </x:c>
      <x:c r="D65" s="3" t="str">
        <x:v>宠物/火种</x:v>
      </x:c>
      <x:c r="E65" s="3" t="str">
        <x:v>宠物</x:v>
      </x:c>
      <x:c r="F65" s="3" t="str">
        <x:v>after_element_apply</x:v>
      </x:c>
      <x:c r="G65" s="3" t="str">
        <x:v>自身铺设火种地形</x:v>
      </x:c>
      <x:c r="H65" s="3" t="str">
        <x:v>element=火; bonus_layers=1</x:v>
      </x:c>
      <x:c r="I65" s="3" t="str">
        <x:v>本次铺火所在格额外获得1层火种地形。</x:v>
      </x:c>
      <x:c r="J65" s="3" t="str">
        <x:v>踏火留种：该格火种+1层。</x:v>
      </x:c>
      <x:c r="K65" s="3" t="n">
        <x:v>5</x:v>
      </x:c>
      <x:c r="L65" s="3" t="str">
        <x:v>中</x:v>
      </x:c>
      <x:c r="M65" s="3" t="str">
        <x:v>正式</x:v>
      </x:c>
      <x:c r="N65" s="3" t="str">
        <x:v>可接入</x:v>
      </x:c>
      <x:c r="O65" s="3" t="n">
        <x:v>1</x:v>
      </x:c>
      <x:c r="P65" s="3" t="n">
        <x:v>0</x:v>
      </x:c>
      <x:c r="Q65" s="3" t="n">
        <x:v>0</x:v>
      </x:c>
      <x:c r="R65" s="3" t="n">
        <x:v>0</x:v>
      </x:c>
      <x:c r="S65" s="3" t="str">
        <x:v>第一套基础火种供应。</x:v>
      </x:c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</x:row>
    <x:row r="66">
      <x:c r="A66" s="3" t="str">
        <x:v>M64</x:v>
      </x:c>
      <x:c r="B66" s="3" t="str">
        <x:v>mech_element_pair_bonus</x:v>
      </x:c>
      <x:c r="C66" s="3" t="str">
        <x:v>电棘引燃</x:v>
      </x:c>
      <x:c r="D66" s="3" t="str">
        <x:v>宠物/火雷</x:v>
      </x:c>
      <x:c r="E66" s="3" t="str">
        <x:v>宠物</x:v>
      </x:c>
      <x:c r="F66" s="3" t="str">
        <x:v>element_settle</x:v>
      </x:c>
      <x:c r="G66" s="3" t="str">
        <x:v>同格同时存在火种与雷地形</x:v>
      </x:c>
      <x:c r="H66" s="3" t="str">
        <x:v>element_a=火; element_b=雷; per_pair=2</x:v>
      </x:c>
      <x:c r="I66" s="3" t="str">
        <x:v>火种统一结算时，按火雷配对层数每层额外造成2点伤害。</x:v>
      </x:c>
      <x:c r="J66" s="3" t="str">
        <x:v>电棘引燃：火雷配对额外造成伤害。</x:v>
      </x:c>
      <x:c r="K66" s="3" t="n">
        <x:v>7</x:v>
      </x:c>
      <x:c r="L66" s="3" t="str">
        <x:v>高</x:v>
      </x:c>
      <x:c r="M66" s="3" t="str">
        <x:v>正式</x:v>
      </x:c>
      <x:c r="N66" s="3" t="str">
        <x:v>可接入</x:v>
      </x:c>
      <x:c r="O66" s="3" t="n">
        <x:v>1</x:v>
      </x:c>
      <x:c r="P66" s="3" t="n">
        <x:v>0</x:v>
      </x:c>
      <x:c r="Q66" s="3" t="n">
        <x:v>0</x:v>
      </x:c>
      <x:c r="R66" s="3" t="n">
        <x:v>0</x:v>
      </x:c>
      <x:c r="S66" s="3" t="str">
        <x:v>只读取同格地形快照。</x:v>
      </x:c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</x:row>
    <x:row r="67">
      <x:c r="A67" s="3" t="str">
        <x:v>M65</x:v>
      </x:c>
      <x:c r="B67" s="3" t="str">
        <x:v>mech_win_gold_bonus</x:v>
      </x:c>
      <x:c r="C67" s="3" t="str">
        <x:v>火场生意</x:v>
      </x:c>
      <x:c r="D67" s="3" t="str">
        <x:v>宠物/经济</x:v>
      </x:c>
      <x:c r="E67" s="3" t="str">
        <x:v>宠物</x:v>
      </x:c>
      <x:c r="F67" s="3" t="str">
        <x:v>battle_end</x:v>
      </x:c>
      <x:c r="G67" s="3" t="str">
        <x:v>胜利且自身存活</x:v>
      </x:c>
      <x:c r="H67" s="3" t="str">
        <x:v>gold=1</x:v>
      </x:c>
      <x:c r="I67" s="3" t="str">
        <x:v>战斗胜利后额外获得1金币。</x:v>
      </x:c>
      <x:c r="J67" s="3" t="str">
        <x:v>火场生意：额外获得1金币。</x:v>
      </x:c>
      <x:c r="K67" s="3" t="n">
        <x:v>5</x:v>
      </x:c>
      <x:c r="L67" s="3" t="str">
        <x:v>中</x:v>
      </x:c>
      <x:c r="M67" s="3" t="str">
        <x:v>正式</x:v>
      </x:c>
      <x:c r="N67" s="3" t="str">
        <x:v>可接入</x:v>
      </x:c>
      <x:c r="O67" s="3" t="n">
        <x:v>1</x:v>
      </x:c>
      <x:c r="P67" s="3" t="n">
        <x:v>0</x:v>
      </x:c>
      <x:c r="Q67" s="3" t="n">
        <x:v>0</x:v>
      </x:c>
      <x:c r="R67" s="3" t="n">
        <x:v>0</x:v>
      </x:c>
      <x:c r="S67" s="3" t="str">
        <x:v>第一套经济桥接。</x:v>
      </x:c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</x:row>
    <x:row r="68">
      <x:c r="A68" s="3" t="str">
        <x:v>M67</x:v>
      </x:c>
      <x:c r="B68" s="3" t="str">
        <x:v>mech_element_layer_threshold_bonus</x:v>
      </x:c>
      <x:c r="C68" s="3" t="str">
        <x:v>地火伏爆</x:v>
      </x:c>
      <x:c r="D68" s="3" t="str">
        <x:v>宠物/火种</x:v>
      </x:c>
      <x:c r="E68" s="3" t="str">
        <x:v>宠物</x:v>
      </x:c>
      <x:c r="F68" s="3" t="str">
        <x:v>element_settle</x:v>
      </x:c>
      <x:c r="G68" s="3" t="str">
        <x:v>火种地形达到3层</x:v>
      </x:c>
      <x:c r="H68" s="3" t="str">
        <x:v>element=火; threshold=3; bonus=5</x:v>
      </x:c>
      <x:c r="I68" s="3" t="str">
        <x:v>火种统一结算额外造成5点伤害。</x:v>
      </x:c>
      <x:c r="J68" s="3" t="str">
        <x:v>地火伏爆：额外造成5点伤害。</x:v>
      </x:c>
      <x:c r="K68" s="3" t="n">
        <x:v>7</x:v>
      </x:c>
      <x:c r="L68" s="3" t="str">
        <x:v>高</x:v>
      </x:c>
      <x:c r="M68" s="3" t="str">
        <x:v>正式</x:v>
      </x:c>
      <x:c r="N68" s="3" t="str">
        <x:v>可接入</x:v>
      </x:c>
      <x:c r="O68" s="3" t="n">
        <x:v>1</x:v>
      </x:c>
      <x:c r="P68" s="3" t="n">
        <x:v>0</x:v>
      </x:c>
      <x:c r="Q68" s="3" t="n">
        <x:v>0</x:v>
      </x:c>
      <x:c r="R68" s="3" t="n">
        <x:v>0</x:v>
      </x:c>
      <x:c r="S68" s="3" t="str">
        <x:v>第一套高层火种副核。</x:v>
      </x:c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</x:row>
    <x:row r="70">
      <x:c r="A70" s="6" t="str">
        <x:v>#csv</x:v>
      </x:c>
      <x:c r="B70" s="6" t="str">
        <x:v>28_quality_growth.csv</x:v>
      </x:c>
      <x:c r="C70" s="6" t="str">
        <x:v>品质成长数值。</x:v>
      </x:c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</x:row>
    <x:row r="71">
      <x:c r="A71" s="5" t="str">
        <x:v>quality</x:v>
      </x:c>
      <x:c r="B71" s="5" t="str">
        <x:v>label</x:v>
      </x:c>
      <x:c r="C71" s="5" t="str">
        <x:v>shape_size</x:v>
      </x:c>
      <x:c r="D71" s="5" t="str">
        <x:v>hp_bonus</x:v>
      </x:c>
      <x:c r="E71" s="5" t="str">
        <x:v>atk_bonus</x:v>
      </x:c>
      <x:c r="F71" s="5" t="str">
        <x:v>mechanic</x:v>
      </x:c>
      <x:c r="G71" s="5" t="str">
        <x:v>description</x:v>
      </x:c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</x:row>
    <x:row r="72">
      <x:c r="A72" s="3" t="str">
        <x:v>bronze</x:v>
      </x:c>
      <x:c r="B72" s="3" t="str">
        <x:v>青铜</x:v>
      </x:c>
      <x:c r="C72" s="3" t="str">
        <x:v>1</x:v>
      </x:c>
      <x:c r="D72" s="3" t="str">
        <x:v>0</x:v>
      </x:c>
      <x:c r="E72" s="3" t="str">
        <x:v>0</x:v>
      </x:c>
      <x:c r="F72" s="3" t="str">
        <x:v>基础</x:v>
      </x:c>
      <x:c r="G72" s="3" t="str">
        <x:v>只有基础生命、攻击和 3 个行动形状。</x:v>
      </x:c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</x:row>
    <x:row r="73">
      <x:c r="A73" s="3" t="str">
        <x:v>bronze</x:v>
      </x:c>
      <x:c r="B73" s="3" t="str">
        <x:v>青铜</x:v>
      </x:c>
      <x:c r="C73" s="3" t="str">
        <x:v>2</x:v>
      </x:c>
      <x:c r="D73" s="3" t="str">
        <x:v>0</x:v>
      </x:c>
      <x:c r="E73" s="3" t="str">
        <x:v>0</x:v>
      </x:c>
      <x:c r="F73" s="3" t="str">
        <x:v>基础</x:v>
      </x:c>
      <x:c r="G73" s="3" t="str">
        <x:v>只有基础生命、攻击和 3 个行动形状。</x:v>
      </x:c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</x:row>
    <x:row r="74">
      <x:c r="A74" s="3" t="str">
        <x:v>bronze</x:v>
      </x:c>
      <x:c r="B74" s="3" t="str">
        <x:v>青铜</x:v>
      </x:c>
      <x:c r="C74" s="3" t="str">
        <x:v>3</x:v>
      </x:c>
      <x:c r="D74" s="3" t="str">
        <x:v>0</x:v>
      </x:c>
      <x:c r="E74" s="3" t="str">
        <x:v>0</x:v>
      </x:c>
      <x:c r="F74" s="3" t="str">
        <x:v>基础</x:v>
      </x:c>
      <x:c r="G74" s="3" t="str">
        <x:v>只有基础生命、攻击和 3 个行动形状。</x:v>
      </x:c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</x:row>
    <x:row r="75">
      <x:c r="A75" s="3" t="str">
        <x:v>silver</x:v>
      </x:c>
      <x:c r="B75" s="3" t="str">
        <x:v>白银</x:v>
      </x:c>
      <x:c r="C75" s="3" t="str">
        <x:v>1</x:v>
      </x:c>
      <x:c r="D75" s="3" t="str">
        <x:v>4</x:v>
      </x:c>
      <x:c r="E75" s="3" t="str">
        <x:v>1</x:v>
      </x:c>
      <x:c r="F75" s="3" t="str">
        <x:v>白银 Buff</x:v>
      </x:c>
      <x:c r="G75" s="3" t="str">
        <x:v>获得小幅数值成长，并获得 1 个自动触发的白银 Buff。</x:v>
      </x:c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</x:row>
    <x:row r="76">
      <x:c r="A76" s="3" t="inlineStr">
        <x:is>
          <x:t xml:space="preserve">silver</x:t>
        </x:is>
      </x:c>
      <x:c r="B76" s="3" t="inlineStr">
        <x:is>
          <x:t xml:space="preserve">白银</x:t>
        </x:is>
      </x:c>
      <x:c r="C76" s="3" t="inlineStr">
        <x:is>
          <x:t xml:space="preserve">2</x:t>
        </x:is>
      </x:c>
      <x:c r="D76" s="3" t="inlineStr">
        <x:is>
          <x:t xml:space="preserve">5</x:t>
        </x:is>
      </x:c>
      <x:c r="E76" s="3" t="inlineStr">
        <x:is>
          <x:t xml:space="preserve">1</x:t>
        </x:is>
      </x:c>
      <x:c r="F76" s="3" t="inlineStr">
        <x:is>
          <x:t xml:space="preserve">白银 Buff</x:t>
        </x:is>
      </x:c>
      <x:c r="G76" s="3" t="inlineStr">
        <x:is>
          <x:t xml:space="preserve">获得小幅数值成长，并获得 1 个自动触发的白银 Buff。</x:t>
        </x:is>
      </x:c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</x:row>
    <x:row r="77">
      <x:c r="A77" s="3" t="inlineStr">
        <x:is>
          <x:t xml:space="preserve">silver</x:t>
        </x:is>
      </x:c>
      <x:c r="B77" s="3" t="inlineStr">
        <x:is>
          <x:t xml:space="preserve">白银</x:t>
        </x:is>
      </x:c>
      <x:c r="C77" s="3" t="inlineStr">
        <x:is>
          <x:t xml:space="preserve">3</x:t>
        </x:is>
      </x:c>
      <x:c r="D77" s="3" t="inlineStr">
        <x:is>
          <x:t xml:space="preserve">6</x:t>
        </x:is>
      </x:c>
      <x:c r="E77" s="3" t="inlineStr">
        <x:is>
          <x:t xml:space="preserve">1</x:t>
        </x:is>
      </x:c>
      <x:c r="F77" s="3" t="inlineStr">
        <x:is>
          <x:t xml:space="preserve">白银 Buff</x:t>
        </x:is>
      </x:c>
      <x:c r="G77" s="3" t="inlineStr">
        <x:is>
          <x:t xml:space="preserve">获得小幅数值成长，并获得 1 个自动触发的白银 Buff。</x:t>
        </x:is>
      </x:c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</x:row>
    <x:row r="78">
      <x:c r="A78" s="3" t="inlineStr">
        <x:is>
          <x:t xml:space="preserve">gold</x:t>
        </x:is>
      </x:c>
      <x:c r="B78" s="3" t="inlineStr">
        <x:is>
          <x:t xml:space="preserve">黄金</x:t>
        </x:is>
      </x:c>
      <x:c r="C78" s="3" t="inlineStr">
        <x:is>
          <x:t xml:space="preserve">1</x:t>
        </x:is>
      </x:c>
      <x:c r="D78" s="3" t="inlineStr">
        <x:is>
          <x:t xml:space="preserve">8</x:t>
        </x:is>
      </x:c>
      <x:c r="E78" s="3" t="inlineStr">
        <x:is>
          <x:t xml:space="preserve">2</x:t>
        </x:is>
      </x:c>
      <x:c r="F78" s="3" t="inlineStr">
        <x:is>
          <x:t xml:space="preserve">黄金升级</x:t>
        </x:is>
      </x:c>
      <x:c r="G78" s="3" t="inlineStr">
        <x:is>
          <x:t xml:space="preserve">获得中幅数值成长，并获得 1 个黄金升级。黄金升级主要围绕形状强化。</x:t>
        </x:is>
      </x:c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</x:row>
    <x:row r="79">
      <x:c r="A79" s="3" t="inlineStr">
        <x:is>
          <x:t xml:space="preserve">gold</x:t>
        </x:is>
      </x:c>
      <x:c r="B79" s="3" t="inlineStr">
        <x:is>
          <x:t xml:space="preserve">黄金</x:t>
        </x:is>
      </x:c>
      <x:c r="C79" s="3" t="inlineStr">
        <x:is>
          <x:t xml:space="preserve">2</x:t>
        </x:is>
      </x:c>
      <x:c r="D79" s="3" t="inlineStr">
        <x:is>
          <x:t xml:space="preserve">10</x:t>
        </x:is>
      </x:c>
      <x:c r="E79" s="3" t="inlineStr">
        <x:is>
          <x:t xml:space="preserve">2</x:t>
        </x:is>
      </x:c>
      <x:c r="F79" s="3" t="inlineStr">
        <x:is>
          <x:t xml:space="preserve">黄金升级</x:t>
        </x:is>
      </x:c>
      <x:c r="G79" s="3" t="inlineStr">
        <x:is>
          <x:t xml:space="preserve">获得中幅数值成长，并获得 1 个黄金升级。黄金升级主要围绕形状强化。</x:t>
        </x:is>
      </x:c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</x:row>
    <x:row r="80">
      <x:c r="A80" s="3" t="inlineStr">
        <x:is>
          <x:t xml:space="preserve">gold</x:t>
        </x:is>
      </x:c>
      <x:c r="B80" s="3" t="inlineStr">
        <x:is>
          <x:t xml:space="preserve">黄金</x:t>
        </x:is>
      </x:c>
      <x:c r="C80" s="3" t="inlineStr">
        <x:is>
          <x:t xml:space="preserve">3</x:t>
        </x:is>
      </x:c>
      <x:c r="D80" s="3" t="inlineStr">
        <x:is>
          <x:t xml:space="preserve">12</x:t>
        </x:is>
      </x:c>
      <x:c r="E80" s="3" t="inlineStr">
        <x:is>
          <x:t xml:space="preserve">2</x:t>
        </x:is>
      </x:c>
      <x:c r="F80" s="3" t="inlineStr">
        <x:is>
          <x:t xml:space="preserve">黄金升级</x:t>
        </x:is>
      </x:c>
      <x:c r="G80" s="3" t="inlineStr">
        <x:is>
          <x:t xml:space="preserve">获得中幅数值成长，并获得 1 个黄金升级。黄金升级主要围绕形状强化。</x:t>
        </x:is>
      </x:c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</x:row>
    <x:row r="81">
      <x:c r="A81" s="3" t="inlineStr">
        <x:is>
          <x:t xml:space="preserve">diamond</x:t>
        </x:is>
      </x:c>
      <x:c r="B81" s="3" t="inlineStr">
        <x:is>
          <x:t xml:space="preserve">钻石</x:t>
        </x:is>
      </x:c>
      <x:c r="C81" s="3" t="inlineStr">
        <x:is>
          <x:t xml:space="preserve">1</x:t>
        </x:is>
      </x:c>
      <x:c r="D81" s="3" t="inlineStr">
        <x:is>
          <x:t xml:space="preserve">12</x:t>
        </x:is>
      </x:c>
      <x:c r="E81" s="3" t="inlineStr">
        <x:is>
          <x:t xml:space="preserve">3</x:t>
        </x:is>
      </x:c>
      <x:c r="F81" s="3" t="inlineStr">
        <x:is>
          <x:t xml:space="preserve">钻石质变</x:t>
        </x:is>
      </x:c>
      <x:c r="G81" s="3" t="inlineStr">
        <x:is>
          <x:t xml:space="preserve">获得高幅数值成长，并获得 1 个钻石质变。钻石主要改变形状、结算或棋盘。</x:t>
        </x:is>
      </x:c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</x:row>
    <x:row r="82">
      <x:c r="A82" s="3" t="inlineStr">
        <x:is>
          <x:t xml:space="preserve">diamond</x:t>
        </x:is>
      </x:c>
      <x:c r="B82" s="3" t="inlineStr">
        <x:is>
          <x:t xml:space="preserve">钻石</x:t>
        </x:is>
      </x:c>
      <x:c r="C82" s="3" t="inlineStr">
        <x:is>
          <x:t xml:space="preserve">2</x:t>
        </x:is>
      </x:c>
      <x:c r="D82" s="3" t="inlineStr">
        <x:is>
          <x:t xml:space="preserve">15</x:t>
        </x:is>
      </x:c>
      <x:c r="E82" s="3" t="inlineStr">
        <x:is>
          <x:t xml:space="preserve">3</x:t>
        </x:is>
      </x:c>
      <x:c r="F82" s="3" t="inlineStr">
        <x:is>
          <x:t xml:space="preserve">钻石质变</x:t>
        </x:is>
      </x:c>
      <x:c r="G82" s="3" t="inlineStr">
        <x:is>
          <x:t xml:space="preserve">获得高幅数值成长，并获得 1 个钻石质变。钻石主要改变形状、结算或棋盘。</x:t>
        </x:is>
      </x:c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  <x:c r="AO82"/>
      <x:c r="AP82"/>
      <x:c r="AQ82"/>
      <x:c r="AR82"/>
      <x:c r="AS82"/>
      <x:c r="AT82"/>
      <x:c r="AU82"/>
      <x:c r="AV82"/>
      <x:c r="AW82"/>
      <x:c r="AX82"/>
      <x:c r="AY82"/>
      <x:c r="AZ82"/>
    </x:row>
    <x:row r="83">
      <x:c r="A83" s="3" t="inlineStr">
        <x:is>
          <x:t xml:space="preserve">diamond</x:t>
        </x:is>
      </x:c>
      <x:c r="B83" s="3" t="inlineStr">
        <x:is>
          <x:t xml:space="preserve">钻石</x:t>
        </x:is>
      </x:c>
      <x:c r="C83" s="3" t="inlineStr">
        <x:is>
          <x:t xml:space="preserve">3</x:t>
        </x:is>
      </x:c>
      <x:c r="D83" s="3" t="inlineStr">
        <x:is>
          <x:t xml:space="preserve">18</x:t>
        </x:is>
      </x:c>
      <x:c r="E83" s="3" t="inlineStr">
        <x:is>
          <x:t xml:space="preserve">3</x:t>
        </x:is>
      </x:c>
      <x:c r="F83" s="3" t="inlineStr">
        <x:is>
          <x:t xml:space="preserve">钻石质变</x:t>
        </x:is>
      </x:c>
      <x:c r="G83" s="3" t="inlineStr">
        <x:is>
          <x:t xml:space="preserve">获得高幅数值成长，并获得 1 个钻石质变。钻石主要改变形状、结算或棋盘。</x:t>
        </x:is>
      </x:c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  <x:c r="AO83"/>
      <x:c r="AP83"/>
      <x:c r="AQ83"/>
      <x:c r="AR83"/>
      <x:c r="AS83"/>
      <x:c r="AT83"/>
      <x:c r="AU83"/>
      <x:c r="AV83"/>
      <x:c r="AW83"/>
      <x:c r="AX83"/>
      <x:c r="AY83"/>
      <x:c r="AZ8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  <x:c r="AO84"/>
      <x:c r="AP84"/>
      <x:c r="AQ84"/>
      <x:c r="AR84"/>
      <x:c r="AS84"/>
      <x:c r="AT84"/>
      <x:c r="AU84"/>
      <x:c r="AV84"/>
      <x:c r="AW84"/>
      <x:c r="AX84"/>
      <x:c r="AY84"/>
      <x:c r="AZ84"/>
    </x:row>
    <x:row r="85">
      <x:c r="A85" s="6" t="inlineStr">
        <x:is>
          <x:t xml:space="preserve">#csv</x:t>
        </x:is>
      </x:c>
      <x:c r="B85" s="6" t="inlineStr">
        <x:is>
          <x:t xml:space="preserve">29_quality_upgrades.csv</x:t>
        </x:is>
      </x:c>
      <x:c r="C85" s="6" t="inlineStr">
        <x:is>
          <x:t xml:space="preserve">品质升级质变。</x:t>
        </x:is>
      </x:c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  <x:c r="AO85"/>
      <x:c r="AP85"/>
      <x:c r="AQ85"/>
      <x:c r="AR85"/>
      <x:c r="AS85"/>
      <x:c r="AT85"/>
      <x:c r="AU85"/>
      <x:c r="AV85"/>
      <x:c r="AW85"/>
      <x:c r="AX85"/>
      <x:c r="AY85"/>
      <x:c r="AZ85"/>
    </x:row>
    <x:row r="86">
      <x:c r="A86" s="5" t="inlineStr">
        <x:is>
          <x:t xml:space="preserve">upgrade_id</x:t>
        </x:is>
      </x:c>
      <x:c r="B86" s="5" t="inlineStr">
        <x:is>
          <x:t xml:space="preserve">name</x:t>
        </x:is>
      </x:c>
      <x:c r="C86" s="5" t="inlineStr">
        <x:is>
          <x:t xml:space="preserve">quality</x:t>
        </x:is>
      </x:c>
      <x:c r="D86" s="5" t="inlineStr">
        <x:is>
          <x:t xml:space="preserve">category</x:t>
        </x:is>
      </x:c>
      <x:c r="E86" s="5" t="inlineStr">
        <x:is>
          <x:t xml:space="preserve">operation_level</x:t>
        </x:is>
      </x:c>
      <x:c r="F86" s="5" t="inlineStr">
        <x:is>
          <x:t xml:space="preserve">allowed_shape_sizes</x:t>
        </x:is>
      </x:c>
      <x:c r="G86" s="5" t="inlineStr">
        <x:is>
          <x:t xml:space="preserve">effect</x:t>
        </x:is>
      </x:c>
      <x:c r="H86" s="5" t="inlineStr">
        <x:is>
          <x:t xml:space="preserve">design_note</x:t>
        </x:is>
      </x:c>
      <x:c r="I86" s="5" t="inlineStr">
        <x:is>
          <x:t xml:space="preserve">runtime_status</x:t>
        </x:is>
      </x:c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/>
      <x:c r="AU86"/>
      <x:c r="AV86"/>
      <x:c r="AW86"/>
      <x:c r="AX86"/>
      <x:c r="AY86"/>
      <x:c r="AZ86"/>
    </x:row>
    <x:row r="87">
      <x:c r="A87" s="3" t="inlineStr">
        <x:is>
          <x:t xml:space="preserve">S01</x:t>
        </x:is>
      </x:c>
      <x:c r="B87" s="3" t="inlineStr">
        <x:is>
          <x:t xml:space="preserve">护体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1|2|3</x:t>
        </x:is>
      </x:c>
      <x:c r="G87" s="3" t="inlineStr">
        <x:is>
          <x:t xml:space="preserve">回合开始时，获得 15 点护盾。</x:t>
        </x:is>
      </x:c>
      <x:c r="H87" s="3"/>
      <x:c r="I87" s="3" t="inlineStr">
        <x:is>
          <x:t xml:space="preserve">implemented</x:t>
        </x:is>
      </x:c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/>
      <x:c r="AU87"/>
      <x:c r="AV87"/>
      <x:c r="AW87"/>
      <x:c r="AX87"/>
      <x:c r="AY87"/>
      <x:c r="AZ87"/>
    </x:row>
    <x:row r="88">
      <x:c r="A88" s="3" t="inlineStr">
        <x:is>
          <x:t xml:space="preserve">S02</x:t>
        </x:is>
      </x:c>
      <x:c r="B88" s="3" t="inlineStr">
        <x:is>
          <x:t xml:space="preserve">自愈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回合开始时，恢复自身 20 点生命值。</x:t>
        </x:is>
      </x:c>
      <x:c r="H88" s="3"/>
      <x:c r="I88" s="3" t="inlineStr">
        <x:is>
          <x:t xml:space="preserve">implemented</x:t>
        </x:is>
      </x:c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/>
      <x:c r="AU88"/>
      <x:c r="AV88"/>
      <x:c r="AW88"/>
      <x:c r="AX88"/>
      <x:c r="AY88"/>
      <x:c r="AZ88"/>
    </x:row>
    <x:row r="89">
      <x:c r="A89" s="3" t="inlineStr">
        <x:is>
          <x:t xml:space="preserve">S03</x:t>
        </x:is>
      </x:c>
      <x:c r="B89" s="3" t="inlineStr">
        <x:is>
          <x:t xml:space="preserve">壮体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回合开始时，最大生命值翻倍，但最大生命值最多不超过 30。</x:t>
        </x:is>
      </x:c>
      <x:c r="H89" s="3"/>
      <x:c r="I89" s="3" t="inlineStr">
        <x:is>
          <x:t xml:space="preserve">implemented</x:t>
        </x:is>
      </x:c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  <x:c r="AO89"/>
      <x:c r="AP89"/>
      <x:c r="AQ89"/>
      <x:c r="AR89"/>
      <x:c r="AS89"/>
      <x:c r="AT89"/>
      <x:c r="AU89"/>
      <x:c r="AV89"/>
      <x:c r="AW89"/>
      <x:c r="AX89"/>
      <x:c r="AY89"/>
      <x:c r="AZ89"/>
    </x:row>
    <x:row r="90">
      <x:c r="A90" s="3" t="inlineStr">
        <x:is>
          <x:t xml:space="preserve">S04</x:t>
        </x:is>
      </x:c>
      <x:c r="B90" s="3" t="inlineStr">
        <x:is>
          <x:t xml:space="preserve">元素回响</x:t>
        </x:is>
      </x:c>
      <x:c r="C90" s="3" t="inlineStr">
        <x:is>
          <x:t xml:space="preserve">silver</x:t>
        </x:is>
      </x:c>
      <x:c r="D90" s="3" t="inlineStr">
        <x:is>
          <x:t xml:space="preserve">passive</x:t>
        </x:is>
      </x:c>
      <x:c r="E90" s="3" t="inlineStr">
        <x:is>
          <x:t xml:space="preserve">none</x:t>
        </x:is>
      </x:c>
      <x:c r="F90" s="3" t="inlineStr">
        <x:is>
          <x:t xml:space="preserve">1|2|3</x:t>
        </x:is>
      </x:c>
      <x:c r="G90" s="3" t="inlineStr">
        <x:is>
          <x:t xml:space="preserve">造成元素伤害时，该元素伤害重复结算 1 次。</x:t>
        </x:is>
      </x:c>
      <x:c r="H90" s="3"/>
      <x:c r="I90" s="3" t="inlineStr">
        <x:is>
          <x:t xml:space="preserve">implemented</x:t>
        </x:is>
      </x:c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  <x:c r="AO90"/>
      <x:c r="AP90"/>
      <x:c r="AQ90"/>
      <x:c r="AR90"/>
      <x:c r="AS90"/>
      <x:c r="AT90"/>
      <x:c r="AU90"/>
      <x:c r="AV90"/>
      <x:c r="AW90"/>
      <x:c r="AX90"/>
      <x:c r="AY90"/>
      <x:c r="AZ90"/>
    </x:row>
    <x:row r="91">
      <x:c r="A91" s="3" t="inlineStr">
        <x:is>
          <x:t xml:space="preserve">S05</x:t>
        </x:is>
      </x:c>
      <x:c r="B91" s="3" t="inlineStr">
        <x:is>
          <x:t xml:space="preserve">收尾暴击</x:t>
        </x:is>
      </x:c>
      <x:c r="C91" s="3" t="inlineStr">
        <x:is>
          <x:t xml:space="preserve">silver</x:t>
        </x:is>
      </x:c>
      <x:c r="D91" s="3" t="inlineStr">
        <x:is>
          <x:t xml:space="preserve">passive</x:t>
        </x:is>
      </x:c>
      <x:c r="E91" s="3" t="inlineStr">
        <x:is>
          <x:t xml:space="preserve">none</x:t>
        </x:is>
      </x:c>
      <x:c r="F91" s="3" t="inlineStr">
        <x:is>
          <x:t xml:space="preserve">2|3</x:t>
        </x:is>
      </x:c>
      <x:c r="G91" s="3" t="inlineStr">
        <x:is>
          <x:t xml:space="preserve">本次行动的最后一击必定暴击。</x:t>
        </x:is>
      </x:c>
      <x:c r="H91" s="3" t="inlineStr">
        <x:is>
          <x:t xml:space="preserve">更适合二格、三格、多段结算角色。</x:t>
        </x:is>
      </x:c>
      <x:c r="I91" s="3" t="inlineStr">
        <x:is>
          <x:t xml:space="preserve">implemented</x:t>
        </x:is>
      </x:c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  <x:c r="AO91"/>
      <x:c r="AP91"/>
      <x:c r="AQ91"/>
      <x:c r="AR91"/>
      <x:c r="AS91"/>
      <x:c r="AT91"/>
      <x:c r="AU91"/>
      <x:c r="AV91"/>
      <x:c r="AW91"/>
      <x:c r="AX91"/>
      <x:c r="AY91"/>
      <x:c r="AZ91"/>
    </x:row>
    <x:row r="92">
      <x:c r="A92" s="3" t="inlineStr">
        <x:is>
          <x:t xml:space="preserve">S06</x:t>
        </x:is>
      </x:c>
      <x:c r="B92" s="3" t="inlineStr">
        <x:is>
          <x:t xml:space="preserve">连击倍增</x:t>
        </x:is>
      </x:c>
      <x:c r="C92" s="3" t="inlineStr">
        <x:is>
          <x:t xml:space="preserve">silver</x:t>
        </x:is>
      </x:c>
      <x:c r="D92" s="3" t="inlineStr">
        <x:is>
          <x:t xml:space="preserve">passive</x:t>
        </x:is>
      </x:c>
      <x:c r="E92" s="3" t="inlineStr">
        <x:is>
          <x:t xml:space="preserve">none</x:t>
        </x:is>
      </x:c>
      <x:c r="F92" s="3" t="inlineStr">
        <x:is>
          <x:t xml:space="preserve">2|3</x:t>
        </x:is>
      </x:c>
      <x:c r="G92" s="3" t="inlineStr">
        <x:is>
          <x:t xml:space="preserve">第一击伤害减半，之后每一击都是前一击的 2 倍。</x:t>
        </x:is>
      </x:c>
      <x:c r="H92" s="3"/>
      <x:c r="I92" s="3" t="inlineStr">
        <x:is>
          <x:t xml:space="preserve">implemented</x:t>
        </x:is>
      </x:c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  <x:c r="AO92"/>
      <x:c r="AP92"/>
      <x:c r="AQ92"/>
      <x:c r="AR92"/>
      <x:c r="AS92"/>
      <x:c r="AT92"/>
      <x:c r="AU92"/>
      <x:c r="AV92"/>
      <x:c r="AW92"/>
      <x:c r="AX92"/>
      <x:c r="AY92"/>
      <x:c r="AZ92"/>
    </x:row>
    <x:row r="93">
      <x:c r="A93" s="3" t="inlineStr">
        <x:is>
          <x:t xml:space="preserve">S07</x:t>
        </x:is>
      </x:c>
      <x:c r="B93" s="3" t="inlineStr">
        <x:is>
          <x:t xml:space="preserve">越战越勇</x:t>
        </x:is>
      </x:c>
      <x:c r="C93" s="3" t="inlineStr">
        <x:is>
          <x:t xml:space="preserve">silver</x:t>
        </x:is>
      </x:c>
      <x:c r="D93" s="3" t="inlineStr">
        <x:is>
          <x:t xml:space="preserve">passive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每击杀 5 个怪，永久 +1 攻击力。</x:t>
        </x:is>
      </x:c>
      <x:c r="H93" s="3"/>
      <x:c r="I93" s="3" t="inlineStr">
        <x:is>
          <x:t xml:space="preserve">implemented</x:t>
        </x:is>
      </x:c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  <x:c r="AO93"/>
      <x:c r="AP93"/>
      <x:c r="AQ93"/>
      <x:c r="AR93"/>
      <x:c r="AS93"/>
      <x:c r="AT93"/>
      <x:c r="AU93"/>
      <x:c r="AV93"/>
      <x:c r="AW93"/>
      <x:c r="AX93"/>
      <x:c r="AY93"/>
      <x:c r="AZ93"/>
    </x:row>
    <x:row r="94">
      <x:c r="A94" s="3" t="inlineStr">
        <x:is>
          <x:t xml:space="preserve">S08</x:t>
        </x:is>
      </x:c>
      <x:c r="B94" s="3" t="inlineStr">
        <x:is>
          <x:t xml:space="preserve">本命爆发</x:t>
        </x:is>
      </x:c>
      <x:c r="C94" s="3" t="inlineStr">
        <x:is>
          <x:t xml:space="preserve">silver</x:t>
        </x:is>
      </x:c>
      <x:c r="D94" s="3" t="inlineStr">
        <x:is>
          <x:t xml:space="preserve">passive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如果自身携带和自己相同的元素，元素爆发翻倍。</x:t>
        </x:is>
      </x:c>
      <x:c r="H94" s="3"/>
      <x:c r="I94" s="3" t="inlineStr">
        <x:is>
          <x:t xml:space="preserve">implemented</x:t>
        </x:is>
      </x:c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  <x:c r="AO94"/>
      <x:c r="AP94"/>
      <x:c r="AQ94"/>
      <x:c r="AR94"/>
      <x:c r="AS94"/>
      <x:c r="AT94"/>
      <x:c r="AU94"/>
      <x:c r="AV94"/>
      <x:c r="AW94"/>
      <x:c r="AX94"/>
      <x:c r="AY94"/>
      <x:c r="AZ94"/>
    </x:row>
    <x:row r="95">
      <x:c r="A95" s="3" t="inlineStr">
        <x:is>
          <x:t xml:space="preserve">G01</x:t>
        </x:is>
      </x:c>
      <x:c r="B95" s="3" t="inlineStr">
        <x:is>
          <x:t xml:space="preserve">攻守切换</x:t>
        </x:is>
      </x:c>
      <x:c r="C95" s="3" t="inlineStr">
        <x:is>
          <x:t xml:space="preserve">gold</x:t>
        </x:is>
      </x:c>
      <x:c r="D95" s="3" t="inlineStr">
        <x:is>
          <x:t xml:space="preserve">dualMode</x:t>
        </x:is>
      </x:c>
      <x:c r="E95" s="3" t="inlineStr">
        <x:is>
          <x:t xml:space="preserve">low</x:t>
        </x:is>
      </x:c>
      <x:c r="F95" s="3" t="inlineStr">
        <x:is>
          <x:t xml:space="preserve">1|2|3</x:t>
        </x:is>
      </x:c>
      <x:c r="G95" s="3" t="inlineStr">
        <x:is>
          <x:t xml:space="preserve">每回合可在攻/守之间切换。攻形态伤害 +2；守形态回合开始获得 8 护盾。</x:t>
        </x:is>
      </x:c>
      <x:c r="H95" s="3"/>
      <x:c r="I95" s="3" t="inlineStr">
        <x:is>
          <x:t xml:space="preserve">implemented</x:t>
        </x:is>
      </x:c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  <x:c r="AO95"/>
      <x:c r="AP95"/>
      <x:c r="AQ95"/>
      <x:c r="AR95"/>
      <x:c r="AS95"/>
      <x:c r="AT95"/>
      <x:c r="AU95"/>
      <x:c r="AV95"/>
      <x:c r="AW95"/>
      <x:c r="AX95"/>
      <x:c r="AY95"/>
      <x:c r="AZ95"/>
    </x:row>
    <x:row r="96">
      <x:c r="A96" s="3" t="inlineStr">
        <x:is>
          <x:t xml:space="preserve">G02</x:t>
        </x:is>
      </x:c>
      <x:c r="B96" s="3" t="inlineStr">
        <x:is>
          <x:t xml:space="preserve">稳爆切换</x:t>
        </x:is>
      </x:c>
      <x:c r="C96" s="3" t="inlineStr">
        <x:is>
          <x:t xml:space="preserve">gold</x:t>
        </x:is>
      </x:c>
      <x:c r="D96" s="3" t="inlineStr">
        <x:is>
          <x:t xml:space="preserve">dualMode</x:t>
        </x:is>
      </x:c>
      <x:c r="E96" s="3" t="inlineStr">
        <x:is>
          <x:t xml:space="preserve">low</x:t>
        </x:is>
      </x:c>
      <x:c r="F96" s="3" t="inlineStr">
        <x:is>
          <x:t xml:space="preserve">1|2|3</x:t>
        </x:is>
      </x:c>
      <x:c r="G96" s="3" t="inlineStr">
        <x:is>
          <x:t xml:space="preserve">可在稳定/爆发之间切换。稳定形态攻击 +1；爆发形态本回合第一次命中伤害 +4。</x:t>
        </x:is>
      </x:c>
      <x:c r="H96" s="3"/>
      <x:c r="I96" s="3" t="inlineStr">
        <x:is>
          <x:t xml:space="preserve">implemented</x:t>
        </x:is>
      </x:c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  <x:c r="AO96"/>
      <x:c r="AP96"/>
      <x:c r="AQ96"/>
      <x:c r="AR96"/>
      <x:c r="AS96"/>
      <x:c r="AT96"/>
      <x:c r="AU96"/>
      <x:c r="AV96"/>
      <x:c r="AW96"/>
      <x:c r="AX96"/>
      <x:c r="AY96"/>
      <x:c r="AZ96"/>
    </x:row>
    <x:row r="97">
      <x:c r="A97" s="3" t="inlineStr">
        <x:is>
          <x:t xml:space="preserve">G03</x:t>
        </x:is>
      </x:c>
      <x:c r="B97" s="3" t="inlineStr">
        <x:is>
          <x:t xml:space="preserve">金色核心格</x:t>
        </x:is>
      </x:c>
      <x:c r="C97" s="3" t="inlineStr">
        <x:is>
          <x:t xml:space="preserve">gold</x:t>
        </x:is>
      </x:c>
      <x:c r="D97" s="3" t="inlineStr">
        <x:is>
          <x:t xml:space="preserve">empoweredCell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每个行动形状中有 1 个金色核心格，核心格命中敌人时伤害 +3。</x:t>
        </x:is>
      </x:c>
      <x:c r="H97" s="3"/>
      <x:c r="I97" s="3" t="inlineStr">
        <x:is>
          <x:t xml:space="preserve">implemented</x:t>
        </x:is>
      </x:c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  <x:c r="AO97"/>
      <x:c r="AP97"/>
      <x:c r="AQ97"/>
      <x:c r="AR97"/>
      <x:c r="AS97"/>
      <x:c r="AT97"/>
      <x:c r="AU97"/>
      <x:c r="AV97"/>
      <x:c r="AW97"/>
      <x:c r="AX97"/>
      <x:c r="AY97"/>
      <x:c r="AZ97"/>
    </x:row>
    <x:row r="98">
      <x:c r="A98" s="3" t="inlineStr">
        <x:is>
          <x:t xml:space="preserve">G04</x:t>
        </x:is>
      </x:c>
      <x:c r="B98" s="3" t="inlineStr">
        <x:is>
          <x:t xml:space="preserve">守护核心格</x:t>
        </x:is>
      </x:c>
      <x:c r="C98" s="3" t="inlineStr">
        <x:is>
          <x:t xml:space="preserve">gold</x:t>
        </x:is>
      </x:c>
      <x:c r="D98" s="3" t="inlineStr">
        <x:is>
          <x:t xml:space="preserve">empoweredCell</x:t>
        </x:is>
      </x:c>
      <x:c r="E98" s="3" t="inlineStr">
        <x:is>
          <x:t xml:space="preserve">none</x:t>
        </x:is>
      </x:c>
      <x:c r="F98" s="3" t="inlineStr">
        <x:is>
          <x:t xml:space="preserve">1|2|3</x:t>
        </x:is>
      </x:c>
      <x:c r="G98" s="3" t="inlineStr">
        <x:is>
          <x:t xml:space="preserve">核心格覆盖友方时，该友方获得 8 护盾。</x:t>
        </x:is>
      </x:c>
      <x:c r="H98" s="3"/>
      <x:c r="I98" s="3" t="inlineStr">
        <x:is>
          <x:t xml:space="preserve">implemented</x:t>
        </x:is>
      </x:c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  <x:c r="AO98"/>
      <x:c r="AP98"/>
      <x:c r="AQ98"/>
      <x:c r="AR98"/>
      <x:c r="AS98"/>
      <x:c r="AT98"/>
      <x:c r="AU98"/>
      <x:c r="AV98"/>
      <x:c r="AW98"/>
      <x:c r="AX98"/>
      <x:c r="AY98"/>
      <x:c r="AZ98"/>
    </x:row>
    <x:row r="99">
      <x:c r="A99" s="3" t="inlineStr">
        <x:is>
          <x:t xml:space="preserve">G05</x:t>
        </x:is>
      </x:c>
      <x:c r="B99" s="3" t="inlineStr">
        <x:is>
          <x:t xml:space="preserve">回春核心格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核心格覆盖友方时，恢复 6 生命。</x:t>
        </x:is>
      </x:c>
      <x:c r="H99" s="3"/>
      <x:c r="I99" s="3" t="inlineStr">
        <x:is>
          <x:t xml:space="preserve">implemented</x:t>
        </x:is>
      </x:c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  <x:c r="AO99"/>
      <x:c r="AP99"/>
      <x:c r="AQ99"/>
      <x:c r="AR99"/>
      <x:c r="AS99"/>
      <x:c r="AT99"/>
      <x:c r="AU99"/>
      <x:c r="AV99"/>
      <x:c r="AW99"/>
      <x:c r="AX99"/>
      <x:c r="AY99"/>
      <x:c r="AZ99"/>
    </x:row>
    <x:row r="100">
      <x:c r="A100" s="3" t="inlineStr">
        <x:is>
          <x:t xml:space="preserve">G06</x:t>
        </x:is>
      </x:c>
      <x:c r="B100" s="3" t="inlineStr">
        <x:is>
          <x:t xml:space="preserve">破敌核心格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1|2|3</x:t>
        </x:is>
      </x:c>
      <x:c r="G100" s="3" t="inlineStr">
        <x:is>
          <x:t xml:space="preserve">核心格命中敌人时，额外造成 2 点破甲伤害。</x:t>
        </x:is>
      </x:c>
      <x:c r="H100" s="3"/>
      <x:c r="I100" s="3" t="inlineStr">
        <x:is>
          <x:t xml:space="preserve">implemented</x:t>
        </x:is>
      </x:c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  <x:c r="AO100"/>
      <x:c r="AP100"/>
      <x:c r="AQ100"/>
      <x:c r="AR100"/>
      <x:c r="AS100"/>
      <x:c r="AT100"/>
      <x:c r="AU100"/>
      <x:c r="AV100"/>
      <x:c r="AW100"/>
      <x:c r="AX100"/>
      <x:c r="AY100"/>
      <x:c r="AZ100"/>
    </x:row>
    <x:row r="101">
      <x:c r="A101" s="3" t="inlineStr">
        <x:is>
          <x:t xml:space="preserve">G07</x:t>
        </x:is>
      </x:c>
      <x:c r="B101" s="3" t="inlineStr">
        <x:is>
          <x:t xml:space="preserve">正向强化</x:t>
        </x:is>
      </x:c>
      <x:c r="C101" s="3" t="inlineStr">
        <x:is>
          <x:t xml:space="preserve">gold</x:t>
        </x:is>
      </x:c>
      <x:c r="D101" s="3" t="inlineStr">
        <x:is>
          <x:t xml:space="preserve">directionBonus</x:t>
        </x:is>
      </x:c>
      <x:c r="E101" s="3" t="inlineStr">
        <x:is>
          <x:t xml:space="preserve">none</x:t>
        </x:is>
      </x:c>
      <x:c r="F101" s="3" t="inlineStr">
        <x:is>
          <x:t xml:space="preserve">1|2|3</x:t>
        </x:is>
      </x:c>
      <x:c r="G101" s="3" t="inlineStr">
        <x:is>
          <x:t xml:space="preserve">形状朝向正前方的最远格伤害 +3。</x:t>
        </x:is>
      </x:c>
      <x:c r="H101" s="3"/>
      <x:c r="I101" s="3" t="inlineStr">
        <x:is>
          <x:t xml:space="preserve">implemented</x:t>
        </x:is>
      </x:c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  <x:c r="AO101"/>
      <x:c r="AP101"/>
      <x:c r="AQ101"/>
      <x:c r="AR101"/>
      <x:c r="AS101"/>
      <x:c r="AT101"/>
      <x:c r="AU101"/>
      <x:c r="AV101"/>
      <x:c r="AW101"/>
      <x:c r="AX101"/>
      <x:c r="AY101"/>
      <x:c r="AZ101"/>
    </x:row>
    <x:row r="102">
      <x:c r="A102" s="3" t="inlineStr">
        <x:is>
          <x:t xml:space="preserve">G08</x:t>
        </x:is>
      </x:c>
      <x:c r="B102" s="3" t="inlineStr">
        <x:is>
          <x:t xml:space="preserve">背向守势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1|2|3</x:t>
        </x:is>
      </x:c>
      <x:c r="G102" s="3" t="inlineStr">
        <x:is>
          <x:t xml:space="preserve">形状背后的格子若覆盖友方，该友方获得 10 护盾。</x:t>
        </x:is>
      </x:c>
      <x:c r="H102" s="3"/>
      <x:c r="I102" s="3" t="inlineStr">
        <x:is>
          <x:t xml:space="preserve">implemented</x:t>
        </x:is>
      </x:c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  <x:c r="AO102"/>
      <x:c r="AP102"/>
      <x:c r="AQ102"/>
      <x:c r="AR102"/>
      <x:c r="AS102"/>
      <x:c r="AT102"/>
      <x:c r="AU102"/>
      <x:c r="AV102"/>
      <x:c r="AW102"/>
      <x:c r="AX102"/>
      <x:c r="AY102"/>
      <x:c r="AZ102"/>
    </x:row>
    <x:row r="103">
      <x:c r="A103" s="3" t="inlineStr">
        <x:is>
          <x:t xml:space="preserve">G09</x:t>
        </x:is>
      </x:c>
      <x:c r="B103" s="3" t="inlineStr">
        <x:is>
          <x:t xml:space="preserve">左右借势</x:t>
        </x:is>
      </x:c>
      <x:c r="C103" s="3" t="inlineStr">
        <x:is>
          <x:t xml:space="preserve">gold</x:t>
        </x:is>
      </x:c>
      <x:c r="D103" s="3" t="inlineStr">
        <x:is>
          <x:t xml:space="preserve">directionBonus</x:t>
        </x:is>
      </x:c>
      <x:c r="E103" s="3" t="inlineStr">
        <x:is>
          <x:t xml:space="preserve">none</x:t>
        </x:is>
      </x:c>
      <x:c r="F103" s="3" t="inlineStr">
        <x:is>
          <x:t xml:space="preserve">2|3</x:t>
        </x:is>
      </x:c>
      <x:c r="G103" s="3" t="inlineStr">
        <x:is>
          <x:t xml:space="preserve">形状左右两侧格命中敌人时，各额外造成 1 点伤害。</x:t>
        </x:is>
      </x:c>
      <x:c r="H103" s="3"/>
      <x:c r="I103" s="3" t="inlineStr">
        <x:is>
          <x:t xml:space="preserve">implemented</x:t>
        </x:is>
      </x:c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  <x:c r="AO103"/>
      <x:c r="AP103"/>
      <x:c r="AQ103"/>
      <x:c r="AR103"/>
      <x:c r="AS103"/>
      <x:c r="AT103"/>
      <x:c r="AU103"/>
      <x:c r="AV103"/>
      <x:c r="AW103"/>
      <x:c r="AX103"/>
      <x:c r="AY103"/>
      <x:c r="AZ103"/>
    </x:row>
    <x:row r="104">
      <x:c r="A104" s="3" t="inlineStr">
        <x:is>
          <x:t xml:space="preserve">G10</x:t>
        </x:is>
      </x:c>
      <x:c r="B104" s="3" t="inlineStr">
        <x:is>
          <x:t xml:space="preserve">终点重击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1|2|3</x:t>
        </x:is>
      </x:c>
      <x:c r="G104" s="3" t="inlineStr">
        <x:is>
          <x:t xml:space="preserve">形状最远端格子命中敌人时，伤害 +4。</x:t>
        </x:is>
      </x:c>
      <x:c r="H104" s="3"/>
      <x:c r="I104" s="3" t="inlineStr">
        <x:is>
          <x:t xml:space="preserve">implemented</x:t>
        </x:is>
      </x:c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  <x:c r="AO104"/>
      <x:c r="AP104"/>
      <x:c r="AQ104"/>
      <x:c r="AR104"/>
      <x:c r="AS104"/>
      <x:c r="AT104"/>
      <x:c r="AU104"/>
      <x:c r="AV104"/>
      <x:c r="AW104"/>
      <x:c r="AX104"/>
      <x:c r="AY104"/>
      <x:c r="AZ104"/>
    </x:row>
    <x:row r="105">
      <x:c r="A105" s="3" t="inlineStr">
        <x:is>
          <x:t xml:space="preserve">G11</x:t>
        </x:is>
      </x:c>
      <x:c r="B105" s="3" t="inlineStr">
        <x:is>
          <x:t xml:space="preserve">单挑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如果本次形状只命中 1 个敌人，伤害 +5。</x:t>
        </x:is>
      </x:c>
      <x:c r="H105" s="3"/>
      <x:c r="I105" s="3" t="inlineStr">
        <x:is>
          <x:t xml:space="preserve">implemented</x:t>
        </x:is>
      </x:c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  <x:c r="AO105"/>
      <x:c r="AP105"/>
      <x:c r="AQ105"/>
      <x:c r="AR105"/>
      <x:c r="AS105"/>
      <x:c r="AT105"/>
      <x:c r="AU105"/>
      <x:c r="AV105"/>
      <x:c r="AW105"/>
      <x:c r="AX105"/>
      <x:c r="AY105"/>
      <x:c r="AZ105"/>
    </x:row>
    <x:row r="106">
      <x:c r="A106" s="3" t="inlineStr">
        <x:is>
          <x:t xml:space="preserve">G12</x:t>
        </x:is>
      </x:c>
      <x:c r="B106" s="3" t="inlineStr">
        <x:is>
          <x:t xml:space="preserve">点穴</x:t>
        </x:is>
      </x:c>
      <x:c r="C106" s="3" t="inlineStr">
        <x:is>
          <x:t xml:space="preserve">gold</x:t>
        </x:is>
      </x:c>
      <x:c r="D106" s="3" t="inlineStr">
        <x:is>
          <x:t xml:space="preserve">empoweredCell</x:t>
        </x:is>
      </x:c>
      <x:c r="E106" s="3" t="inlineStr">
        <x:is>
          <x:t xml:space="preserve">none</x:t>
        </x:is>
      </x:c>
      <x:c r="F106" s="3" t="inlineStr">
        <x:is>
          <x:t xml:space="preserve">1</x:t>
        </x:is>
      </x:c>
      <x:c r="G106" s="3" t="inlineStr">
        <x:is>
          <x:t xml:space="preserve">命中敌人后，使该敌人下次受到伤害 +3。</x:t>
        </x:is>
      </x:c>
      <x:c r="H106" s="3"/>
      <x:c r="I106" s="3" t="inlineStr">
        <x:is>
          <x:t xml:space="preserve">implemented</x:t>
        </x:is>
      </x:c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  <x:c r="AO106"/>
      <x:c r="AP106"/>
      <x:c r="AQ106"/>
      <x:c r="AR106"/>
      <x:c r="AS106"/>
      <x:c r="AT106"/>
      <x:c r="AU106"/>
      <x:c r="AV106"/>
      <x:c r="AW106"/>
      <x:c r="AX106"/>
      <x:c r="AY106"/>
      <x:c r="AZ106"/>
    </x:row>
    <x:row r="107">
      <x:c r="A107" s="3" t="inlineStr">
        <x:is>
          <x:t xml:space="preserve">G13</x:t>
        </x:is>
      </x:c>
      <x:c r="B107" s="3" t="inlineStr">
        <x:is>
          <x:t xml:space="preserve">隔山打牛</x:t>
        </x:is>
      </x:c>
      <x:c r="C107" s="3" t="inlineStr">
        <x:is>
          <x:t xml:space="preserve">gold</x:t>
        </x:is>
      </x:c>
      <x:c r="D107" s="3" t="inlineStr">
        <x:is>
          <x:t xml:space="preserve">directionBonus</x:t>
        </x:is>
      </x:c>
      <x:c r="E107" s="3" t="inlineStr">
        <x:is>
          <x:t xml:space="preserve">none</x:t>
        </x:is>
      </x:c>
      <x:c r="F107" s="3" t="inlineStr">
        <x:is>
          <x:t xml:space="preserve">1</x:t>
        </x:is>
      </x:c>
      <x:c r="G107" s="3" t="inlineStr">
        <x:is>
          <x:t xml:space="preserve">隔点形状命中时，伤害 +4。</x:t>
        </x:is>
      </x:c>
      <x:c r="H107" s="3"/>
      <x:c r="I107" s="3" t="inlineStr">
        <x:is>
          <x:t xml:space="preserve">implemented</x:t>
        </x:is>
      </x:c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  <x:c r="AO107"/>
      <x:c r="AP107"/>
      <x:c r="AQ107"/>
      <x:c r="AR107"/>
      <x:c r="AS107"/>
      <x:c r="AT107"/>
      <x:c r="AU107"/>
      <x:c r="AV107"/>
      <x:c r="AW107"/>
      <x:c r="AX107"/>
      <x:c r="AY107"/>
      <x:c r="AZ107"/>
    </x:row>
    <x:row r="108">
      <x:c r="A108" s="3" t="inlineStr">
        <x:is>
          <x:t xml:space="preserve">G14</x:t>
        </x:is>
      </x:c>
      <x:c r="B108" s="3" t="inlineStr">
        <x:is>
          <x:t xml:space="preserve">破绽一击</x:t>
        </x:is>
      </x:c>
      <x:c r="C108" s="3" t="inlineStr">
        <x:is>
          <x:t xml:space="preserve">gold</x:t>
        </x:is>
      </x:c>
      <x:c r="D108" s="3" t="inlineStr">
        <x:is>
          <x:t xml:space="preserve">dualMode</x:t>
        </x:is>
      </x:c>
      <x:c r="E108" s="3" t="inlineStr">
        <x:is>
          <x:t xml:space="preserve">low</x:t>
        </x:is>
      </x:c>
      <x:c r="F108" s="3" t="inlineStr">
        <x:is>
          <x:t xml:space="preserve">1</x:t>
        </x:is>
      </x:c>
      <x:c r="G108" s="3" t="inlineStr">
        <x:is>
          <x:t xml:space="preserve">可切换稳击/重击。稳击伤害 +2；重击伤害 +6，但本回合只能结算这一个形状格。</x:t>
        </x:is>
      </x:c>
      <x:c r="H108" s="3"/>
      <x:c r="I108" s="3" t="inlineStr">
        <x:is>
          <x:t xml:space="preserve">implemented</x:t>
        </x:is>
      </x:c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  <x:c r="AO108"/>
      <x:c r="AP108"/>
      <x:c r="AQ108"/>
      <x:c r="AR108"/>
      <x:c r="AS108"/>
      <x:c r="AT108"/>
      <x:c r="AU108"/>
      <x:c r="AV108"/>
      <x:c r="AW108"/>
      <x:c r="AX108"/>
      <x:c r="AY108"/>
      <x:c r="AZ108"/>
    </x:row>
    <x:row r="109">
      <x:c r="A109" s="3" t="inlineStr">
        <x:is>
          <x:t xml:space="preserve">G15</x:t>
        </x:is>
      </x:c>
      <x:c r="B109" s="3" t="inlineStr">
        <x:is>
          <x:t xml:space="preserve">斩首</x:t>
        </x:is>
      </x:c>
      <x:c r="C109" s="3" t="inlineStr">
        <x:is>
          <x:t xml:space="preserve">gold</x:t>
        </x:is>
      </x:c>
      <x:c r="D109" s="3" t="inlineStr">
        <x:is>
          <x:t xml:space="preserve">empoweredCell</x:t>
        </x:is>
      </x:c>
      <x:c r="E109" s="3" t="inlineStr">
        <x:is>
          <x:t xml:space="preserve">none</x:t>
        </x:is>
      </x:c>
      <x:c r="F109" s="3" t="inlineStr">
        <x:is>
          <x:t xml:space="preserve">1</x:t>
        </x:is>
      </x:c>
      <x:c r="G109" s="3" t="inlineStr">
        <x:is>
          <x:t xml:space="preserve">如果目标生命值不高于 8，额外造成 8 点伤害。</x:t>
        </x:is>
      </x:c>
      <x:c r="H109" s="3"/>
      <x:c r="I109" s="3" t="inlineStr">
        <x:is>
          <x:t xml:space="preserve">implemented</x:t>
        </x:is>
      </x:c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  <x:c r="AO109"/>
      <x:c r="AP109"/>
      <x:c r="AQ109"/>
      <x:c r="AR109"/>
      <x:c r="AS109"/>
      <x:c r="AT109"/>
      <x:c r="AU109"/>
      <x:c r="AV109"/>
      <x:c r="AW109"/>
      <x:c r="AX109"/>
      <x:c r="AY109"/>
      <x:c r="AZ109"/>
    </x:row>
    <x:row r="110">
      <x:c r="A110" s="3" t="inlineStr">
        <x:is>
          <x:t xml:space="preserve">G16</x:t>
        </x:is>
      </x:c>
      <x:c r="B110" s="3" t="inlineStr">
        <x:is>
          <x:t xml:space="preserve">追魂点</x:t>
        </x:is>
      </x:c>
      <x:c r="C110" s="3" t="inlineStr">
        <x:is>
          <x:t xml:space="preserve">gold</x:t>
        </x:is>
      </x:c>
      <x:c r="D110" s="3" t="inlineStr">
        <x:is>
          <x:t xml:space="preserve">empoweredCell</x:t>
        </x:is>
      </x:c>
      <x:c r="E110" s="3" t="inlineStr">
        <x:is>
          <x:t xml:space="preserve">none</x:t>
        </x:is>
      </x:c>
      <x:c r="F110" s="3" t="inlineStr">
        <x:is>
          <x:t xml:space="preserve">1</x:t>
        </x:is>
      </x:c>
      <x:c r="G110" s="3" t="inlineStr">
        <x:is>
          <x:t xml:space="preserve">若该格击杀敌人，对最近敌人追加 3 点伤害。</x:t>
        </x:is>
      </x:c>
      <x:c r="H110" s="3"/>
      <x:c r="I110" s="3" t="inlineStr">
        <x:is>
          <x:t xml:space="preserve">implemented</x:t>
        </x:is>
      </x:c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  <x:c r="AO110"/>
      <x:c r="AP110"/>
      <x:c r="AQ110"/>
      <x:c r="AR110"/>
      <x:c r="AS110"/>
      <x:c r="AT110"/>
      <x:c r="AU110"/>
      <x:c r="AV110"/>
      <x:c r="AW110"/>
      <x:c r="AX110"/>
      <x:c r="AY110"/>
      <x:c r="AZ110"/>
    </x:row>
    <x:row r="111">
      <x:c r="A111" s="3" t="inlineStr">
        <x:is>
          <x:t xml:space="preserve">G17</x:t>
        </x:is>
      </x:c>
      <x:c r="B111" s="3" t="inlineStr">
        <x:is>
          <x:t xml:space="preserve">精准印记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1</x:t>
        </x:is>
      </x:c>
      <x:c r="G111" s="3" t="inlineStr">
        <x:is>
          <x:t xml:space="preserve">每回合可选择自己 1 个作用格，使其获得印记。该格本回合伤害 +5。</x:t>
        </x:is>
      </x:c>
      <x:c r="H111" s="3" t="inlineStr">
        <x:is>
          <x:t xml:space="preserve">手动选格，数量要少。只给一格英雄比较安全。</x:t>
        </x:is>
      </x:c>
      <x:c r="I111" s="3" t="inlineStr">
        <x:is>
          <x:t xml:space="preserve">implemented</x:t>
        </x:is>
      </x:c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  <x:c r="AO111"/>
      <x:c r="AP111"/>
      <x:c r="AQ111"/>
      <x:c r="AR111"/>
      <x:c r="AS111"/>
      <x:c r="AT111"/>
      <x:c r="AU111"/>
      <x:c r="AV111"/>
      <x:c r="AW111"/>
      <x:c r="AX111"/>
      <x:c r="AY111"/>
      <x:c r="AZ111"/>
    </x:row>
    <x:row r="112">
      <x:c r="A112" s="3" t="inlineStr">
        <x:is>
          <x:t xml:space="preserve">G18</x:t>
        </x:is>
      </x:c>
      <x:c r="B112" s="3" t="inlineStr">
        <x:is>
          <x:t xml:space="preserve">双点连击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如果两个作用格都命中敌人，第二个命中的敌人伤害 +4。</x:t>
        </x:is>
      </x:c>
      <x:c r="H112" s="3"/>
      <x:c r="I112" s="3" t="inlineStr">
        <x:is>
          <x:t xml:space="preserve">implemented</x:t>
        </x:is>
      </x:c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  <x:c r="AO112"/>
      <x:c r="AP112"/>
      <x:c r="AQ112"/>
      <x:c r="AR112"/>
      <x:c r="AS112"/>
      <x:c r="AT112"/>
      <x:c r="AU112"/>
      <x:c r="AV112"/>
      <x:c r="AW112"/>
      <x:c r="AX112"/>
      <x:c r="AY112"/>
      <x:c r="AZ112"/>
    </x:row>
    <x:row r="113">
      <x:c r="A113" s="3" t="inlineStr">
        <x:is>
          <x:t xml:space="preserve">G19</x:t>
        </x:is>
      </x:c>
      <x:c r="B113" s="3" t="inlineStr">
        <x:is>
          <x:t xml:space="preserve">前后夹击</x:t>
        </x:is>
      </x:c>
      <x:c r="C113" s="3" t="inlineStr">
        <x:is>
          <x:t xml:space="preserve">gold</x:t>
        </x:is>
      </x:c>
      <x:c r="D113" s="3" t="inlineStr">
        <x:is>
          <x:t xml:space="preserve">directionBonus</x:t>
        </x:is>
      </x:c>
      <x:c r="E113" s="3" t="inlineStr">
        <x:is>
          <x:t xml:space="preserve">none</x:t>
        </x:is>
      </x:c>
      <x:c r="F113" s="3" t="inlineStr">
        <x:is>
          <x:t xml:space="preserve">2</x:t>
        </x:is>
      </x:c>
      <x:c r="G113" s="3" t="inlineStr">
        <x:is>
          <x:t xml:space="preserve">前后两个格子都命中敌人时，两个敌人各额外受到 2 点伤害。</x:t>
        </x:is>
      </x:c>
      <x:c r="H113" s="3"/>
      <x:c r="I113" s="3" t="inlineStr">
        <x:is>
          <x:t xml:space="preserve">implemented</x:t>
        </x:is>
      </x:c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  <x:c r="AO113"/>
      <x:c r="AP113"/>
      <x:c r="AQ113"/>
      <x:c r="AR113"/>
      <x:c r="AS113"/>
      <x:c r="AT113"/>
      <x:c r="AU113"/>
      <x:c r="AV113"/>
      <x:c r="AW113"/>
      <x:c r="AX113"/>
      <x:c r="AY113"/>
      <x:c r="AZ113"/>
    </x:row>
    <x:row r="114">
      <x:c r="A114" s="3" t="inlineStr">
        <x:is>
          <x:t xml:space="preserve">G20</x:t>
        </x:is>
      </x:c>
      <x:c r="B114" s="3" t="inlineStr">
        <x:is>
          <x:t xml:space="preserve">对角穿心</x:t>
        </x:is>
      </x:c>
      <x:c r="C114" s="3" t="inlineStr">
        <x:is>
          <x:t xml:space="preserve">gold</x:t>
        </x:is>
      </x:c>
      <x:c r="D114" s="3" t="inlineStr">
        <x:is>
          <x:t xml:space="preserve">directionBonus</x:t>
        </x:is>
      </x:c>
      <x:c r="E114" s="3" t="inlineStr">
        <x:is>
          <x:t xml:space="preserve">none</x:t>
        </x:is>
      </x:c>
      <x:c r="F114" s="3" t="inlineStr">
        <x:is>
          <x:t xml:space="preserve">2</x:t>
        </x:is>
      </x:c>
      <x:c r="G114" s="3" t="inlineStr">
        <x:is>
          <x:t xml:space="preserve">对角两格命中时，较远的目标伤害 +4。</x:t>
        </x:is>
      </x:c>
      <x:c r="H114" s="3"/>
      <x:c r="I114" s="3" t="inlineStr">
        <x:is>
          <x:t xml:space="preserve">implemented</x:t>
        </x:is>
      </x:c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  <x:c r="AO114"/>
      <x:c r="AP114"/>
      <x:c r="AQ114"/>
      <x:c r="AR114"/>
      <x:c r="AS114"/>
      <x:c r="AT114"/>
      <x:c r="AU114"/>
      <x:c r="AV114"/>
      <x:c r="AW114"/>
      <x:c r="AX114"/>
      <x:c r="AY114"/>
      <x:c r="AZ114"/>
    </x:row>
    <x:row r="115">
      <x:c r="A115" s="3" t="inlineStr">
        <x:is>
          <x:t xml:space="preserve">G21</x:t>
        </x:is>
      </x:c>
      <x:c r="B115" s="3" t="inlineStr">
        <x:is>
          <x:t xml:space="preserve">一攻一守</x:t>
        </x:is>
      </x:c>
      <x:c r="C115" s="3" t="inlineStr">
        <x:is>
          <x:t xml:space="preserve">gold</x:t>
        </x:is>
      </x:c>
      <x:c r="D115" s="3" t="inlineStr">
        <x:is>
          <x:t xml:space="preserve">dualMode</x:t>
        </x:is>
      </x:c>
      <x:c r="E115" s="3" t="inlineStr">
        <x:is>
          <x:t xml:space="preserve">low</x:t>
        </x:is>
      </x:c>
      <x:c r="F115" s="3" t="inlineStr">
        <x:is>
          <x:t xml:space="preserve">2</x:t>
        </x:is>
      </x:c>
      <x:c r="G115" s="3" t="inlineStr">
        <x:is>
          <x:t xml:space="preserve">两格中靠前格伤害 +2；靠后格若覆盖友方，则该友方获得 8 护盾。</x:t>
        </x:is>
      </x:c>
      <x:c r="H115" s="3"/>
      <x:c r="I115" s="3" t="inlineStr">
        <x:is>
          <x:t xml:space="preserve">implemented</x:t>
        </x:is>
      </x:c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  <x:c r="AO115"/>
      <x:c r="AP115"/>
      <x:c r="AQ115"/>
      <x:c r="AR115"/>
      <x:c r="AS115"/>
      <x:c r="AT115"/>
      <x:c r="AU115"/>
      <x:c r="AV115"/>
      <x:c r="AW115"/>
      <x:c r="AX115"/>
      <x:c r="AY115"/>
      <x:c r="AZ115"/>
    </x:row>
    <x:row r="116">
      <x:c r="A116" s="3" t="inlineStr">
        <x:is>
          <x:t xml:space="preserve">G22</x:t>
        </x:is>
      </x:c>
      <x:c r="B116" s="3" t="inlineStr">
        <x:is>
          <x:t xml:space="preserve">双印择一</x:t>
        </x:is>
      </x:c>
      <x:c r="C116" s="3" t="inlineStr">
        <x:is>
          <x:t xml:space="preserve">gold</x:t>
        </x:is>
      </x:c>
      <x:c r="D116" s="3" t="inlineStr">
        <x:is>
          <x:t xml:space="preserve">manualMark</x:t>
        </x:is>
      </x:c>
      <x:c r="E116" s="3" t="inlineStr">
        <x:is>
          <x:t xml:space="preserve">medium</x:t>
        </x:is>
      </x:c>
      <x:c r="F116" s="3" t="inlineStr">
        <x:is>
          <x:t xml:space="preserve">2</x:t>
        </x:is>
      </x:c>
      <x:c r="G116" s="3" t="inlineStr">
        <x:is>
          <x:t xml:space="preserve">每回合可在两个作用格中选择 1 格加金印。命中敌人伤害 +4；覆盖友方护盾 +8。</x:t>
        </x:is>
      </x:c>
      <x:c r="H116" s="3" t="inlineStr">
        <x:is>
          <x:t xml:space="preserve">二格英雄可少量使用，不能泛滥。</x:t>
        </x:is>
      </x:c>
      <x:c r="I116" s="3" t="inlineStr">
        <x:is>
          <x:t xml:space="preserve">implemented</x:t>
        </x:is>
      </x:c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  <x:c r="AO116"/>
      <x:c r="AP116"/>
      <x:c r="AQ116"/>
      <x:c r="AR116"/>
      <x:c r="AS116"/>
      <x:c r="AT116"/>
      <x:c r="AU116"/>
      <x:c r="AV116"/>
      <x:c r="AW116"/>
      <x:c r="AX116"/>
      <x:c r="AY116"/>
      <x:c r="AZ116"/>
    </x:row>
    <x:row r="117">
      <x:c r="A117" s="3" t="inlineStr">
        <x:is>
          <x:t xml:space="preserve">G23</x:t>
        </x:is>
      </x:c>
      <x:c r="B117" s="3" t="inlineStr">
        <x:is>
          <x:t xml:space="preserve">连环标记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2</x:t>
        </x:is>
      </x:c>
      <x:c r="G117" s="3" t="inlineStr">
        <x:is>
          <x:t xml:space="preserve">第一个命中的敌人被标记，第二个命中的敌人伤害 +3。</x:t>
        </x:is>
      </x:c>
      <x:c r="H117" s="3"/>
      <x:c r="I117" s="3" t="inlineStr">
        <x:is>
          <x:t xml:space="preserve">implemented</x:t>
        </x:is>
      </x:c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  <x:c r="AO117"/>
      <x:c r="AP117"/>
      <x:c r="AQ117"/>
      <x:c r="AR117"/>
      <x:c r="AS117"/>
      <x:c r="AT117"/>
      <x:c r="AU117"/>
      <x:c r="AV117"/>
      <x:c r="AW117"/>
      <x:c r="AX117"/>
      <x:c r="AY117"/>
      <x:c r="AZ117"/>
    </x:row>
    <x:row r="118">
      <x:c r="A118" s="3" t="inlineStr">
        <x:is>
          <x:t xml:space="preserve">G24</x:t>
        </x:is>
      </x:c>
      <x:c r="B118" s="3" t="inlineStr">
        <x:is>
          <x:t xml:space="preserve">双锋</x:t>
        </x:is>
      </x:c>
      <x:c r="C118" s="3" t="inlineStr">
        <x:is>
          <x:t xml:space="preserve">gold</x:t>
        </x:is>
      </x:c>
      <x:c r="D118" s="3" t="inlineStr">
        <x:is>
          <x:t xml:space="preserve">dualMode</x:t>
        </x:is>
      </x:c>
      <x:c r="E118" s="3" t="inlineStr">
        <x:is>
          <x:t xml:space="preserve">low</x:t>
        </x:is>
      </x:c>
      <x:c r="F118" s="3" t="inlineStr">
        <x:is>
          <x:t xml:space="preserve">2</x:t>
        </x:is>
      </x:c>
      <x:c r="G118" s="3" t="inlineStr">
        <x:is>
          <x:t xml:space="preserve">可切换同伤/主副。同伤为两个格子各 +1 伤害；主副为第一个格子 +4，第二个格子不加成。</x:t>
        </x:is>
      </x:c>
      <x:c r="H118" s="3"/>
      <x:c r="I118" s="3" t="inlineStr">
        <x:is>
          <x:t xml:space="preserve">implemented</x:t>
        </x:is>
      </x:c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  <x:c r="AO118"/>
      <x:c r="AP118"/>
      <x:c r="AQ118"/>
      <x:c r="AR118"/>
      <x:c r="AS118"/>
      <x:c r="AT118"/>
      <x:c r="AU118"/>
      <x:c r="AV118"/>
      <x:c r="AW118"/>
      <x:c r="AX118"/>
      <x:c r="AY118"/>
      <x:c r="AZ118"/>
    </x:row>
    <x:row r="119">
      <x:c r="A119" s="3" t="inlineStr">
        <x:is>
          <x:t xml:space="preserve">G25</x:t>
        </x:is>
      </x:c>
      <x:c r="B119" s="3" t="inlineStr">
        <x:is>
          <x:t xml:space="preserve">三格核心</x:t>
        </x:is>
      </x:c>
      <x:c r="C119" s="3" t="inlineStr">
        <x:is>
          <x:t xml:space="preserve">gold</x:t>
        </x:is>
      </x:c>
      <x:c r="D119" s="3" t="inlineStr">
        <x:is>
          <x:t xml:space="preserve">empoweredCell</x:t>
        </x:is>
      </x:c>
      <x:c r="E119" s="3" t="inlineStr">
        <x:is>
          <x:t xml:space="preserve">none</x:t>
        </x:is>
      </x:c>
      <x:c r="F119" s="3" t="inlineStr">
        <x:is>
          <x:t xml:space="preserve">3</x:t>
        </x:is>
      </x:c>
      <x:c r="G119" s="3" t="inlineStr">
        <x:is>
          <x:t xml:space="preserve">三格形状中固定 1 个核心格，核心格伤害 +3。</x:t>
        </x:is>
      </x:c>
      <x:c r="H119" s="3"/>
      <x:c r="I119" s="3" t="inlineStr">
        <x:is>
          <x:t xml:space="preserve">implemented</x:t>
        </x:is>
      </x:c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  <x:c r="AO119"/>
      <x:c r="AP119"/>
      <x:c r="AQ119"/>
      <x:c r="AR119"/>
      <x:c r="AS119"/>
      <x:c r="AT119"/>
      <x:c r="AU119"/>
      <x:c r="AV119"/>
      <x:c r="AW119"/>
      <x:c r="AX119"/>
      <x:c r="AY119"/>
      <x:c r="AZ119"/>
    </x:row>
    <x:row r="120">
      <x:c r="A120" s="3" t="inlineStr">
        <x:is>
          <x:t xml:space="preserve">G26</x:t>
        </x:is>
      </x:c>
      <x:c r="B120" s="3" t="inlineStr">
        <x:is>
          <x:t xml:space="preserve">横扫压制</x:t>
        </x:is>
      </x:c>
      <x:c r="C120" s="3" t="inlineStr">
        <x:is>
          <x:t xml:space="preserve">gold</x:t>
        </x:is>
      </x:c>
      <x:c r="D120" s="3" t="inlineStr">
        <x:is>
          <x:t xml:space="preserve">empoweredCell</x:t>
        </x:is>
      </x:c>
      <x:c r="E120" s="3" t="inlineStr">
        <x:is>
          <x:t xml:space="preserve">none</x:t>
        </x:is>
      </x:c>
      <x:c r="F120" s="3" t="inlineStr">
        <x:is>
          <x:t xml:space="preserve">3</x:t>
        </x:is>
      </x:c>
      <x:c r="G120" s="3" t="inlineStr">
        <x:is>
          <x:t xml:space="preserve">横扫三格命中 2 个以上敌人时，每个敌人额外受到 1 点伤害。</x:t>
        </x:is>
      </x:c>
      <x:c r="H120" s="3"/>
      <x:c r="I120" s="3" t="inlineStr">
        <x:is>
          <x:t xml:space="preserve">implemented</x:t>
        </x:is>
      </x:c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  <x:c r="AO120"/>
      <x:c r="AP120"/>
      <x:c r="AQ120"/>
      <x:c r="AR120"/>
      <x:c r="AS120"/>
      <x:c r="AT120"/>
      <x:c r="AU120"/>
      <x:c r="AV120"/>
      <x:c r="AW120"/>
      <x:c r="AX120"/>
      <x:c r="AY120"/>
      <x:c r="AZ120"/>
    </x:row>
    <x:row r="121">
      <x:c r="A121" s="3" t="inlineStr">
        <x:is>
          <x:t xml:space="preserve">G27</x:t>
        </x:is>
      </x:c>
      <x:c r="B121" s="3" t="inlineStr">
        <x:is>
          <x:t xml:space="preserve">竖线贯通</x:t>
        </x:is>
      </x:c>
      <x:c r="C121" s="3" t="inlineStr">
        <x:is>
          <x:t xml:space="preserve">gold</x:t>
        </x:is>
      </x:c>
      <x:c r="D121" s="3" t="inlineStr">
        <x:is>
          <x:t xml:space="preserve">directionBonus</x:t>
        </x:is>
      </x:c>
      <x:c r="E121" s="3" t="inlineStr">
        <x:is>
          <x:t xml:space="preserve">none</x:t>
        </x:is>
      </x:c>
      <x:c r="F121" s="3" t="inlineStr">
        <x:is>
          <x:t xml:space="preserve">3</x:t>
        </x:is>
      </x:c>
      <x:c r="G121" s="3" t="inlineStr">
        <x:is>
          <x:t xml:space="preserve">直线三格从近到远结算，第三格伤害 +3。</x:t>
        </x:is>
      </x:c>
      <x:c r="H121" s="3"/>
      <x:c r="I121" s="3" t="inlineStr">
        <x:is>
          <x:t xml:space="preserve">implemented</x:t>
        </x:is>
      </x:c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  <x:c r="AO121"/>
      <x:c r="AP121"/>
      <x:c r="AQ121"/>
      <x:c r="AR121"/>
      <x:c r="AS121"/>
      <x:c r="AT121"/>
      <x:c r="AU121"/>
      <x:c r="AV121"/>
      <x:c r="AW121"/>
      <x:c r="AX121"/>
      <x:c r="AY121"/>
      <x:c r="AZ121"/>
    </x:row>
    <x:row r="122">
      <x:c r="A122" s="3" t="inlineStr">
        <x:is>
          <x:t xml:space="preserve">G28</x:t>
        </x:is>
      </x:c>
      <x:c r="B122" s="3" t="inlineStr">
        <x:is>
          <x:t xml:space="preserve">三点成阵</x:t>
        </x:is>
      </x:c>
      <x:c r="C122" s="3" t="inlineStr">
        <x:is>
          <x:t xml:space="preserve">gold</x:t>
        </x:is>
      </x:c>
      <x:c r="D122" s="3" t="inlineStr">
        <x:is>
          <x:t xml:space="preserve">empoweredCell</x:t>
        </x:is>
      </x:c>
      <x:c r="E122" s="3" t="inlineStr">
        <x:is>
          <x:t xml:space="preserve">none</x:t>
        </x:is>
      </x:c>
      <x:c r="F122" s="3" t="inlineStr">
        <x:is>
          <x:t xml:space="preserve">3</x:t>
        </x:is>
      </x:c>
      <x:c r="G122" s="3" t="inlineStr">
        <x:is>
          <x:t xml:space="preserve">三个作用格都覆盖到单位时，敌人受伤 +2，友方获得 5 护盾。</x:t>
        </x:is>
      </x:c>
      <x:c r="H122" s="3"/>
      <x:c r="I122" s="3" t="inlineStr">
        <x:is>
          <x:t xml:space="preserve">implemented</x:t>
        </x:is>
      </x:c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  <x:c r="AO122"/>
      <x:c r="AP122"/>
      <x:c r="AQ122"/>
      <x:c r="AR122"/>
      <x:c r="AS122"/>
      <x:c r="AT122"/>
      <x:c r="AU122"/>
      <x:c r="AV122"/>
      <x:c r="AW122"/>
      <x:c r="AX122"/>
      <x:c r="AY122"/>
      <x:c r="AZ122"/>
    </x:row>
    <x:row r="123">
      <x:c r="A123" s="3" t="inlineStr">
        <x:is>
          <x:t xml:space="preserve">G29</x:t>
        </x:is>
      </x:c>
      <x:c r="B123" s="3" t="inlineStr">
        <x:is>
          <x:t xml:space="preserve">首尾呼应</x:t>
        </x:is>
      </x:c>
      <x:c r="C123" s="3" t="inlineStr">
        <x:is>
          <x:t xml:space="preserve">gold</x:t>
        </x:is>
      </x:c>
      <x:c r="D123" s="3" t="inlineStr">
        <x:is>
          <x:t xml:space="preserve">directionBonus</x:t>
        </x:is>
      </x:c>
      <x:c r="E123" s="3" t="inlineStr">
        <x:is>
          <x:t xml:space="preserve">none</x:t>
        </x:is>
      </x:c>
      <x:c r="F123" s="3" t="inlineStr">
        <x:is>
          <x:t xml:space="preserve">3</x:t>
        </x:is>
      </x:c>
      <x:c r="G123" s="3" t="inlineStr">
        <x:is>
          <x:t xml:space="preserve">形状第一格和最远格同时命中时，最远格伤害 +4。</x:t>
        </x:is>
      </x:c>
      <x:c r="H123" s="3"/>
      <x:c r="I123" s="3" t="inlineStr">
        <x:is>
          <x:t xml:space="preserve">implemented</x:t>
        </x:is>
      </x:c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  <x:c r="AO123"/>
      <x:c r="AP123"/>
      <x:c r="AQ123"/>
      <x:c r="AR123"/>
      <x:c r="AS123"/>
      <x:c r="AT123"/>
      <x:c r="AU123"/>
      <x:c r="AV123"/>
      <x:c r="AW123"/>
      <x:c r="AX123"/>
      <x:c r="AY123"/>
      <x:c r="AZ123"/>
    </x:row>
    <x:row r="124">
      <x:c r="A124" s="3" t="inlineStr">
        <x:is>
          <x:t xml:space="preserve">G30</x:t>
        </x:is>
      </x:c>
      <x:c r="B124" s="3" t="inlineStr">
        <x:is>
          <x:t xml:space="preserve">三选一金印</x:t>
        </x:is>
      </x:c>
      <x:c r="C124" s="3" t="inlineStr">
        <x:is>
          <x:t xml:space="preserve">gold</x:t>
        </x:is>
      </x:c>
      <x:c r="D124" s="3" t="inlineStr">
        <x:is>
          <x:t xml:space="preserve">manualMark</x:t>
        </x:is>
      </x:c>
      <x:c r="E124" s="3" t="inlineStr">
        <x:is>
          <x:t xml:space="preserve">medium</x:t>
        </x:is>
      </x:c>
      <x:c r="F124" s="3" t="inlineStr">
        <x:is>
          <x:t xml:space="preserve">3</x:t>
        </x:is>
      </x:c>
      <x:c r="G124" s="3" t="inlineStr">
        <x:is>
          <x:t xml:space="preserve">每回合可从三个作用格中选 1 个加金印。该格伤害 +3。</x:t>
        </x:is>
      </x:c>
      <x:c r="H124" s="3" t="inlineStr">
        <x:is>
          <x:t xml:space="preserve">三格本身覆盖大，所以手动强化数值要比一格、二格低。</x:t>
        </x:is>
      </x:c>
      <x:c r="I124" s="3" t="inlineStr">
        <x:is>
          <x:t xml:space="preserve">implemented</x:t>
        </x:is>
      </x:c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  <x:c r="AO124"/>
      <x:c r="AP124"/>
      <x:c r="AQ124"/>
      <x:c r="AR124"/>
      <x:c r="AS124"/>
      <x:c r="AT124"/>
      <x:c r="AU124"/>
      <x:c r="AV124"/>
      <x:c r="AW124"/>
      <x:c r="AX124"/>
      <x:c r="AY124"/>
      <x:c r="AZ124"/>
    </x:row>
    <x:row r="125">
      <x:c r="A125" s="3" t="inlineStr">
        <x:is>
          <x:t xml:space="preserve">D01</x:t>
        </x:is>
      </x:c>
      <x:c r="B125" s="3" t="inlineStr">
        <x:is>
          <x:t xml:space="preserve">末端延伸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1|2|3</x:t>
        </x:is>
      </x:c>
      <x:c r="G125" s="3" t="inlineStr">
        <x:is>
          <x:t xml:space="preserve">形状最远端额外延伸 1 格。</x:t>
        </x:is>
      </x:c>
      <x:c r="H125" s="3"/>
      <x:c r="I125" s="3" t="inlineStr">
        <x:is>
          <x:t xml:space="preserve">implemented</x:t>
        </x:is>
      </x:c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  <x:c r="AO125"/>
      <x:c r="AP125"/>
      <x:c r="AQ125"/>
      <x:c r="AR125"/>
      <x:c r="AS125"/>
      <x:c r="AT125"/>
      <x:c r="AU125"/>
      <x:c r="AV125"/>
      <x:c r="AW125"/>
      <x:c r="AX125"/>
      <x:c r="AY125"/>
      <x:c r="AZ125"/>
    </x:row>
    <x:row r="126">
      <x:c r="A126" s="3" t="inlineStr">
        <x:is>
          <x:t xml:space="preserve">D02</x:t>
        </x:is>
      </x:c>
      <x:c r="B126" s="3" t="inlineStr">
        <x:is>
          <x:t xml:space="preserve">起点回扫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2|3</x:t>
        </x:is>
      </x:c>
      <x:c r="G126" s="3" t="inlineStr">
        <x:is>
          <x:t xml:space="preserve">形状结算后，反方向再结算 1 次，反向伤害 -2。</x:t>
        </x:is>
      </x:c>
      <x:c r="H126" s="3"/>
      <x:c r="I126" s="3" t="inlineStr">
        <x:is>
          <x:t xml:space="preserve">implemented</x:t>
        </x:is>
      </x:c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  <x:c r="AO126"/>
      <x:c r="AP126"/>
      <x:c r="AQ126"/>
      <x:c r="AR126"/>
      <x:c r="AS126"/>
      <x:c r="AT126"/>
      <x:c r="AU126"/>
      <x:c r="AV126"/>
      <x:c r="AW126"/>
      <x:c r="AX126"/>
      <x:c r="AY126"/>
      <x:c r="AZ126"/>
    </x:row>
    <x:row r="127">
      <x:c r="A127" s="3" t="inlineStr">
        <x:is>
          <x:t xml:space="preserve">D03</x:t>
        </x:is>
      </x:c>
      <x:c r="B127" s="3" t="inlineStr">
        <x:is>
          <x:t xml:space="preserve">镜像形状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1|2</x:t>
        </x:is>
      </x:c>
      <x:c r="G127" s="3" t="inlineStr">
        <x:is>
          <x:t xml:space="preserve">当前形状会向相反方向复制 1 次。</x:t>
        </x:is>
      </x:c>
      <x:c r="H127" s="3" t="inlineStr">
        <x:is>
          <x:t xml:space="preserve">不建议给三格，容易爆表。</x:t>
        </x:is>
      </x:c>
      <x:c r="I127" s="3" t="inlineStr">
        <x:is>
          <x:t xml:space="preserve">implemented</x:t>
        </x:is>
      </x:c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  <x:c r="AO127"/>
      <x:c r="AP127"/>
      <x:c r="AQ127"/>
      <x:c r="AR127"/>
      <x:c r="AS127"/>
      <x:c r="AT127"/>
      <x:c r="AU127"/>
      <x:c r="AV127"/>
      <x:c r="AW127"/>
      <x:c r="AX127"/>
      <x:c r="AY127"/>
      <x:c r="AZ127"/>
    </x:row>
    <x:row r="128">
      <x:c r="A128" s="3" t="inlineStr">
        <x:is>
          <x:t xml:space="preserve">D04</x:t>
        </x:is>
      </x:c>
      <x:c r="B128" s="3" t="inlineStr">
        <x:is>
          <x:t xml:space="preserve">斜向复制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1|2</x:t>
        </x:is>
      </x:c>
      <x:c r="G128" s="3" t="inlineStr">
        <x:is>
          <x:t xml:space="preserve">当前形状命中后，在斜向相邻位置额外生成 1 个作用格。</x:t>
        </x:is>
      </x:c>
      <x:c r="H128" s="3"/>
      <x:c r="I128" s="3" t="inlineStr">
        <x:is>
          <x:t xml:space="preserve">implemented</x:t>
        </x:is>
      </x:c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  <x:c r="AO128"/>
      <x:c r="AP128"/>
      <x:c r="AQ128"/>
      <x:c r="AR128"/>
      <x:c r="AS128"/>
      <x:c r="AT128"/>
      <x:c r="AU128"/>
      <x:c r="AV128"/>
      <x:c r="AW128"/>
      <x:c r="AX128"/>
      <x:c r="AY128"/>
      <x:c r="AZ128"/>
    </x:row>
    <x:row r="129">
      <x:c r="A129" s="3" t="inlineStr">
        <x:is>
          <x:t xml:space="preserve">D05</x:t>
        </x:is>
      </x:c>
      <x:c r="B129" s="3" t="inlineStr">
        <x:is>
          <x:t xml:space="preserve">核心扩散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1</x:t>
        </x:is>
      </x:c>
      <x:c r="G129" s="3" t="inlineStr">
        <x:is>
          <x:t xml:space="preserve">命中目标后，对目标上下左右各造成 1 点溅射伤害。</x:t>
        </x:is>
      </x:c>
      <x:c r="H129" s="3"/>
      <x:c r="I129" s="3" t="inlineStr">
        <x:is>
          <x:t xml:space="preserve">implemented</x:t>
        </x:is>
      </x:c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  <x:c r="AO129"/>
      <x:c r="AP129"/>
      <x:c r="AQ129"/>
      <x:c r="AR129"/>
      <x:c r="AS129"/>
      <x:c r="AT129"/>
      <x:c r="AU129"/>
      <x:c r="AV129"/>
      <x:c r="AW129"/>
      <x:c r="AX129"/>
      <x:c r="AY129"/>
      <x:c r="AZ129"/>
    </x:row>
    <x:row r="130">
      <x:c r="A130" s="3" t="inlineStr">
        <x:is>
          <x:t xml:space="preserve">D06</x:t>
        </x:is>
      </x:c>
      <x:c r="B130" s="3" t="inlineStr">
        <x:is>
          <x:t xml:space="preserve">双端开花</x:t>
        </x:is>
      </x:c>
      <x:c r="C130" s="3" t="inlineStr">
        <x:is>
          <x:t xml:space="preserve">diamond</x:t>
        </x:is>
      </x:c>
      <x:c r="D130" s="3" t="inlineStr">
        <x:is>
          <x:t xml:space="preserve">shapeMutation</x:t>
        </x:is>
      </x:c>
      <x:c r="E130" s="3" t="inlineStr">
        <x:is>
          <x:t xml:space="preserve">none</x:t>
        </x:is>
      </x:c>
      <x:c r="F130" s="3" t="inlineStr">
        <x:is>
          <x:t xml:space="preserve">2</x:t>
        </x:is>
      </x:c>
      <x:c r="G130" s="3" t="inlineStr">
        <x:is>
          <x:t xml:space="preserve">两个作用格的外侧各额外延伸 1 格，但额外格伤害 -2。</x:t>
        </x:is>
      </x:c>
      <x:c r="H130" s="3"/>
      <x:c r="I130" s="3" t="inlineStr">
        <x:is>
          <x:t xml:space="preserve">implemented</x:t>
        </x:is>
      </x:c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  <x:c r="AO130"/>
      <x:c r="AP130"/>
      <x:c r="AQ130"/>
      <x:c r="AR130"/>
      <x:c r="AS130"/>
      <x:c r="AT130"/>
      <x:c r="AU130"/>
      <x:c r="AV130"/>
      <x:c r="AW130"/>
      <x:c r="AX130"/>
      <x:c r="AY130"/>
      <x:c r="AZ130"/>
    </x:row>
    <x:row r="131">
      <x:c r="A131" s="3" t="inlineStr">
        <x:is>
          <x:t xml:space="preserve">D07</x:t>
        </x:is>
      </x:c>
      <x:c r="B131" s="3" t="inlineStr">
        <x:is>
          <x:t xml:space="preserve">三格收束</x:t>
        </x:is>
      </x:c>
      <x:c r="C131" s="3" t="inlineStr">
        <x:is>
          <x:t xml:space="preserve">diamond</x:t>
        </x:is>
      </x:c>
      <x:c r="D131" s="3" t="inlineStr">
        <x:is>
          <x:t xml:space="preserve">shapeMutation</x:t>
        </x:is>
      </x:c>
      <x:c r="E131" s="3" t="inlineStr">
        <x:is>
          <x:t xml:space="preserve">none</x:t>
        </x:is>
      </x:c>
      <x:c r="F131" s="3" t="inlineStr">
        <x:is>
          <x:t xml:space="preserve">3</x:t>
        </x:is>
      </x:c>
      <x:c r="G131" s="3" t="inlineStr">
        <x:is>
          <x:t xml:space="preserve">三格形状如果只命中 1 个敌人，该敌人额外受到 6 点伤害。</x:t>
        </x:is>
      </x:c>
      <x:c r="H131" s="3"/>
      <x:c r="I131" s="3" t="inlineStr">
        <x:is>
          <x:t xml:space="preserve">implemented</x:t>
        </x:is>
      </x:c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  <x:c r="AO131"/>
      <x:c r="AP131"/>
      <x:c r="AQ131"/>
      <x:c r="AR131"/>
      <x:c r="AS131"/>
      <x:c r="AT131"/>
      <x:c r="AU131"/>
      <x:c r="AV131"/>
      <x:c r="AW131"/>
      <x:c r="AX131"/>
      <x:c r="AY131"/>
      <x:c r="AZ131"/>
    </x:row>
    <x:row r="132">
      <x:c r="A132" s="3" t="inlineStr">
        <x:is>
          <x:t xml:space="preserve">D08</x:t>
        </x:is>
      </x:c>
      <x:c r="B132" s="3" t="inlineStr">
        <x:is>
          <x:t xml:space="preserve">三格外放</x:t>
        </x:is>
      </x:c>
      <x:c r="C132" s="3" t="inlineStr">
        <x:is>
          <x:t xml:space="preserve">diamond</x:t>
        </x:is>
      </x:c>
      <x:c r="D132" s="3" t="inlineStr">
        <x:is>
          <x:t xml:space="preserve">shapeMutation</x:t>
        </x:is>
      </x:c>
      <x:c r="E132" s="3" t="inlineStr">
        <x:is>
          <x:t xml:space="preserve">none</x:t>
        </x:is>
      </x:c>
      <x:c r="F132" s="3" t="inlineStr">
        <x:is>
          <x:t xml:space="preserve">3</x:t>
        </x:is>
      </x:c>
      <x:c r="G132" s="3" t="inlineStr">
        <x:is>
          <x:t xml:space="preserve">三格形状命中 2 个以上敌人时，额外对每个目标造成 2 点伤害。</x:t>
        </x:is>
      </x:c>
      <x:c r="H132" s="3"/>
      <x:c r="I132" s="3" t="inlineStr">
        <x:is>
          <x:t xml:space="preserve">implemented</x:t>
        </x:is>
      </x:c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  <x:c r="AO132"/>
      <x:c r="AP132"/>
      <x:c r="AQ132"/>
      <x:c r="AR132"/>
      <x:c r="AS132"/>
      <x:c r="AT132"/>
      <x:c r="AU132"/>
      <x:c r="AV132"/>
      <x:c r="AW132"/>
      <x:c r="AX132"/>
      <x:c r="AY132"/>
      <x:c r="AZ132"/>
    </x:row>
    <x:row r="133">
      <x:c r="A133" s="3" t="inlineStr">
        <x:is>
          <x:t xml:space="preserve">D09</x:t>
        </x:is>
      </x:c>
      <x:c r="B133" s="3" t="inlineStr">
        <x:is>
          <x:t xml:space="preserve">角形补点</x:t>
        </x:is>
      </x:c>
      <x:c r="C133" s="3" t="inlineStr">
        <x:is>
          <x:t xml:space="preserve">diamond</x:t>
        </x:is>
      </x:c>
      <x:c r="D133" s="3" t="inlineStr">
        <x:is>
          <x:t xml:space="preserve">shapeMutation</x:t>
        </x:is>
      </x:c>
      <x:c r="E133" s="3" t="inlineStr">
        <x:is>
          <x:t xml:space="preserve">none</x:t>
        </x:is>
      </x:c>
      <x:c r="F133" s="3" t="inlineStr">
        <x:is>
          <x:t xml:space="preserve">3</x:t>
        </x:is>
      </x:c>
      <x:c r="G133" s="3" t="inlineStr">
        <x:is>
          <x:t xml:space="preserve">L 型三格的缺角位置额外生成 1 个作用格，伤害 -2。</x:t>
        </x:is>
      </x:c>
      <x:c r="H133" s="3"/>
      <x:c r="I133" s="3" t="inlineStr">
        <x:is>
          <x:t xml:space="preserve">implemented</x:t>
        </x:is>
      </x:c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  <x:c r="AO133"/>
      <x:c r="AP133"/>
      <x:c r="AQ133"/>
      <x:c r="AR133"/>
      <x:c r="AS133"/>
      <x:c r="AT133"/>
      <x:c r="AU133"/>
      <x:c r="AV133"/>
      <x:c r="AW133"/>
      <x:c r="AX133"/>
      <x:c r="AY133"/>
      <x:c r="AZ133"/>
    </x:row>
    <x:row r="134">
      <x:c r="A134" s="3" t="inlineStr">
        <x:is>
          <x:t xml:space="preserve">D10</x:t>
        </x:is>
      </x:c>
      <x:c r="B134" s="3" t="inlineStr">
        <x:is>
          <x:t xml:space="preserve">直线贯穿</x:t>
        </x:is>
      </x:c>
      <x:c r="C134" s="3" t="inlineStr">
        <x:is>
          <x:t xml:space="preserve">diamond</x:t>
        </x:is>
      </x:c>
      <x:c r="D134" s="3" t="inlineStr">
        <x:is>
          <x:t xml:space="preserve">shapeMutation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直线形状末端再贯穿 1 格，额外格伤害 -1。</x:t>
        </x:is>
      </x:c>
      <x:c r="H134" s="3"/>
      <x:c r="I134" s="3" t="inlineStr">
        <x:is>
          <x:t xml:space="preserve">implemented</x:t>
        </x:is>
      </x:c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  <x:c r="AO134"/>
      <x:c r="AP134"/>
      <x:c r="AQ134"/>
      <x:c r="AR134"/>
      <x:c r="AS134"/>
      <x:c r="AT134"/>
      <x:c r="AU134"/>
      <x:c r="AV134"/>
      <x:c r="AW134"/>
      <x:c r="AX134"/>
      <x:c r="AY134"/>
      <x:c r="AZ134"/>
    </x:row>
    <x:row r="135">
      <x:c r="A135" s="3" t="inlineStr">
        <x:is>
          <x:t xml:space="preserve">D11</x:t>
        </x:is>
      </x:c>
      <x:c r="B135" s="3" t="inlineStr">
        <x:is>
          <x:t xml:space="preserve">抢先结算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1|2|3</x:t>
        </x:is>
      </x:c>
      <x:c r="G135" s="3" t="inlineStr">
        <x:is>
          <x:t xml:space="preserve">该角色总是最先结算。</x:t>
        </x:is>
      </x:c>
      <x:c r="H135" s="3"/>
      <x:c r="I135" s="3" t="inlineStr">
        <x:is>
          <x:t xml:space="preserve">implemented</x:t>
        </x:is>
      </x:c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  <x:c r="AO135"/>
      <x:c r="AP135"/>
      <x:c r="AQ135"/>
      <x:c r="AR135"/>
      <x:c r="AS135"/>
      <x:c r="AT135"/>
      <x:c r="AU135"/>
      <x:c r="AV135"/>
      <x:c r="AW135"/>
      <x:c r="AX135"/>
      <x:c r="AY135"/>
      <x:c r="AZ135"/>
    </x:row>
    <x:row r="136">
      <x:c r="A136" s="3" t="inlineStr">
        <x:is>
          <x:t xml:space="preserve">D12</x:t>
        </x:is>
      </x:c>
      <x:c r="B136" s="3" t="inlineStr">
        <x:is>
          <x:t xml:space="preserve">压轴结算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该角色总是最后结算，最后一击伤害 +5。</x:t>
        </x:is>
      </x:c>
      <x:c r="H136" s="3"/>
      <x:c r="I136" s="3" t="inlineStr">
        <x:is>
          <x:t xml:space="preserve">implemented</x:t>
        </x:is>
      </x:c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  <x:c r="AO136"/>
      <x:c r="AP136"/>
      <x:c r="AQ136"/>
      <x:c r="AR136"/>
      <x:c r="AS136"/>
      <x:c r="AT136"/>
      <x:c r="AU136"/>
      <x:c r="AV136"/>
      <x:c r="AW136"/>
      <x:c r="AX136"/>
      <x:c r="AY136"/>
      <x:c r="AZ136"/>
    </x:row>
    <x:row r="137">
      <x:c r="A137" s="3" t="inlineStr">
        <x:is>
          <x:t xml:space="preserve">D13</x:t>
        </x:is>
      </x:c>
      <x:c r="B137" s="3" t="inlineStr">
        <x:is>
          <x:t xml:space="preserve">残血追击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若本次结算后有敌人生命不高于 5，对其追加 5 点伤害。</x:t>
        </x:is>
      </x:c>
      <x:c r="H137" s="3"/>
      <x:c r="I137" s="3" t="inlineStr">
        <x:is>
          <x:t xml:space="preserve">implemented</x:t>
        </x:is>
      </x:c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  <x:c r="AO137"/>
      <x:c r="AP137"/>
      <x:c r="AQ137"/>
      <x:c r="AR137"/>
      <x:c r="AS137"/>
      <x:c r="AT137"/>
      <x:c r="AU137"/>
      <x:c r="AV137"/>
      <x:c r="AW137"/>
      <x:c r="AX137"/>
      <x:c r="AY137"/>
      <x:c r="AZ137"/>
    </x:row>
    <x:row r="138">
      <x:c r="A138" s="3" t="inlineStr">
        <x:is>
          <x:t xml:space="preserve">D14</x:t>
        </x:is>
      </x:c>
      <x:c r="B138" s="3" t="inlineStr">
        <x:is>
          <x:t xml:space="preserve">击杀连锁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</x:t>
        </x:is>
      </x:c>
      <x:c r="G138" s="3" t="inlineStr">
        <x:is>
          <x:t xml:space="preserve">击杀敌人后，对最近敌人追加 4 点伤害。</x:t>
        </x:is>
      </x:c>
      <x:c r="H138" s="3"/>
      <x:c r="I138" s="3" t="inlineStr">
        <x:is>
          <x:t xml:space="preserve">implemented</x:t>
        </x:is>
      </x:c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  <x:c r="AO138"/>
      <x:c r="AP138"/>
      <x:c r="AQ138"/>
      <x:c r="AR138"/>
      <x:c r="AS138"/>
      <x:c r="AT138"/>
      <x:c r="AU138"/>
      <x:c r="AV138"/>
      <x:c r="AW138"/>
      <x:c r="AX138"/>
      <x:c r="AY138"/>
      <x:c r="AZ138"/>
    </x:row>
    <x:row r="139">
      <x:c r="A139" s="3" t="inlineStr">
        <x:is>
          <x:t xml:space="preserve">D15</x:t>
        </x:is>
      </x:c>
      <x:c r="B139" s="3" t="inlineStr">
        <x:is>
          <x:t xml:space="preserve">破阵启动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3</x:t>
        </x:is>
      </x:c>
      <x:c r="G139" s="3" t="inlineStr">
        <x:is>
          <x:t xml:space="preserve">若本次命中 3 个单位，立即额外结算一次核心格。</x:t>
        </x:is>
      </x:c>
      <x:c r="H139" s="3"/>
      <x:c r="I139" s="3" t="inlineStr">
        <x:is>
          <x:t xml:space="preserve">implemented</x:t>
        </x:is>
      </x:c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  <x:c r="AO139"/>
      <x:c r="AP139"/>
      <x:c r="AQ139"/>
      <x:c r="AR139"/>
      <x:c r="AS139"/>
      <x:c r="AT139"/>
      <x:c r="AU139"/>
      <x:c r="AV139"/>
      <x:c r="AW139"/>
      <x:c r="AX139"/>
      <x:c r="AY139"/>
      <x:c r="AZ139"/>
    </x:row>
    <x:row r="140">
      <x:c r="A140" s="3" t="inlineStr">
        <x:is>
          <x:t xml:space="preserve">D16</x:t>
        </x:is>
      </x:c>
      <x:c r="B140" s="3" t="inlineStr">
        <x:is>
          <x:t xml:space="preserve">反复敲打</x:t>
        </x:is>
      </x:c>
      <x:c r="C140" s="3" t="inlineStr">
        <x:is>
          <x:t xml:space="preserve">diamond</x:t>
        </x:is>
      </x:c>
      <x:c r="D140" s="3" t="inlineStr">
        <x:is>
          <x:t xml:space="preserve">settlementMutation</x:t>
        </x:is>
      </x:c>
      <x:c r="E140" s="3" t="inlineStr">
        <x:is>
          <x:t xml:space="preserve">none</x:t>
        </x:is>
      </x:c>
      <x:c r="F140" s="3" t="inlineStr">
        <x:is>
          <x:t xml:space="preserve">1</x:t>
        </x:is>
      </x:c>
      <x:c r="G140" s="3" t="inlineStr">
        <x:is>
          <x:t xml:space="preserve">如果只命中 1 个敌人，同一格重复结算 1 次。</x:t>
        </x:is>
      </x:c>
      <x:c r="H140" s="3"/>
      <x:c r="I140" s="3" t="inlineStr">
        <x:is>
          <x:t xml:space="preserve">implemented</x:t>
        </x:is>
      </x:c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  <x:c r="AO140"/>
      <x:c r="AP140"/>
      <x:c r="AQ140"/>
      <x:c r="AR140"/>
      <x:c r="AS140"/>
      <x:c r="AT140"/>
      <x:c r="AU140"/>
      <x:c r="AV140"/>
      <x:c r="AW140"/>
      <x:c r="AX140"/>
      <x:c r="AY140"/>
      <x:c r="AZ140"/>
    </x:row>
    <x:row r="141">
      <x:c r="A141" s="3" t="inlineStr">
        <x:is>
          <x:t xml:space="preserve">D17</x:t>
        </x:is>
      </x:c>
      <x:c r="B141" s="3" t="inlineStr">
        <x:is>
          <x:t xml:space="preserve">二段行动</x:t>
        </x:is>
      </x:c>
      <x:c r="C141" s="3" t="inlineStr">
        <x:is>
          <x:t xml:space="preserve">diamond</x:t>
        </x:is>
      </x:c>
      <x:c r="D141" s="3" t="inlineStr">
        <x:is>
          <x:t xml:space="preserve">settlementMutation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本角色先结算一半伤害，所有友方结算后再结算剩余伤害。</x:t>
        </x:is>
      </x:c>
      <x:c r="H141" s="3" t="inlineStr">
        <x:is>
          <x:t xml:space="preserve">有一定理解成本，建议少量使用。</x:t>
        </x:is>
      </x:c>
      <x:c r="I141" s="3" t="inlineStr">
        <x:is>
          <x:t xml:space="preserve">implemented</x:t>
        </x:is>
      </x:c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/>
      <x:c r="AH141"/>
      <x:c r="AI141"/>
      <x:c r="AJ141"/>
      <x:c r="AK141"/>
      <x:c r="AL141"/>
      <x:c r="AM141"/>
      <x:c r="AN141"/>
      <x:c r="AO141"/>
      <x:c r="AP141"/>
      <x:c r="AQ141"/>
      <x:c r="AR141"/>
      <x:c r="AS141"/>
      <x:c r="AT141"/>
      <x:c r="AU141"/>
      <x:c r="AV141"/>
      <x:c r="AW141"/>
      <x:c r="AX141"/>
      <x:c r="AY141"/>
      <x:c r="AZ141"/>
    </x:row>
    <x:row r="142">
      <x:c r="A142" s="3" t="inlineStr">
        <x:is>
          <x:t xml:space="preserve">D18</x:t>
        </x:is>
      </x:c>
      <x:c r="B142" s="3" t="inlineStr">
        <x:is>
          <x:t xml:space="preserve">元素先爆</x:t>
        </x:is>
      </x:c>
      <x:c r="C142" s="3" t="inlineStr">
        <x:is>
          <x:t xml:space="preserve">diamond</x:t>
        </x:is>
      </x:c>
      <x:c r="D142" s="3" t="inlineStr">
        <x:is>
          <x:t xml:space="preserve">settlementMutation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如果本次触发元素爆发，该元素爆发提前到本角色普通伤害前结算。</x:t>
        </x:is>
      </x:c>
      <x:c r="H142" s="3"/>
      <x:c r="I142" s="3" t="inlineStr">
        <x:is>
          <x:t xml:space="preserve">implemented</x:t>
        </x:is>
      </x:c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/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/>
      <x:c r="AH142"/>
      <x:c r="AI142"/>
      <x:c r="AJ142"/>
      <x:c r="AK142"/>
      <x:c r="AL142"/>
      <x:c r="AM142"/>
      <x:c r="AN142"/>
      <x:c r="AO142"/>
      <x:c r="AP142"/>
      <x:c r="AQ142"/>
      <x:c r="AR142"/>
      <x:c r="AS142"/>
      <x:c r="AT142"/>
      <x:c r="AU142"/>
      <x:c r="AV142"/>
      <x:c r="AW142"/>
      <x:c r="AX142"/>
      <x:c r="AY142"/>
      <x:c r="AZ142"/>
    </x:row>
    <x:row r="143">
      <x:c r="A143" s="3" t="inlineStr">
        <x:is>
          <x:t xml:space="preserve">D19</x:t>
        </x:is>
      </x:c>
      <x:c r="B143" s="3" t="inlineStr">
        <x:is>
          <x:t xml:space="preserve">收割顺序</x:t>
        </x:is>
      </x:c>
      <x:c r="C143" s="3" t="inlineStr">
        <x:is>
          <x:t xml:space="preserve">diamond</x:t>
        </x:is>
      </x:c>
      <x:c r="D143" s="3" t="inlineStr">
        <x:is>
          <x:t xml:space="preserve">settlementMutation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结算时优先攻击生命最低的目标。</x:t>
        </x:is>
      </x:c>
      <x:c r="H143" s="3" t="inlineStr">
        <x:is>
          <x:t xml:space="preserve">会改变默认结算逻辑，建议只给少数角色。</x:t>
        </x:is>
      </x:c>
      <x:c r="I143" s="3" t="inlineStr">
        <x:is>
          <x:t xml:space="preserve">implemented</x:t>
        </x:is>
      </x:c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/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  <x:c r="AH143"/>
      <x:c r="AI143"/>
      <x:c r="AJ143"/>
      <x:c r="AK143"/>
      <x:c r="AL143"/>
      <x:c r="AM143"/>
      <x:c r="AN143"/>
      <x:c r="AO143"/>
      <x:c r="AP143"/>
      <x:c r="AQ143"/>
      <x:c r="AR143"/>
      <x:c r="AS143"/>
      <x:c r="AT143"/>
      <x:c r="AU143"/>
      <x:c r="AV143"/>
      <x:c r="AW143"/>
      <x:c r="AX143"/>
      <x:c r="AY143"/>
      <x:c r="AZ143"/>
    </x:row>
    <x:row r="144">
      <x:c r="A144" s="3" t="inlineStr">
        <x:is>
          <x:t xml:space="preserve">D20</x:t>
        </x:is>
      </x:c>
      <x:c r="B144" s="3" t="inlineStr">
        <x:is>
          <x:t xml:space="preserve">反向结算</x:t>
        </x:is>
      </x:c>
      <x:c r="C144" s="3" t="inlineStr">
        <x:is>
          <x:t xml:space="preserve">diamond</x:t>
        </x:is>
      </x:c>
      <x:c r="D144" s="3" t="inlineStr">
        <x:is>
          <x:t xml:space="preserve">settlementMutation</x:t>
        </x:is>
      </x:c>
      <x:c r="E144" s="3" t="inlineStr">
        <x:is>
          <x:t xml:space="preserve">none</x:t>
        </x:is>
      </x:c>
      <x:c r="F144" s="3" t="inlineStr">
        <x:is>
          <x:t xml:space="preserve">2|3</x:t>
        </x:is>
      </x:c>
      <x:c r="G144" s="3" t="inlineStr">
        <x:is>
          <x:t xml:space="preserve">形状从最远格开始结算，而不是从近格开始结算。</x:t>
        </x:is>
      </x:c>
      <x:c r="H144" s="3"/>
      <x:c r="I144" s="3" t="inlineStr">
        <x:is>
          <x:t xml:space="preserve">implemented</x:t>
        </x:is>
      </x:c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/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/>
      <x:c r="AH144"/>
      <x:c r="AI144"/>
      <x:c r="AJ144"/>
      <x:c r="AK144"/>
      <x:c r="AL144"/>
      <x:c r="AM144"/>
      <x:c r="AN144"/>
      <x:c r="AO144"/>
      <x:c r="AP144"/>
      <x:c r="AQ144"/>
      <x:c r="AR144"/>
      <x:c r="AS144"/>
      <x:c r="AT144"/>
      <x:c r="AU144"/>
      <x:c r="AV144"/>
      <x:c r="AW144"/>
      <x:c r="AX144"/>
      <x:c r="AY144"/>
      <x:c r="AZ144"/>
    </x:row>
    <x:row r="145">
      <x:c r="A145" s="3" t="inlineStr">
        <x:is>
          <x:t xml:space="preserve">D21</x:t>
        </x:is>
      </x:c>
      <x:c r="B145" s="3" t="inlineStr">
        <x:is>
          <x:t xml:space="preserve">火痕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形状覆盖过的空格留下火痕 1 回合，敌人站上受到 3 点火伤害。</x:t>
        </x:is>
      </x:c>
      <x:c r="H145" s="3"/>
      <x:c r="I145" s="3" t="inlineStr">
        <x:is>
          <x:t xml:space="preserve">implemented</x:t>
        </x:is>
      </x:c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/>
      <x:c r="AH145"/>
      <x:c r="AI145"/>
      <x:c r="AJ145"/>
      <x:c r="AK145"/>
      <x:c r="AL145"/>
      <x:c r="AM145"/>
      <x:c r="AN145"/>
      <x:c r="AO145"/>
      <x:c r="AP145"/>
      <x:c r="AQ145"/>
      <x:c r="AR145"/>
      <x:c r="AS145"/>
      <x:c r="AT145"/>
      <x:c r="AU145"/>
      <x:c r="AV145"/>
      <x:c r="AW145"/>
      <x:c r="AX145"/>
      <x:c r="AY145"/>
      <x:c r="AZ145"/>
    </x:row>
    <x:row r="146">
      <x:c r="A146" s="3" t="inlineStr">
        <x:is>
          <x:t xml:space="preserve">D22</x:t>
        </x:is>
      </x:c>
      <x:c r="B146" s="3" t="inlineStr">
        <x:is>
          <x:t xml:space="preserve">水痕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覆盖格留下水痕 1 回合，友方站上恢复 5 生命。</x:t>
        </x:is>
      </x:c>
      <x:c r="H146" s="3"/>
      <x:c r="I146" s="3" t="inlineStr">
        <x:is>
          <x:t xml:space="preserve">implemented</x:t>
        </x:is>
      </x:c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/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/>
      <x:c r="AH146"/>
      <x:c r="AI146"/>
      <x:c r="AJ146"/>
      <x:c r="AK146"/>
      <x:c r="AL146"/>
      <x:c r="AM146"/>
      <x:c r="AN146"/>
      <x:c r="AO146"/>
      <x:c r="AP146"/>
      <x:c r="AQ146"/>
      <x:c r="AR146"/>
      <x:c r="AS146"/>
      <x:c r="AT146"/>
      <x:c r="AU146"/>
      <x:c r="AV146"/>
      <x:c r="AW146"/>
      <x:c r="AX146"/>
      <x:c r="AY146"/>
      <x:c r="AZ146"/>
    </x:row>
    <x:row r="147">
      <x:c r="A147" s="3" t="inlineStr">
        <x:is>
          <x:t xml:space="preserve">D23</x:t>
        </x:is>
      </x:c>
      <x:c r="B147" s="3" t="inlineStr">
        <x:is>
          <x:t xml:space="preserve">风痕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覆盖格留下风痕 1 回合，友方站上时下次伤害 +2。</x:t>
        </x:is>
      </x:c>
      <x:c r="H147" s="3"/>
      <x:c r="I147" s="3" t="inlineStr">
        <x:is>
          <x:t xml:space="preserve">implemented</x:t>
        </x:is>
      </x:c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/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/>
      <x:c r="AH147"/>
      <x:c r="AI147"/>
      <x:c r="AJ147"/>
      <x:c r="AK147"/>
      <x:c r="AL147"/>
      <x:c r="AM147"/>
      <x:c r="AN147"/>
      <x:c r="AO147"/>
      <x:c r="AP147"/>
      <x:c r="AQ147"/>
      <x:c r="AR147"/>
      <x:c r="AS147"/>
      <x:c r="AT147"/>
      <x:c r="AU147"/>
      <x:c r="AV147"/>
      <x:c r="AW147"/>
      <x:c r="AX147"/>
      <x:c r="AY147"/>
      <x:c r="AZ147"/>
    </x:row>
    <x:row r="148">
      <x:c r="A148" s="3" t="inlineStr">
        <x:is>
          <x:t xml:space="preserve">D24</x:t>
        </x:is>
      </x:c>
      <x:c r="B148" s="3" t="inlineStr">
        <x:is>
          <x:t xml:space="preserve">土痕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覆盖格留下土痕 1 回合，友方站上获得 8 护盾。</x:t>
        </x:is>
      </x:c>
      <x:c r="H148" s="3"/>
      <x:c r="I148" s="3" t="inlineStr">
        <x:is>
          <x:t xml:space="preserve">implemented</x:t>
        </x:is>
      </x:c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/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/>
      <x:c r="AH148"/>
      <x:c r="AI148"/>
      <x:c r="AJ148"/>
      <x:c r="AK148"/>
      <x:c r="AL148"/>
      <x:c r="AM148"/>
      <x:c r="AN148"/>
      <x:c r="AO148"/>
      <x:c r="AP148"/>
      <x:c r="AQ148"/>
      <x:c r="AR148"/>
      <x:c r="AS148"/>
      <x:c r="AT148"/>
      <x:c r="AU148"/>
      <x:c r="AV148"/>
      <x:c r="AW148"/>
      <x:c r="AX148"/>
      <x:c r="AY148"/>
      <x:c r="AZ148"/>
    </x:row>
    <x:row r="149">
      <x:c r="A149" s="3" t="inlineStr">
        <x:is>
          <x:t xml:space="preserve">D25</x:t>
        </x:is>
      </x:c>
      <x:c r="B149" s="3" t="inlineStr">
        <x:is>
          <x:t xml:space="preserve">金痕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覆盖格留下金痕 1 回合，下一次命中该格敌人的攻击伤害 +2。</x:t>
        </x:is>
      </x:c>
      <x:c r="H149" s="3"/>
      <x:c r="I149" s="3" t="inlineStr">
        <x:is>
          <x:t xml:space="preserve">implemented</x:t>
        </x:is>
      </x:c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/>
      <x:c r="AH149"/>
      <x:c r="AI149"/>
      <x:c r="AJ149"/>
      <x:c r="AK149"/>
      <x:c r="AL149"/>
      <x:c r="AM149"/>
      <x:c r="AN149"/>
      <x:c r="AO149"/>
      <x:c r="AP149"/>
      <x:c r="AQ149"/>
      <x:c r="AR149"/>
      <x:c r="AS149"/>
      <x:c r="AT149"/>
      <x:c r="AU149"/>
      <x:c r="AV149"/>
      <x:c r="AW149"/>
      <x:c r="AX149"/>
      <x:c r="AY149"/>
      <x:c r="AZ149"/>
    </x:row>
    <x:row r="150">
      <x:c r="A150" s="3" t="inlineStr">
        <x:is>
          <x:t xml:space="preserve">D26</x:t>
        </x:is>
      </x:c>
      <x:c r="B150" s="3" t="inlineStr">
        <x:is>
          <x:t xml:space="preserve">木痕</x:t>
        </x:is>
      </x:c>
      <x:c r="C150" s="3" t="inlineStr">
        <x:is>
          <x:t xml:space="preserve">diamond</x:t>
        </x:is>
      </x:c>
      <x:c r="D150" s="3" t="inlineStr">
        <x:is>
          <x:t xml:space="preserve">boardTrace</x:t>
        </x:is>
      </x:c>
      <x:c r="E150" s="3" t="inlineStr">
        <x:is>
          <x:t xml:space="preserve">none</x:t>
        </x:is>
      </x:c>
      <x:c r="F150" s="3" t="inlineStr">
        <x:is>
          <x:t xml:space="preserve">1|2|3</x:t>
        </x:is>
      </x:c>
      <x:c r="G150" s="3" t="inlineStr">
        <x:is>
          <x:t xml:space="preserve">覆盖格留下木痕 1 回合，回合开始时恢复站在上面的友方 4 生命。</x:t>
        </x:is>
      </x:c>
      <x:c r="H150" s="3"/>
      <x:c r="I150" s="3" t="inlineStr">
        <x:is>
          <x:t xml:space="preserve">implemented</x:t>
        </x:is>
      </x:c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/>
      <x:c r="AH150"/>
      <x:c r="AI150"/>
      <x:c r="AJ150"/>
      <x:c r="AK150"/>
      <x:c r="AL150"/>
      <x:c r="AM150"/>
      <x:c r="AN150"/>
      <x:c r="AO150"/>
      <x:c r="AP150"/>
      <x:c r="AQ150"/>
      <x:c r="AR150"/>
      <x:c r="AS150"/>
      <x:c r="AT150"/>
      <x:c r="AU150"/>
      <x:c r="AV150"/>
      <x:c r="AW150"/>
      <x:c r="AX150"/>
      <x:c r="AY150"/>
      <x:c r="AZ150"/>
    </x:row>
    <x:row r="151">
      <x:c r="A151" s="3" t="inlineStr">
        <x:is>
          <x:t xml:space="preserve">D27</x:t>
        </x:is>
      </x:c>
      <x:c r="B151" s="3" t="inlineStr">
        <x:is>
          <x:t xml:space="preserve">佛光</x:t>
        </x:is>
      </x:c>
      <x:c r="C151" s="3" t="inlineStr">
        <x:is>
          <x:t xml:space="preserve">diamond</x:t>
        </x:is>
      </x:c>
      <x:c r="D151" s="3" t="inlineStr">
        <x:is>
          <x:t xml:space="preserve">boardTrace</x:t>
        </x:is>
      </x:c>
      <x:c r="E151" s="3" t="inlineStr">
        <x:is>
          <x:t xml:space="preserve">none</x:t>
        </x:is>
      </x:c>
      <x:c r="F151" s="3" t="inlineStr">
        <x:is>
          <x:t xml:space="preserve">1|2|3</x:t>
        </x:is>
      </x:c>
      <x:c r="G151" s="3" t="inlineStr">
        <x:is>
          <x:t xml:space="preserve">覆盖格留下佛光 1 回合，友方站上恢复 6 生命，敌人站上无效果。</x:t>
        </x:is>
      </x:c>
      <x:c r="H151" s="3"/>
      <x:c r="I151" s="3" t="inlineStr">
        <x:is>
          <x:t xml:space="preserve">implemented</x:t>
        </x:is>
      </x:c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/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  <x:c r="AH151"/>
      <x:c r="AI151"/>
      <x:c r="AJ151"/>
      <x:c r="AK151"/>
      <x:c r="AL151"/>
      <x:c r="AM151"/>
      <x:c r="AN151"/>
      <x:c r="AO151"/>
      <x:c r="AP151"/>
      <x:c r="AQ151"/>
      <x:c r="AR151"/>
      <x:c r="AS151"/>
      <x:c r="AT151"/>
      <x:c r="AU151"/>
      <x:c r="AV151"/>
      <x:c r="AW151"/>
      <x:c r="AX151"/>
      <x:c r="AY151"/>
      <x:c r="AZ151"/>
    </x:row>
    <x:row r="152">
      <x:c r="A152" s="3" t="inlineStr">
        <x:is>
          <x:t xml:space="preserve">D28</x:t>
        </x:is>
      </x:c>
      <x:c r="B152" s="3" t="inlineStr">
        <x:is>
          <x:t xml:space="preserve">流沙</x:t>
        </x:is>
      </x:c>
      <x:c r="C152" s="3" t="inlineStr">
        <x:is>
          <x:t xml:space="preserve">diamond</x:t>
        </x:is>
      </x:c>
      <x:c r="D152" s="3" t="inlineStr">
        <x:is>
          <x:t xml:space="preserve">boardTrace</x:t>
        </x:is>
      </x:c>
      <x:c r="E152" s="3" t="inlineStr">
        <x:is>
          <x:t xml:space="preserve">none</x:t>
        </x:is>
      </x:c>
      <x:c r="F152" s="3" t="inlineStr">
        <x:is>
          <x:t xml:space="preserve">1|2|3</x:t>
        </x:is>
      </x:c>
      <x:c r="G152" s="3" t="inlineStr">
        <x:is>
          <x:t xml:space="preserve">覆盖格留下流沙 1 回合，敌人站上受到 2 点伤害，并使其下次受伤 +2。</x:t>
        </x:is>
      </x:c>
      <x:c r="H152" s="3"/>
      <x:c r="I152" s="3" t="inlineStr">
        <x:is>
          <x:t xml:space="preserve">implemented</x:t>
        </x:is>
      </x:c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/>
      <x:c r="AH152"/>
      <x:c r="AI152"/>
      <x:c r="AJ152"/>
      <x:c r="AK152"/>
      <x:c r="AL152"/>
      <x:c r="AM152"/>
      <x:c r="AN152"/>
      <x:c r="AO152"/>
      <x:c r="AP152"/>
      <x:c r="AQ152"/>
      <x:c r="AR152"/>
      <x:c r="AS152"/>
      <x:c r="AT152"/>
      <x:c r="AU152"/>
      <x:c r="AV152"/>
      <x:c r="AW152"/>
      <x:c r="AX152"/>
      <x:c r="AY152"/>
      <x:c r="AZ152"/>
    </x:row>
    <x:row r="153">
      <x:c r="A153" s="3" t="inlineStr">
        <x:is>
          <x:t xml:space="preserve">D29</x:t>
        </x:is>
      </x:c>
      <x:c r="B153" s="3" t="inlineStr">
        <x:is>
          <x:t xml:space="preserve">妖印</x:t>
        </x:is>
      </x:c>
      <x:c r="C153" s="3" t="inlineStr">
        <x:is>
          <x:t xml:space="preserve">diamond</x:t>
        </x:is>
      </x:c>
      <x:c r="D153" s="3" t="inlineStr">
        <x:is>
          <x:t xml:space="preserve">boardTrace</x:t>
        </x:is>
      </x:c>
      <x:c r="E153" s="3" t="inlineStr">
        <x:is>
          <x:t xml:space="preserve">none</x:t>
        </x:is>
      </x:c>
      <x:c r="F153" s="3" t="inlineStr">
        <x:is>
          <x:t xml:space="preserve">1|2|3</x:t>
        </x:is>
      </x:c>
      <x:c r="G153" s="3" t="inlineStr">
        <x:is>
          <x:t xml:space="preserve">覆盖格留下妖印 1 回合，敌人站上后被标记，下次受到伤害 +4。</x:t>
        </x:is>
      </x:c>
      <x:c r="H153" s="3"/>
      <x:c r="I153" s="3" t="inlineStr">
        <x:is>
          <x:t xml:space="preserve">implemented</x:t>
        </x:is>
      </x:c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  <x:c r="AH153"/>
      <x:c r="AI153"/>
      <x:c r="AJ153"/>
      <x:c r="AK153"/>
      <x:c r="AL153"/>
      <x:c r="AM153"/>
      <x:c r="AN153"/>
      <x:c r="AO153"/>
      <x:c r="AP153"/>
      <x:c r="AQ153"/>
      <x:c r="AR153"/>
      <x:c r="AS153"/>
      <x:c r="AT153"/>
      <x:c r="AU153"/>
      <x:c r="AV153"/>
      <x:c r="AW153"/>
      <x:c r="AX153"/>
      <x:c r="AY153"/>
      <x:c r="AZ153"/>
    </x:row>
    <x:row r="154">
      <x:c r="A154" s="3" t="inlineStr">
        <x:is>
          <x:t xml:space="preserve">D30</x:t>
        </x:is>
      </x:c>
      <x:c r="B154" s="3" t="inlineStr">
        <x:is>
          <x:t xml:space="preserve">纸符</x:t>
        </x:is>
      </x:c>
      <x:c r="C154" s="3" t="inlineStr">
        <x:is>
          <x:t xml:space="preserve">diamond</x:t>
        </x:is>
      </x:c>
      <x:c r="D154" s="3" t="inlineStr">
        <x:is>
          <x:t xml:space="preserve">boardTrace</x:t>
        </x:is>
      </x:c>
      <x:c r="E154" s="3" t="inlineStr">
        <x:is>
          <x:t xml:space="preserve">none</x:t>
        </x:is>
      </x:c>
      <x:c r="F154" s="3" t="inlineStr">
        <x:is>
          <x:t xml:space="preserve">1|2|3</x:t>
        </x:is>
      </x:c>
      <x:c r="G154" s="3" t="inlineStr">
        <x:is>
          <x:t xml:space="preserve">核心格留下纸符 1 回合，下一次经过该格的作用形状额外结算 1 次。</x:t>
        </x:is>
      </x:c>
      <x:c r="H154" s="3" t="inlineStr">
        <x:is>
          <x:t xml:space="preserve">最有纸上西游特色，但强度较高，建议稀有。</x:t>
        </x:is>
      </x:c>
      <x:c r="I154" s="3" t="inlineStr">
        <x:is>
          <x:t xml:space="preserve">implemented</x:t>
        </x:is>
      </x:c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/>
      <x:c r="AH154"/>
      <x:c r="AI154"/>
      <x:c r="AJ154"/>
      <x:c r="AK154"/>
      <x:c r="AL154"/>
      <x:c r="AM154"/>
      <x:c r="AN154"/>
      <x:c r="AO154"/>
      <x:c r="AP154"/>
      <x:c r="AQ154"/>
      <x:c r="AR154"/>
      <x:c r="AS154"/>
      <x:c r="AT154"/>
      <x:c r="AU154"/>
      <x:c r="AV154"/>
      <x:c r="AW154"/>
      <x:c r="AX154"/>
      <x:c r="AY154"/>
      <x:c r="AZ154"/>
    </x:row>
    <x:row r="155">
      <x:c r="A155" s="9" t="str">
        <x:v>#csv</x:v>
      </x:c>
      <x:c r="B155" s="9" t="str">
        <x:v>31_battle_rules.csv</x:v>
      </x:c>
      <x:c r="C155" s="9" t="str">
        <x:v>正式双人战斗可调规则：宠物重置次数补充间隔和开局次数。</x:v>
      </x:c>
      <x:c r="D155" s="9"/>
      <x:c r="E155" s="9"/>
      <x:c r="F155" s="9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9"/>
      <x:c r="S155" s="9"/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/>
      <x:c r="AH155"/>
      <x:c r="AI155"/>
      <x:c r="AJ155"/>
      <x:c r="AK155"/>
      <x:c r="AL155"/>
      <x:c r="AM155"/>
      <x:c r="AN155"/>
      <x:c r="AO155"/>
      <x:c r="AP155"/>
      <x:c r="AQ155"/>
      <x:c r="AR155"/>
      <x:c r="AS155"/>
      <x:c r="AT155"/>
      <x:c r="AU155"/>
      <x:c r="AV155"/>
      <x:c r="AW155"/>
      <x:c r="AX155"/>
      <x:c r="AY155"/>
      <x:c r="AZ155"/>
    </x:row>
    <x:row r="156">
      <x:c r="A156" s="14" t="str">
        <x:v>rule_id</x:v>
      </x:c>
      <x:c r="B156" s="14" t="str">
        <x:v>value</x:v>
      </x:c>
      <x:c r="C156" s="14" t="str">
        <x:v>unit</x:v>
      </x:c>
      <x:c r="D156" s="14" t="str">
        <x:v>description</x:v>
      </x:c>
      <x:c r="E156" s="14" t="str">
        <x:v>status</x:v>
      </x:c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/>
      <x:c r="AH156"/>
      <x:c r="AI156"/>
      <x:c r="AJ156"/>
      <x:c r="AK156"/>
      <x:c r="AL156"/>
      <x:c r="AM156"/>
      <x:c r="AN156"/>
      <x:c r="AO156"/>
      <x:c r="AP156"/>
      <x:c r="AQ156"/>
      <x:c r="AR156"/>
      <x:c r="AS156"/>
      <x:c r="AT156"/>
      <x:c r="AU156"/>
      <x:c r="AV156"/>
      <x:c r="AW156"/>
      <x:c r="AX156"/>
      <x:c r="AY156"/>
      <x:c r="AZ156"/>
    </x:row>
    <x:row r="157">
      <x:c r="A157" s="16" t="str">
        <x:v>pet_reset_charge_interval</x:v>
      </x:c>
      <x:c r="B157" s="16" t="n">
        <x:v>5</x:v>
      </x:c>
      <x:c r="C157" s="16" t="str">
        <x:v>rounds</x:v>
      </x:c>
      <x:c r="D157" s="16" t="str">
        <x:v>正式双人战斗每5回合为双方各增加1次宠物重置次数；进入第5和第10回合时补充。</x:v>
      </x:c>
      <x:c r="E157" s="16" t="str">
        <x:v>正式</x:v>
      </x:c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  <x:c r="AH157"/>
      <x:c r="AI157"/>
      <x:c r="AJ157"/>
      <x:c r="AK157"/>
      <x:c r="AL157"/>
      <x:c r="AM157"/>
      <x:c r="AN157"/>
      <x:c r="AO157"/>
      <x:c r="AP157"/>
      <x:c r="AQ157"/>
      <x:c r="AR157"/>
      <x:c r="AS157"/>
      <x:c r="AT157"/>
      <x:c r="AU157"/>
      <x:c r="AV157"/>
      <x:c r="AW157"/>
      <x:c r="AX157"/>
      <x:c r="AY157"/>
      <x:c r="AZ157"/>
    </x:row>
    <x:row r="158">
      <x:c r="A158" s="16" t="str">
        <x:v>pet_reset_initial_charges</x:v>
      </x:c>
      <x:c r="B158" s="16" t="n">
        <x:v>0</x:v>
      </x:c>
      <x:c r="C158" s="16" t="str">
        <x:v>count</x:v>
      </x:c>
      <x:c r="D158" s="16" t="str">
        <x:v>正式双人战斗开局不赠送宠物重置次数。</x:v>
      </x:c>
      <x:c r="E158" s="16" t="str">
        <x:v>正式</x:v>
      </x:c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/>
      <x:c r="AH158"/>
      <x:c r="AI158"/>
      <x:c r="AJ158"/>
      <x:c r="AK158"/>
      <x:c r="AL158"/>
      <x:c r="AM158"/>
      <x:c r="AN158"/>
      <x:c r="AO158"/>
      <x:c r="AP158"/>
      <x:c r="AQ158"/>
      <x:c r="AR158"/>
      <x:c r="AS158"/>
      <x:c r="AT158"/>
      <x:c r="AU158"/>
      <x:c r="AV158"/>
      <x:c r="AW158"/>
      <x:c r="AX158"/>
      <x:c r="AY158"/>
      <x:c r="AZ15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</x:row>
  </x:sheetData>
  <x:pageMargins left="0.7" right="0.7" top="0.75" bottom="0.75" header="0.3" footer="0.3"/>
  <x:tableParts count="1">
    <x:tablePart xmlns:r="http://schemas.openxmlformats.org/officeDocument/2006/relationships" r:id="R7ff472815960402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</x:row>
  </x:sheetData>
  <x:pageMargins left="0.7" right="0.7" top="0.75" bottom="0.75" header="0.3" footer="0.3"/>
  <x:tableParts count="1">
    <x:tablePart xmlns:r="http://schemas.openxmlformats.org/officeDocument/2006/relationships" r:id="Re7e7ed2364844886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bc952c039a6144fd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af517df422924c06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</x:cols>
  <x:sheetData>
    <x:row r="1" ht="30" customHeight="1">
      <x:c r="A1" s="323" t="str">
        <x:v>宠物基础数值规则｜品质 × 定位 × 体型</x:v>
      </x:c>
      <x:c r="B1" s="323"/>
      <x:c r="C1" s="323"/>
      <x:c r="D1" s="323"/>
      <x:c r="E1" s="323"/>
      <x:c r="F1" s="323"/>
      <x:c r="G1" s="323"/>
    </x:row>
    <x:row r="2" ht="28" customHeight="1">
      <x:c r="A2" s="326" t="str">
        <x:v>所有具体 HP / 攻 / 防 / 盾 / 行动力均在本表维护；PETS 只引用规则，不在程序代码中补默认面板。</x:v>
      </x:c>
      <x:c r="B2" s="326"/>
      <x:c r="C2" s="326"/>
      <x:c r="D2" s="326"/>
      <x:c r="E2" s="326"/>
      <x:c r="F2" s="326"/>
      <x:c r="G2" s="326"/>
    </x:row>
    <x:row r="4">
      <x:c r="A4" s="330" t="str">
        <x:v>rule_key</x:v>
      </x:c>
      <x:c r="B4" s="330" t="str">
        <x:v>设计维度</x:v>
      </x:c>
      <x:c r="C4" s="330" t="str">
        <x:v>hp</x:v>
      </x:c>
      <x:c r="D4" s="330" t="str">
        <x:v>atk</x:v>
      </x:c>
      <x:c r="E4" s="330" t="str">
        <x:v>def</x:v>
      </x:c>
      <x:c r="F4" s="330" t="str">
        <x:v>shield</x:v>
      </x:c>
      <x:c r="G4" s="330" t="str">
        <x:v>action</x:v>
      </x:c>
    </x:row>
    <x:row r="5">
      <x:c r="A5" s="334" t="str">
        <x:v>青铜|输出|一格</x:v>
      </x:c>
      <x:c r="B5" s="334" t="str">
        <x:v>青铜 / 输出 / 一格</x:v>
      </x:c>
      <x:c r="C5" s="335" t="n">
        <x:v>22</x:v>
      </x:c>
      <x:c r="D5" s="335" t="n">
        <x:v>14</x:v>
      </x:c>
      <x:c r="E5" s="335" t="n">
        <x:v>0</x:v>
      </x:c>
      <x:c r="F5" s="335" t="n">
        <x:v>0</x:v>
      </x:c>
      <x:c r="G5" s="335" t="n">
        <x:v>3</x:v>
      </x:c>
    </x:row>
    <x:row r="6">
      <x:c r="A6" s="336" t="str">
        <x:v>青铜|输出|两格</x:v>
      </x:c>
      <x:c r="B6" s="336" t="str">
        <x:v>青铜 / 输出 / 两格</x:v>
      </x:c>
      <x:c r="C6" s="337" t="n">
        <x:v>28</x:v>
      </x:c>
      <x:c r="D6" s="337" t="n">
        <x:v>12</x:v>
      </x:c>
      <x:c r="E6" s="337" t="n">
        <x:v>0</x:v>
      </x:c>
      <x:c r="F6" s="337" t="n">
        <x:v>0</x:v>
      </x:c>
      <x:c r="G6" s="337" t="n">
        <x:v>3</x:v>
      </x:c>
    </x:row>
    <x:row r="7">
      <x:c r="A7" s="336" t="str">
        <x:v>青铜|输出|三格</x:v>
      </x:c>
      <x:c r="B7" s="336" t="str">
        <x:v>青铜 / 输出 / 三格</x:v>
      </x:c>
      <x:c r="C7" s="337" t="n">
        <x:v>34</x:v>
      </x:c>
      <x:c r="D7" s="337" t="n">
        <x:v>10</x:v>
      </x:c>
      <x:c r="E7" s="337" t="n">
        <x:v>0</x:v>
      </x:c>
      <x:c r="F7" s="337" t="n">
        <x:v>0</x:v>
      </x:c>
      <x:c r="G7" s="337" t="n">
        <x:v>2</x:v>
      </x:c>
    </x:row>
    <x:row r="8">
      <x:c r="A8" s="336" t="str">
        <x:v>青铜|控制|一格</x:v>
      </x:c>
      <x:c r="B8" s="336" t="str">
        <x:v>青铜 / 控制 / 一格</x:v>
      </x:c>
      <x:c r="C8" s="337" t="n">
        <x:v>26</x:v>
      </x:c>
      <x:c r="D8" s="337" t="n">
        <x:v>10</x:v>
      </x:c>
      <x:c r="E8" s="337" t="n">
        <x:v>0</x:v>
      </x:c>
      <x:c r="F8" s="337" t="n">
        <x:v>0</x:v>
      </x:c>
      <x:c r="G8" s="337" t="n">
        <x:v>4</x:v>
      </x:c>
    </x:row>
    <x:row r="9">
      <x:c r="A9" s="336" t="str">
        <x:v>青铜|控制|两格</x:v>
      </x:c>
      <x:c r="B9" s="336" t="str">
        <x:v>青铜 / 控制 / 两格</x:v>
      </x:c>
      <x:c r="C9" s="337" t="n">
        <x:v>32</x:v>
      </x:c>
      <x:c r="D9" s="337" t="n">
        <x:v>8</x:v>
      </x:c>
      <x:c r="E9" s="337" t="n">
        <x:v>0</x:v>
      </x:c>
      <x:c r="F9" s="337" t="n">
        <x:v>0</x:v>
      </x:c>
      <x:c r="G9" s="337" t="n">
        <x:v>4</x:v>
      </x:c>
    </x:row>
    <x:row r="10">
      <x:c r="A10" s="336" t="str">
        <x:v>青铜|控制|三格</x:v>
      </x:c>
      <x:c r="B10" s="336" t="str">
        <x:v>青铜 / 控制 / 三格</x:v>
      </x:c>
      <x:c r="C10" s="337" t="n">
        <x:v>38</x:v>
      </x:c>
      <x:c r="D10" s="337" t="n">
        <x:v>6</x:v>
      </x:c>
      <x:c r="E10" s="337" t="n">
        <x:v>0</x:v>
      </x:c>
      <x:c r="F10" s="337" t="n">
        <x:v>0</x:v>
      </x:c>
      <x:c r="G10" s="337" t="n">
        <x:v>4</x:v>
      </x:c>
    </x:row>
    <x:row r="11">
      <x:c r="A11" s="336" t="str">
        <x:v>青铜|机动|一格</x:v>
      </x:c>
      <x:c r="B11" s="336" t="str">
        <x:v>青铜 / 机动 / 一格</x:v>
      </x:c>
      <x:c r="C11" s="337" t="n">
        <x:v>22</x:v>
      </x:c>
      <x:c r="D11" s="337" t="n">
        <x:v>8</x:v>
      </x:c>
      <x:c r="E11" s="337" t="n">
        <x:v>0</x:v>
      </x:c>
      <x:c r="F11" s="337" t="n">
        <x:v>0</x:v>
      </x:c>
      <x:c r="G11" s="337" t="n">
        <x:v>5</x:v>
      </x:c>
    </x:row>
    <x:row r="12">
      <x:c r="A12" s="336" t="str">
        <x:v>青铜|机动|两格</x:v>
      </x:c>
      <x:c r="B12" s="336" t="str">
        <x:v>青铜 / 机动 / 两格</x:v>
      </x:c>
      <x:c r="C12" s="337" t="n">
        <x:v>28</x:v>
      </x:c>
      <x:c r="D12" s="337" t="n">
        <x:v>6</x:v>
      </x:c>
      <x:c r="E12" s="337" t="n">
        <x:v>0</x:v>
      </x:c>
      <x:c r="F12" s="337" t="n">
        <x:v>0</x:v>
      </x:c>
      <x:c r="G12" s="337" t="n">
        <x:v>5</x:v>
      </x:c>
    </x:row>
    <x:row r="13">
      <x:c r="A13" s="336" t="str">
        <x:v>青铜|机动|三格</x:v>
      </x:c>
      <x:c r="B13" s="336" t="str">
        <x:v>青铜 / 机动 / 三格</x:v>
      </x:c>
      <x:c r="C13" s="337" t="n">
        <x:v>34</x:v>
      </x:c>
      <x:c r="D13" s="337" t="n">
        <x:v>4</x:v>
      </x:c>
      <x:c r="E13" s="337" t="n">
        <x:v>0</x:v>
      </x:c>
      <x:c r="F13" s="337" t="n">
        <x:v>0</x:v>
      </x:c>
      <x:c r="G13" s="337" t="n">
        <x:v>5</x:v>
      </x:c>
    </x:row>
    <x:row r="14">
      <x:c r="A14" s="336" t="str">
        <x:v>青铜|治疗|一格</x:v>
      </x:c>
      <x:c r="B14" s="336" t="str">
        <x:v>青铜 / 治疗 / 一格</x:v>
      </x:c>
      <x:c r="C14" s="337" t="n">
        <x:v>28</x:v>
      </x:c>
      <x:c r="D14" s="337" t="n">
        <x:v>8</x:v>
      </x:c>
      <x:c r="E14" s="337" t="n">
        <x:v>0</x:v>
      </x:c>
      <x:c r="F14" s="337" t="n">
        <x:v>2</x:v>
      </x:c>
      <x:c r="G14" s="337" t="n">
        <x:v>3</x:v>
      </x:c>
    </x:row>
    <x:row r="15">
      <x:c r="A15" s="336" t="str">
        <x:v>青铜|治疗|两格</x:v>
      </x:c>
      <x:c r="B15" s="336" t="str">
        <x:v>青铜 / 治疗 / 两格</x:v>
      </x:c>
      <x:c r="C15" s="337" t="n">
        <x:v>34</x:v>
      </x:c>
      <x:c r="D15" s="337" t="n">
        <x:v>6</x:v>
      </x:c>
      <x:c r="E15" s="337" t="n">
        <x:v>0</x:v>
      </x:c>
      <x:c r="F15" s="337" t="n">
        <x:v>2</x:v>
      </x:c>
      <x:c r="G15" s="337" t="n">
        <x:v>3</x:v>
      </x:c>
    </x:row>
    <x:row r="16">
      <x:c r="A16" s="336" t="str">
        <x:v>青铜|治疗|三格</x:v>
      </x:c>
      <x:c r="B16" s="336" t="str">
        <x:v>青铜 / 治疗 / 三格</x:v>
      </x:c>
      <x:c r="C16" s="337" t="n">
        <x:v>40</x:v>
      </x:c>
      <x:c r="D16" s="337" t="n">
        <x:v>4</x:v>
      </x:c>
      <x:c r="E16" s="337" t="n">
        <x:v>0</x:v>
      </x:c>
      <x:c r="F16" s="337" t="n">
        <x:v>2</x:v>
      </x:c>
      <x:c r="G16" s="337" t="n">
        <x:v>2</x:v>
      </x:c>
    </x:row>
    <x:row r="17">
      <x:c r="A17" s="336" t="str">
        <x:v>青铜|经济|一格</x:v>
      </x:c>
      <x:c r="B17" s="336" t="str">
        <x:v>青铜 / 经济 / 一格</x:v>
      </x:c>
      <x:c r="C17" s="337" t="n">
        <x:v>22</x:v>
      </x:c>
      <x:c r="D17" s="337" t="n">
        <x:v>8</x:v>
      </x:c>
      <x:c r="E17" s="337" t="n">
        <x:v>0</x:v>
      </x:c>
      <x:c r="F17" s="337" t="n">
        <x:v>0</x:v>
      </x:c>
      <x:c r="G17" s="337" t="n">
        <x:v>3</x:v>
      </x:c>
    </x:row>
    <x:row r="18">
      <x:c r="A18" s="336" t="str">
        <x:v>青铜|经济|两格</x:v>
      </x:c>
      <x:c r="B18" s="336" t="str">
        <x:v>青铜 / 经济 / 两格</x:v>
      </x:c>
      <x:c r="C18" s="337" t="n">
        <x:v>28</x:v>
      </x:c>
      <x:c r="D18" s="337" t="n">
        <x:v>6</x:v>
      </x:c>
      <x:c r="E18" s="337" t="n">
        <x:v>0</x:v>
      </x:c>
      <x:c r="F18" s="337" t="n">
        <x:v>0</x:v>
      </x:c>
      <x:c r="G18" s="337" t="n">
        <x:v>3</x:v>
      </x:c>
    </x:row>
    <x:row r="19">
      <x:c r="A19" s="336" t="str">
        <x:v>青铜|经济|三格</x:v>
      </x:c>
      <x:c r="B19" s="336" t="str">
        <x:v>青铜 / 经济 / 三格</x:v>
      </x:c>
      <x:c r="C19" s="337" t="n">
        <x:v>34</x:v>
      </x:c>
      <x:c r="D19" s="337" t="n">
        <x:v>4</x:v>
      </x:c>
      <x:c r="E19" s="337" t="n">
        <x:v>0</x:v>
      </x:c>
      <x:c r="F19" s="337" t="n">
        <x:v>0</x:v>
      </x:c>
      <x:c r="G19" s="337" t="n">
        <x:v>2</x:v>
      </x:c>
    </x:row>
    <x:row r="20">
      <x:c r="A20" s="336" t="str">
        <x:v>青铜|召唤|一格</x:v>
      </x:c>
      <x:c r="B20" s="336" t="str">
        <x:v>青铜 / 召唤 / 一格</x:v>
      </x:c>
      <x:c r="C20" s="337" t="n">
        <x:v>30</x:v>
      </x:c>
      <x:c r="D20" s="337" t="n">
        <x:v>8</x:v>
      </x:c>
      <x:c r="E20" s="337" t="n">
        <x:v>0</x:v>
      </x:c>
      <x:c r="F20" s="337" t="n">
        <x:v>0</x:v>
      </x:c>
      <x:c r="G20" s="337" t="n">
        <x:v>3</x:v>
      </x:c>
    </x:row>
    <x:row r="21">
      <x:c r="A21" s="336" t="str">
        <x:v>青铜|召唤|两格</x:v>
      </x:c>
      <x:c r="B21" s="336" t="str">
        <x:v>青铜 / 召唤 / 两格</x:v>
      </x:c>
      <x:c r="C21" s="337" t="n">
        <x:v>36</x:v>
      </x:c>
      <x:c r="D21" s="337" t="n">
        <x:v>6</x:v>
      </x:c>
      <x:c r="E21" s="337" t="n">
        <x:v>0</x:v>
      </x:c>
      <x:c r="F21" s="337" t="n">
        <x:v>0</x:v>
      </x:c>
      <x:c r="G21" s="337" t="n">
        <x:v>3</x:v>
      </x:c>
    </x:row>
    <x:row r="22">
      <x:c r="A22" s="336" t="str">
        <x:v>青铜|召唤|三格</x:v>
      </x:c>
      <x:c r="B22" s="336" t="str">
        <x:v>青铜 / 召唤 / 三格</x:v>
      </x:c>
      <x:c r="C22" s="337" t="n">
        <x:v>42</x:v>
      </x:c>
      <x:c r="D22" s="337" t="n">
        <x:v>4</x:v>
      </x:c>
      <x:c r="E22" s="337" t="n">
        <x:v>0</x:v>
      </x:c>
      <x:c r="F22" s="337" t="n">
        <x:v>0</x:v>
      </x:c>
      <x:c r="G22" s="337" t="n">
        <x:v>2</x:v>
      </x:c>
    </x:row>
    <x:row r="23">
      <x:c r="A23" s="336" t="str">
        <x:v>青铜|坦克|一格</x:v>
      </x:c>
      <x:c r="B23" s="336" t="str">
        <x:v>青铜 / 坦克 / 一格</x:v>
      </x:c>
      <x:c r="C23" s="337" t="n">
        <x:v>36</x:v>
      </x:c>
      <x:c r="D23" s="337" t="n">
        <x:v>8</x:v>
      </x:c>
      <x:c r="E23" s="337" t="n">
        <x:v>0</x:v>
      </x:c>
      <x:c r="F23" s="337" t="n">
        <x:v>6</x:v>
      </x:c>
      <x:c r="G23" s="337" t="n">
        <x:v>3</x:v>
      </x:c>
    </x:row>
    <x:row r="24">
      <x:c r="A24" s="336" t="str">
        <x:v>青铜|坦克|两格</x:v>
      </x:c>
      <x:c r="B24" s="336" t="str">
        <x:v>青铜 / 坦克 / 两格</x:v>
      </x:c>
      <x:c r="C24" s="337" t="n">
        <x:v>42</x:v>
      </x:c>
      <x:c r="D24" s="337" t="n">
        <x:v>6</x:v>
      </x:c>
      <x:c r="E24" s="337" t="n">
        <x:v>0</x:v>
      </x:c>
      <x:c r="F24" s="337" t="n">
        <x:v>6</x:v>
      </x:c>
      <x:c r="G24" s="337" t="n">
        <x:v>3</x:v>
      </x:c>
    </x:row>
    <x:row r="25">
      <x:c r="A25" s="336" t="str">
        <x:v>青铜|坦克|三格</x:v>
      </x:c>
      <x:c r="B25" s="336" t="str">
        <x:v>青铜 / 坦克 / 三格</x:v>
      </x:c>
      <x:c r="C25" s="337" t="n">
        <x:v>48</x:v>
      </x:c>
      <x:c r="D25" s="337" t="n">
        <x:v>4</x:v>
      </x:c>
      <x:c r="E25" s="337" t="n">
        <x:v>0</x:v>
      </x:c>
      <x:c r="F25" s="337" t="n">
        <x:v>6</x:v>
      </x:c>
      <x:c r="G25" s="337" t="n">
        <x:v>2</x:v>
      </x:c>
    </x:row>
    <x:row r="26">
      <x:c r="A26" s="336" t="str">
        <x:v>白银|输出|一格</x:v>
      </x:c>
      <x:c r="B26" s="336" t="str">
        <x:v>白银 / 输出 / 一格</x:v>
      </x:c>
      <x:c r="C26" s="337" t="n">
        <x:v>34</x:v>
      </x:c>
      <x:c r="D26" s="337" t="n">
        <x:v>22</x:v>
      </x:c>
      <x:c r="E26" s="337" t="n">
        <x:v>0</x:v>
      </x:c>
      <x:c r="F26" s="337" t="n">
        <x:v>0</x:v>
      </x:c>
      <x:c r="G26" s="337" t="n">
        <x:v>3</x:v>
      </x:c>
    </x:row>
    <x:row r="27">
      <x:c r="A27" s="336" t="str">
        <x:v>白银|输出|两格</x:v>
      </x:c>
      <x:c r="B27" s="336" t="str">
        <x:v>白银 / 输出 / 两格</x:v>
      </x:c>
      <x:c r="C27" s="337" t="n">
        <x:v>40</x:v>
      </x:c>
      <x:c r="D27" s="337" t="n">
        <x:v>20</x:v>
      </x:c>
      <x:c r="E27" s="337" t="n">
        <x:v>0</x:v>
      </x:c>
      <x:c r="F27" s="337" t="n">
        <x:v>0</x:v>
      </x:c>
      <x:c r="G27" s="337" t="n">
        <x:v>3</x:v>
      </x:c>
    </x:row>
    <x:row r="28">
      <x:c r="A28" s="336" t="str">
        <x:v>白银|输出|三格</x:v>
      </x:c>
      <x:c r="B28" s="336" t="str">
        <x:v>白银 / 输出 / 三格</x:v>
      </x:c>
      <x:c r="C28" s="337" t="n">
        <x:v>46</x:v>
      </x:c>
      <x:c r="D28" s="337" t="n">
        <x:v>18</x:v>
      </x:c>
      <x:c r="E28" s="337" t="n">
        <x:v>0</x:v>
      </x:c>
      <x:c r="F28" s="337" t="n">
        <x:v>0</x:v>
      </x:c>
      <x:c r="G28" s="337" t="n">
        <x:v>2</x:v>
      </x:c>
    </x:row>
    <x:row r="29">
      <x:c r="A29" s="336" t="str">
        <x:v>白银|控制|一格</x:v>
      </x:c>
      <x:c r="B29" s="336" t="str">
        <x:v>白银 / 控制 / 一格</x:v>
      </x:c>
      <x:c r="C29" s="337" t="n">
        <x:v>38</x:v>
      </x:c>
      <x:c r="D29" s="337" t="n">
        <x:v>16</x:v>
      </x:c>
      <x:c r="E29" s="337" t="n">
        <x:v>0</x:v>
      </x:c>
      <x:c r="F29" s="337" t="n">
        <x:v>0</x:v>
      </x:c>
      <x:c r="G29" s="337" t="n">
        <x:v>4</x:v>
      </x:c>
    </x:row>
    <x:row r="30">
      <x:c r="A30" s="336" t="str">
        <x:v>白银|控制|两格</x:v>
      </x:c>
      <x:c r="B30" s="336" t="str">
        <x:v>白银 / 控制 / 两格</x:v>
      </x:c>
      <x:c r="C30" s="337" t="n">
        <x:v>44</x:v>
      </x:c>
      <x:c r="D30" s="337" t="n">
        <x:v>14</x:v>
      </x:c>
      <x:c r="E30" s="337" t="n">
        <x:v>0</x:v>
      </x:c>
      <x:c r="F30" s="337" t="n">
        <x:v>0</x:v>
      </x:c>
      <x:c r="G30" s="337" t="n">
        <x:v>4</x:v>
      </x:c>
    </x:row>
    <x:row r="31">
      <x:c r="A31" s="336" t="str">
        <x:v>白银|控制|三格</x:v>
      </x:c>
      <x:c r="B31" s="336" t="str">
        <x:v>白银 / 控制 / 三格</x:v>
      </x:c>
      <x:c r="C31" s="337" t="n">
        <x:v>50</x:v>
      </x:c>
      <x:c r="D31" s="337" t="n">
        <x:v>12</x:v>
      </x:c>
      <x:c r="E31" s="337" t="n">
        <x:v>0</x:v>
      </x:c>
      <x:c r="F31" s="337" t="n">
        <x:v>0</x:v>
      </x:c>
      <x:c r="G31" s="337" t="n">
        <x:v>4</x:v>
      </x:c>
    </x:row>
    <x:row r="32">
      <x:c r="A32" s="336" t="str">
        <x:v>白银|机动|一格</x:v>
      </x:c>
      <x:c r="B32" s="336" t="str">
        <x:v>白银 / 机动 / 一格</x:v>
      </x:c>
      <x:c r="C32" s="337" t="n">
        <x:v>34</x:v>
      </x:c>
      <x:c r="D32" s="337" t="n">
        <x:v>14</x:v>
      </x:c>
      <x:c r="E32" s="337" t="n">
        <x:v>0</x:v>
      </x:c>
      <x:c r="F32" s="337" t="n">
        <x:v>0</x:v>
      </x:c>
      <x:c r="G32" s="337" t="n">
        <x:v>5</x:v>
      </x:c>
    </x:row>
    <x:row r="33">
      <x:c r="A33" s="336" t="str">
        <x:v>白银|机动|两格</x:v>
      </x:c>
      <x:c r="B33" s="336" t="str">
        <x:v>白银 / 机动 / 两格</x:v>
      </x:c>
      <x:c r="C33" s="337" t="n">
        <x:v>40</x:v>
      </x:c>
      <x:c r="D33" s="337" t="n">
        <x:v>12</x:v>
      </x:c>
      <x:c r="E33" s="337" t="n">
        <x:v>0</x:v>
      </x:c>
      <x:c r="F33" s="337" t="n">
        <x:v>0</x:v>
      </x:c>
      <x:c r="G33" s="337" t="n">
        <x:v>5</x:v>
      </x:c>
    </x:row>
    <x:row r="34">
      <x:c r="A34" s="336" t="str">
        <x:v>白银|机动|三格</x:v>
      </x:c>
      <x:c r="B34" s="336" t="str">
        <x:v>白银 / 机动 / 三格</x:v>
      </x:c>
      <x:c r="C34" s="337" t="n">
        <x:v>46</x:v>
      </x:c>
      <x:c r="D34" s="337" t="n">
        <x:v>10</x:v>
      </x:c>
      <x:c r="E34" s="337" t="n">
        <x:v>0</x:v>
      </x:c>
      <x:c r="F34" s="337" t="n">
        <x:v>0</x:v>
      </x:c>
      <x:c r="G34" s="337" t="n">
        <x:v>5</x:v>
      </x:c>
    </x:row>
    <x:row r="35">
      <x:c r="A35" s="336" t="str">
        <x:v>白银|治疗|一格</x:v>
      </x:c>
      <x:c r="B35" s="336" t="str">
        <x:v>白银 / 治疗 / 一格</x:v>
      </x:c>
      <x:c r="C35" s="337" t="n">
        <x:v>40</x:v>
      </x:c>
      <x:c r="D35" s="337" t="n">
        <x:v>14</x:v>
      </x:c>
      <x:c r="E35" s="337" t="n">
        <x:v>0</x:v>
      </x:c>
      <x:c r="F35" s="337" t="n">
        <x:v>4</x:v>
      </x:c>
      <x:c r="G35" s="337" t="n">
        <x:v>3</x:v>
      </x:c>
    </x:row>
    <x:row r="36">
      <x:c r="A36" s="336" t="str">
        <x:v>白银|治疗|两格</x:v>
      </x:c>
      <x:c r="B36" s="336" t="str">
        <x:v>白银 / 治疗 / 两格</x:v>
      </x:c>
      <x:c r="C36" s="337" t="n">
        <x:v>46</x:v>
      </x:c>
      <x:c r="D36" s="337" t="n">
        <x:v>12</x:v>
      </x:c>
      <x:c r="E36" s="337" t="n">
        <x:v>0</x:v>
      </x:c>
      <x:c r="F36" s="337" t="n">
        <x:v>4</x:v>
      </x:c>
      <x:c r="G36" s="337" t="n">
        <x:v>3</x:v>
      </x:c>
    </x:row>
    <x:row r="37">
      <x:c r="A37" s="336" t="str">
        <x:v>白银|治疗|三格</x:v>
      </x:c>
      <x:c r="B37" s="336" t="str">
        <x:v>白银 / 治疗 / 三格</x:v>
      </x:c>
      <x:c r="C37" s="337" t="n">
        <x:v>52</x:v>
      </x:c>
      <x:c r="D37" s="337" t="n">
        <x:v>10</x:v>
      </x:c>
      <x:c r="E37" s="337" t="n">
        <x:v>0</x:v>
      </x:c>
      <x:c r="F37" s="337" t="n">
        <x:v>4</x:v>
      </x:c>
      <x:c r="G37" s="337" t="n">
        <x:v>2</x:v>
      </x:c>
    </x:row>
    <x:row r="38">
      <x:c r="A38" s="336" t="str">
        <x:v>白银|经济|一格</x:v>
      </x:c>
      <x:c r="B38" s="336" t="str">
        <x:v>白银 / 经济 / 一格</x:v>
      </x:c>
      <x:c r="C38" s="337" t="n">
        <x:v>34</x:v>
      </x:c>
      <x:c r="D38" s="337" t="n">
        <x:v>14</x:v>
      </x:c>
      <x:c r="E38" s="337" t="n">
        <x:v>0</x:v>
      </x:c>
      <x:c r="F38" s="337" t="n">
        <x:v>0</x:v>
      </x:c>
      <x:c r="G38" s="337" t="n">
        <x:v>3</x:v>
      </x:c>
    </x:row>
    <x:row r="39">
      <x:c r="A39" s="336" t="str">
        <x:v>白银|经济|两格</x:v>
      </x:c>
      <x:c r="B39" s="336" t="str">
        <x:v>白银 / 经济 / 两格</x:v>
      </x:c>
      <x:c r="C39" s="337" t="n">
        <x:v>40</x:v>
      </x:c>
      <x:c r="D39" s="337" t="n">
        <x:v>12</x:v>
      </x:c>
      <x:c r="E39" s="337" t="n">
        <x:v>0</x:v>
      </x:c>
      <x:c r="F39" s="337" t="n">
        <x:v>0</x:v>
      </x:c>
      <x:c r="G39" s="337" t="n">
        <x:v>3</x:v>
      </x:c>
    </x:row>
    <x:row r="40">
      <x:c r="A40" s="336" t="str">
        <x:v>白银|经济|三格</x:v>
      </x:c>
      <x:c r="B40" s="336" t="str">
        <x:v>白银 / 经济 / 三格</x:v>
      </x:c>
      <x:c r="C40" s="337" t="n">
        <x:v>46</x:v>
      </x:c>
      <x:c r="D40" s="337" t="n">
        <x:v>10</x:v>
      </x:c>
      <x:c r="E40" s="337" t="n">
        <x:v>0</x:v>
      </x:c>
      <x:c r="F40" s="337" t="n">
        <x:v>0</x:v>
      </x:c>
      <x:c r="G40" s="337" t="n">
        <x:v>2</x:v>
      </x:c>
    </x:row>
    <x:row r="41">
      <x:c r="A41" s="336" t="str">
        <x:v>白银|召唤|一格</x:v>
      </x:c>
      <x:c r="B41" s="336" t="str">
        <x:v>白银 / 召唤 / 一格</x:v>
      </x:c>
      <x:c r="C41" s="337" t="n">
        <x:v>42</x:v>
      </x:c>
      <x:c r="D41" s="337" t="n">
        <x:v>14</x:v>
      </x:c>
      <x:c r="E41" s="337" t="n">
        <x:v>0</x:v>
      </x:c>
      <x:c r="F41" s="337" t="n">
        <x:v>0</x:v>
      </x:c>
      <x:c r="G41" s="337" t="n">
        <x:v>3</x:v>
      </x:c>
    </x:row>
    <x:row r="42">
      <x:c r="A42" s="336" t="str">
        <x:v>白银|召唤|两格</x:v>
      </x:c>
      <x:c r="B42" s="336" t="str">
        <x:v>白银 / 召唤 / 两格</x:v>
      </x:c>
      <x:c r="C42" s="337" t="n">
        <x:v>48</x:v>
      </x:c>
      <x:c r="D42" s="337" t="n">
        <x:v>12</x:v>
      </x:c>
      <x:c r="E42" s="337" t="n">
        <x:v>0</x:v>
      </x:c>
      <x:c r="F42" s="337" t="n">
        <x:v>0</x:v>
      </x:c>
      <x:c r="G42" s="337" t="n">
        <x:v>3</x:v>
      </x:c>
    </x:row>
    <x:row r="43">
      <x:c r="A43" s="336" t="str">
        <x:v>白银|召唤|三格</x:v>
      </x:c>
      <x:c r="B43" s="336" t="str">
        <x:v>白银 / 召唤 / 三格</x:v>
      </x:c>
      <x:c r="C43" s="337" t="n">
        <x:v>54</x:v>
      </x:c>
      <x:c r="D43" s="337" t="n">
        <x:v>10</x:v>
      </x:c>
      <x:c r="E43" s="337" t="n">
        <x:v>0</x:v>
      </x:c>
      <x:c r="F43" s="337" t="n">
        <x:v>0</x:v>
      </x:c>
      <x:c r="G43" s="337" t="n">
        <x:v>2</x:v>
      </x:c>
    </x:row>
    <x:row r="44">
      <x:c r="A44" s="336" t="str">
        <x:v>白银|坦克|一格</x:v>
      </x:c>
      <x:c r="B44" s="336" t="str">
        <x:v>白银 / 坦克 / 一格</x:v>
      </x:c>
      <x:c r="C44" s="337" t="n">
        <x:v>48</x:v>
      </x:c>
      <x:c r="D44" s="337" t="n">
        <x:v>14</x:v>
      </x:c>
      <x:c r="E44" s="337" t="n">
        <x:v>0</x:v>
      </x:c>
      <x:c r="F44" s="337" t="n">
        <x:v>10</x:v>
      </x:c>
      <x:c r="G44" s="337" t="n">
        <x:v>3</x:v>
      </x:c>
    </x:row>
    <x:row r="45">
      <x:c r="A45" s="336" t="str">
        <x:v>白银|坦克|两格</x:v>
      </x:c>
      <x:c r="B45" s="336" t="str">
        <x:v>白银 / 坦克 / 两格</x:v>
      </x:c>
      <x:c r="C45" s="337" t="n">
        <x:v>54</x:v>
      </x:c>
      <x:c r="D45" s="337" t="n">
        <x:v>12</x:v>
      </x:c>
      <x:c r="E45" s="337" t="n">
        <x:v>0</x:v>
      </x:c>
      <x:c r="F45" s="337" t="n">
        <x:v>10</x:v>
      </x:c>
      <x:c r="G45" s="337" t="n">
        <x:v>3</x:v>
      </x:c>
    </x:row>
    <x:row r="46">
      <x:c r="A46" s="336" t="str">
        <x:v>白银|坦克|三格</x:v>
      </x:c>
      <x:c r="B46" s="336" t="str">
        <x:v>白银 / 坦克 / 三格</x:v>
      </x:c>
      <x:c r="C46" s="337" t="n">
        <x:v>60</x:v>
      </x:c>
      <x:c r="D46" s="337" t="n">
        <x:v>10</x:v>
      </x:c>
      <x:c r="E46" s="337" t="n">
        <x:v>0</x:v>
      </x:c>
      <x:c r="F46" s="337" t="n">
        <x:v>10</x:v>
      </x:c>
      <x:c r="G46" s="337" t="n">
        <x:v>2</x:v>
      </x:c>
    </x:row>
    <x:row r="47">
      <x:c r="A47" s="336" t="str">
        <x:v>黄金|输出|一格</x:v>
      </x:c>
      <x:c r="B47" s="336" t="str">
        <x:v>黄金 / 输出 / 一格</x:v>
      </x:c>
      <x:c r="C47" s="337" t="n">
        <x:v>46</x:v>
      </x:c>
      <x:c r="D47" s="337" t="n">
        <x:v>30</x:v>
      </x:c>
      <x:c r="E47" s="337" t="n">
        <x:v>0</x:v>
      </x:c>
      <x:c r="F47" s="337" t="n">
        <x:v>0</x:v>
      </x:c>
      <x:c r="G47" s="337" t="n">
        <x:v>3</x:v>
      </x:c>
    </x:row>
    <x:row r="48">
      <x:c r="A48" s="336" t="str">
        <x:v>黄金|输出|两格</x:v>
      </x:c>
      <x:c r="B48" s="336" t="str">
        <x:v>黄金 / 输出 / 两格</x:v>
      </x:c>
      <x:c r="C48" s="337" t="n">
        <x:v>52</x:v>
      </x:c>
      <x:c r="D48" s="337" t="n">
        <x:v>28</x:v>
      </x:c>
      <x:c r="E48" s="337" t="n">
        <x:v>0</x:v>
      </x:c>
      <x:c r="F48" s="337" t="n">
        <x:v>0</x:v>
      </x:c>
      <x:c r="G48" s="337" t="n">
        <x:v>3</x:v>
      </x:c>
    </x:row>
    <x:row r="49">
      <x:c r="A49" s="336" t="str">
        <x:v>黄金|输出|三格</x:v>
      </x:c>
      <x:c r="B49" s="336" t="str">
        <x:v>黄金 / 输出 / 三格</x:v>
      </x:c>
      <x:c r="C49" s="337" t="n">
        <x:v>58</x:v>
      </x:c>
      <x:c r="D49" s="337" t="n">
        <x:v>26</x:v>
      </x:c>
      <x:c r="E49" s="337" t="n">
        <x:v>0</x:v>
      </x:c>
      <x:c r="F49" s="337" t="n">
        <x:v>0</x:v>
      </x:c>
      <x:c r="G49" s="337" t="n">
        <x:v>2</x:v>
      </x:c>
    </x:row>
    <x:row r="50">
      <x:c r="A50" s="336" t="str">
        <x:v>黄金|控制|一格</x:v>
      </x:c>
      <x:c r="B50" s="336" t="str">
        <x:v>黄金 / 控制 / 一格</x:v>
      </x:c>
      <x:c r="C50" s="337" t="n">
        <x:v>50</x:v>
      </x:c>
      <x:c r="D50" s="337" t="n">
        <x:v>22</x:v>
      </x:c>
      <x:c r="E50" s="337" t="n">
        <x:v>0</x:v>
      </x:c>
      <x:c r="F50" s="337" t="n">
        <x:v>0</x:v>
      </x:c>
      <x:c r="G50" s="337" t="n">
        <x:v>4</x:v>
      </x:c>
    </x:row>
    <x:row r="51">
      <x:c r="A51" s="336" t="str">
        <x:v>黄金|控制|两格</x:v>
      </x:c>
      <x:c r="B51" s="336" t="str">
        <x:v>黄金 / 控制 / 两格</x:v>
      </x:c>
      <x:c r="C51" s="337" t="n">
        <x:v>56</x:v>
      </x:c>
      <x:c r="D51" s="337" t="n">
        <x:v>20</x:v>
      </x:c>
      <x:c r="E51" s="337" t="n">
        <x:v>0</x:v>
      </x:c>
      <x:c r="F51" s="337" t="n">
        <x:v>0</x:v>
      </x:c>
      <x:c r="G51" s="337" t="n">
        <x:v>4</x:v>
      </x:c>
    </x:row>
    <x:row r="52">
      <x:c r="A52" s="336" t="str">
        <x:v>黄金|控制|三格</x:v>
      </x:c>
      <x:c r="B52" s="336" t="str">
        <x:v>黄金 / 控制 / 三格</x:v>
      </x:c>
      <x:c r="C52" s="337" t="n">
        <x:v>62</x:v>
      </x:c>
      <x:c r="D52" s="337" t="n">
        <x:v>18</x:v>
      </x:c>
      <x:c r="E52" s="337" t="n">
        <x:v>0</x:v>
      </x:c>
      <x:c r="F52" s="337" t="n">
        <x:v>0</x:v>
      </x:c>
      <x:c r="G52" s="337" t="n">
        <x:v>4</x:v>
      </x:c>
    </x:row>
    <x:row r="53">
      <x:c r="A53" s="336" t="str">
        <x:v>黄金|机动|一格</x:v>
      </x:c>
      <x:c r="B53" s="336" t="str">
        <x:v>黄金 / 机动 / 一格</x:v>
      </x:c>
      <x:c r="C53" s="337" t="n">
        <x:v>46</x:v>
      </x:c>
      <x:c r="D53" s="337" t="n">
        <x:v>20</x:v>
      </x:c>
      <x:c r="E53" s="337" t="n">
        <x:v>0</x:v>
      </x:c>
      <x:c r="F53" s="337" t="n">
        <x:v>0</x:v>
      </x:c>
      <x:c r="G53" s="337" t="n">
        <x:v>5</x:v>
      </x:c>
    </x:row>
    <x:row r="54">
      <x:c r="A54" s="336" t="str">
        <x:v>黄金|机动|两格</x:v>
      </x:c>
      <x:c r="B54" s="336" t="str">
        <x:v>黄金 / 机动 / 两格</x:v>
      </x:c>
      <x:c r="C54" s="337" t="n">
        <x:v>52</x:v>
      </x:c>
      <x:c r="D54" s="337" t="n">
        <x:v>18</x:v>
      </x:c>
      <x:c r="E54" s="337" t="n">
        <x:v>0</x:v>
      </x:c>
      <x:c r="F54" s="337" t="n">
        <x:v>0</x:v>
      </x:c>
      <x:c r="G54" s="337" t="n">
        <x:v>5</x:v>
      </x:c>
    </x:row>
    <x:row r="55">
      <x:c r="A55" s="336" t="str">
        <x:v>黄金|机动|三格</x:v>
      </x:c>
      <x:c r="B55" s="336" t="str">
        <x:v>黄金 / 机动 / 三格</x:v>
      </x:c>
      <x:c r="C55" s="337" t="n">
        <x:v>58</x:v>
      </x:c>
      <x:c r="D55" s="337" t="n">
        <x:v>16</x:v>
      </x:c>
      <x:c r="E55" s="337" t="n">
        <x:v>0</x:v>
      </x:c>
      <x:c r="F55" s="337" t="n">
        <x:v>0</x:v>
      </x:c>
      <x:c r="G55" s="337" t="n">
        <x:v>5</x:v>
      </x:c>
    </x:row>
    <x:row r="56">
      <x:c r="A56" s="336" t="str">
        <x:v>黄金|治疗|一格</x:v>
      </x:c>
      <x:c r="B56" s="336" t="str">
        <x:v>黄金 / 治疗 / 一格</x:v>
      </x:c>
      <x:c r="C56" s="337" t="n">
        <x:v>52</x:v>
      </x:c>
      <x:c r="D56" s="337" t="n">
        <x:v>20</x:v>
      </x:c>
      <x:c r="E56" s="337" t="n">
        <x:v>0</x:v>
      </x:c>
      <x:c r="F56" s="337" t="n">
        <x:v>6</x:v>
      </x:c>
      <x:c r="G56" s="337" t="n">
        <x:v>3</x:v>
      </x:c>
    </x:row>
    <x:row r="57">
      <x:c r="A57" s="336" t="str">
        <x:v>黄金|治疗|两格</x:v>
      </x:c>
      <x:c r="B57" s="336" t="str">
        <x:v>黄金 / 治疗 / 两格</x:v>
      </x:c>
      <x:c r="C57" s="337" t="n">
        <x:v>58</x:v>
      </x:c>
      <x:c r="D57" s="337" t="n">
        <x:v>18</x:v>
      </x:c>
      <x:c r="E57" s="337" t="n">
        <x:v>0</x:v>
      </x:c>
      <x:c r="F57" s="337" t="n">
        <x:v>6</x:v>
      </x:c>
      <x:c r="G57" s="337" t="n">
        <x:v>3</x:v>
      </x:c>
    </x:row>
    <x:row r="58">
      <x:c r="A58" s="336" t="str">
        <x:v>黄金|治疗|三格</x:v>
      </x:c>
      <x:c r="B58" s="336" t="str">
        <x:v>黄金 / 治疗 / 三格</x:v>
      </x:c>
      <x:c r="C58" s="337" t="n">
        <x:v>64</x:v>
      </x:c>
      <x:c r="D58" s="337" t="n">
        <x:v>16</x:v>
      </x:c>
      <x:c r="E58" s="337" t="n">
        <x:v>0</x:v>
      </x:c>
      <x:c r="F58" s="337" t="n">
        <x:v>6</x:v>
      </x:c>
      <x:c r="G58" s="337" t="n">
        <x:v>2</x:v>
      </x:c>
    </x:row>
    <x:row r="59">
      <x:c r="A59" s="336" t="str">
        <x:v>黄金|经济|一格</x:v>
      </x:c>
      <x:c r="B59" s="336" t="str">
        <x:v>黄金 / 经济 / 一格</x:v>
      </x:c>
      <x:c r="C59" s="337" t="n">
        <x:v>46</x:v>
      </x:c>
      <x:c r="D59" s="337" t="n">
        <x:v>20</x:v>
      </x:c>
      <x:c r="E59" s="337" t="n">
        <x:v>0</x:v>
      </x:c>
      <x:c r="F59" s="337" t="n">
        <x:v>0</x:v>
      </x:c>
      <x:c r="G59" s="337" t="n">
        <x:v>3</x:v>
      </x:c>
    </x:row>
    <x:row r="60">
      <x:c r="A60" s="336" t="str">
        <x:v>黄金|经济|两格</x:v>
      </x:c>
      <x:c r="B60" s="336" t="str">
        <x:v>黄金 / 经济 / 两格</x:v>
      </x:c>
      <x:c r="C60" s="337" t="n">
        <x:v>52</x:v>
      </x:c>
      <x:c r="D60" s="337" t="n">
        <x:v>18</x:v>
      </x:c>
      <x:c r="E60" s="337" t="n">
        <x:v>0</x:v>
      </x:c>
      <x:c r="F60" s="337" t="n">
        <x:v>0</x:v>
      </x:c>
      <x:c r="G60" s="337" t="n">
        <x:v>3</x:v>
      </x:c>
    </x:row>
    <x:row r="61">
      <x:c r="A61" s="336" t="str">
        <x:v>黄金|经济|三格</x:v>
      </x:c>
      <x:c r="B61" s="336" t="str">
        <x:v>黄金 / 经济 / 三格</x:v>
      </x:c>
      <x:c r="C61" s="337" t="n">
        <x:v>58</x:v>
      </x:c>
      <x:c r="D61" s="337" t="n">
        <x:v>16</x:v>
      </x:c>
      <x:c r="E61" s="337" t="n">
        <x:v>0</x:v>
      </x:c>
      <x:c r="F61" s="337" t="n">
        <x:v>0</x:v>
      </x:c>
      <x:c r="G61" s="337" t="n">
        <x:v>2</x:v>
      </x:c>
    </x:row>
    <x:row r="62">
      <x:c r="A62" s="336" t="str">
        <x:v>黄金|召唤|一格</x:v>
      </x:c>
      <x:c r="B62" s="336" t="str">
        <x:v>黄金 / 召唤 / 一格</x:v>
      </x:c>
      <x:c r="C62" s="337" t="n">
        <x:v>54</x:v>
      </x:c>
      <x:c r="D62" s="337" t="n">
        <x:v>20</x:v>
      </x:c>
      <x:c r="E62" s="337" t="n">
        <x:v>0</x:v>
      </x:c>
      <x:c r="F62" s="337" t="n">
        <x:v>0</x:v>
      </x:c>
      <x:c r="G62" s="337" t="n">
        <x:v>3</x:v>
      </x:c>
    </x:row>
    <x:row r="63">
      <x:c r="A63" s="336" t="str">
        <x:v>黄金|召唤|两格</x:v>
      </x:c>
      <x:c r="B63" s="336" t="str">
        <x:v>黄金 / 召唤 / 两格</x:v>
      </x:c>
      <x:c r="C63" s="337" t="n">
        <x:v>60</x:v>
      </x:c>
      <x:c r="D63" s="337" t="n">
        <x:v>18</x:v>
      </x:c>
      <x:c r="E63" s="337" t="n">
        <x:v>0</x:v>
      </x:c>
      <x:c r="F63" s="337" t="n">
        <x:v>0</x:v>
      </x:c>
      <x:c r="G63" s="337" t="n">
        <x:v>3</x:v>
      </x:c>
    </x:row>
    <x:row r="64">
      <x:c r="A64" s="336" t="str">
        <x:v>黄金|召唤|三格</x:v>
      </x:c>
      <x:c r="B64" s="336" t="str">
        <x:v>黄金 / 召唤 / 三格</x:v>
      </x:c>
      <x:c r="C64" s="337" t="n">
        <x:v>66</x:v>
      </x:c>
      <x:c r="D64" s="337" t="n">
        <x:v>16</x:v>
      </x:c>
      <x:c r="E64" s="337" t="n">
        <x:v>0</x:v>
      </x:c>
      <x:c r="F64" s="337" t="n">
        <x:v>0</x:v>
      </x:c>
      <x:c r="G64" s="337" t="n">
        <x:v>2</x:v>
      </x:c>
    </x:row>
    <x:row r="65">
      <x:c r="A65" s="336" t="str">
        <x:v>黄金|坦克|一格</x:v>
      </x:c>
      <x:c r="B65" s="336" t="str">
        <x:v>黄金 / 坦克 / 一格</x:v>
      </x:c>
      <x:c r="C65" s="337" t="n">
        <x:v>60</x:v>
      </x:c>
      <x:c r="D65" s="337" t="n">
        <x:v>20</x:v>
      </x:c>
      <x:c r="E65" s="337" t="n">
        <x:v>0</x:v>
      </x:c>
      <x:c r="F65" s="337" t="n">
        <x:v>14</x:v>
      </x:c>
      <x:c r="G65" s="337" t="n">
        <x:v>3</x:v>
      </x:c>
    </x:row>
    <x:row r="66">
      <x:c r="A66" s="336" t="str">
        <x:v>黄金|坦克|两格</x:v>
      </x:c>
      <x:c r="B66" s="336" t="str">
        <x:v>黄金 / 坦克 / 两格</x:v>
      </x:c>
      <x:c r="C66" s="337" t="n">
        <x:v>66</x:v>
      </x:c>
      <x:c r="D66" s="337" t="n">
        <x:v>18</x:v>
      </x:c>
      <x:c r="E66" s="337" t="n">
        <x:v>0</x:v>
      </x:c>
      <x:c r="F66" s="337" t="n">
        <x:v>14</x:v>
      </x:c>
      <x:c r="G66" s="337" t="n">
        <x:v>3</x:v>
      </x:c>
    </x:row>
    <x:row r="67">
      <x:c r="A67" s="336" t="str">
        <x:v>黄金|坦克|三格</x:v>
      </x:c>
      <x:c r="B67" s="336" t="str">
        <x:v>黄金 / 坦克 / 三格</x:v>
      </x:c>
      <x:c r="C67" s="337" t="n">
        <x:v>72</x:v>
      </x:c>
      <x:c r="D67" s="337" t="n">
        <x:v>16</x:v>
      </x:c>
      <x:c r="E67" s="337" t="n">
        <x:v>0</x:v>
      </x:c>
      <x:c r="F67" s="337" t="n">
        <x:v>14</x:v>
      </x:c>
      <x:c r="G67" s="337" t="n">
        <x:v>2</x:v>
      </x:c>
    </x:row>
    <x:row r="68">
      <x:c r="A68" s="336" t="str">
        <x:v>钻石|输出|一格</x:v>
      </x:c>
      <x:c r="B68" s="336" t="str">
        <x:v>钻石 / 输出 / 一格</x:v>
      </x:c>
      <x:c r="C68" s="337" t="n">
        <x:v>58</x:v>
      </x:c>
      <x:c r="D68" s="337" t="n">
        <x:v>38</x:v>
      </x:c>
      <x:c r="E68" s="337" t="n">
        <x:v>0</x:v>
      </x:c>
      <x:c r="F68" s="337" t="n">
        <x:v>0</x:v>
      </x:c>
      <x:c r="G68" s="337" t="n">
        <x:v>3</x:v>
      </x:c>
    </x:row>
    <x:row r="69">
      <x:c r="A69" s="336" t="str">
        <x:v>钻石|输出|两格</x:v>
      </x:c>
      <x:c r="B69" s="336" t="str">
        <x:v>钻石 / 输出 / 两格</x:v>
      </x:c>
      <x:c r="C69" s="337" t="n">
        <x:v>64</x:v>
      </x:c>
      <x:c r="D69" s="337" t="n">
        <x:v>36</x:v>
      </x:c>
      <x:c r="E69" s="337" t="n">
        <x:v>0</x:v>
      </x:c>
      <x:c r="F69" s="337" t="n">
        <x:v>0</x:v>
      </x:c>
      <x:c r="G69" s="337" t="n">
        <x:v>3</x:v>
      </x:c>
    </x:row>
    <x:row r="70">
      <x:c r="A70" s="336" t="str">
        <x:v>钻石|输出|三格</x:v>
      </x:c>
      <x:c r="B70" s="336" t="str">
        <x:v>钻石 / 输出 / 三格</x:v>
      </x:c>
      <x:c r="C70" s="337" t="n">
        <x:v>70</x:v>
      </x:c>
      <x:c r="D70" s="337" t="n">
        <x:v>34</x:v>
      </x:c>
      <x:c r="E70" s="337" t="n">
        <x:v>0</x:v>
      </x:c>
      <x:c r="F70" s="337" t="n">
        <x:v>0</x:v>
      </x:c>
      <x:c r="G70" s="337" t="n">
        <x:v>2</x:v>
      </x:c>
    </x:row>
    <x:row r="71">
      <x:c r="A71" s="336" t="str">
        <x:v>钻石|控制|一格</x:v>
      </x:c>
      <x:c r="B71" s="336" t="str">
        <x:v>钻石 / 控制 / 一格</x:v>
      </x:c>
      <x:c r="C71" s="337" t="n">
        <x:v>62</x:v>
      </x:c>
      <x:c r="D71" s="337" t="n">
        <x:v>28</x:v>
      </x:c>
      <x:c r="E71" s="337" t="n">
        <x:v>0</x:v>
      </x:c>
      <x:c r="F71" s="337" t="n">
        <x:v>0</x:v>
      </x:c>
      <x:c r="G71" s="337" t="n">
        <x:v>4</x:v>
      </x:c>
    </x:row>
    <x:row r="72">
      <x:c r="A72" s="336" t="str">
        <x:v>钻石|控制|两格</x:v>
      </x:c>
      <x:c r="B72" s="336" t="str">
        <x:v>钻石 / 控制 / 两格</x:v>
      </x:c>
      <x:c r="C72" s="337" t="n">
        <x:v>68</x:v>
      </x:c>
      <x:c r="D72" s="337" t="n">
        <x:v>26</x:v>
      </x:c>
      <x:c r="E72" s="337" t="n">
        <x:v>0</x:v>
      </x:c>
      <x:c r="F72" s="337" t="n">
        <x:v>0</x:v>
      </x:c>
      <x:c r="G72" s="337" t="n">
        <x:v>4</x:v>
      </x:c>
    </x:row>
    <x:row r="73">
      <x:c r="A73" s="336" t="str">
        <x:v>钻石|控制|三格</x:v>
      </x:c>
      <x:c r="B73" s="336" t="str">
        <x:v>钻石 / 控制 / 三格</x:v>
      </x:c>
      <x:c r="C73" s="337" t="n">
        <x:v>74</x:v>
      </x:c>
      <x:c r="D73" s="337" t="n">
        <x:v>24</x:v>
      </x:c>
      <x:c r="E73" s="337" t="n">
        <x:v>0</x:v>
      </x:c>
      <x:c r="F73" s="337" t="n">
        <x:v>0</x:v>
      </x:c>
      <x:c r="G73" s="337" t="n">
        <x:v>4</x:v>
      </x:c>
    </x:row>
    <x:row r="74">
      <x:c r="A74" s="336" t="str">
        <x:v>钻石|机动|一格</x:v>
      </x:c>
      <x:c r="B74" s="336" t="str">
        <x:v>钻石 / 机动 / 一格</x:v>
      </x:c>
      <x:c r="C74" s="337" t="n">
        <x:v>58</x:v>
      </x:c>
      <x:c r="D74" s="337" t="n">
        <x:v>26</x:v>
      </x:c>
      <x:c r="E74" s="337" t="n">
        <x:v>0</x:v>
      </x:c>
      <x:c r="F74" s="337" t="n">
        <x:v>0</x:v>
      </x:c>
      <x:c r="G74" s="337" t="n">
        <x:v>5</x:v>
      </x:c>
    </x:row>
    <x:row r="75">
      <x:c r="A75" s="336" t="str">
        <x:v>钻石|机动|两格</x:v>
      </x:c>
      <x:c r="B75" s="336" t="str">
        <x:v>钻石 / 机动 / 两格</x:v>
      </x:c>
      <x:c r="C75" s="337" t="n">
        <x:v>64</x:v>
      </x:c>
      <x:c r="D75" s="337" t="n">
        <x:v>24</x:v>
      </x:c>
      <x:c r="E75" s="337" t="n">
        <x:v>0</x:v>
      </x:c>
      <x:c r="F75" s="337" t="n">
        <x:v>0</x:v>
      </x:c>
      <x:c r="G75" s="337" t="n">
        <x:v>5</x:v>
      </x:c>
    </x:row>
    <x:row r="76">
      <x:c r="A76" s="336" t="str">
        <x:v>钻石|机动|三格</x:v>
      </x:c>
      <x:c r="B76" s="336" t="str">
        <x:v>钻石 / 机动 / 三格</x:v>
      </x:c>
      <x:c r="C76" s="337" t="n">
        <x:v>70</x:v>
      </x:c>
      <x:c r="D76" s="337" t="n">
        <x:v>22</x:v>
      </x:c>
      <x:c r="E76" s="337" t="n">
        <x:v>0</x:v>
      </x:c>
      <x:c r="F76" s="337" t="n">
        <x:v>0</x:v>
      </x:c>
      <x:c r="G76" s="337" t="n">
        <x:v>5</x:v>
      </x:c>
    </x:row>
    <x:row r="77">
      <x:c r="A77" s="336" t="str">
        <x:v>钻石|治疗|一格</x:v>
      </x:c>
      <x:c r="B77" s="336" t="str">
        <x:v>钻石 / 治疗 / 一格</x:v>
      </x:c>
      <x:c r="C77" s="337" t="n">
        <x:v>64</x:v>
      </x:c>
      <x:c r="D77" s="337" t="n">
        <x:v>26</x:v>
      </x:c>
      <x:c r="E77" s="337" t="n">
        <x:v>0</x:v>
      </x:c>
      <x:c r="F77" s="337" t="n">
        <x:v>8</x:v>
      </x:c>
      <x:c r="G77" s="337" t="n">
        <x:v>3</x:v>
      </x:c>
    </x:row>
    <x:row r="78">
      <x:c r="A78" s="336" t="str">
        <x:v>钻石|治疗|两格</x:v>
      </x:c>
      <x:c r="B78" s="336" t="str">
        <x:v>钻石 / 治疗 / 两格</x:v>
      </x:c>
      <x:c r="C78" s="337" t="n">
        <x:v>70</x:v>
      </x:c>
      <x:c r="D78" s="337" t="n">
        <x:v>24</x:v>
      </x:c>
      <x:c r="E78" s="337" t="n">
        <x:v>0</x:v>
      </x:c>
      <x:c r="F78" s="337" t="n">
        <x:v>8</x:v>
      </x:c>
      <x:c r="G78" s="337" t="n">
        <x:v>3</x:v>
      </x:c>
    </x:row>
    <x:row r="79">
      <x:c r="A79" s="336" t="str">
        <x:v>钻石|治疗|三格</x:v>
      </x:c>
      <x:c r="B79" s="336" t="str">
        <x:v>钻石 / 治疗 / 三格</x:v>
      </x:c>
      <x:c r="C79" s="337" t="n">
        <x:v>76</x:v>
      </x:c>
      <x:c r="D79" s="337" t="n">
        <x:v>22</x:v>
      </x:c>
      <x:c r="E79" s="337" t="n">
        <x:v>0</x:v>
      </x:c>
      <x:c r="F79" s="337" t="n">
        <x:v>8</x:v>
      </x:c>
      <x:c r="G79" s="337" t="n">
        <x:v>2</x:v>
      </x:c>
    </x:row>
    <x:row r="80">
      <x:c r="A80" s="336" t="str">
        <x:v>钻石|经济|一格</x:v>
      </x:c>
      <x:c r="B80" s="336" t="str">
        <x:v>钻石 / 经济 / 一格</x:v>
      </x:c>
      <x:c r="C80" s="337" t="n">
        <x:v>58</x:v>
      </x:c>
      <x:c r="D80" s="337" t="n">
        <x:v>26</x:v>
      </x:c>
      <x:c r="E80" s="337" t="n">
        <x:v>0</x:v>
      </x:c>
      <x:c r="F80" s="337" t="n">
        <x:v>0</x:v>
      </x:c>
      <x:c r="G80" s="337" t="n">
        <x:v>3</x:v>
      </x:c>
    </x:row>
    <x:row r="81">
      <x:c r="A81" s="336" t="str">
        <x:v>钻石|经济|两格</x:v>
      </x:c>
      <x:c r="B81" s="336" t="str">
        <x:v>钻石 / 经济 / 两格</x:v>
      </x:c>
      <x:c r="C81" s="337" t="n">
        <x:v>64</x:v>
      </x:c>
      <x:c r="D81" s="337" t="n">
        <x:v>24</x:v>
      </x:c>
      <x:c r="E81" s="337" t="n">
        <x:v>0</x:v>
      </x:c>
      <x:c r="F81" s="337" t="n">
        <x:v>0</x:v>
      </x:c>
      <x:c r="G81" s="337" t="n">
        <x:v>3</x:v>
      </x:c>
    </x:row>
    <x:row r="82">
      <x:c r="A82" s="336" t="str">
        <x:v>钻石|经济|三格</x:v>
      </x:c>
      <x:c r="B82" s="336" t="str">
        <x:v>钻石 / 经济 / 三格</x:v>
      </x:c>
      <x:c r="C82" s="337" t="n">
        <x:v>70</x:v>
      </x:c>
      <x:c r="D82" s="337" t="n">
        <x:v>22</x:v>
      </x:c>
      <x:c r="E82" s="337" t="n">
        <x:v>0</x:v>
      </x:c>
      <x:c r="F82" s="337" t="n">
        <x:v>0</x:v>
      </x:c>
      <x:c r="G82" s="337" t="n">
        <x:v>2</x:v>
      </x:c>
    </x:row>
    <x:row r="83">
      <x:c r="A83" s="336" t="str">
        <x:v>钻石|召唤|一格</x:v>
      </x:c>
      <x:c r="B83" s="336" t="str">
        <x:v>钻石 / 召唤 / 一格</x:v>
      </x:c>
      <x:c r="C83" s="337" t="n">
        <x:v>66</x:v>
      </x:c>
      <x:c r="D83" s="337" t="n">
        <x:v>26</x:v>
      </x:c>
      <x:c r="E83" s="337" t="n">
        <x:v>0</x:v>
      </x:c>
      <x:c r="F83" s="337" t="n">
        <x:v>0</x:v>
      </x:c>
      <x:c r="G83" s="337" t="n">
        <x:v>3</x:v>
      </x:c>
    </x:row>
    <x:row r="84">
      <x:c r="A84" s="336" t="str">
        <x:v>钻石|召唤|两格</x:v>
      </x:c>
      <x:c r="B84" s="336" t="str">
        <x:v>钻石 / 召唤 / 两格</x:v>
      </x:c>
      <x:c r="C84" s="337" t="n">
        <x:v>72</x:v>
      </x:c>
      <x:c r="D84" s="337" t="n">
        <x:v>24</x:v>
      </x:c>
      <x:c r="E84" s="337" t="n">
        <x:v>0</x:v>
      </x:c>
      <x:c r="F84" s="337" t="n">
        <x:v>0</x:v>
      </x:c>
      <x:c r="G84" s="337" t="n">
        <x:v>3</x:v>
      </x:c>
    </x:row>
    <x:row r="85">
      <x:c r="A85" s="336" t="str">
        <x:v>钻石|召唤|三格</x:v>
      </x:c>
      <x:c r="B85" s="336" t="str">
        <x:v>钻石 / 召唤 / 三格</x:v>
      </x:c>
      <x:c r="C85" s="337" t="n">
        <x:v>78</x:v>
      </x:c>
      <x:c r="D85" s="337" t="n">
        <x:v>22</x:v>
      </x:c>
      <x:c r="E85" s="337" t="n">
        <x:v>0</x:v>
      </x:c>
      <x:c r="F85" s="337" t="n">
        <x:v>0</x:v>
      </x:c>
      <x:c r="G85" s="337" t="n">
        <x:v>2</x:v>
      </x:c>
    </x:row>
    <x:row r="86">
      <x:c r="A86" s="336" t="str">
        <x:v>钻石|坦克|一格</x:v>
      </x:c>
      <x:c r="B86" s="336" t="str">
        <x:v>钻石 / 坦克 / 一格</x:v>
      </x:c>
      <x:c r="C86" s="337" t="n">
        <x:v>72</x:v>
      </x:c>
      <x:c r="D86" s="337" t="n">
        <x:v>26</x:v>
      </x:c>
      <x:c r="E86" s="337" t="n">
        <x:v>0</x:v>
      </x:c>
      <x:c r="F86" s="337" t="n">
        <x:v>18</x:v>
      </x:c>
      <x:c r="G86" s="337" t="n">
        <x:v>3</x:v>
      </x:c>
    </x:row>
    <x:row r="87">
      <x:c r="A87" s="336" t="str">
        <x:v>钻石|坦克|两格</x:v>
      </x:c>
      <x:c r="B87" s="336" t="str">
        <x:v>钻石 / 坦克 / 两格</x:v>
      </x:c>
      <x:c r="C87" s="337" t="n">
        <x:v>78</x:v>
      </x:c>
      <x:c r="D87" s="337" t="n">
        <x:v>24</x:v>
      </x:c>
      <x:c r="E87" s="337" t="n">
        <x:v>0</x:v>
      </x:c>
      <x:c r="F87" s="337" t="n">
        <x:v>18</x:v>
      </x:c>
      <x:c r="G87" s="337" t="n">
        <x:v>3</x:v>
      </x:c>
    </x:row>
    <x:row r="88">
      <x:c r="A88" s="338" t="str">
        <x:v>钻石|坦克|三格</x:v>
      </x:c>
      <x:c r="B88" s="338" t="str">
        <x:v>钻石 / 坦克 / 三格</x:v>
      </x:c>
      <x:c r="C88" s="339" t="n">
        <x:v>84</x:v>
      </x:c>
      <x:c r="D88" s="339" t="n">
        <x:v>22</x:v>
      </x:c>
      <x:c r="E88" s="339" t="n">
        <x:v>0</x:v>
      </x:c>
      <x:c r="F88" s="339" t="n">
        <x:v>18</x:v>
      </x:c>
      <x:c r="G88" s="339" t="n">
        <x:v>2</x:v>
      </x:c>
    </x:row>
  </x:sheetData>
  <x:mergeCells>
    <x:mergeCell ref="A1:G1"/>
    <x:mergeCell ref="A2:G2"/>
  </x:mergeCells>
  <x:conditionalFormatting sqref="A5:G88">
    <x:cfRule type="colorScale" priority="1">
      <x:colorScale>
        <x:cfvo type="min"/>
        <x:cfvo type="percentile" val="50"/>
        <x:cfvo type="max"/>
        <x:color rgb="FFEFF6FF"/>
        <x:color rgb="FFDBEAFE"/>
        <x:color rgb="FFBFDBF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e5c92ce01a3428f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22" hidden="0" customWidth="1"/>
    <x:col min="10" max="10" width="18" hidden="0" customWidth="1"/>
    <x:col min="11" max="11" width="13" hidden="0" customWidth="1"/>
    <x:col min="12" max="12" width="42" hidden="0" customWidth="1"/>
    <x:col min="13" max="13" width="30" hidden="0" customWidth="1"/>
    <x:col min="14" max="14" width="24" hidden="0" customWidth="1"/>
    <x:col min="15" max="15" width="32" hidden="0" customWidth="1"/>
    <x:col min="16" max="16" width="34" hidden="0" customWidth="1"/>
  </x:cols>
  <x:sheetData>
    <x:row r="1" ht="30" customHeight="1">
      <x:c r="A1" s="350" t="str">
        <x:v>#csv</x:v>
      </x:c>
      <x:c r="B1" s="350" t="str">
        <x:v>24_node_schedule.csv</x:v>
      </x:c>
      <x:c r="C1" s="350" t="str">
        <x:v>路线日程：每天的节点选择与固定战顺序</x:v>
      </x:c>
      <x:c r="D1" s="350" t="str"/>
      <x:c r="E1" s="350" t="str"/>
      <x:c r="F1" s="350" t="str"/>
      <x:c r="G1" s="350" t="str"/>
      <x:c r="H1" s="350" t="str"/>
      <x:c r="I1" s="350" t="str"/>
      <x:c r="J1" s="350" t="str"/>
      <x:c r="K1" s="350" t="str"/>
      <x:c r="L1" s="350" t="str"/>
      <x:c r="M1" s="15"/>
    </x:row>
    <x:row r="2" ht="30" customHeight="1">
      <x:c r="A2" s="347" t="str">
        <x:v>schedule_id</x:v>
      </x:c>
      <x:c r="B2" s="347" t="str">
        <x:v>day</x:v>
      </x:c>
      <x:c r="C2" s="347" t="str">
        <x:v>step</x:v>
      </x:c>
      <x:c r="D2" s="347" t="str">
        <x:v>kind</x:v>
      </x:c>
      <x:c r="E2" s="347" t="str">
        <x:v>label</x:v>
      </x:c>
      <x:c r="F2" s="347" t="str">
        <x:v>pool_id</x:v>
      </x:c>
      <x:c r="G2" s="347" t="str">
        <x:v>choice_count</x:v>
      </x:c>
      <x:c r="H2" s="347" t="str">
        <x:v>encounter_pool_id</x:v>
      </x:c>
      <x:c r="I2" s="347" t="str">
        <x:v>encounter_id</x:v>
      </x:c>
      <x:c r="J2" s="347" t="str">
        <x:v>phase_label</x:v>
      </x:c>
      <x:c r="K2" s="347" t="str">
        <x:v>status</x:v>
      </x:c>
      <x:c r="L2" s="347" t="str">
        <x:v>note</x:v>
      </x:c>
      <x:c r="M2" s="15"/>
    </x:row>
    <x:row r="3" ht="21" customHeight="1">
      <x:c r="A3" s="351" t="str">
        <x:v>d01_node_1</x:v>
      </x:c>
      <x:c r="B3" s="351" t="str">
        <x:v>1</x:v>
      </x:c>
      <x:c r="C3" s="351" t="str">
        <x:v>1</x:v>
      </x:c>
      <x:c r="D3" s="351" t="str">
        <x:v>node_choice</x:v>
      </x:c>
      <x:c r="E3" s="351" t="str">
        <x:v>事件节点1</x:v>
      </x:c>
      <x:c r="F3" s="351" t="str">
        <x:v>node_pool_d01_growth</x:v>
      </x:c>
      <x:c r="G3" s="351" t="str">
        <x:v>3</x:v>
      </x:c>
      <x:c r="H3" s="351" t="str"/>
      <x:c r="I3" s="351" t="str"/>
      <x:c r="J3" s="351" t="str"/>
      <x:c r="K3" s="351" t="str">
        <x:v>正式</x:v>
      </x:c>
      <x:c r="L3" s="351" t="str">
        <x:v>Day1 第1个 3 选 1 事件/节点</x:v>
      </x:c>
      <x:c r="M3" s="15"/>
    </x:row>
    <x:row r="4" ht="21" customHeight="1">
      <x:c r="A4" s="351" t="str">
        <x:v>d01_node_2</x:v>
      </x:c>
      <x:c r="B4" s="351" t="str">
        <x:v>1</x:v>
      </x:c>
      <x:c r="C4" s="351" t="str">
        <x:v>2</x:v>
      </x:c>
      <x:c r="D4" s="351" t="str">
        <x:v>node_choice</x:v>
      </x:c>
      <x:c r="E4" s="351" t="str">
        <x:v>事件节点2</x:v>
      </x:c>
      <x:c r="F4" s="351" t="str">
        <x:v>node_pool_d01_growth</x:v>
      </x:c>
      <x:c r="G4" s="351" t="str">
        <x:v>3</x:v>
      </x:c>
      <x:c r="H4" s="351" t="str"/>
      <x:c r="I4" s="351" t="str"/>
      <x:c r="J4" s="351" t="str"/>
      <x:c r="K4" s="351" t="str">
        <x:v>正式</x:v>
      </x:c>
      <x:c r="L4" s="351" t="str">
        <x:v>Day1 第2个 3 选 1 事件/节点</x:v>
      </x:c>
      <x:c r="M4" s="15"/>
    </x:row>
    <x:row r="5" ht="21" customHeight="1">
      <x:c r="A5" s="351" t="str">
        <x:v>d01_morning_choice</x:v>
      </x:c>
      <x:c r="B5" s="351" t="n">
        <x:v>1</x:v>
      </x:c>
      <x:c r="C5" s="351" t="n">
        <x:v>3</x:v>
      </x:c>
      <x:c r="D5" s="351" t="str">
        <x:v>battle_choice</x:v>
      </x:c>
      <x:c r="E5" s="351" t="str">
        <x:v>第一场遭遇</x:v>
      </x:c>
      <x:c r="F5" s="351" t="str"/>
      <x:c r="G5" s="351" t="n">
        <x:v>3</x:v>
      </x:c>
      <x:c r="H5" s="351" t="str">
        <x:v>enc_pool_d01_midday</x:v>
      </x:c>
      <x:c r="I5" s="351" t="str"/>
      <x:c r="J5" s="351" t="str">
        <x:v>上午遭遇</x:v>
      </x:c>
      <x:c r="K5" s="351" t="str">
        <x:v>正式</x:v>
      </x:c>
      <x:c r="L5" s="351" t="str">
        <x:v>Day1 首个真实风险/敌阵/奖励三选一</x:v>
      </x:c>
      <x:c r="M5" s="15"/>
    </x:row>
    <x:row r="6" ht="21" customHeight="1">
      <x:c r="A6" s="351" t="str">
        <x:v>d01_node_4</x:v>
      </x:c>
      <x:c r="B6" s="351" t="str">
        <x:v>1</x:v>
      </x:c>
      <x:c r="C6" s="351" t="str">
        <x:v>4</x:v>
      </x:c>
      <x:c r="D6" s="351" t="str">
        <x:v>node_choice</x:v>
      </x:c>
      <x:c r="E6" s="351" t="str">
        <x:v>事件节点3</x:v>
      </x:c>
      <x:c r="F6" s="351" t="str">
        <x:v>node_pool_d01_growth</x:v>
      </x:c>
      <x:c r="G6" s="351" t="str">
        <x:v>3</x:v>
      </x:c>
      <x:c r="H6" s="351" t="str"/>
      <x:c r="I6" s="351" t="str"/>
      <x:c r="J6" s="351" t="str"/>
      <x:c r="K6" s="351" t="str">
        <x:v>正式</x:v>
      </x:c>
      <x:c r="L6" s="351" t="str">
        <x:v>Day1 第3个 3 选 1 事件/节点</x:v>
      </x:c>
      <x:c r="M6" s="15"/>
    </x:row>
    <x:row r="7" ht="21" customHeight="1">
      <x:c r="A7" s="351" t="str">
        <x:v>d01_node_5</x:v>
      </x:c>
      <x:c r="B7" s="351" t="str">
        <x:v>1</x:v>
      </x:c>
      <x:c r="C7" s="351" t="str">
        <x:v>5</x:v>
      </x:c>
      <x:c r="D7" s="351" t="str">
        <x:v>node_choice</x:v>
      </x:c>
      <x:c r="E7" s="351" t="str">
        <x:v>事件节点4</x:v>
      </x:c>
      <x:c r="F7" s="351" t="str">
        <x:v>node_pool_d01_growth</x:v>
      </x:c>
      <x:c r="G7" s="351" t="str">
        <x:v>3</x:v>
      </x:c>
      <x:c r="H7" s="351" t="str"/>
      <x:c r="I7" s="351" t="str"/>
      <x:c r="J7" s="351" t="str"/>
      <x:c r="K7" s="351" t="str">
        <x:v>正式</x:v>
      </x:c>
      <x:c r="L7" s="351" t="str">
        <x:v>Day1 第4个 3 选 1 事件/节点</x:v>
      </x:c>
      <x:c r="M7" s="15"/>
    </x:row>
    <x:row r="8" ht="21" customHeight="1">
      <x:c r="A8" s="351" t="str">
        <x:v>d01_evening_fixed</x:v>
      </x:c>
      <x:c r="B8" s="351" t="str">
        <x:v>1</x:v>
      </x:c>
      <x:c r="C8" s="351" t="str">
        <x:v>6</x:v>
      </x:c>
      <x:c r="D8" s="351" t="str">
        <x:v>fixed_battle</x:v>
      </x:c>
      <x:c r="E8" s="351" t="str">
        <x:v>第二场战斗</x:v>
      </x:c>
      <x:c r="F8" s="351" t="str"/>
      <x:c r="G8" s="351" t="str"/>
      <x:c r="H8" s="351" t="str"/>
      <x:c r="I8" s="351" t="str">
        <x:v>enc_d01_evening_fixed</x:v>
      </x:c>
      <x:c r="J8" s="351" t="str">
        <x:v>晚上战</x:v>
      </x:c>
      <x:c r="K8" s="351" t="str">
        <x:v>正式</x:v>
      </x:c>
      <x:c r="L8" s="351" t="str">
        <x:v>Day1 第2场棋盘战</x:v>
      </x:c>
      <x:c r="M8" s="15"/>
    </x:row>
    <x:row r="9" ht="21" customHeight="1">
      <x:c r="A9" s="351" t="str">
        <x:v>d02_node_1</x:v>
      </x:c>
      <x:c r="B9" s="351" t="str">
        <x:v>2</x:v>
      </x:c>
      <x:c r="C9" s="351" t="str">
        <x:v>1</x:v>
      </x:c>
      <x:c r="D9" s="351" t="str">
        <x:v>node_choice</x:v>
      </x:c>
      <x:c r="E9" s="351" t="str">
        <x:v>事件节点1</x:v>
      </x:c>
      <x:c r="F9" s="351" t="str">
        <x:v>node_pool_d02_growth</x:v>
      </x:c>
      <x:c r="G9" s="351" t="str">
        <x:v>3</x:v>
      </x:c>
      <x:c r="H9" s="351" t="str"/>
      <x:c r="I9" s="351" t="str"/>
      <x:c r="J9" s="351" t="str"/>
      <x:c r="K9" s="351" t="str">
        <x:v>正式</x:v>
      </x:c>
      <x:c r="L9" s="351" t="str">
        <x:v>Day2 第1个 3 选 1 事件/节点</x:v>
      </x:c>
      <x:c r="M9" s="15"/>
    </x:row>
    <x:row r="10" ht="21" customHeight="1">
      <x:c r="A10" s="351" t="str">
        <x:v>d02_node_2</x:v>
      </x:c>
      <x:c r="B10" s="351" t="str">
        <x:v>2</x:v>
      </x:c>
      <x:c r="C10" s="351" t="str">
        <x:v>2</x:v>
      </x:c>
      <x:c r="D10" s="351" t="str">
        <x:v>node_choice</x:v>
      </x:c>
      <x:c r="E10" s="351" t="str">
        <x:v>事件节点2</x:v>
      </x:c>
      <x:c r="F10" s="351" t="str">
        <x:v>node_pool_d02_growth</x:v>
      </x:c>
      <x:c r="G10" s="351" t="str">
        <x:v>3</x:v>
      </x:c>
      <x:c r="H10" s="351" t="str"/>
      <x:c r="I10" s="351" t="str"/>
      <x:c r="J10" s="351" t="str"/>
      <x:c r="K10" s="351" t="str">
        <x:v>正式</x:v>
      </x:c>
      <x:c r="L10" s="351" t="str">
        <x:v>Day2 第2个 3 选 1 事件/节点</x:v>
      </x:c>
      <x:c r="M10" s="15"/>
    </x:row>
    <x:row r="11" ht="21" customHeight="1">
      <x:c r="A11" s="351" t="str">
        <x:v>d02_morning_fixed</x:v>
      </x:c>
      <x:c r="B11" s="351" t="str">
        <x:v>2</x:v>
      </x:c>
      <x:c r="C11" s="351" t="str">
        <x:v>3</x:v>
      </x:c>
      <x:c r="D11" s="351" t="str">
        <x:v>fixed_battle</x:v>
      </x:c>
      <x:c r="E11" s="351" t="str">
        <x:v>第一场战斗</x:v>
      </x:c>
      <x:c r="F11" s="351" t="str"/>
      <x:c r="G11" s="351" t="str"/>
      <x:c r="H11" s="351" t="str"/>
      <x:c r="I11" s="351" t="str">
        <x:v>enc_d02_midday_a</x:v>
      </x:c>
      <x:c r="J11" s="351" t="str">
        <x:v>上午战</x:v>
      </x:c>
      <x:c r="K11" s="351" t="str">
        <x:v>正式</x:v>
      </x:c>
      <x:c r="L11" s="351" t="str">
        <x:v>Day2 第1场棋盘战</x:v>
      </x:c>
      <x:c r="M11" s="15"/>
    </x:row>
    <x:row r="12" ht="21" customHeight="1">
      <x:c r="A12" s="351" t="str">
        <x:v>d02_node_4</x:v>
      </x:c>
      <x:c r="B12" s="351" t="str">
        <x:v>2</x:v>
      </x:c>
      <x:c r="C12" s="351" t="str">
        <x:v>4</x:v>
      </x:c>
      <x:c r="D12" s="351" t="str">
        <x:v>node_choice</x:v>
      </x:c>
      <x:c r="E12" s="351" t="str">
        <x:v>事件节点3</x:v>
      </x:c>
      <x:c r="F12" s="351" t="str">
        <x:v>node_pool_d02_growth</x:v>
      </x:c>
      <x:c r="G12" s="351" t="str">
        <x:v>3</x:v>
      </x:c>
      <x:c r="H12" s="351" t="str"/>
      <x:c r="I12" s="351" t="str"/>
      <x:c r="J12" s="351" t="str"/>
      <x:c r="K12" s="351" t="str">
        <x:v>正式</x:v>
      </x:c>
      <x:c r="L12" s="351" t="str">
        <x:v>Day2 第3个 3 选 1 事件/节点</x:v>
      </x:c>
      <x:c r="M12" s="15"/>
    </x:row>
    <x:row r="13" ht="21" customHeight="1">
      <x:c r="A13" s="351" t="str">
        <x:v>d02_node_5</x:v>
      </x:c>
      <x:c r="B13" s="351" t="str">
        <x:v>2</x:v>
      </x:c>
      <x:c r="C13" s="351" t="str">
        <x:v>5</x:v>
      </x:c>
      <x:c r="D13" s="351" t="str">
        <x:v>node_choice</x:v>
      </x:c>
      <x:c r="E13" s="351" t="str">
        <x:v>事件节点4</x:v>
      </x:c>
      <x:c r="F13" s="351" t="str">
        <x:v>node_pool_d02_growth</x:v>
      </x:c>
      <x:c r="G13" s="351" t="str">
        <x:v>3</x:v>
      </x:c>
      <x:c r="H13" s="351" t="str"/>
      <x:c r="I13" s="351" t="str"/>
      <x:c r="J13" s="351" t="str"/>
      <x:c r="K13" s="351" t="str">
        <x:v>正式</x:v>
      </x:c>
      <x:c r="L13" s="351" t="str">
        <x:v>Day2 第4个 3 选 1 事件/节点</x:v>
      </x:c>
      <x:c r="M13" s="15"/>
    </x:row>
    <x:row r="14" ht="21" customHeight="1">
      <x:c r="A14" s="351" t="str">
        <x:v>d02_evening_fixed</x:v>
      </x:c>
      <x:c r="B14" s="351" t="str">
        <x:v>2</x:v>
      </x:c>
      <x:c r="C14" s="351" t="str">
        <x:v>6</x:v>
      </x:c>
      <x:c r="D14" s="351" t="str">
        <x:v>fixed_battle</x:v>
      </x:c>
      <x:c r="E14" s="351" t="str">
        <x:v>第二场战斗</x:v>
      </x:c>
      <x:c r="F14" s="351" t="str"/>
      <x:c r="G14" s="351" t="str"/>
      <x:c r="H14" s="351" t="str"/>
      <x:c r="I14" s="351" t="str">
        <x:v>enc_d02_evening_fixed</x:v>
      </x:c>
      <x:c r="J14" s="351" t="str">
        <x:v>晚上战</x:v>
      </x:c>
      <x:c r="K14" s="351" t="str">
        <x:v>正式</x:v>
      </x:c>
      <x:c r="L14" s="351" t="str">
        <x:v>Day2 第2场棋盘战</x:v>
      </x:c>
      <x:c r="M14" s="15"/>
    </x:row>
    <x:row r="15" ht="21" customHeight="1">
      <x:c r="A15" s="351" t="str">
        <x:v>d03_node_1</x:v>
      </x:c>
      <x:c r="B15" s="351" t="str">
        <x:v>3</x:v>
      </x:c>
      <x:c r="C15" s="351" t="str">
        <x:v>1</x:v>
      </x:c>
      <x:c r="D15" s="351" t="str">
        <x:v>node_choice</x:v>
      </x:c>
      <x:c r="E15" s="351" t="str">
        <x:v>事件节点1</x:v>
      </x:c>
      <x:c r="F15" s="351" t="str">
        <x:v>node_pool_d03_growth</x:v>
      </x:c>
      <x:c r="G15" s="351" t="str">
        <x:v>3</x:v>
      </x:c>
      <x:c r="H15" s="351" t="str"/>
      <x:c r="I15" s="351" t="str"/>
      <x:c r="J15" s="351" t="str"/>
      <x:c r="K15" s="351" t="str">
        <x:v>正式</x:v>
      </x:c>
      <x:c r="L15" s="351" t="str">
        <x:v>Day3 第1个 3 选 1 事件/节点</x:v>
      </x:c>
      <x:c r="M15" s="15"/>
    </x:row>
    <x:row r="16" ht="21" customHeight="1">
      <x:c r="A16" s="351" t="str">
        <x:v>d03_node_2</x:v>
      </x:c>
      <x:c r="B16" s="351" t="str">
        <x:v>3</x:v>
      </x:c>
      <x:c r="C16" s="351" t="str">
        <x:v>2</x:v>
      </x:c>
      <x:c r="D16" s="351" t="str">
        <x:v>node_choice</x:v>
      </x:c>
      <x:c r="E16" s="351" t="str">
        <x:v>事件节点2</x:v>
      </x:c>
      <x:c r="F16" s="351" t="str">
        <x:v>node_pool_d03_growth</x:v>
      </x:c>
      <x:c r="G16" s="351" t="str">
        <x:v>3</x:v>
      </x:c>
      <x:c r="H16" s="351" t="str"/>
      <x:c r="I16" s="351" t="str"/>
      <x:c r="J16" s="351" t="str"/>
      <x:c r="K16" s="351" t="str">
        <x:v>正式</x:v>
      </x:c>
      <x:c r="L16" s="351" t="str">
        <x:v>Day3 第2个 3 选 1 事件/节点</x:v>
      </x:c>
      <x:c r="M16" s="15"/>
    </x:row>
    <x:row r="17" ht="21" customHeight="1">
      <x:c r="A17" s="351" t="str">
        <x:v>d03_morning_choice</x:v>
      </x:c>
      <x:c r="B17" s="351" t="n">
        <x:v>3</x:v>
      </x:c>
      <x:c r="C17" s="351" t="n">
        <x:v>3</x:v>
      </x:c>
      <x:c r="D17" s="351" t="str">
        <x:v>battle_choice</x:v>
      </x:c>
      <x:c r="E17" s="351" t="str">
        <x:v>第一场遭遇</x:v>
      </x:c>
      <x:c r="F17" s="351"/>
      <x:c r="G17" s="351" t="n">
        <x:v>3</x:v>
      </x:c>
      <x:c r="H17" s="351" t="str">
        <x:v>enc_pool_d03_midday</x:v>
      </x:c>
      <x:c r="I17" s="351"/>
      <x:c r="J17" s="351" t="str">
        <x:v>早期定向</x:v>
      </x:c>
      <x:c r="K17" s="351" t="str">
        <x:v>正式</x:v>
      </x:c>
      <x:c r="L17" s="351" t="str">
        <x:v>Day3 早期定向风险/收益三选一</x:v>
      </x:c>
      <x:c r="M17" s="15"/>
    </x:row>
    <x:row r="18" ht="21" customHeight="1">
      <x:c r="A18" s="351" t="str">
        <x:v>d03_node_4</x:v>
      </x:c>
      <x:c r="B18" s="351" t="str">
        <x:v>3</x:v>
      </x:c>
      <x:c r="C18" s="351" t="str">
        <x:v>4</x:v>
      </x:c>
      <x:c r="D18" s="351" t="str">
        <x:v>node_choice</x:v>
      </x:c>
      <x:c r="E18" s="351" t="str">
        <x:v>事件节点3</x:v>
      </x:c>
      <x:c r="F18" s="351" t="str">
        <x:v>node_pool_d03_growth</x:v>
      </x:c>
      <x:c r="G18" s="351" t="str">
        <x:v>3</x:v>
      </x:c>
      <x:c r="H18" s="351" t="str"/>
      <x:c r="I18" s="351" t="str"/>
      <x:c r="J18" s="351" t="str"/>
      <x:c r="K18" s="351" t="str">
        <x:v>正式</x:v>
      </x:c>
      <x:c r="L18" s="351" t="str">
        <x:v>Day3 第3个 3 选 1 事件/节点</x:v>
      </x:c>
      <x:c r="M18" s="15"/>
    </x:row>
    <x:row r="19" ht="21" customHeight="1">
      <x:c r="A19" s="351" t="str">
        <x:v>d03_node_5</x:v>
      </x:c>
      <x:c r="B19" s="351" t="str">
        <x:v>3</x:v>
      </x:c>
      <x:c r="C19" s="351" t="str">
        <x:v>5</x:v>
      </x:c>
      <x:c r="D19" s="351" t="str">
        <x:v>node_choice</x:v>
      </x:c>
      <x:c r="E19" s="351" t="str">
        <x:v>事件节点4</x:v>
      </x:c>
      <x:c r="F19" s="351" t="str">
        <x:v>node_pool_d03_growth</x:v>
      </x:c>
      <x:c r="G19" s="351" t="str">
        <x:v>3</x:v>
      </x:c>
      <x:c r="H19" s="351" t="str"/>
      <x:c r="I19" s="351" t="str"/>
      <x:c r="J19" s="351" t="str"/>
      <x:c r="K19" s="351" t="str">
        <x:v>正式</x:v>
      </x:c>
      <x:c r="L19" s="351" t="str">
        <x:v>Day3 第4个 3 选 1 事件/节点</x:v>
      </x:c>
      <x:c r="M19" s="15"/>
    </x:row>
    <x:row r="20" ht="21" customHeight="1">
      <x:c r="A20" s="351" t="str">
        <x:v>d03_evening_fixed</x:v>
      </x:c>
      <x:c r="B20" s="351" t="str">
        <x:v>3</x:v>
      </x:c>
      <x:c r="C20" s="351" t="str">
        <x:v>6</x:v>
      </x:c>
      <x:c r="D20" s="351" t="str">
        <x:v>fixed_battle</x:v>
      </x:c>
      <x:c r="E20" s="351" t="str">
        <x:v>第二场战斗</x:v>
      </x:c>
      <x:c r="F20" s="351" t="str"/>
      <x:c r="G20" s="351" t="str"/>
      <x:c r="H20" s="351" t="str"/>
      <x:c r="I20" s="351" t="str">
        <x:v>enc_d03_evening_fixed</x:v>
      </x:c>
      <x:c r="J20" s="351" t="str">
        <x:v>晚上战</x:v>
      </x:c>
      <x:c r="K20" s="351" t="str">
        <x:v>正式</x:v>
      </x:c>
      <x:c r="L20" s="351" t="str">
        <x:v>Day3 第2场棋盘战</x:v>
      </x:c>
      <x:c r="M20" s="15"/>
    </x:row>
    <x:row r="21" ht="21" customHeight="1">
      <x:c r="A21" s="351" t="str">
        <x:v>d04_node_1</x:v>
      </x:c>
      <x:c r="B21" s="351" t="str">
        <x:v>4</x:v>
      </x:c>
      <x:c r="C21" s="351" t="str">
        <x:v>1</x:v>
      </x:c>
      <x:c r="D21" s="351" t="str">
        <x:v>node_choice</x:v>
      </x:c>
      <x:c r="E21" s="351" t="str">
        <x:v>事件节点1</x:v>
      </x:c>
      <x:c r="F21" s="351" t="str">
        <x:v>node_pool_d04_growth</x:v>
      </x:c>
      <x:c r="G21" s="351" t="str">
        <x:v>3</x:v>
      </x:c>
      <x:c r="H21" s="351" t="str"/>
      <x:c r="I21" s="351" t="str"/>
      <x:c r="J21" s="351" t="str"/>
      <x:c r="K21" s="351" t="str">
        <x:v>正式</x:v>
      </x:c>
      <x:c r="L21" s="351" t="str">
        <x:v>Day4 第1个 3 选 1 事件/节点</x:v>
      </x:c>
      <x:c r="M21" s="15"/>
    </x:row>
    <x:row r="22" ht="21" customHeight="1">
      <x:c r="A22" s="351" t="str">
        <x:v>d04_node_2</x:v>
      </x:c>
      <x:c r="B22" s="351" t="str">
        <x:v>4</x:v>
      </x:c>
      <x:c r="C22" s="351" t="str">
        <x:v>2</x:v>
      </x:c>
      <x:c r="D22" s="351" t="str">
        <x:v>node_choice</x:v>
      </x:c>
      <x:c r="E22" s="351" t="str">
        <x:v>事件节点2</x:v>
      </x:c>
      <x:c r="F22" s="351" t="str">
        <x:v>node_pool_d04_growth</x:v>
      </x:c>
      <x:c r="G22" s="351" t="str">
        <x:v>3</x:v>
      </x:c>
      <x:c r="H22" s="351" t="str"/>
      <x:c r="I22" s="351" t="str"/>
      <x:c r="J22" s="351" t="str"/>
      <x:c r="K22" s="351" t="str">
        <x:v>正式</x:v>
      </x:c>
      <x:c r="L22" s="351" t="str">
        <x:v>Day4 第2个 3 选 1 事件/节点</x:v>
      </x:c>
      <x:c r="M22" s="15"/>
    </x:row>
    <x:row r="23" ht="21" customHeight="1">
      <x:c r="A23" s="351" t="str">
        <x:v>d04_morning_fixed</x:v>
      </x:c>
      <x:c r="B23" s="351" t="str">
        <x:v>4</x:v>
      </x:c>
      <x:c r="C23" s="351" t="str">
        <x:v>3</x:v>
      </x:c>
      <x:c r="D23" s="351" t="str">
        <x:v>fixed_battle</x:v>
      </x:c>
      <x:c r="E23" s="351" t="str">
        <x:v>第一场战斗</x:v>
      </x:c>
      <x:c r="F23" s="351" t="str"/>
      <x:c r="G23" s="351" t="str"/>
      <x:c r="H23" s="351" t="str"/>
      <x:c r="I23" s="351" t="str">
        <x:v>enc_d04_midday_a</x:v>
      </x:c>
      <x:c r="J23" s="351" t="str">
        <x:v>上午战</x:v>
      </x:c>
      <x:c r="K23" s="351" t="str">
        <x:v>正式</x:v>
      </x:c>
      <x:c r="L23" s="351" t="str">
        <x:v>Day4 第1场棋盘战</x:v>
      </x:c>
      <x:c r="M23" s="15"/>
    </x:row>
    <x:row r="24" ht="21" customHeight="1">
      <x:c r="A24" s="351" t="str">
        <x:v>d04_node_4</x:v>
      </x:c>
      <x:c r="B24" s="351" t="str">
        <x:v>4</x:v>
      </x:c>
      <x:c r="C24" s="351" t="str">
        <x:v>4</x:v>
      </x:c>
      <x:c r="D24" s="351" t="str">
        <x:v>node_choice</x:v>
      </x:c>
      <x:c r="E24" s="351" t="str">
        <x:v>事件节点3</x:v>
      </x:c>
      <x:c r="F24" s="351" t="str">
        <x:v>node_pool_d04_growth</x:v>
      </x:c>
      <x:c r="G24" s="351" t="str">
        <x:v>3</x:v>
      </x:c>
      <x:c r="H24" s="351" t="str"/>
      <x:c r="I24" s="351" t="str"/>
      <x:c r="J24" s="351" t="str"/>
      <x:c r="K24" s="351" t="str">
        <x:v>正式</x:v>
      </x:c>
      <x:c r="L24" s="351" t="str">
        <x:v>Day4 第3个 3 选 1 事件/节点</x:v>
      </x:c>
      <x:c r="M24" s="15"/>
    </x:row>
    <x:row r="25" ht="21" customHeight="1">
      <x:c r="A25" s="351" t="str">
        <x:v>d04_node_5</x:v>
      </x:c>
      <x:c r="B25" s="351" t="str">
        <x:v>4</x:v>
      </x:c>
      <x:c r="C25" s="351" t="str">
        <x:v>5</x:v>
      </x:c>
      <x:c r="D25" s="351" t="str">
        <x:v>node_choice</x:v>
      </x:c>
      <x:c r="E25" s="351" t="str">
        <x:v>事件节点4</x:v>
      </x:c>
      <x:c r="F25" s="351" t="str">
        <x:v>node_pool_d04_growth</x:v>
      </x:c>
      <x:c r="G25" s="351" t="str">
        <x:v>3</x:v>
      </x:c>
      <x:c r="H25" s="351" t="str"/>
      <x:c r="I25" s="351" t="str"/>
      <x:c r="J25" s="351" t="str"/>
      <x:c r="K25" s="351" t="str">
        <x:v>正式</x:v>
      </x:c>
      <x:c r="L25" s="351" t="str">
        <x:v>Day4 第4个 3 选 1 事件/节点</x:v>
      </x:c>
      <x:c r="M25" s="15"/>
    </x:row>
    <x:row r="26" ht="21" customHeight="1">
      <x:c r="A26" s="351" t="str">
        <x:v>d04_evening_fixed</x:v>
      </x:c>
      <x:c r="B26" s="351" t="str">
        <x:v>4</x:v>
      </x:c>
      <x:c r="C26" s="351" t="str">
        <x:v>6</x:v>
      </x:c>
      <x:c r="D26" s="351" t="str">
        <x:v>fixed_battle</x:v>
      </x:c>
      <x:c r="E26" s="351" t="str">
        <x:v>第二场战斗</x:v>
      </x:c>
      <x:c r="F26" s="351" t="str"/>
      <x:c r="G26" s="351" t="str"/>
      <x:c r="H26" s="351" t="str"/>
      <x:c r="I26" s="351" t="str">
        <x:v>enc_d04_evening_fixed</x:v>
      </x:c>
      <x:c r="J26" s="351" t="str">
        <x:v>晚上战</x:v>
      </x:c>
      <x:c r="K26" s="351" t="str">
        <x:v>正式</x:v>
      </x:c>
      <x:c r="L26" s="351" t="str">
        <x:v>Day4 第2场棋盘战</x:v>
      </x:c>
      <x:c r="M26" s="15"/>
    </x:row>
    <x:row r="27" ht="21" customHeight="1">
      <x:c r="A27" s="351" t="str">
        <x:v>d05_node_1</x:v>
      </x:c>
      <x:c r="B27" s="351" t="str">
        <x:v>5</x:v>
      </x:c>
      <x:c r="C27" s="351" t="str">
        <x:v>1</x:v>
      </x:c>
      <x:c r="D27" s="351" t="str">
        <x:v>node_choice</x:v>
      </x:c>
      <x:c r="E27" s="351" t="str">
        <x:v>事件节点1</x:v>
      </x:c>
      <x:c r="F27" s="351" t="str">
        <x:v>node_pool_d05_growth</x:v>
      </x:c>
      <x:c r="G27" s="351" t="str">
        <x:v>3</x:v>
      </x:c>
      <x:c r="H27" s="351" t="str"/>
      <x:c r="I27" s="351" t="str"/>
      <x:c r="J27" s="351" t="str"/>
      <x:c r="K27" s="351" t="str">
        <x:v>正式</x:v>
      </x:c>
      <x:c r="L27" s="351" t="str">
        <x:v>Day5 第1个 3 选 1 事件/节点</x:v>
      </x:c>
      <x:c r="M27" s="15"/>
    </x:row>
    <x:row r="28" ht="21" customHeight="1">
      <x:c r="A28" s="351" t="str">
        <x:v>d05_node_2</x:v>
      </x:c>
      <x:c r="B28" s="351" t="str">
        <x:v>5</x:v>
      </x:c>
      <x:c r="C28" s="351" t="str">
        <x:v>2</x:v>
      </x:c>
      <x:c r="D28" s="351" t="str">
        <x:v>node_choice</x:v>
      </x:c>
      <x:c r="E28" s="351" t="str">
        <x:v>事件节点2</x:v>
      </x:c>
      <x:c r="F28" s="351" t="str">
        <x:v>node_pool_d05_growth</x:v>
      </x:c>
      <x:c r="G28" s="351" t="str">
        <x:v>3</x:v>
      </x:c>
      <x:c r="H28" s="351" t="str"/>
      <x:c r="I28" s="351" t="str"/>
      <x:c r="J28" s="351" t="str"/>
      <x:c r="K28" s="351" t="str">
        <x:v>正式</x:v>
      </x:c>
      <x:c r="L28" s="351" t="str">
        <x:v>Day5 第2个 3 选 1 事件/节点</x:v>
      </x:c>
      <x:c r="M28" s="15"/>
    </x:row>
    <x:row r="29" ht="21" customHeight="1">
      <x:c r="A29" s="351" t="str">
        <x:v>d05_morning_fixed</x:v>
      </x:c>
      <x:c r="B29" s="351" t="str">
        <x:v>5</x:v>
      </x:c>
      <x:c r="C29" s="351" t="str">
        <x:v>3</x:v>
      </x:c>
      <x:c r="D29" s="351" t="str">
        <x:v>fixed_battle</x:v>
      </x:c>
      <x:c r="E29" s="351" t="str">
        <x:v>第一场战斗</x:v>
      </x:c>
      <x:c r="F29" s="351" t="str"/>
      <x:c r="G29" s="351" t="str"/>
      <x:c r="H29" s="351" t="str"/>
      <x:c r="I29" s="351" t="str">
        <x:v>enc_d05_midday_a</x:v>
      </x:c>
      <x:c r="J29" s="351" t="str">
        <x:v>上午战</x:v>
      </x:c>
      <x:c r="K29" s="351" t="str">
        <x:v>正式</x:v>
      </x:c>
      <x:c r="L29" s="351" t="str">
        <x:v>Day5 第1场棋盘战</x:v>
      </x:c>
      <x:c r="M29" s="15"/>
    </x:row>
    <x:row r="30" ht="21" customHeight="1">
      <x:c r="A30" s="351" t="str">
        <x:v>d05_node_4</x:v>
      </x:c>
      <x:c r="B30" s="351" t="str">
        <x:v>5</x:v>
      </x:c>
      <x:c r="C30" s="351" t="str">
        <x:v>4</x:v>
      </x:c>
      <x:c r="D30" s="351" t="str">
        <x:v>node_choice</x:v>
      </x:c>
      <x:c r="E30" s="351" t="str">
        <x:v>事件节点3</x:v>
      </x:c>
      <x:c r="F30" s="351" t="str">
        <x:v>node_pool_d05_growth</x:v>
      </x:c>
      <x:c r="G30" s="351" t="str">
        <x:v>3</x:v>
      </x:c>
      <x:c r="H30" s="351" t="str"/>
      <x:c r="I30" s="351" t="str"/>
      <x:c r="J30" s="351" t="str"/>
      <x:c r="K30" s="351" t="str">
        <x:v>正式</x:v>
      </x:c>
      <x:c r="L30" s="351" t="str">
        <x:v>Day5 第3个 3 选 1 事件/节点</x:v>
      </x:c>
      <x:c r="M30" s="15"/>
    </x:row>
    <x:row r="31" ht="21" customHeight="1">
      <x:c r="A31" s="351" t="str">
        <x:v>d05_node_5</x:v>
      </x:c>
      <x:c r="B31" s="351" t="str">
        <x:v>5</x:v>
      </x:c>
      <x:c r="C31" s="351" t="str">
        <x:v>5</x:v>
      </x:c>
      <x:c r="D31" s="351" t="str">
        <x:v>node_choice</x:v>
      </x:c>
      <x:c r="E31" s="351" t="str">
        <x:v>事件节点4</x:v>
      </x:c>
      <x:c r="F31" s="351" t="str">
        <x:v>node_pool_d05_growth</x:v>
      </x:c>
      <x:c r="G31" s="351" t="str">
        <x:v>3</x:v>
      </x:c>
      <x:c r="H31" s="351" t="str"/>
      <x:c r="I31" s="351" t="str"/>
      <x:c r="J31" s="351" t="str"/>
      <x:c r="K31" s="351" t="str">
        <x:v>正式</x:v>
      </x:c>
      <x:c r="L31" s="351" t="str">
        <x:v>Day5 第4个 3 选 1 事件/节点</x:v>
      </x:c>
      <x:c r="M31" s="15"/>
    </x:row>
    <x:row r="32" ht="21" customHeight="1">
      <x:c r="A32" s="351" t="str">
        <x:v>d05_evening_fixed</x:v>
      </x:c>
      <x:c r="B32" s="351" t="str">
        <x:v>5</x:v>
      </x:c>
      <x:c r="C32" s="351" t="str">
        <x:v>6</x:v>
      </x:c>
      <x:c r="D32" s="351" t="str">
        <x:v>fixed_battle</x:v>
      </x:c>
      <x:c r="E32" s="351" t="str">
        <x:v>第二场战斗</x:v>
      </x:c>
      <x:c r="F32" s="351" t="str"/>
      <x:c r="G32" s="351" t="str"/>
      <x:c r="H32" s="351" t="str"/>
      <x:c r="I32" s="351" t="str">
        <x:v>enc_d05_evening_fixed</x:v>
      </x:c>
      <x:c r="J32" s="351" t="str">
        <x:v>晚上战</x:v>
      </x:c>
      <x:c r="K32" s="351" t="str">
        <x:v>正式</x:v>
      </x:c>
      <x:c r="L32" s="351" t="str">
        <x:v>Day5 第2场棋盘战</x:v>
      </x:c>
      <x:c r="M32" s="15"/>
    </x:row>
    <x:row r="33" ht="21" customHeight="1">
      <x:c r="A33" s="351" t="str">
        <x:v>d06_node_1</x:v>
      </x:c>
      <x:c r="B33" s="351" t="str">
        <x:v>6</x:v>
      </x:c>
      <x:c r="C33" s="351" t="str">
        <x:v>1</x:v>
      </x:c>
      <x:c r="D33" s="351" t="str">
        <x:v>node_choice</x:v>
      </x:c>
      <x:c r="E33" s="351" t="str">
        <x:v>事件节点1</x:v>
      </x:c>
      <x:c r="F33" s="351" t="str">
        <x:v>node_pool_d06_growth</x:v>
      </x:c>
      <x:c r="G33" s="351" t="str">
        <x:v>3</x:v>
      </x:c>
      <x:c r="H33" s="351" t="str"/>
      <x:c r="I33" s="351" t="str"/>
      <x:c r="J33" s="351" t="str"/>
      <x:c r="K33" s="351" t="str">
        <x:v>正式</x:v>
      </x:c>
      <x:c r="L33" s="351" t="str">
        <x:v>Day6 第1个 3 选 1 事件/节点</x:v>
      </x:c>
      <x:c r="M33" s="15"/>
    </x:row>
    <x:row r="34" ht="21" customHeight="1">
      <x:c r="A34" s="351" t="str">
        <x:v>d06_node_2</x:v>
      </x:c>
      <x:c r="B34" s="351" t="str">
        <x:v>6</x:v>
      </x:c>
      <x:c r="C34" s="351" t="str">
        <x:v>2</x:v>
      </x:c>
      <x:c r="D34" s="351" t="str">
        <x:v>node_choice</x:v>
      </x:c>
      <x:c r="E34" s="351" t="str">
        <x:v>事件节点2</x:v>
      </x:c>
      <x:c r="F34" s="351" t="str">
        <x:v>node_pool_d06_growth</x:v>
      </x:c>
      <x:c r="G34" s="351" t="str">
        <x:v>3</x:v>
      </x:c>
      <x:c r="H34" s="351" t="str"/>
      <x:c r="I34" s="351" t="str"/>
      <x:c r="J34" s="351" t="str"/>
      <x:c r="K34" s="351" t="str">
        <x:v>正式</x:v>
      </x:c>
      <x:c r="L34" s="351" t="str">
        <x:v>Day6 第2个 3 选 1 事件/节点</x:v>
      </x:c>
      <x:c r="M34" s="15"/>
    </x:row>
    <x:row r="35" ht="21" customHeight="1">
      <x:c r="A35" s="351" t="str">
        <x:v>d06_morning_choice</x:v>
      </x:c>
      <x:c r="B35" s="351" t="n">
        <x:v>6</x:v>
      </x:c>
      <x:c r="C35" s="351" t="n">
        <x:v>3</x:v>
      </x:c>
      <x:c r="D35" s="351" t="str">
        <x:v>battle_choice</x:v>
      </x:c>
      <x:c r="E35" s="351" t="str">
        <x:v>第一场遭遇</x:v>
      </x:c>
      <x:c r="F35" s="351"/>
      <x:c r="G35" s="351" t="n">
        <x:v>3</x:v>
      </x:c>
      <x:c r="H35" s="351" t="str">
        <x:v>enc_pool_d06_midday</x:v>
      </x:c>
      <x:c r="I35" s="351"/>
      <x:c r="J35" s="351" t="str">
        <x:v>中期精英</x:v>
      </x:c>
      <x:c r="K35" s="351" t="str">
        <x:v>正式</x:v>
      </x:c>
      <x:c r="L35" s="351" t="str">
        <x:v>Day6 中期精英风险/收益三选一</x:v>
      </x:c>
      <x:c r="M35" s="15"/>
    </x:row>
    <x:row r="36" ht="21" customHeight="1">
      <x:c r="A36" s="351" t="str">
        <x:v>d06_node_4</x:v>
      </x:c>
      <x:c r="B36" s="351" t="str">
        <x:v>6</x:v>
      </x:c>
      <x:c r="C36" s="351" t="str">
        <x:v>4</x:v>
      </x:c>
      <x:c r="D36" s="351" t="str">
        <x:v>node_choice</x:v>
      </x:c>
      <x:c r="E36" s="351" t="str">
        <x:v>事件节点3</x:v>
      </x:c>
      <x:c r="F36" s="351" t="str">
        <x:v>node_pool_d06_growth</x:v>
      </x:c>
      <x:c r="G36" s="351" t="str">
        <x:v>3</x:v>
      </x:c>
      <x:c r="H36" s="351" t="str"/>
      <x:c r="I36" s="351" t="str"/>
      <x:c r="J36" s="351" t="str"/>
      <x:c r="K36" s="351" t="str">
        <x:v>正式</x:v>
      </x:c>
      <x:c r="L36" s="351" t="str">
        <x:v>Day6 第3个 3 选 1 事件/节点</x:v>
      </x:c>
      <x:c r="M36" s="15"/>
    </x:row>
    <x:row r="37" ht="21" customHeight="1">
      <x:c r="A37" s="351" t="str">
        <x:v>d06_node_5</x:v>
      </x:c>
      <x:c r="B37" s="351" t="str">
        <x:v>6</x:v>
      </x:c>
      <x:c r="C37" s="351" t="str">
        <x:v>5</x:v>
      </x:c>
      <x:c r="D37" s="351" t="str">
        <x:v>node_choice</x:v>
      </x:c>
      <x:c r="E37" s="351" t="str">
        <x:v>事件节点4</x:v>
      </x:c>
      <x:c r="F37" s="351" t="str">
        <x:v>node_pool_d06_growth</x:v>
      </x:c>
      <x:c r="G37" s="351" t="str">
        <x:v>3</x:v>
      </x:c>
      <x:c r="H37" s="351" t="str"/>
      <x:c r="I37" s="351" t="str"/>
      <x:c r="J37" s="351" t="str"/>
      <x:c r="K37" s="351" t="str">
        <x:v>正式</x:v>
      </x:c>
      <x:c r="L37" s="351" t="str">
        <x:v>Day6 第4个 3 选 1 事件/节点</x:v>
      </x:c>
      <x:c r="M37" s="15"/>
    </x:row>
    <x:row r="38" ht="21" customHeight="1">
      <x:c r="A38" s="351" t="str">
        <x:v>d06_evening_fixed</x:v>
      </x:c>
      <x:c r="B38" s="351" t="str">
        <x:v>6</x:v>
      </x:c>
      <x:c r="C38" s="351" t="str">
        <x:v>6</x:v>
      </x:c>
      <x:c r="D38" s="351" t="str">
        <x:v>fixed_battle</x:v>
      </x:c>
      <x:c r="E38" s="351" t="str">
        <x:v>第二场战斗</x:v>
      </x:c>
      <x:c r="F38" s="351" t="str"/>
      <x:c r="G38" s="351" t="str"/>
      <x:c r="H38" s="351" t="str"/>
      <x:c r="I38" s="351" t="str">
        <x:v>enc_d06_evening_fixed</x:v>
      </x:c>
      <x:c r="J38" s="351" t="str">
        <x:v>精英固定战</x:v>
      </x:c>
      <x:c r="K38" s="351" t="str">
        <x:v>正式</x:v>
      </x:c>
      <x:c r="L38" s="351" t="str">
        <x:v>Day6 第2场棋盘战</x:v>
      </x:c>
      <x:c r="M38" s="15"/>
    </x:row>
    <x:row r="39" ht="21" customHeight="1">
      <x:c r="A39" s="351" t="str">
        <x:v>d07_node_1</x:v>
      </x:c>
      <x:c r="B39" s="351" t="str">
        <x:v>7</x:v>
      </x:c>
      <x:c r="C39" s="351" t="str">
        <x:v>1</x:v>
      </x:c>
      <x:c r="D39" s="351" t="str">
        <x:v>node_choice</x:v>
      </x:c>
      <x:c r="E39" s="351" t="str">
        <x:v>事件节点1</x:v>
      </x:c>
      <x:c r="F39" s="351" t="str">
        <x:v>node_pool_d07_growth</x:v>
      </x:c>
      <x:c r="G39" s="351" t="str">
        <x:v>3</x:v>
      </x:c>
      <x:c r="H39" s="351" t="str"/>
      <x:c r="I39" s="351" t="str"/>
      <x:c r="J39" s="351" t="str"/>
      <x:c r="K39" s="351" t="str">
        <x:v>正式</x:v>
      </x:c>
      <x:c r="L39" s="351" t="str">
        <x:v>Day7 第1个 3 选 1 事件/节点</x:v>
      </x:c>
      <x:c r="M39" s="15"/>
    </x:row>
    <x:row r="40" ht="21" customHeight="1">
      <x:c r="A40" s="351" t="str">
        <x:v>d07_node_2</x:v>
      </x:c>
      <x:c r="B40" s="351" t="str">
        <x:v>7</x:v>
      </x:c>
      <x:c r="C40" s="351" t="str">
        <x:v>2</x:v>
      </x:c>
      <x:c r="D40" s="351" t="str">
        <x:v>node_choice</x:v>
      </x:c>
      <x:c r="E40" s="351" t="str">
        <x:v>事件节点2</x:v>
      </x:c>
      <x:c r="F40" s="351" t="str">
        <x:v>node_pool_d07_growth</x:v>
      </x:c>
      <x:c r="G40" s="351" t="str">
        <x:v>3</x:v>
      </x:c>
      <x:c r="H40" s="351" t="str"/>
      <x:c r="I40" s="351" t="str"/>
      <x:c r="J40" s="351" t="str"/>
      <x:c r="K40" s="351" t="str">
        <x:v>正式</x:v>
      </x:c>
      <x:c r="L40" s="351" t="str">
        <x:v>Day7 第2个 3 选 1 事件/节点</x:v>
      </x:c>
      <x:c r="M40" s="15"/>
    </x:row>
    <x:row r="41" ht="21" customHeight="1">
      <x:c r="A41" s="351" t="str">
        <x:v>d07_morning_fixed</x:v>
      </x:c>
      <x:c r="B41" s="351" t="str">
        <x:v>7</x:v>
      </x:c>
      <x:c r="C41" s="351" t="str">
        <x:v>3</x:v>
      </x:c>
      <x:c r="D41" s="351" t="str">
        <x:v>fixed_battle</x:v>
      </x:c>
      <x:c r="E41" s="351" t="str">
        <x:v>第一场战斗</x:v>
      </x:c>
      <x:c r="F41" s="351" t="str"/>
      <x:c r="G41" s="351" t="str"/>
      <x:c r="H41" s="351" t="str"/>
      <x:c r="I41" s="351" t="str">
        <x:v>enc_d07_midday_a</x:v>
      </x:c>
      <x:c r="J41" s="351" t="str">
        <x:v>精英战</x:v>
      </x:c>
      <x:c r="K41" s="351" t="str">
        <x:v>正式</x:v>
      </x:c>
      <x:c r="L41" s="351" t="str">
        <x:v>Day7 第1场棋盘战</x:v>
      </x:c>
      <x:c r="M41" s="15"/>
    </x:row>
    <x:row r="42" ht="21" customHeight="1">
      <x:c r="A42" s="351" t="str">
        <x:v>d07_node_4</x:v>
      </x:c>
      <x:c r="B42" s="351" t="str">
        <x:v>7</x:v>
      </x:c>
      <x:c r="C42" s="351" t="str">
        <x:v>4</x:v>
      </x:c>
      <x:c r="D42" s="351" t="str">
        <x:v>node_choice</x:v>
      </x:c>
      <x:c r="E42" s="351" t="str">
        <x:v>事件节点3</x:v>
      </x:c>
      <x:c r="F42" s="351" t="str">
        <x:v>node_pool_d07_growth</x:v>
      </x:c>
      <x:c r="G42" s="351" t="str">
        <x:v>3</x:v>
      </x:c>
      <x:c r="H42" s="351" t="str"/>
      <x:c r="I42" s="351" t="str"/>
      <x:c r="J42" s="351" t="str"/>
      <x:c r="K42" s="351" t="str">
        <x:v>正式</x:v>
      </x:c>
      <x:c r="L42" s="351" t="str">
        <x:v>Day7 第3个 3 选 1 事件/节点</x:v>
      </x:c>
      <x:c r="M42" s="15"/>
    </x:row>
    <x:row r="43" ht="21" customHeight="1">
      <x:c r="A43" s="351" t="str">
        <x:v>d07_node_5</x:v>
      </x:c>
      <x:c r="B43" s="351" t="str">
        <x:v>7</x:v>
      </x:c>
      <x:c r="C43" s="351" t="str">
        <x:v>5</x:v>
      </x:c>
      <x:c r="D43" s="351" t="str">
        <x:v>node_choice</x:v>
      </x:c>
      <x:c r="E43" s="351" t="str">
        <x:v>事件节点4</x:v>
      </x:c>
      <x:c r="F43" s="351" t="str">
        <x:v>node_pool_d07_growth</x:v>
      </x:c>
      <x:c r="G43" s="351" t="str">
        <x:v>3</x:v>
      </x:c>
      <x:c r="H43" s="351" t="str"/>
      <x:c r="I43" s="351" t="str"/>
      <x:c r="J43" s="351" t="str"/>
      <x:c r="K43" s="351" t="str">
        <x:v>正式</x:v>
      </x:c>
      <x:c r="L43" s="351" t="str">
        <x:v>Day7 第4个 3 选 1 事件/节点</x:v>
      </x:c>
      <x:c r="M43" s="15"/>
    </x:row>
    <x:row r="44" ht="21" customHeight="1">
      <x:c r="A44" s="351" t="str">
        <x:v>d07_evening_fixed</x:v>
      </x:c>
      <x:c r="B44" s="351" t="str">
        <x:v>7</x:v>
      </x:c>
      <x:c r="C44" s="351" t="str">
        <x:v>6</x:v>
      </x:c>
      <x:c r="D44" s="351" t="str">
        <x:v>fixed_battle</x:v>
      </x:c>
      <x:c r="E44" s="351" t="str">
        <x:v>第二场战斗</x:v>
      </x:c>
      <x:c r="F44" s="351" t="str"/>
      <x:c r="G44" s="351" t="str"/>
      <x:c r="H44" s="351" t="str"/>
      <x:c r="I44" s="351" t="str">
        <x:v>enc_d07_evening_fixed</x:v>
      </x:c>
      <x:c r="J44" s="351" t="str">
        <x:v>精英固定战</x:v>
      </x:c>
      <x:c r="K44" s="351" t="str">
        <x:v>正式</x:v>
      </x:c>
      <x:c r="L44" s="351" t="str">
        <x:v>Day7 第2场棋盘战</x:v>
      </x:c>
      <x:c r="M44" s="15"/>
    </x:row>
    <x:row r="45" ht="21" customHeight="1">
      <x:c r="A45" s="351" t="str">
        <x:v>d08_node_1</x:v>
      </x:c>
      <x:c r="B45" s="351" t="str">
        <x:v>8</x:v>
      </x:c>
      <x:c r="C45" s="351" t="str">
        <x:v>1</x:v>
      </x:c>
      <x:c r="D45" s="351" t="str">
        <x:v>node_choice</x:v>
      </x:c>
      <x:c r="E45" s="351" t="str">
        <x:v>事件节点1</x:v>
      </x:c>
      <x:c r="F45" s="351" t="str">
        <x:v>node_pool_d08_growth</x:v>
      </x:c>
      <x:c r="G45" s="351" t="str">
        <x:v>3</x:v>
      </x:c>
      <x:c r="H45" s="351" t="str"/>
      <x:c r="I45" s="351" t="str"/>
      <x:c r="J45" s="351" t="str"/>
      <x:c r="K45" s="351" t="str">
        <x:v>正式</x:v>
      </x:c>
      <x:c r="L45" s="351" t="str">
        <x:v>Day8 第1个 3 选 1 事件/节点</x:v>
      </x:c>
      <x:c r="M45" s="15"/>
    </x:row>
    <x:row r="46" ht="21" customHeight="1">
      <x:c r="A46" s="351" t="str">
        <x:v>d08_node_2</x:v>
      </x:c>
      <x:c r="B46" s="351" t="str">
        <x:v>8</x:v>
      </x:c>
      <x:c r="C46" s="351" t="str">
        <x:v>2</x:v>
      </x:c>
      <x:c r="D46" s="351" t="str">
        <x:v>node_choice</x:v>
      </x:c>
      <x:c r="E46" s="351" t="str">
        <x:v>事件节点2</x:v>
      </x:c>
      <x:c r="F46" s="351" t="str">
        <x:v>node_pool_d08_growth</x:v>
      </x:c>
      <x:c r="G46" s="351" t="str">
        <x:v>3</x:v>
      </x:c>
      <x:c r="H46" s="351" t="str"/>
      <x:c r="I46" s="351" t="str"/>
      <x:c r="J46" s="351" t="str"/>
      <x:c r="K46" s="351" t="str">
        <x:v>正式</x:v>
      </x:c>
      <x:c r="L46" s="351" t="str">
        <x:v>Day8 第2个 3 选 1 事件/节点</x:v>
      </x:c>
      <x:c r="M46" s="15"/>
    </x:row>
    <x:row r="47" ht="21" customHeight="1">
      <x:c r="A47" s="351" t="str">
        <x:v>d08_morning_fixed</x:v>
      </x:c>
      <x:c r="B47" s="351" t="str">
        <x:v>8</x:v>
      </x:c>
      <x:c r="C47" s="351" t="str">
        <x:v>3</x:v>
      </x:c>
      <x:c r="D47" s="351" t="str">
        <x:v>fixed_battle</x:v>
      </x:c>
      <x:c r="E47" s="351" t="str">
        <x:v>第一场战斗</x:v>
      </x:c>
      <x:c r="F47" s="351" t="str"/>
      <x:c r="G47" s="351" t="str"/>
      <x:c r="H47" s="351" t="str"/>
      <x:c r="I47" s="351" t="str">
        <x:v>enc_d08_midday_a</x:v>
      </x:c>
      <x:c r="J47" s="351" t="str">
        <x:v>精英战</x:v>
      </x:c>
      <x:c r="K47" s="351" t="str">
        <x:v>正式</x:v>
      </x:c>
      <x:c r="L47" s="351" t="str">
        <x:v>Day8 第1场棋盘战</x:v>
      </x:c>
      <x:c r="M47" s="15"/>
    </x:row>
    <x:row r="48" ht="21" customHeight="1">
      <x:c r="A48" s="351" t="str">
        <x:v>d08_node_4</x:v>
      </x:c>
      <x:c r="B48" s="351" t="str">
        <x:v>8</x:v>
      </x:c>
      <x:c r="C48" s="351" t="str">
        <x:v>4</x:v>
      </x:c>
      <x:c r="D48" s="351" t="str">
        <x:v>node_choice</x:v>
      </x:c>
      <x:c r="E48" s="351" t="str">
        <x:v>事件节点3</x:v>
      </x:c>
      <x:c r="F48" s="351" t="str">
        <x:v>node_pool_d08_growth</x:v>
      </x:c>
      <x:c r="G48" s="351" t="str">
        <x:v>3</x:v>
      </x:c>
      <x:c r="H48" s="351" t="str"/>
      <x:c r="I48" s="351" t="str"/>
      <x:c r="J48" s="351" t="str"/>
      <x:c r="K48" s="351" t="str">
        <x:v>正式</x:v>
      </x:c>
      <x:c r="L48" s="351" t="str">
        <x:v>Day8 第3个 3 选 1 事件/节点</x:v>
      </x:c>
      <x:c r="M48" s="15"/>
    </x:row>
    <x:row r="49" ht="21" customHeight="1">
      <x:c r="A49" s="351" t="str">
        <x:v>d08_node_5</x:v>
      </x:c>
      <x:c r="B49" s="351" t="str">
        <x:v>8</x:v>
      </x:c>
      <x:c r="C49" s="351" t="str">
        <x:v>5</x:v>
      </x:c>
      <x:c r="D49" s="351" t="str">
        <x:v>node_choice</x:v>
      </x:c>
      <x:c r="E49" s="351" t="str">
        <x:v>事件节点4</x:v>
      </x:c>
      <x:c r="F49" s="351" t="str">
        <x:v>node_pool_d08_growth</x:v>
      </x:c>
      <x:c r="G49" s="351" t="str">
        <x:v>3</x:v>
      </x:c>
      <x:c r="H49" s="351" t="str"/>
      <x:c r="I49" s="351" t="str"/>
      <x:c r="J49" s="351" t="str"/>
      <x:c r="K49" s="351" t="str">
        <x:v>正式</x:v>
      </x:c>
      <x:c r="L49" s="351" t="str">
        <x:v>Day8 第4个 3 选 1 事件/节点</x:v>
      </x:c>
      <x:c r="M49" s="15"/>
    </x:row>
    <x:row r="50" ht="21" customHeight="1">
      <x:c r="A50" s="351" t="str">
        <x:v>d08_evening_fixed</x:v>
      </x:c>
      <x:c r="B50" s="351" t="str">
        <x:v>8</x:v>
      </x:c>
      <x:c r="C50" s="351" t="str">
        <x:v>6</x:v>
      </x:c>
      <x:c r="D50" s="351" t="str">
        <x:v>fixed_battle</x:v>
      </x:c>
      <x:c r="E50" s="351" t="str">
        <x:v>第二场战斗</x:v>
      </x:c>
      <x:c r="F50" s="351" t="str"/>
      <x:c r="G50" s="351" t="str"/>
      <x:c r="H50" s="351" t="str"/>
      <x:c r="I50" s="351" t="str">
        <x:v>enc_d08_evening_fixed</x:v>
      </x:c>
      <x:c r="J50" s="351" t="str">
        <x:v>精英固定战</x:v>
      </x:c>
      <x:c r="K50" s="351" t="str">
        <x:v>正式</x:v>
      </x:c>
      <x:c r="L50" s="351" t="str">
        <x:v>Day8 第2场棋盘战</x:v>
      </x:c>
      <x:c r="M50" s="15"/>
    </x:row>
    <x:row r="51" ht="21" customHeight="1">
      <x:c r="A51" s="351" t="str">
        <x:v>d09_node_1</x:v>
      </x:c>
      <x:c r="B51" s="351" t="str">
        <x:v>9</x:v>
      </x:c>
      <x:c r="C51" s="351" t="str">
        <x:v>1</x:v>
      </x:c>
      <x:c r="D51" s="351" t="str">
        <x:v>node_choice</x:v>
      </x:c>
      <x:c r="E51" s="351" t="str">
        <x:v>事件节点1</x:v>
      </x:c>
      <x:c r="F51" s="351" t="str">
        <x:v>node_pool_d09_growth</x:v>
      </x:c>
      <x:c r="G51" s="351" t="str">
        <x:v>3</x:v>
      </x:c>
      <x:c r="H51" s="351" t="str"/>
      <x:c r="I51" s="351" t="str"/>
      <x:c r="J51" s="351" t="str"/>
      <x:c r="K51" s="351" t="str">
        <x:v>正式</x:v>
      </x:c>
      <x:c r="L51" s="351" t="str">
        <x:v>Day9 第1个 3 选 1 事件/节点</x:v>
      </x:c>
      <x:c r="M51" s="15"/>
    </x:row>
    <x:row r="52" ht="21" customHeight="1">
      <x:c r="A52" s="351" t="str">
        <x:v>d09_node_2</x:v>
      </x:c>
      <x:c r="B52" s="351" t="str">
        <x:v>9</x:v>
      </x:c>
      <x:c r="C52" s="351" t="str">
        <x:v>2</x:v>
      </x:c>
      <x:c r="D52" s="351" t="str">
        <x:v>node_choice</x:v>
      </x:c>
      <x:c r="E52" s="351" t="str">
        <x:v>事件节点2</x:v>
      </x:c>
      <x:c r="F52" s="351" t="str">
        <x:v>node_pool_d09_growth</x:v>
      </x:c>
      <x:c r="G52" s="351" t="str">
        <x:v>3</x:v>
      </x:c>
      <x:c r="H52" s="351" t="str"/>
      <x:c r="I52" s="351" t="str"/>
      <x:c r="J52" s="351" t="str"/>
      <x:c r="K52" s="351" t="str">
        <x:v>正式</x:v>
      </x:c>
      <x:c r="L52" s="351" t="str">
        <x:v>Day9 第2个 3 选 1 事件/节点</x:v>
      </x:c>
      <x:c r="M52" s="15"/>
    </x:row>
    <x:row r="53" ht="21" customHeight="1">
      <x:c r="A53" s="351" t="str">
        <x:v>d09_morning_choice</x:v>
      </x:c>
      <x:c r="B53" s="351" t="n">
        <x:v>9</x:v>
      </x:c>
      <x:c r="C53" s="351" t="n">
        <x:v>3</x:v>
      </x:c>
      <x:c r="D53" s="351" t="str">
        <x:v>battle_choice</x:v>
      </x:c>
      <x:c r="E53" s="351" t="str">
        <x:v>第一场遭遇</x:v>
      </x:c>
      <x:c r="F53" s="351"/>
      <x:c r="G53" s="351" t="n">
        <x:v>3</x:v>
      </x:c>
      <x:c r="H53" s="351" t="str">
        <x:v>enc_pool_d09_midday</x:v>
      </x:c>
      <x:c r="I53" s="351"/>
      <x:c r="J53" s="351" t="str">
        <x:v>终局备战</x:v>
      </x:c>
      <x:c r="K53" s="351" t="str">
        <x:v>正式</x:v>
      </x:c>
      <x:c r="L53" s="351" t="str">
        <x:v>Day9 终局备战风险/收益三选一</x:v>
      </x:c>
      <x:c r="M53" s="15"/>
    </x:row>
    <x:row r="54" ht="21" customHeight="1">
      <x:c r="A54" s="351" t="str">
        <x:v>d09_node_4</x:v>
      </x:c>
      <x:c r="B54" s="351" t="str">
        <x:v>9</x:v>
      </x:c>
      <x:c r="C54" s="351" t="str">
        <x:v>4</x:v>
      </x:c>
      <x:c r="D54" s="351" t="str">
        <x:v>node_choice</x:v>
      </x:c>
      <x:c r="E54" s="351" t="str">
        <x:v>事件节点3</x:v>
      </x:c>
      <x:c r="F54" s="351" t="str">
        <x:v>node_pool_d09_growth</x:v>
      </x:c>
      <x:c r="G54" s="351" t="str">
        <x:v>3</x:v>
      </x:c>
      <x:c r="H54" s="351" t="str"/>
      <x:c r="I54" s="351" t="str"/>
      <x:c r="J54" s="351" t="str"/>
      <x:c r="K54" s="351" t="str">
        <x:v>正式</x:v>
      </x:c>
      <x:c r="L54" s="351" t="str">
        <x:v>Day9 第3个 3 选 1 事件/节点</x:v>
      </x:c>
      <x:c r="M54" s="15"/>
    </x:row>
    <x:row r="55" ht="21" customHeight="1">
      <x:c r="A55" s="351" t="str">
        <x:v>d09_node_5</x:v>
      </x:c>
      <x:c r="B55" s="351" t="str">
        <x:v>9</x:v>
      </x:c>
      <x:c r="C55" s="351" t="str">
        <x:v>5</x:v>
      </x:c>
      <x:c r="D55" s="351" t="str">
        <x:v>node_choice</x:v>
      </x:c>
      <x:c r="E55" s="351" t="str">
        <x:v>事件节点4</x:v>
      </x:c>
      <x:c r="F55" s="351" t="str">
        <x:v>node_pool_d09_growth</x:v>
      </x:c>
      <x:c r="G55" s="351" t="str">
        <x:v>3</x:v>
      </x:c>
      <x:c r="H55" s="351" t="str"/>
      <x:c r="I55" s="351" t="str"/>
      <x:c r="J55" s="351" t="str"/>
      <x:c r="K55" s="351" t="str">
        <x:v>正式</x:v>
      </x:c>
      <x:c r="L55" s="351" t="str">
        <x:v>Day9 第4个 3 选 1 事件/节点</x:v>
      </x:c>
      <x:c r="M55" s="15"/>
    </x:row>
    <x:row r="56" ht="21" customHeight="1">
      <x:c r="A56" s="351" t="str">
        <x:v>d09_evening_fixed</x:v>
      </x:c>
      <x:c r="B56" s="351" t="str">
        <x:v>9</x:v>
      </x:c>
      <x:c r="C56" s="351" t="str">
        <x:v>6</x:v>
      </x:c>
      <x:c r="D56" s="351" t="str">
        <x:v>fixed_battle</x:v>
      </x:c>
      <x:c r="E56" s="351" t="str">
        <x:v>第二场战斗</x:v>
      </x:c>
      <x:c r="F56" s="351" t="str"/>
      <x:c r="G56" s="351" t="str"/>
      <x:c r="H56" s="351" t="str"/>
      <x:c r="I56" s="351" t="str">
        <x:v>enc_d09_evening_fixed</x:v>
      </x:c>
      <x:c r="J56" s="351" t="str">
        <x:v>Boss前固定战</x:v>
      </x:c>
      <x:c r="K56" s="351" t="str">
        <x:v>正式</x:v>
      </x:c>
      <x:c r="L56" s="351" t="str">
        <x:v>Day9 第2场棋盘战</x:v>
      </x:c>
      <x:c r="M56" s="15"/>
    </x:row>
    <x:row r="57" ht="21" customHeight="1">
      <x:c r="A57" s="351" t="str">
        <x:v>d10_node_1</x:v>
      </x:c>
      <x:c r="B57" s="351" t="str">
        <x:v>10</x:v>
      </x:c>
      <x:c r="C57" s="351" t="str">
        <x:v>1</x:v>
      </x:c>
      <x:c r="D57" s="351" t="str">
        <x:v>node_choice</x:v>
      </x:c>
      <x:c r="E57" s="351" t="str">
        <x:v>事件节点1</x:v>
      </x:c>
      <x:c r="F57" s="351" t="str">
        <x:v>node_pool_d10_growth</x:v>
      </x:c>
      <x:c r="G57" s="351" t="str">
        <x:v>3</x:v>
      </x:c>
      <x:c r="H57" s="351" t="str"/>
      <x:c r="I57" s="351" t="str"/>
      <x:c r="J57" s="351" t="str"/>
      <x:c r="K57" s="351" t="str">
        <x:v>正式</x:v>
      </x:c>
      <x:c r="L57" s="351" t="str">
        <x:v>Day10 第1个 3 选 1 事件/节点</x:v>
      </x:c>
      <x:c r="M57" s="15"/>
    </x:row>
    <x:row r="58" ht="21" customHeight="1">
      <x:c r="A58" s="351" t="str">
        <x:v>d10_node_2</x:v>
      </x:c>
      <x:c r="B58" s="351" t="str">
        <x:v>10</x:v>
      </x:c>
      <x:c r="C58" s="351" t="str">
        <x:v>2</x:v>
      </x:c>
      <x:c r="D58" s="351" t="str">
        <x:v>node_choice</x:v>
      </x:c>
      <x:c r="E58" s="351" t="str">
        <x:v>事件节点2</x:v>
      </x:c>
      <x:c r="F58" s="351" t="str">
        <x:v>node_pool_d10_growth</x:v>
      </x:c>
      <x:c r="G58" s="351" t="str">
        <x:v>3</x:v>
      </x:c>
      <x:c r="H58" s="351" t="str"/>
      <x:c r="I58" s="351" t="str"/>
      <x:c r="J58" s="351" t="str"/>
      <x:c r="K58" s="351" t="str">
        <x:v>正式</x:v>
      </x:c>
      <x:c r="L58" s="351" t="str">
        <x:v>Day10 第2个 3 选 1 事件/节点</x:v>
      </x:c>
      <x:c r="M58" s="15"/>
    </x:row>
    <x:row r="59" ht="21" customHeight="1">
      <x:c r="A59" s="351" t="str">
        <x:v>d10_morning_fixed</x:v>
      </x:c>
      <x:c r="B59" s="351" t="str">
        <x:v>10</x:v>
      </x:c>
      <x:c r="C59" s="351" t="str">
        <x:v>3</x:v>
      </x:c>
      <x:c r="D59" s="351" t="str">
        <x:v>fixed_battle</x:v>
      </x:c>
      <x:c r="E59" s="351" t="str">
        <x:v>第一场战斗</x:v>
      </x:c>
      <x:c r="F59" s="351" t="str"/>
      <x:c r="G59" s="351" t="str"/>
      <x:c r="H59" s="351" t="str"/>
      <x:c r="I59" s="351" t="str">
        <x:v>enc_d10_midday_a</x:v>
      </x:c>
      <x:c r="J59" s="351" t="str">
        <x:v>Boss前战</x:v>
      </x:c>
      <x:c r="K59" s="351" t="str">
        <x:v>正式</x:v>
      </x:c>
      <x:c r="L59" s="351" t="str">
        <x:v>Day10 第1场棋盘战</x:v>
      </x:c>
      <x:c r="M59" s="15"/>
    </x:row>
    <x:row r="60" ht="21" customHeight="1">
      <x:c r="A60" s="351" t="str">
        <x:v>d10_node_4</x:v>
      </x:c>
      <x:c r="B60" s="351" t="str">
        <x:v>10</x:v>
      </x:c>
      <x:c r="C60" s="351" t="str">
        <x:v>4</x:v>
      </x:c>
      <x:c r="D60" s="351" t="str">
        <x:v>node_choice</x:v>
      </x:c>
      <x:c r="E60" s="351" t="str">
        <x:v>事件节点3</x:v>
      </x:c>
      <x:c r="F60" s="351" t="str">
        <x:v>node_pool_d10_growth</x:v>
      </x:c>
      <x:c r="G60" s="351" t="str">
        <x:v>3</x:v>
      </x:c>
      <x:c r="H60" s="351" t="str"/>
      <x:c r="I60" s="351" t="str"/>
      <x:c r="J60" s="351" t="str"/>
      <x:c r="K60" s="351" t="str">
        <x:v>正式</x:v>
      </x:c>
      <x:c r="L60" s="351" t="str">
        <x:v>Day10 第3个 3 选 1 事件/节点</x:v>
      </x:c>
      <x:c r="M60" s="15"/>
    </x:row>
    <x:row r="61" ht="21" customHeight="1">
      <x:c r="A61" s="351" t="str">
        <x:v>d10_node_5</x:v>
      </x:c>
      <x:c r="B61" s="351" t="str">
        <x:v>10</x:v>
      </x:c>
      <x:c r="C61" s="351" t="str">
        <x:v>5</x:v>
      </x:c>
      <x:c r="D61" s="351" t="str">
        <x:v>node_choice</x:v>
      </x:c>
      <x:c r="E61" s="351" t="str">
        <x:v>事件节点4</x:v>
      </x:c>
      <x:c r="F61" s="351" t="str">
        <x:v>node_pool_d10_growth</x:v>
      </x:c>
      <x:c r="G61" s="351" t="str">
        <x:v>3</x:v>
      </x:c>
      <x:c r="H61" s="351" t="str"/>
      <x:c r="I61" s="351" t="str"/>
      <x:c r="J61" s="351" t="str"/>
      <x:c r="K61" s="351" t="str">
        <x:v>正式</x:v>
      </x:c>
      <x:c r="L61" s="351" t="str">
        <x:v>Day10 第4个 3 选 1 事件/节点</x:v>
      </x:c>
      <x:c r="M61" s="15"/>
    </x:row>
    <x:row r="62" ht="21" customHeight="1">
      <x:c r="A62" s="351" t="str">
        <x:v>d10_final_boss</x:v>
      </x:c>
      <x:c r="B62" s="351" t="str">
        <x:v>10</x:v>
      </x:c>
      <x:c r="C62" s="351" t="str">
        <x:v>6</x:v>
      </x:c>
      <x:c r="D62" s="351" t="str">
        <x:v>fixed_battle</x:v>
      </x:c>
      <x:c r="E62" s="351" t="str">
        <x:v>终局Boss战</x:v>
      </x:c>
      <x:c r="F62" s="351" t="str"/>
      <x:c r="G62" s="351" t="str"/>
      <x:c r="H62" s="351" t="str"/>
      <x:c r="I62" s="351" t="str">
        <x:v>enc_d10_final_boss</x:v>
      </x:c>
      <x:c r="J62" s="351" t="str">
        <x:v>终局战</x:v>
      </x:c>
      <x:c r="K62" s="351" t="str">
        <x:v>正式</x:v>
      </x:c>
      <x:c r="L62" s="351" t="str">
        <x:v>Day10 终局棋盘战</x:v>
      </x:c>
      <x:c r="M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15"/>
      <x:c r="M63" s="15"/>
    </x:row>
    <x:row r="64" ht="30" customHeight="1">
      <x:c r="A64" s="350" t="str">
        <x:v>#csv</x:v>
      </x:c>
      <x:c r="B64" s="350" t="str">
        <x:v>25_node_pool.csv</x:v>
      </x:c>
      <x:c r="C64" s="350" t="str">
        <x:v>路线节点池：商店、奖励、事件与休整候选</x:v>
      </x:c>
      <x:c r="D64" s="350" t="str"/>
      <x:c r="E64" s="350" t="str"/>
      <x:c r="F64" s="350" t="str"/>
      <x:c r="G64" s="350" t="str"/>
      <x:c r="H64" s="350" t="str"/>
      <x:c r="I64" s="350" t="str"/>
      <x:c r="J64" s="350" t="str"/>
      <x:c r="K64" s="350" t="str"/>
      <x:c r="L64" s="350" t="str"/>
      <x:c r="M64" s="350" t="str"/>
    </x:row>
    <x:row r="65" ht="30" customHeight="1">
      <x:c r="A65" s="347" t="str">
        <x:v>node_id</x:v>
      </x:c>
      <x:c r="B65" s="347" t="str">
        <x:v>node_pool_id</x:v>
      </x:c>
      <x:c r="C65" s="347" t="str">
        <x:v>name</x:v>
      </x:c>
      <x:c r="D65" s="347" t="str">
        <x:v>node_type</x:v>
      </x:c>
      <x:c r="E65" s="347" t="str">
        <x:v>weight</x:v>
      </x:c>
      <x:c r="F65" s="347" t="str">
        <x:v>unlock_day</x:v>
      </x:c>
      <x:c r="G65" s="347" t="str">
        <x:v>shop_pool_id</x:v>
      </x:c>
      <x:c r="H65" s="347" t="str">
        <x:v>reward_pool_id</x:v>
      </x:c>
      <x:c r="I65" s="347" t="str">
        <x:v>event_id</x:v>
      </x:c>
      <x:c r="J65" s="347" t="str">
        <x:v>slots</x:v>
      </x:c>
      <x:c r="K65" s="347" t="str">
        <x:v>value</x:v>
      </x:c>
      <x:c r="L65" s="347" t="str">
        <x:v>status</x:v>
      </x:c>
      <x:c r="M65" s="347" t="str">
        <x:v>note</x:v>
      </x:c>
    </x:row>
    <x:row r="66" ht="21" customHeight="1">
      <x:c r="A66" s="351" t="str">
        <x:v>node_event_free_roll</x:v>
      </x:c>
      <x:c r="B66" s="351" t="str">
        <x:v>node_pool_d01_growth</x:v>
      </x:c>
      <x:c r="C66" s="351" t="str">
        <x:v>免费刷新</x:v>
      </x:c>
      <x:c r="D66" s="351" t="str">
        <x:v>event</x:v>
      </x:c>
      <x:c r="E66" s="351" t="str">
        <x:v>100</x:v>
      </x:c>
      <x:c r="F66" s="351" t="str">
        <x:v>1</x:v>
      </x:c>
      <x:c r="G66" s="351" t="str"/>
      <x:c r="H66" s="351" t="str">
        <x:v>reward_pT1</x:v>
      </x:c>
      <x:c r="I66" s="351" t="str">
        <x:v>evt_free_roll</x:v>
      </x:c>
      <x:c r="J66" s="351" t="str"/>
      <x:c r="K66" s="351" t="str">
        <x:v>1</x:v>
      </x:c>
      <x:c r="L66" s="351" t="str">
        <x:v>正式</x:v>
      </x:c>
      <x:c r="M66" s="351" t="str">
        <x:v>获得一次免费刷新</x:v>
      </x:c>
    </x:row>
    <x:row r="67" ht="21" customHeight="1">
      <x:c r="A67" s="351" t="str">
        <x:v>node_reward_pet</x:v>
      </x:c>
      <x:c r="B67" s="351" t="str">
        <x:v>node_pool_d01_growth</x:v>
      </x:c>
      <x:c r="C67" s="351" t="str">
        <x:v>宠物奖励</x:v>
      </x:c>
      <x:c r="D67" s="351" t="str">
        <x:v>reward</x:v>
      </x:c>
      <x:c r="E67" s="351" t="str">
        <x:v>90</x:v>
      </x:c>
      <x:c r="F67" s="351" t="str">
        <x:v>1</x:v>
      </x:c>
      <x:c r="G67" s="351" t="str"/>
      <x:c r="H67" s="351" t="str">
        <x:v>reward_pT1</x:v>
      </x:c>
      <x:c r="I67" s="351" t="str"/>
      <x:c r="J67" s="351" t="str">
        <x:v>3</x:v>
      </x:c>
      <x:c r="K67" s="351" t="str"/>
      <x:c r="L67" s="351" t="str">
        <x:v>正式</x:v>
      </x:c>
      <x:c r="M67" s="351" t="str">
        <x:v>生成 3 个 pT1 奖励候选</x:v>
      </x:c>
    </x:row>
    <x:row r="68" ht="21" customHeight="1">
      <x:c r="A68" s="351" t="str">
        <x:v>node_shop_basic</x:v>
      </x:c>
      <x:c r="B68" s="351" t="str">
        <x:v>node_pool_d01_growth</x:v>
      </x:c>
      <x:c r="C68" s="351" t="str">
        <x:v>夜市商人</x:v>
      </x:c>
      <x:c r="D68" s="351" t="str">
        <x:v>shop</x:v>
      </x:c>
      <x:c r="E68" s="351" t="str">
        <x:v>80</x:v>
      </x:c>
      <x:c r="F68" s="351" t="str">
        <x:v>1</x:v>
      </x:c>
      <x:c r="G68" s="351" t="str">
        <x:v>night_base</x:v>
      </x:c>
      <x:c r="H68" s="351" t="str"/>
      <x:c r="I68" s="351" t="str"/>
      <x:c r="J68" s="351" t="str">
        <x:v>6</x:v>
      </x:c>
      <x:c r="K68" s="351" t="str"/>
      <x:c r="L68" s="351" t="str">
        <x:v>正式</x:v>
      </x:c>
      <x:c r="M68" s="351" t="str">
        <x:v>进入基础夜市商店</x:v>
      </x:c>
    </x:row>
    <x:row r="69" ht="21" customHeight="1">
      <x:c r="A69" s="351" t="str">
        <x:v>node_event_discount</x:v>
      </x:c>
      <x:c r="B69" s="351" t="str">
        <x:v>node_pool_d01_growth</x:v>
      </x:c>
      <x:c r="C69" s="351" t="str">
        <x:v>折扣摊位</x:v>
      </x:c>
      <x:c r="D69" s="351" t="str">
        <x:v>event</x:v>
      </x:c>
      <x:c r="E69" s="351" t="str">
        <x:v>70</x:v>
      </x:c>
      <x:c r="F69" s="351" t="str">
        <x:v>1</x:v>
      </x:c>
      <x:c r="G69" s="351" t="str">
        <x:v>night_base</x:v>
      </x:c>
      <x:c r="H69" s="351" t="str">
        <x:v>reward_pT1</x:v>
      </x:c>
      <x:c r="I69" s="351" t="str">
        <x:v>evt_discount</x:v>
      </x:c>
      <x:c r="J69" s="351" t="str"/>
      <x:c r="K69" s="351" t="str">
        <x:v>50</x:v>
      </x:c>
      <x:c r="L69" s="351" t="str">
        <x:v>禁用</x:v>
      </x:c>
      <x:c r="M69" s="351" t="str">
        <x:v>下一件商品半价</x:v>
      </x:c>
    </x:row>
    <x:row r="70" ht="21" customHeight="1">
      <x:c r="A70" s="351" t="str">
        <x:v>node_shop_fire</x:v>
      </x:c>
      <x:c r="B70" s="351" t="str">
        <x:v>node_pool_d01_growth</x:v>
      </x:c>
      <x:c r="C70" s="351" t="str">
        <x:v>火系补货商人</x:v>
      </x:c>
      <x:c r="D70" s="351" t="str">
        <x:v>shop</x:v>
      </x:c>
      <x:c r="E70" s="351" t="str">
        <x:v>60</x:v>
      </x:c>
      <x:c r="F70" s="351" t="str">
        <x:v>1</x:v>
      </x:c>
      <x:c r="G70" s="351" t="str">
        <x:v>elem_火</x:v>
      </x:c>
      <x:c r="H70" s="351" t="str"/>
      <x:c r="I70" s="351" t="str"/>
      <x:c r="J70" s="351" t="str">
        <x:v>3</x:v>
      </x:c>
      <x:c r="K70" s="351" t="str"/>
      <x:c r="L70" s="351" t="str">
        <x:v>正式</x:v>
      </x:c>
      <x:c r="M70" s="351" t="str">
        <x:v>进入火元素定向摊位</x:v>
      </x:c>
    </x:row>
    <x:row r="71" ht="21" customHeight="1">
      <x:c r="A71" s="351" t="str">
        <x:v>node_rest_gold</x:v>
      </x:c>
      <x:c r="B71" s="351" t="str">
        <x:v>node_pool_d01_growth</x:v>
      </x:c>
      <x:c r="C71" s="351" t="str">
        <x:v>休整补给</x:v>
      </x:c>
      <x:c r="D71" s="351" t="str">
        <x:v>rest</x:v>
      </x:c>
      <x:c r="E71" s="351" t="str">
        <x:v>50</x:v>
      </x:c>
      <x:c r="F71" s="351" t="str">
        <x:v>1</x:v>
      </x:c>
      <x:c r="G71" s="351" t="str"/>
      <x:c r="H71" s="351" t="str"/>
      <x:c r="I71" s="351" t="str"/>
      <x:c r="J71" s="351" t="str"/>
      <x:c r="K71" s="351" t="str">
        <x:v>2</x:v>
      </x:c>
      <x:c r="L71" s="351" t="str">
        <x:v>正式</x:v>
      </x:c>
      <x:c r="M71" s="351" t="str">
        <x:v>直接获得金币</x:v>
      </x:c>
    </x:row>
    <x:row r="72" ht="21" customHeight="1">
      <x:c r="A72" s="351" t="str">
        <x:v>node_d02_role_summon</x:v>
      </x:c>
      <x:c r="B72" s="351" t="str">
        <x:v>node_pool_d02_growth</x:v>
      </x:c>
      <x:c r="C72" s="351" t="str">
        <x:v>召唤摊位</x:v>
      </x:c>
      <x:c r="D72" s="351" t="str">
        <x:v>shop</x:v>
      </x:c>
      <x:c r="E72" s="351" t="str">
        <x:v>100</x:v>
      </x:c>
      <x:c r="F72" s="351" t="str">
        <x:v>2</x:v>
      </x:c>
      <x:c r="G72" s="351" t="str">
        <x:v>role_召唤</x:v>
      </x:c>
      <x:c r="H72" s="351" t="str"/>
      <x:c r="I72" s="351" t="str"/>
      <x:c r="J72" s="351" t="str">
        <x:v>4</x:v>
      </x:c>
      <x:c r="K72" s="351" t="str"/>
      <x:c r="L72" s="351" t="str">
        <x:v>正式</x:v>
      </x:c>
      <x:c r="M72" s="351" t="str">
        <x:v>进入召唤标签摊位</x:v>
      </x:c>
    </x:row>
    <x:row r="73" ht="21" customHeight="1">
      <x:c r="A73" s="351" t="str">
        <x:v>node_d02_role_tank</x:v>
      </x:c>
      <x:c r="B73" s="351" t="str">
        <x:v>node_pool_d02_growth</x:v>
      </x:c>
      <x:c r="C73" s="351" t="str">
        <x:v>前排摊位</x:v>
      </x:c>
      <x:c r="D73" s="351" t="str">
        <x:v>shop</x:v>
      </x:c>
      <x:c r="E73" s="351" t="str">
        <x:v>90</x:v>
      </x:c>
      <x:c r="F73" s="351" t="str">
        <x:v>2</x:v>
      </x:c>
      <x:c r="G73" s="351" t="str">
        <x:v>role_坦克</x:v>
      </x:c>
      <x:c r="H73" s="351" t="str"/>
      <x:c r="I73" s="351" t="str"/>
      <x:c r="J73" s="351" t="str">
        <x:v>4</x:v>
      </x:c>
      <x:c r="K73" s="351" t="str"/>
      <x:c r="L73" s="351" t="str">
        <x:v>正式</x:v>
      </x:c>
      <x:c r="M73" s="351" t="str">
        <x:v>进入坦克标签摊位</x:v>
      </x:c>
    </x:row>
    <x:row r="74" ht="21" customHeight="1">
      <x:c r="A74" s="351" t="str">
        <x:v>node_d02_reward_pet</x:v>
      </x:c>
      <x:c r="B74" s="351" t="str">
        <x:v>node_pool_d02_growth</x:v>
      </x:c>
      <x:c r="C74" s="351" t="str">
        <x:v>宠物奖励</x:v>
      </x:c>
      <x:c r="D74" s="351" t="str">
        <x:v>reward</x:v>
      </x:c>
      <x:c r="E74" s="351" t="str">
        <x:v>80</x:v>
      </x:c>
      <x:c r="F74" s="351" t="str">
        <x:v>2</x:v>
      </x:c>
      <x:c r="G74" s="351" t="str"/>
      <x:c r="H74" s="351" t="str">
        <x:v>reward_pT1</x:v>
      </x:c>
      <x:c r="I74" s="351" t="str"/>
      <x:c r="J74" s="351" t="str">
        <x:v>3</x:v>
      </x:c>
      <x:c r="K74" s="351" t="str"/>
      <x:c r="L74" s="351" t="str">
        <x:v>正式</x:v>
      </x:c>
      <x:c r="M74" s="351" t="str">
        <x:v>生成 3 个 pT1 奖励候选</x:v>
      </x:c>
    </x:row>
    <x:row r="75" ht="21" customHeight="1">
      <x:c r="A75" s="351" t="str">
        <x:v>node_d02_event_summon</x:v>
      </x:c>
      <x:c r="B75" s="351" t="str">
        <x:v>node_pool_d02_growth</x:v>
      </x:c>
      <x:c r="C75" s="351" t="str">
        <x:v>召唤补强</x:v>
      </x:c>
      <x:c r="D75" s="351" t="str">
        <x:v>event</x:v>
      </x:c>
      <x:c r="E75" s="351" t="str">
        <x:v>70</x:v>
      </x:c>
      <x:c r="F75" s="351" t="str">
        <x:v>2</x:v>
      </x:c>
      <x:c r="G75" s="351" t="str">
        <x:v>role_召唤</x:v>
      </x:c>
      <x:c r="H75" s="351" t="str">
        <x:v>reward_summon</x:v>
      </x:c>
      <x:c r="I75" s="351" t="str">
        <x:v>evt_role_summon</x:v>
      </x:c>
      <x:c r="J75" s="351" t="str"/>
      <x:c r="K75" s="351" t="str">
        <x:v>2</x:v>
      </x:c>
      <x:c r="L75" s="351" t="str">
        <x:v>禁用</x:v>
      </x:c>
      <x:c r="M75" s="351" t="str">
        <x:v>获得召唤流补强机会</x:v>
      </x:c>
    </x:row>
    <x:row r="76" ht="21" customHeight="1">
      <x:c r="A76" s="351" t="str">
        <x:v>node_d02_shop_water</x:v>
      </x:c>
      <x:c r="B76" s="351" t="str">
        <x:v>node_pool_d02_growth</x:v>
      </x:c>
      <x:c r="C76" s="351" t="str">
        <x:v>水系补货商人</x:v>
      </x:c>
      <x:c r="D76" s="351" t="str">
        <x:v>shop</x:v>
      </x:c>
      <x:c r="E76" s="351" t="str">
        <x:v>60</x:v>
      </x:c>
      <x:c r="F76" s="351" t="str">
        <x:v>2</x:v>
      </x:c>
      <x:c r="G76" s="351" t="str">
        <x:v>elem_水</x:v>
      </x:c>
      <x:c r="H76" s="351" t="str"/>
      <x:c r="I76" s="351" t="str"/>
      <x:c r="J76" s="351" t="str">
        <x:v>3</x:v>
      </x:c>
      <x:c r="K76" s="351" t="str"/>
      <x:c r="L76" s="351" t="str">
        <x:v>正式</x:v>
      </x:c>
      <x:c r="M76" s="351" t="str">
        <x:v>进入水元素定向摊位</x:v>
      </x:c>
    </x:row>
    <x:row r="77" ht="21" customHeight="1">
      <x:c r="A77" s="351" t="str">
        <x:v>node_d02_rest_gold</x:v>
      </x:c>
      <x:c r="B77" s="351" t="str">
        <x:v>node_pool_d02_growth</x:v>
      </x:c>
      <x:c r="C77" s="351" t="str">
        <x:v>休整补给</x:v>
      </x:c>
      <x:c r="D77" s="351" t="str">
        <x:v>rest</x:v>
      </x:c>
      <x:c r="E77" s="351" t="str">
        <x:v>50</x:v>
      </x:c>
      <x:c r="F77" s="351" t="str">
        <x:v>2</x:v>
      </x:c>
      <x:c r="G77" s="351" t="str"/>
      <x:c r="H77" s="351" t="str"/>
      <x:c r="I77" s="351" t="str"/>
      <x:c r="J77" s="351" t="str"/>
      <x:c r="K77" s="351" t="str">
        <x:v>2</x:v>
      </x:c>
      <x:c r="L77" s="351" t="str">
        <x:v>禁用</x:v>
      </x:c>
      <x:c r="M77" s="351" t="str">
        <x:v>直接获得金币</x:v>
      </x:c>
    </x:row>
    <x:row r="78" ht="21" customHeight="1">
      <x:c r="A78" s="351" t="str">
        <x:v>node_d03_tier2_shop</x:v>
      </x:c>
      <x:c r="B78" s="351" t="str">
        <x:v>node_pool_d03_growth</x:v>
      </x:c>
      <x:c r="C78" s="351" t="str">
        <x:v>白银预备商人</x:v>
      </x:c>
      <x:c r="D78" s="351" t="str">
        <x:v>shop</x:v>
      </x:c>
      <x:c r="E78" s="351" t="str">
        <x:v>100</x:v>
      </x:c>
      <x:c r="F78" s="351" t="str">
        <x:v>3</x:v>
      </x:c>
      <x:c r="G78" s="351" t="str">
        <x:v>tier_pT2</x:v>
      </x:c>
      <x:c r="H78" s="351" t="str"/>
      <x:c r="I78" s="351" t="str"/>
      <x:c r="J78" s="351" t="str">
        <x:v>4</x:v>
      </x:c>
      <x:c r="K78" s="351" t="str"/>
      <x:c r="L78" s="351" t="str">
        <x:v>正式</x:v>
      </x:c>
      <x:c r="M78" s="351" t="str">
        <x:v>进入 pT2 标签摊位</x:v>
      </x:c>
    </x:row>
    <x:row r="79" ht="21" customHeight="1">
      <x:c r="A79" s="351" t="str">
        <x:v>node_d03_reward_tier2</x:v>
      </x:c>
      <x:c r="B79" s="351" t="str">
        <x:v>node_pool_d03_growth</x:v>
      </x:c>
      <x:c r="C79" s="351" t="str">
        <x:v>白银奖励</x:v>
      </x:c>
      <x:c r="D79" s="351" t="str">
        <x:v>reward</x:v>
      </x:c>
      <x:c r="E79" s="351" t="str">
        <x:v>90</x:v>
      </x:c>
      <x:c r="F79" s="351" t="str">
        <x:v>3</x:v>
      </x:c>
      <x:c r="G79" s="351" t="str"/>
      <x:c r="H79" s="351" t="str">
        <x:v>reward_pT2</x:v>
      </x:c>
      <x:c r="I79" s="351" t="str"/>
      <x:c r="J79" s="351" t="str">
        <x:v>3</x:v>
      </x:c>
      <x:c r="K79" s="351" t="str"/>
      <x:c r="L79" s="351" t="str">
        <x:v>正式</x:v>
      </x:c>
      <x:c r="M79" s="351" t="str">
        <x:v>生成 3 个 pT2 奖励候选</x:v>
      </x:c>
    </x:row>
    <x:row r="80" ht="21" customHeight="1">
      <x:c r="A80" s="351" t="str">
        <x:v>node_d03_fire_shop</x:v>
      </x:c>
      <x:c r="B80" s="351" t="str">
        <x:v>node_pool_d03_growth</x:v>
      </x:c>
      <x:c r="C80" s="351" t="str">
        <x:v>火系强化商人</x:v>
      </x:c>
      <x:c r="D80" s="351" t="str">
        <x:v>shop</x:v>
      </x:c>
      <x:c r="E80" s="351" t="str">
        <x:v>80</x:v>
      </x:c>
      <x:c r="F80" s="351" t="str">
        <x:v>3</x:v>
      </x:c>
      <x:c r="G80" s="351" t="str">
        <x:v>elem_火</x:v>
      </x:c>
      <x:c r="H80" s="351" t="str"/>
      <x:c r="I80" s="351" t="str"/>
      <x:c r="J80" s="351" t="str">
        <x:v>4</x:v>
      </x:c>
      <x:c r="K80" s="351" t="str"/>
      <x:c r="L80" s="351" t="str">
        <x:v>正式</x:v>
      </x:c>
      <x:c r="M80" s="351" t="str">
        <x:v>进入火元素强化摊位</x:v>
      </x:c>
    </x:row>
    <x:row r="81" ht="21" customHeight="1">
      <x:c r="A81" s="351" t="str">
        <x:v>node_d03_event_duplicate</x:v>
      </x:c>
      <x:c r="B81" s="351" t="str">
        <x:v>node_pool_d03_growth</x:v>
      </x:c>
      <x:c r="C81" s="351" t="str">
        <x:v>同名复制商人</x:v>
      </x:c>
      <x:c r="D81" s="351" t="str">
        <x:v>event</x:v>
      </x:c>
      <x:c r="E81" s="351" t="str">
        <x:v>75</x:v>
      </x:c>
      <x:c r="F81" s="351" t="str">
        <x:v>3</x:v>
      </x:c>
      <x:c r="G81" s="351" t="str">
        <x:v>special_merchant</x:v>
      </x:c>
      <x:c r="H81" s="351" t="str">
        <x:v>reward_pT2</x:v>
      </x:c>
      <x:c r="I81" s="351" t="str">
        <x:v>evt_duplicate</x:v>
      </x:c>
      <x:c r="J81" s="351" t="str"/>
      <x:c r="K81" s="351" t="str">
        <x:v>1</x:v>
      </x:c>
      <x:c r="L81" s="351" t="str">
        <x:v>禁用</x:v>
      </x:c>
      <x:c r="M81" s="351" t="str">
        <x:v>复制一个已拥有宠物</x:v>
      </x:c>
    </x:row>
    <x:row r="82" ht="21" customHeight="1">
      <x:c r="A82" s="351" t="str">
        <x:v>node_d03_summon_shop</x:v>
      </x:c>
      <x:c r="B82" s="351" t="str">
        <x:v>node_pool_d03_growth</x:v>
      </x:c>
      <x:c r="C82" s="351" t="str">
        <x:v>召唤强化商人</x:v>
      </x:c>
      <x:c r="D82" s="351" t="str">
        <x:v>shop</x:v>
      </x:c>
      <x:c r="E82" s="351" t="str">
        <x:v>70</x:v>
      </x:c>
      <x:c r="F82" s="351" t="str">
        <x:v>3</x:v>
      </x:c>
      <x:c r="G82" s="351" t="str">
        <x:v>role_召唤</x:v>
      </x:c>
      <x:c r="H82" s="351" t="str"/>
      <x:c r="I82" s="351" t="str"/>
      <x:c r="J82" s="351" t="str">
        <x:v>4</x:v>
      </x:c>
      <x:c r="K82" s="351" t="str"/>
      <x:c r="L82" s="351" t="str">
        <x:v>正式</x:v>
      </x:c>
      <x:c r="M82" s="351" t="str">
        <x:v>进入召唤标签摊位</x:v>
      </x:c>
    </x:row>
    <x:row r="83" ht="21" customHeight="1">
      <x:c r="A83" s="351" t="str">
        <x:v>node_d03_event_discount</x:v>
      </x:c>
      <x:c r="B83" s="351" t="str">
        <x:v>node_pool_d03_growth</x:v>
      </x:c>
      <x:c r="C83" s="351" t="str">
        <x:v>折扣摊位</x:v>
      </x:c>
      <x:c r="D83" s="351" t="str">
        <x:v>event</x:v>
      </x:c>
      <x:c r="E83" s="351" t="str">
        <x:v>60</x:v>
      </x:c>
      <x:c r="F83" s="351" t="str">
        <x:v>3</x:v>
      </x:c>
      <x:c r="G83" s="351" t="str">
        <x:v>night_base</x:v>
      </x:c>
      <x:c r="H83" s="351" t="str">
        <x:v>reward_pT2</x:v>
      </x:c>
      <x:c r="I83" s="351" t="str">
        <x:v>evt_discount</x:v>
      </x:c>
      <x:c r="J83" s="351" t="str"/>
      <x:c r="K83" s="351" t="str">
        <x:v>50</x:v>
      </x:c>
      <x:c r="L83" s="351" t="str">
        <x:v>禁用</x:v>
      </x:c>
      <x:c r="M83" s="351" t="str">
        <x:v>下一件商品半价</x:v>
      </x:c>
    </x:row>
    <x:row r="84" ht="21" customHeight="1">
      <x:c r="A84" s="351" t="str">
        <x:v>node_d03_rest_gold</x:v>
      </x:c>
      <x:c r="B84" s="351" t="str">
        <x:v>node_pool_d03_growth</x:v>
      </x:c>
      <x:c r="C84" s="351" t="str">
        <x:v>休整补给</x:v>
      </x:c>
      <x:c r="D84" s="351" t="str">
        <x:v>rest</x:v>
      </x:c>
      <x:c r="E84" s="351" t="str">
        <x:v>50</x:v>
      </x:c>
      <x:c r="F84" s="351" t="str">
        <x:v>3</x:v>
      </x:c>
      <x:c r="G84" s="351" t="str"/>
      <x:c r="H84" s="351" t="str"/>
      <x:c r="I84" s="351" t="str"/>
      <x:c r="J84" s="351" t="str"/>
      <x:c r="K84" s="351" t="str">
        <x:v>3</x:v>
      </x:c>
      <x:c r="L84" s="351" t="str">
        <x:v>禁用</x:v>
      </x:c>
      <x:c r="M84" s="351" t="str">
        <x:v>直接获得金币</x:v>
      </x:c>
    </x:row>
    <x:row r="85" ht="21" customHeight="1">
      <x:c r="A85" s="351" t="str">
        <x:v>node_d04_tier2_shop</x:v>
      </x:c>
      <x:c r="B85" s="351" t="str">
        <x:v>node_pool_d04_growth</x:v>
      </x:c>
      <x:c r="C85" s="351" t="str">
        <x:v>白银商会</x:v>
      </x:c>
      <x:c r="D85" s="351" t="str">
        <x:v>shop</x:v>
      </x:c>
      <x:c r="E85" s="351" t="str">
        <x:v>100</x:v>
      </x:c>
      <x:c r="F85" s="351" t="str">
        <x:v>4</x:v>
      </x:c>
      <x:c r="G85" s="351" t="str">
        <x:v>tier_pT2</x:v>
      </x:c>
      <x:c r="H85" s="351" t="str"/>
      <x:c r="I85" s="351" t="str"/>
      <x:c r="J85" s="351" t="str">
        <x:v>4</x:v>
      </x:c>
      <x:c r="K85" s="351" t="str"/>
      <x:c r="L85" s="351" t="str">
        <x:v>正式</x:v>
      </x:c>
      <x:c r="M85" s="351" t="str">
        <x:v>进入 pT2 标签摊位</x:v>
      </x:c>
    </x:row>
    <x:row r="86" ht="21" customHeight="1">
      <x:c r="A86" s="351" t="str">
        <x:v>node_d04_reward_tier2</x:v>
      </x:c>
      <x:c r="B86" s="351" t="str">
        <x:v>node_pool_d04_growth</x:v>
      </x:c>
      <x:c r="C86" s="351" t="str">
        <x:v>白银奖励</x:v>
      </x:c>
      <x:c r="D86" s="351" t="str">
        <x:v>reward</x:v>
      </x:c>
      <x:c r="E86" s="351" t="str">
        <x:v>90</x:v>
      </x:c>
      <x:c r="F86" s="351" t="str">
        <x:v>4</x:v>
      </x:c>
      <x:c r="G86" s="351" t="str"/>
      <x:c r="H86" s="351" t="str">
        <x:v>reward_pT2</x:v>
      </x:c>
      <x:c r="I86" s="351" t="str"/>
      <x:c r="J86" s="351" t="str">
        <x:v>3</x:v>
      </x:c>
      <x:c r="K86" s="351" t="str"/>
      <x:c r="L86" s="351" t="str">
        <x:v>正式</x:v>
      </x:c>
      <x:c r="M86" s="351" t="str">
        <x:v>生成 3 个 pT2 奖励候选</x:v>
      </x:c>
    </x:row>
    <x:row r="87" ht="21" customHeight="1">
      <x:c r="A87" s="351" t="str">
        <x:v>node_d04_wind_shop</x:v>
      </x:c>
      <x:c r="B87" s="351" t="str">
        <x:v>node_pool_d04_growth</x:v>
      </x:c>
      <x:c r="C87" s="351" t="str">
        <x:v>雷系补货商人</x:v>
      </x:c>
      <x:c r="D87" s="351" t="str">
        <x:v>shop</x:v>
      </x:c>
      <x:c r="E87" s="351" t="str">
        <x:v>80</x:v>
      </x:c>
      <x:c r="F87" s="351" t="str">
        <x:v>4</x:v>
      </x:c>
      <x:c r="G87" s="351" t="str">
        <x:v>elem_雷</x:v>
      </x:c>
      <x:c r="H87" s="351" t="str"/>
      <x:c r="I87" s="351" t="str"/>
      <x:c r="J87" s="351" t="str">
        <x:v>4</x:v>
      </x:c>
      <x:c r="K87" s="351" t="str"/>
      <x:c r="L87" s="351" t="str">
        <x:v>正式</x:v>
      </x:c>
      <x:c r="M87" s="351" t="str">
        <x:v>进入雷元素定向摊位（兼容旧节点ID）</x:v>
      </x:c>
    </x:row>
    <x:row r="88" ht="21" customHeight="1">
      <x:c r="A88" s="351" t="str">
        <x:v>node_d04_event_upgrade</x:v>
      </x:c>
      <x:c r="B88" s="351" t="str">
        <x:v>node_pool_d04_growth</x:v>
      </x:c>
      <x:c r="C88" s="351" t="str">
        <x:v>升阶机会商人</x:v>
      </x:c>
      <x:c r="D88" s="351" t="str">
        <x:v>event</x:v>
      </x:c>
      <x:c r="E88" s="351" t="str">
        <x:v>76</x:v>
      </x:c>
      <x:c r="F88" s="351" t="str">
        <x:v>4</x:v>
      </x:c>
      <x:c r="G88" s="351" t="str">
        <x:v>special_merchant</x:v>
      </x:c>
      <x:c r="H88" s="351" t="str">
        <x:v>reward_pT3</x:v>
      </x:c>
      <x:c r="I88" s="351" t="str">
        <x:v>evt_upgrade_offer</x:v>
      </x:c>
      <x:c r="J88" s="351" t="str"/>
      <x:c r="K88" s="351" t="str">
        <x:v>1</x:v>
      </x:c>
      <x:c r="L88" s="351" t="str">
        <x:v>禁用</x:v>
      </x:c>
      <x:c r="M88" s="351" t="str">
        <x:v>提升一个已拥有宠物等级</x:v>
      </x:c>
    </x:row>
    <x:row r="89" ht="21" customHeight="1">
      <x:c r="A89" s="351" t="str">
        <x:v>node_d04_event_shield</x:v>
      </x:c>
      <x:c r="B89" s="351" t="str">
        <x:v>node_pool_d04_growth</x:v>
      </x:c>
      <x:c r="C89" s="351" t="str">
        <x:v>战前护盾祝福</x:v>
      </x:c>
      <x:c r="D89" s="351" t="str">
        <x:v>event</x:v>
      </x:c>
      <x:c r="E89" s="351" t="str">
        <x:v>75</x:v>
      </x:c>
      <x:c r="F89" s="351" t="str">
        <x:v>4</x:v>
      </x:c>
      <x:c r="G89" s="351" t="str">
        <x:v>role_坦克</x:v>
      </x:c>
      <x:c r="H89" s="351" t="str">
        <x:v>reward_tank</x:v>
      </x:c>
      <x:c r="I89" s="351" t="str">
        <x:v>evt_shield_bless</x:v>
      </x:c>
      <x:c r="J89" s="351" t="str"/>
      <x:c r="K89" s="351" t="str">
        <x:v>2</x:v>
      </x:c>
      <x:c r="L89" s="351" t="str">
        <x:v>禁用</x:v>
      </x:c>
      <x:c r="M89" s="351" t="str">
        <x:v>下一场战斗我方获得护盾</x:v>
      </x:c>
    </x:row>
    <x:row r="90" ht="21" customHeight="1">
      <x:c r="A90" s="351" t="str">
        <x:v>node_d04_control_shop</x:v>
      </x:c>
      <x:c r="B90" s="351" t="str">
        <x:v>node_pool_d04_growth</x:v>
      </x:c>
      <x:c r="C90" s="351" t="str">
        <x:v>控制补强商人</x:v>
      </x:c>
      <x:c r="D90" s="351" t="str">
        <x:v>shop</x:v>
      </x:c>
      <x:c r="E90" s="351" t="str">
        <x:v>70</x:v>
      </x:c>
      <x:c r="F90" s="351" t="str">
        <x:v>4</x:v>
      </x:c>
      <x:c r="G90" s="351" t="str">
        <x:v>role_控制</x:v>
      </x:c>
      <x:c r="H90" s="351" t="str"/>
      <x:c r="I90" s="351" t="str"/>
      <x:c r="J90" s="351" t="str">
        <x:v>4</x:v>
      </x:c>
      <x:c r="K90" s="351" t="str"/>
      <x:c r="L90" s="351" t="str">
        <x:v>正式</x:v>
      </x:c>
      <x:c r="M90" s="351" t="str">
        <x:v>进入控制标签摊位</x:v>
      </x:c>
    </x:row>
    <x:row r="91" ht="21" customHeight="1">
      <x:c r="A91" s="351" t="str">
        <x:v>node_d04_event_wind</x:v>
      </x:c>
      <x:c r="B91" s="351" t="str">
        <x:v>node_pool_d04_growth</x:v>
      </x:c>
      <x:c r="C91" s="351" t="str">
        <x:v>雷系补货事件</x:v>
      </x:c>
      <x:c r="D91" s="351" t="str">
        <x:v>event</x:v>
      </x:c>
      <x:c r="E91" s="351" t="str">
        <x:v>60</x:v>
      </x:c>
      <x:c r="F91" s="351" t="str">
        <x:v>4</x:v>
      </x:c>
      <x:c r="G91" s="351" t="str">
        <x:v>elem_雷</x:v>
      </x:c>
      <x:c r="H91" s="351" t="str">
        <x:v>reward_pT2</x:v>
      </x:c>
      <x:c r="I91" s="351" t="str">
        <x:v>evt_shop_wind</x:v>
      </x:c>
      <x:c r="J91" s="351" t="str"/>
      <x:c r="K91" s="351" t="str">
        <x:v>2</x:v>
      </x:c>
      <x:c r="L91" s="351" t="str">
        <x:v>禁用</x:v>
      </x:c>
      <x:c r="M91" s="351" t="str">
        <x:v>刷新雷系商品位（兼容旧节点ID）</x:v>
      </x:c>
    </x:row>
    <x:row r="92" ht="21" customHeight="1">
      <x:c r="A92" s="351" t="str">
        <x:v>node_d04_rest_gold</x:v>
      </x:c>
      <x:c r="B92" s="351" t="str">
        <x:v>node_pool_d04_growth</x:v>
      </x:c>
      <x:c r="C92" s="351" t="str">
        <x:v>休整补给</x:v>
      </x:c>
      <x:c r="D92" s="351" t="str">
        <x:v>rest</x:v>
      </x:c>
      <x:c r="E92" s="351" t="str">
        <x:v>50</x:v>
      </x:c>
      <x:c r="F92" s="351" t="str">
        <x:v>4</x:v>
      </x:c>
      <x:c r="G92" s="351" t="str"/>
      <x:c r="H92" s="351" t="str"/>
      <x:c r="I92" s="351" t="str"/>
      <x:c r="J92" s="351" t="str"/>
      <x:c r="K92" s="351" t="str">
        <x:v>3</x:v>
      </x:c>
      <x:c r="L92" s="351" t="str">
        <x:v>禁用</x:v>
      </x:c>
      <x:c r="M92" s="351" t="str">
        <x:v>直接获得金币</x:v>
      </x:c>
    </x:row>
    <x:row r="93" ht="21" customHeight="1">
      <x:c r="A93" s="351" t="str">
        <x:v>node_d05_tier2_shop</x:v>
      </x:c>
      <x:c r="B93" s="351" t="str">
        <x:v>node_pool_d05_growth</x:v>
      </x:c>
      <x:c r="C93" s="351" t="str">
        <x:v>白银精选商会</x:v>
      </x:c>
      <x:c r="D93" s="351" t="str">
        <x:v>shop</x:v>
      </x:c>
      <x:c r="E93" s="351" t="str">
        <x:v>100</x:v>
      </x:c>
      <x:c r="F93" s="351" t="str">
        <x:v>5</x:v>
      </x:c>
      <x:c r="G93" s="351" t="str">
        <x:v>tier_pT2</x:v>
      </x:c>
      <x:c r="H93" s="351" t="str"/>
      <x:c r="I93" s="351" t="str"/>
      <x:c r="J93" s="351" t="str">
        <x:v>5</x:v>
      </x:c>
      <x:c r="K93" s="351" t="str"/>
      <x:c r="L93" s="351" t="str">
        <x:v>正式</x:v>
      </x:c>
      <x:c r="M93" s="351" t="str">
        <x:v>进入 pT2 标签摊位</x:v>
      </x:c>
    </x:row>
    <x:row r="94" ht="21" customHeight="1">
      <x:c r="A94" s="351" t="str">
        <x:v>node_d05_reward_tier2</x:v>
      </x:c>
      <x:c r="B94" s="351" t="str">
        <x:v>node_pool_d05_growth</x:v>
      </x:c>
      <x:c r="C94" s="351" t="str">
        <x:v>白银精选奖励</x:v>
      </x:c>
      <x:c r="D94" s="351" t="str">
        <x:v>reward</x:v>
      </x:c>
      <x:c r="E94" s="351" t="str">
        <x:v>90</x:v>
      </x:c>
      <x:c r="F94" s="351" t="str">
        <x:v>5</x:v>
      </x:c>
      <x:c r="G94" s="351" t="str"/>
      <x:c r="H94" s="351" t="str">
        <x:v>reward_pT2</x:v>
      </x:c>
      <x:c r="I94" s="351" t="str"/>
      <x:c r="J94" s="351" t="str">
        <x:v>3</x:v>
      </x:c>
      <x:c r="K94" s="351" t="str"/>
      <x:c r="L94" s="351" t="str">
        <x:v>正式</x:v>
      </x:c>
      <x:c r="M94" s="351" t="str">
        <x:v>生成 3 个 pT2 奖励候选</x:v>
      </x:c>
    </x:row>
    <x:row r="95" ht="21" customHeight="1">
      <x:c r="A95" s="351" t="str">
        <x:v>node_d05_water_shop</x:v>
      </x:c>
      <x:c r="B95" s="351" t="str">
        <x:v>node_pool_d05_growth</x:v>
      </x:c>
      <x:c r="C95" s="351" t="str">
        <x:v>水系治疗商人</x:v>
      </x:c>
      <x:c r="D95" s="351" t="str">
        <x:v>shop</x:v>
      </x:c>
      <x:c r="E95" s="351" t="str">
        <x:v>80</x:v>
      </x:c>
      <x:c r="F95" s="351" t="str">
        <x:v>5</x:v>
      </x:c>
      <x:c r="G95" s="351" t="str">
        <x:v>elem_水</x:v>
      </x:c>
      <x:c r="H95" s="351" t="str"/>
      <x:c r="I95" s="351" t="str"/>
      <x:c r="J95" s="351" t="str">
        <x:v>4</x:v>
      </x:c>
      <x:c r="K95" s="351" t="str"/>
      <x:c r="L95" s="351" t="str">
        <x:v>正式</x:v>
      </x:c>
      <x:c r="M95" s="351" t="str">
        <x:v>进入水元素定向摊位</x:v>
      </x:c>
    </x:row>
    <x:row r="96" ht="21" customHeight="1">
      <x:c r="A96" s="351" t="str">
        <x:v>node_d05_event_trap</x:v>
      </x:c>
      <x:c r="B96" s="351" t="str">
        <x:v>node_pool_d05_growth</x:v>
      </x:c>
      <x:c r="C96" s="351" t="str">
        <x:v>陷阱商人</x:v>
      </x:c>
      <x:c r="D96" s="351" t="str">
        <x:v>event</x:v>
      </x:c>
      <x:c r="E96" s="351" t="str">
        <x:v>75</x:v>
      </x:c>
      <x:c r="F96" s="351" t="str">
        <x:v>5</x:v>
      </x:c>
      <x:c r="G96" s="351" t="str">
        <x:v>elem_火</x:v>
      </x:c>
      <x:c r="H96" s="351" t="str">
        <x:v>reward_trap</x:v>
      </x:c>
      <x:c r="I96" s="351" t="str">
        <x:v>evt_trap_bonus</x:v>
      </x:c>
      <x:c r="J96" s="351" t="str"/>
      <x:c r="K96" s="351" t="str">
        <x:v>1</x:v>
      </x:c>
      <x:c r="L96" s="351" t="str">
        <x:v>禁用</x:v>
      </x:c>
      <x:c r="M96" s="351" t="str">
        <x:v>下一场火陷阱伤害提高</x:v>
      </x:c>
    </x:row>
    <x:row r="97" ht="21" customHeight="1">
      <x:c r="A97" s="351" t="str">
        <x:v>node_d05_heal_shop</x:v>
      </x:c>
      <x:c r="B97" s="351" t="str">
        <x:v>node_pool_d05_growth</x:v>
      </x:c>
      <x:c r="C97" s="351" t="str">
        <x:v>治疗补强商人</x:v>
      </x:c>
      <x:c r="D97" s="351" t="str">
        <x:v>shop</x:v>
      </x:c>
      <x:c r="E97" s="351" t="str">
        <x:v>70</x:v>
      </x:c>
      <x:c r="F97" s="351" t="str">
        <x:v>5</x:v>
      </x:c>
      <x:c r="G97" s="351" t="str">
        <x:v>role_治疗</x:v>
      </x:c>
      <x:c r="H97" s="351" t="str"/>
      <x:c r="I97" s="351" t="str"/>
      <x:c r="J97" s="351" t="str">
        <x:v>4</x:v>
      </x:c>
      <x:c r="K97" s="351" t="str"/>
      <x:c r="L97" s="351" t="str">
        <x:v>正式</x:v>
      </x:c>
      <x:c r="M97" s="351" t="str">
        <x:v>进入治疗标签摊位</x:v>
      </x:c>
    </x:row>
    <x:row r="98" ht="21" customHeight="1">
      <x:c r="A98" s="351" t="str">
        <x:v>node_d05_event_free_roll</x:v>
      </x:c>
      <x:c r="B98" s="351" t="str">
        <x:v>node_pool_d05_growth</x:v>
      </x:c>
      <x:c r="C98" s="351" t="str">
        <x:v>免费刷新补给</x:v>
      </x:c>
      <x:c r="D98" s="351" t="str">
        <x:v>event</x:v>
      </x:c>
      <x:c r="E98" s="351" t="str">
        <x:v>60</x:v>
      </x:c>
      <x:c r="F98" s="351" t="str">
        <x:v>5</x:v>
      </x:c>
      <x:c r="G98" s="351" t="str">
        <x:v>night_base</x:v>
      </x:c>
      <x:c r="H98" s="351" t="str">
        <x:v>reward_pT2</x:v>
      </x:c>
      <x:c r="I98" s="351" t="str">
        <x:v>evt_free_roll</x:v>
      </x:c>
      <x:c r="J98" s="351" t="str"/>
      <x:c r="K98" s="351" t="str">
        <x:v>1</x:v>
      </x:c>
      <x:c r="L98" s="351" t="str">
        <x:v>禁用</x:v>
      </x:c>
      <x:c r="M98" s="351" t="str">
        <x:v>获得一次免费刷新</x:v>
      </x:c>
    </x:row>
    <x:row r="99" ht="21" customHeight="1">
      <x:c r="A99" s="351" t="str">
        <x:v>node_d05_rest_gold</x:v>
      </x:c>
      <x:c r="B99" s="351" t="str">
        <x:v>node_pool_d05_growth</x:v>
      </x:c>
      <x:c r="C99" s="351" t="str">
        <x:v>休整补给</x:v>
      </x:c>
      <x:c r="D99" s="351" t="str">
        <x:v>rest</x:v>
      </x:c>
      <x:c r="E99" s="351" t="str">
        <x:v>50</x:v>
      </x:c>
      <x:c r="F99" s="351" t="str">
        <x:v>5</x:v>
      </x:c>
      <x:c r="G99" s="351" t="str"/>
      <x:c r="H99" s="351" t="str"/>
      <x:c r="I99" s="351" t="str"/>
      <x:c r="J99" s="351" t="str"/>
      <x:c r="K99" s="351" t="str">
        <x:v>3</x:v>
      </x:c>
      <x:c r="L99" s="351" t="str">
        <x:v>禁用</x:v>
      </x:c>
      <x:c r="M99" s="351" t="str">
        <x:v>直接获得金币</x:v>
      </x:c>
    </x:row>
    <x:row r="100" ht="21" customHeight="1">
      <x:c r="A100" s="351" t="str">
        <x:v>node_d06_tier3_shop</x:v>
      </x:c>
      <x:c r="B100" s="351" t="str">
        <x:v>node_pool_d06_growth</x:v>
      </x:c>
      <x:c r="C100" s="351" t="str">
        <x:v>黄金商会</x:v>
      </x:c>
      <x:c r="D100" s="351" t="str">
        <x:v>shop</x:v>
      </x:c>
      <x:c r="E100" s="351" t="str">
        <x:v>100</x:v>
      </x:c>
      <x:c r="F100" s="351" t="str">
        <x:v>6</x:v>
      </x:c>
      <x:c r="G100" s="351" t="str">
        <x:v>tier_pT3</x:v>
      </x:c>
      <x:c r="H100" s="351" t="str"/>
      <x:c r="I100" s="351" t="str"/>
      <x:c r="J100" s="351" t="str">
        <x:v>5</x:v>
      </x:c>
      <x:c r="K100" s="351" t="str"/>
      <x:c r="L100" s="351" t="str">
        <x:v>正式</x:v>
      </x:c>
      <x:c r="M100" s="351" t="str">
        <x:v>进入 pT3 标签摊位</x:v>
      </x:c>
    </x:row>
    <x:row r="101" ht="21" customHeight="1">
      <x:c r="A101" s="351" t="str">
        <x:v>node_d06_reward_tier3</x:v>
      </x:c>
      <x:c r="B101" s="351" t="str">
        <x:v>node_pool_d06_growth</x:v>
      </x:c>
      <x:c r="C101" s="351" t="str">
        <x:v>黄金奖励</x:v>
      </x:c>
      <x:c r="D101" s="351" t="str">
        <x:v>reward</x:v>
      </x:c>
      <x:c r="E101" s="351" t="str">
        <x:v>90</x:v>
      </x:c>
      <x:c r="F101" s="351" t="str">
        <x:v>6</x:v>
      </x:c>
      <x:c r="G101" s="351" t="str"/>
      <x:c r="H101" s="351" t="str">
        <x:v>reward_pT3</x:v>
      </x:c>
      <x:c r="I101" s="351" t="str"/>
      <x:c r="J101" s="351" t="str">
        <x:v>3</x:v>
      </x:c>
      <x:c r="K101" s="351" t="str"/>
      <x:c r="L101" s="351" t="str">
        <x:v>正式</x:v>
      </x:c>
      <x:c r="M101" s="351" t="str">
        <x:v>生成 3 个 pT3 奖励候选</x:v>
      </x:c>
    </x:row>
    <x:row r="102" ht="21" customHeight="1">
      <x:c r="A102" s="351" t="str">
        <x:v>node_d06_output_shop</x:v>
      </x:c>
      <x:c r="B102" s="351" t="str">
        <x:v>node_pool_d06_growth</x:v>
      </x:c>
      <x:c r="C102" s="351" t="str">
        <x:v>输出补强商人</x:v>
      </x:c>
      <x:c r="D102" s="351" t="str">
        <x:v>shop</x:v>
      </x:c>
      <x:c r="E102" s="351" t="str">
        <x:v>80</x:v>
      </x:c>
      <x:c r="F102" s="351" t="str">
        <x:v>6</x:v>
      </x:c>
      <x:c r="G102" s="351" t="str">
        <x:v>role_输出</x:v>
      </x:c>
      <x:c r="H102" s="351" t="str"/>
      <x:c r="I102" s="351" t="str"/>
      <x:c r="J102" s="351" t="str">
        <x:v>5</x:v>
      </x:c>
      <x:c r="K102" s="351" t="str"/>
      <x:c r="L102" s="351" t="str">
        <x:v>正式</x:v>
      </x:c>
      <x:c r="M102" s="351" t="str">
        <x:v>进入输出标签摊位</x:v>
      </x:c>
    </x:row>
    <x:row r="103" ht="21" customHeight="1">
      <x:c r="A103" s="351" t="str">
        <x:v>node_d06_event_curse_gold</x:v>
      </x:c>
      <x:c r="B103" s="351" t="str">
        <x:v>node_pool_d06_growth</x:v>
      </x:c>
      <x:c r="C103" s="351" t="str">
        <x:v>贪婪诅咒</x:v>
      </x:c>
      <x:c r="D103" s="351" t="str">
        <x:v>event</x:v>
      </x:c>
      <x:c r="E103" s="351" t="str">
        <x:v>75</x:v>
      </x:c>
      <x:c r="F103" s="351" t="str">
        <x:v>6</x:v>
      </x:c>
      <x:c r="G103" s="351" t="str">
        <x:v>night_base</x:v>
      </x:c>
      <x:c r="H103" s="351" t="str">
        <x:v>reward_economy</x:v>
      </x:c>
      <x:c r="I103" s="351" t="str">
        <x:v>evt_curse_gold</x:v>
      </x:c>
      <x:c r="J103" s="351" t="str"/>
      <x:c r="K103" s="351" t="str">
        <x:v>4</x:v>
      </x:c>
      <x:c r="L103" s="351" t="str">
        <x:v>禁用</x:v>
      </x:c>
      <x:c r="M103" s="351" t="str">
        <x:v>立刻获得金币但下一场战斗奖励折损</x:v>
      </x:c>
    </x:row>
    <x:row r="104" ht="21" customHeight="1">
      <x:c r="A104" s="351" t="str">
        <x:v>node_d06_fire_shop</x:v>
      </x:c>
      <x:c r="B104" s="351" t="str">
        <x:v>node_pool_d06_growth</x:v>
      </x:c>
      <x:c r="C104" s="351" t="str">
        <x:v>火系爆发商人</x:v>
      </x:c>
      <x:c r="D104" s="351" t="str">
        <x:v>shop</x:v>
      </x:c>
      <x:c r="E104" s="351" t="str">
        <x:v>70</x:v>
      </x:c>
      <x:c r="F104" s="351" t="str">
        <x:v>6</x:v>
      </x:c>
      <x:c r="G104" s="351" t="str">
        <x:v>elem_火</x:v>
      </x:c>
      <x:c r="H104" s="351" t="str"/>
      <x:c r="I104" s="351" t="str"/>
      <x:c r="J104" s="351" t="str">
        <x:v>5</x:v>
      </x:c>
      <x:c r="K104" s="351" t="str"/>
      <x:c r="L104" s="351" t="str">
        <x:v>正式</x:v>
      </x:c>
      <x:c r="M104" s="351" t="str">
        <x:v>进入火元素强化摊位</x:v>
      </x:c>
    </x:row>
    <x:row r="105" ht="21" customHeight="1">
      <x:c r="A105" s="351" t="str">
        <x:v>node_d06_event_discount</x:v>
      </x:c>
      <x:c r="B105" s="351" t="str">
        <x:v>node_pool_d06_growth</x:v>
      </x:c>
      <x:c r="C105" s="351" t="str">
        <x:v>精英战前折扣</x:v>
      </x:c>
      <x:c r="D105" s="351" t="str">
        <x:v>event</x:v>
      </x:c>
      <x:c r="E105" s="351" t="str">
        <x:v>60</x:v>
      </x:c>
      <x:c r="F105" s="351" t="str">
        <x:v>6</x:v>
      </x:c>
      <x:c r="G105" s="351" t="str">
        <x:v>night_base</x:v>
      </x:c>
      <x:c r="H105" s="351" t="str">
        <x:v>reward_pT3</x:v>
      </x:c>
      <x:c r="I105" s="351" t="str">
        <x:v>evt_discount</x:v>
      </x:c>
      <x:c r="J105" s="351" t="str"/>
      <x:c r="K105" s="351" t="str">
        <x:v>50</x:v>
      </x:c>
      <x:c r="L105" s="351" t="str">
        <x:v>禁用</x:v>
      </x:c>
      <x:c r="M105" s="351" t="str">
        <x:v>下一件商品半价</x:v>
      </x:c>
    </x:row>
    <x:row r="106" ht="21" customHeight="1">
      <x:c r="A106" s="351" t="str">
        <x:v>node_d06_rest_gold</x:v>
      </x:c>
      <x:c r="B106" s="351" t="str">
        <x:v>node_pool_d06_growth</x:v>
      </x:c>
      <x:c r="C106" s="351" t="str">
        <x:v>精英战前休整</x:v>
      </x:c>
      <x:c r="D106" s="351" t="str">
        <x:v>rest</x:v>
      </x:c>
      <x:c r="E106" s="351" t="str">
        <x:v>50</x:v>
      </x:c>
      <x:c r="F106" s="351" t="str">
        <x:v>6</x:v>
      </x:c>
      <x:c r="G106" s="351" t="str"/>
      <x:c r="H106" s="351" t="str"/>
      <x:c r="I106" s="351" t="str"/>
      <x:c r="J106" s="351" t="str"/>
      <x:c r="K106" s="351" t="str">
        <x:v>4</x:v>
      </x:c>
      <x:c r="L106" s="351" t="str">
        <x:v>禁用</x:v>
      </x:c>
      <x:c r="M106" s="351" t="str">
        <x:v>直接获得金币</x:v>
      </x:c>
    </x:row>
    <x:row r="107" ht="21" customHeight="1">
      <x:c r="A107" s="351" t="str">
        <x:v>node_d07_tier3_shop</x:v>
      </x:c>
      <x:c r="B107" s="351" t="str">
        <x:v>node_pool_d07_growth</x:v>
      </x:c>
      <x:c r="C107" s="351" t="str">
        <x:v>黄金精选商会</x:v>
      </x:c>
      <x:c r="D107" s="351" t="str">
        <x:v>shop</x:v>
      </x:c>
      <x:c r="E107" s="351" t="str">
        <x:v>100</x:v>
      </x:c>
      <x:c r="F107" s="351" t="str">
        <x:v>7</x:v>
      </x:c>
      <x:c r="G107" s="351" t="str">
        <x:v>tier_pT3</x:v>
      </x:c>
      <x:c r="H107" s="351" t="str"/>
      <x:c r="I107" s="351" t="str"/>
      <x:c r="J107" s="351" t="str">
        <x:v>5</x:v>
      </x:c>
      <x:c r="K107" s="351" t="str"/>
      <x:c r="L107" s="351" t="str">
        <x:v>正式</x:v>
      </x:c>
      <x:c r="M107" s="351" t="str">
        <x:v>进入 pT3 标签摊位</x:v>
      </x:c>
    </x:row>
    <x:row r="108" ht="21" customHeight="1">
      <x:c r="A108" s="351" t="str">
        <x:v>node_d07_reward_tier3</x:v>
      </x:c>
      <x:c r="B108" s="351" t="str">
        <x:v>node_pool_d07_growth</x:v>
      </x:c>
      <x:c r="C108" s="351" t="str">
        <x:v>黄金精选奖励</x:v>
      </x:c>
      <x:c r="D108" s="351" t="str">
        <x:v>reward</x:v>
      </x:c>
      <x:c r="E108" s="351" t="str">
        <x:v>90</x:v>
      </x:c>
      <x:c r="F108" s="351" t="str">
        <x:v>7</x:v>
      </x:c>
      <x:c r="G108" s="351" t="str"/>
      <x:c r="H108" s="351" t="str">
        <x:v>reward_pT3</x:v>
      </x:c>
      <x:c r="I108" s="351" t="str"/>
      <x:c r="J108" s="351" t="str">
        <x:v>3</x:v>
      </x:c>
      <x:c r="K108" s="351" t="str"/>
      <x:c r="L108" s="351" t="str">
        <x:v>正式</x:v>
      </x:c>
      <x:c r="M108" s="351" t="str">
        <x:v>生成 3 个 pT3 奖励候选</x:v>
      </x:c>
    </x:row>
    <x:row r="109" ht="21" customHeight="1">
      <x:c r="A109" s="351" t="str">
        <x:v>node_d07_tank_shop</x:v>
      </x:c>
      <x:c r="B109" s="351" t="str">
        <x:v>node_pool_d07_growth</x:v>
      </x:c>
      <x:c r="C109" s="351" t="str">
        <x:v>前排补强商人</x:v>
      </x:c>
      <x:c r="D109" s="351" t="str">
        <x:v>shop</x:v>
      </x:c>
      <x:c r="E109" s="351" t="str">
        <x:v>80</x:v>
      </x:c>
      <x:c r="F109" s="351" t="str">
        <x:v>7</x:v>
      </x:c>
      <x:c r="G109" s="351" t="str">
        <x:v>role_坦克</x:v>
      </x:c>
      <x:c r="H109" s="351" t="str"/>
      <x:c r="I109" s="351" t="str"/>
      <x:c r="J109" s="351" t="str">
        <x:v>5</x:v>
      </x:c>
      <x:c r="K109" s="351" t="str"/>
      <x:c r="L109" s="351" t="str">
        <x:v>正式</x:v>
      </x:c>
      <x:c r="M109" s="351" t="str">
        <x:v>进入坦克标签摊位</x:v>
      </x:c>
    </x:row>
    <x:row r="110" ht="21" customHeight="1">
      <x:c r="A110" s="351" t="str">
        <x:v>node_d07_earth_shop</x:v>
      </x:c>
      <x:c r="B110" s="351" t="str">
        <x:v>node_pool_d07_growth</x:v>
      </x:c>
      <x:c r="C110" s="351" t="str">
        <x:v>地系防线商人</x:v>
      </x:c>
      <x:c r="D110" s="351" t="str">
        <x:v>shop</x:v>
      </x:c>
      <x:c r="E110" s="351" t="str">
        <x:v>70</x:v>
      </x:c>
      <x:c r="F110" s="351" t="str">
        <x:v>7</x:v>
      </x:c>
      <x:c r="G110" s="351" t="str">
        <x:v>elem_地</x:v>
      </x:c>
      <x:c r="H110" s="351" t="str"/>
      <x:c r="I110" s="351" t="str"/>
      <x:c r="J110" s="351" t="str">
        <x:v>5</x:v>
      </x:c>
      <x:c r="K110" s="351" t="str"/>
      <x:c r="L110" s="351" t="str">
        <x:v>正式</x:v>
      </x:c>
      <x:c r="M110" s="351" t="str">
        <x:v>进入地元素定向摊位（兼容旧节点ID）</x:v>
      </x:c>
    </x:row>
    <x:row r="111" ht="21" customHeight="1">
      <x:c r="A111" s="351" t="str">
        <x:v>node_d07_event_tank</x:v>
      </x:c>
      <x:c r="B111" s="351" t="str">
        <x:v>node_pool_d07_growth</x:v>
      </x:c>
      <x:c r="C111" s="351" t="str">
        <x:v>前排补强事件</x:v>
      </x:c>
      <x:c r="D111" s="351" t="str">
        <x:v>event</x:v>
      </x:c>
      <x:c r="E111" s="351" t="str">
        <x:v>60</x:v>
      </x:c>
      <x:c r="F111" s="351" t="str">
        <x:v>7</x:v>
      </x:c>
      <x:c r="G111" s="351" t="str">
        <x:v>role_坦克</x:v>
      </x:c>
      <x:c r="H111" s="351" t="str">
        <x:v>reward_pT3</x:v>
      </x:c>
      <x:c r="I111" s="351" t="str">
        <x:v>evt_role_tank</x:v>
      </x:c>
      <x:c r="J111" s="351" t="str"/>
      <x:c r="K111" s="351" t="str">
        <x:v>2</x:v>
      </x:c>
      <x:c r="L111" s="351" t="str">
        <x:v>禁用</x:v>
      </x:c>
      <x:c r="M111" s="351" t="str">
        <x:v>获得前排补强机会</x:v>
      </x:c>
    </x:row>
    <x:row r="112" ht="21" customHeight="1">
      <x:c r="A112" s="351" t="str">
        <x:v>node_d07_rest_gold</x:v>
      </x:c>
      <x:c r="B112" s="351" t="str">
        <x:v>node_pool_d07_growth</x:v>
      </x:c>
      <x:c r="C112" s="351" t="str">
        <x:v>精英战前休整</x:v>
      </x:c>
      <x:c r="D112" s="351" t="str">
        <x:v>rest</x:v>
      </x:c>
      <x:c r="E112" s="351" t="str">
        <x:v>50</x:v>
      </x:c>
      <x:c r="F112" s="351" t="str">
        <x:v>7</x:v>
      </x:c>
      <x:c r="G112" s="351" t="str"/>
      <x:c r="H112" s="351" t="str"/>
      <x:c r="I112" s="351" t="str"/>
      <x:c r="J112" s="351" t="str"/>
      <x:c r="K112" s="351" t="str">
        <x:v>4</x:v>
      </x:c>
      <x:c r="L112" s="351" t="str">
        <x:v>禁用</x:v>
      </x:c>
      <x:c r="M112" s="351" t="str">
        <x:v>直接获得金币</x:v>
      </x:c>
    </x:row>
    <x:row r="113" ht="21" customHeight="1">
      <x:c r="A113" s="351" t="str">
        <x:v>node_d08_tier3_shop</x:v>
      </x:c>
      <x:c r="B113" s="351" t="str">
        <x:v>node_pool_d08_growth</x:v>
      </x:c>
      <x:c r="C113" s="351" t="str">
        <x:v>黄金连锁商会</x:v>
      </x:c>
      <x:c r="D113" s="351" t="str">
        <x:v>shop</x:v>
      </x:c>
      <x:c r="E113" s="351" t="str">
        <x:v>100</x:v>
      </x:c>
      <x:c r="F113" s="351" t="str">
        <x:v>8</x:v>
      </x:c>
      <x:c r="G113" s="351" t="str">
        <x:v>tier_pT3</x:v>
      </x:c>
      <x:c r="H113" s="351" t="str"/>
      <x:c r="I113" s="351" t="str"/>
      <x:c r="J113" s="351" t="str">
        <x:v>6</x:v>
      </x:c>
      <x:c r="K113" s="351" t="str"/>
      <x:c r="L113" s="351" t="str">
        <x:v>正式</x:v>
      </x:c>
      <x:c r="M113" s="351" t="str">
        <x:v>进入 pT3 标签摊位</x:v>
      </x:c>
    </x:row>
    <x:row r="114" ht="21" customHeight="1">
      <x:c r="A114" s="351" t="str">
        <x:v>node_d08_reward_tier3</x:v>
      </x:c>
      <x:c r="B114" s="351" t="str">
        <x:v>node_pool_d08_growth</x:v>
      </x:c>
      <x:c r="C114" s="351" t="str">
        <x:v>黄金连锁奖励</x:v>
      </x:c>
      <x:c r="D114" s="351" t="str">
        <x:v>reward</x:v>
      </x:c>
      <x:c r="E114" s="351" t="str">
        <x:v>90</x:v>
      </x:c>
      <x:c r="F114" s="351" t="str">
        <x:v>8</x:v>
      </x:c>
      <x:c r="G114" s="351" t="str"/>
      <x:c r="H114" s="351" t="str">
        <x:v>reward_pT3</x:v>
      </x:c>
      <x:c r="I114" s="351" t="str"/>
      <x:c r="J114" s="351" t="str">
        <x:v>3</x:v>
      </x:c>
      <x:c r="K114" s="351" t="str"/>
      <x:c r="L114" s="351" t="str">
        <x:v>正式</x:v>
      </x:c>
      <x:c r="M114" s="351" t="str">
        <x:v>生成 3 个 pT3 奖励候选</x:v>
      </x:c>
    </x:row>
    <x:row r="115" ht="21" customHeight="1">
      <x:c r="A115" s="351" t="str">
        <x:v>node_d08_economy_shop</x:v>
      </x:c>
      <x:c r="B115" s="351" t="str">
        <x:v>node_pool_d08_growth</x:v>
      </x:c>
      <x:c r="C115" s="351" t="str">
        <x:v>经济补强商人</x:v>
      </x:c>
      <x:c r="D115" s="351" t="str">
        <x:v>shop</x:v>
      </x:c>
      <x:c r="E115" s="351" t="str">
        <x:v>80</x:v>
      </x:c>
      <x:c r="F115" s="351" t="str">
        <x:v>8</x:v>
      </x:c>
      <x:c r="G115" s="351" t="str">
        <x:v>role_经济</x:v>
      </x:c>
      <x:c r="H115" s="351" t="str"/>
      <x:c r="I115" s="351" t="str"/>
      <x:c r="J115" s="351" t="str">
        <x:v>5</x:v>
      </x:c>
      <x:c r="K115" s="351" t="str"/>
      <x:c r="L115" s="351" t="str">
        <x:v>正式</x:v>
      </x:c>
      <x:c r="M115" s="351" t="str">
        <x:v>进入经济标签摊位</x:v>
      </x:c>
    </x:row>
    <x:row r="116" ht="21" customHeight="1">
      <x:c r="A116" s="351" t="str">
        <x:v>node_d08_wind_shop</x:v>
      </x:c>
      <x:c r="B116" s="351" t="str">
        <x:v>node_pool_d08_growth</x:v>
      </x:c>
      <x:c r="C116" s="351" t="str">
        <x:v>雷系连锁商人</x:v>
      </x:c>
      <x:c r="D116" s="351" t="str">
        <x:v>shop</x:v>
      </x:c>
      <x:c r="E116" s="351" t="str">
        <x:v>70</x:v>
      </x:c>
      <x:c r="F116" s="351" t="str">
        <x:v>8</x:v>
      </x:c>
      <x:c r="G116" s="351" t="str">
        <x:v>elem_雷</x:v>
      </x:c>
      <x:c r="H116" s="351" t="str"/>
      <x:c r="I116" s="351" t="str"/>
      <x:c r="J116" s="351" t="str">
        <x:v>5</x:v>
      </x:c>
      <x:c r="K116" s="351" t="str"/>
      <x:c r="L116" s="351" t="str">
        <x:v>正式</x:v>
      </x:c>
      <x:c r="M116" s="351" t="str">
        <x:v>进入雷元素定向摊位（兼容旧节点ID）</x:v>
      </x:c>
    </x:row>
    <x:row r="117" ht="21" customHeight="1">
      <x:c r="A117" s="351" t="str">
        <x:v>node_d08_event_wind</x:v>
      </x:c>
      <x:c r="B117" s="351" t="str">
        <x:v>node_pool_d08_growth</x:v>
      </x:c>
      <x:c r="C117" s="351" t="str">
        <x:v>雷系连锁事件</x:v>
      </x:c>
      <x:c r="D117" s="351" t="str">
        <x:v>event</x:v>
      </x:c>
      <x:c r="E117" s="351" t="str">
        <x:v>60</x:v>
      </x:c>
      <x:c r="F117" s="351" t="str">
        <x:v>8</x:v>
      </x:c>
      <x:c r="G117" s="351" t="str">
        <x:v>elem_雷</x:v>
      </x:c>
      <x:c r="H117" s="351" t="str">
        <x:v>reward_pT3</x:v>
      </x:c>
      <x:c r="I117" s="351" t="str">
        <x:v>evt_shop_wind</x:v>
      </x:c>
      <x:c r="J117" s="351" t="str"/>
      <x:c r="K117" s="351" t="str">
        <x:v>2</x:v>
      </x:c>
      <x:c r="L117" s="351" t="str">
        <x:v>禁用</x:v>
      </x:c>
      <x:c r="M117" s="351" t="str">
        <x:v>刷新雷系商品位（兼容旧节点ID）</x:v>
      </x:c>
    </x:row>
    <x:row r="118" ht="21" customHeight="1">
      <x:c r="A118" s="351" t="str">
        <x:v>node_d08_rest_gold</x:v>
      </x:c>
      <x:c r="B118" s="351" t="str">
        <x:v>node_pool_d08_growth</x:v>
      </x:c>
      <x:c r="C118" s="351" t="str">
        <x:v>精英战前休整</x:v>
      </x:c>
      <x:c r="D118" s="351" t="str">
        <x:v>rest</x:v>
      </x:c>
      <x:c r="E118" s="351" t="str">
        <x:v>50</x:v>
      </x:c>
      <x:c r="F118" s="351" t="str">
        <x:v>8</x:v>
      </x:c>
      <x:c r="G118" s="351" t="str"/>
      <x:c r="H118" s="351" t="str"/>
      <x:c r="I118" s="351" t="str"/>
      <x:c r="J118" s="351" t="str"/>
      <x:c r="K118" s="351" t="str">
        <x:v>4</x:v>
      </x:c>
      <x:c r="L118" s="351" t="str">
        <x:v>禁用</x:v>
      </x:c>
      <x:c r="M118" s="351" t="str">
        <x:v>直接获得金币</x:v>
      </x:c>
    </x:row>
    <x:row r="119" ht="21" customHeight="1">
      <x:c r="A119" s="351" t="str">
        <x:v>node_d09_tier3_shop</x:v>
      </x:c>
      <x:c r="B119" s="351" t="str">
        <x:v>node_pool_d09_growth</x:v>
      </x:c>
      <x:c r="C119" s="351" t="str">
        <x:v>终局前黄金商会</x:v>
      </x:c>
      <x:c r="D119" s="351" t="str">
        <x:v>shop</x:v>
      </x:c>
      <x:c r="E119" s="351" t="str">
        <x:v>100</x:v>
      </x:c>
      <x:c r="F119" s="351" t="str">
        <x:v>9</x:v>
      </x:c>
      <x:c r="G119" s="351" t="str">
        <x:v>tier_pT3</x:v>
      </x:c>
      <x:c r="H119" s="351" t="str"/>
      <x:c r="I119" s="351" t="str"/>
      <x:c r="J119" s="351" t="str">
        <x:v>6</x:v>
      </x:c>
      <x:c r="K119" s="351" t="str"/>
      <x:c r="L119" s="351" t="str">
        <x:v>正式</x:v>
      </x:c>
      <x:c r="M119" s="351" t="str">
        <x:v>进入 pT3 标签摊位</x:v>
      </x:c>
    </x:row>
    <x:row r="120" ht="21" customHeight="1">
      <x:c r="A120" s="351" t="str">
        <x:v>node_d09_reward_tier3</x:v>
      </x:c>
      <x:c r="B120" s="351" t="str">
        <x:v>node_pool_d09_growth</x:v>
      </x:c>
      <x:c r="C120" s="351" t="str">
        <x:v>终局前黄金奖励</x:v>
      </x:c>
      <x:c r="D120" s="351" t="str">
        <x:v>reward</x:v>
      </x:c>
      <x:c r="E120" s="351" t="str">
        <x:v>90</x:v>
      </x:c>
      <x:c r="F120" s="351" t="str">
        <x:v>9</x:v>
      </x:c>
      <x:c r="G120" s="351" t="str"/>
      <x:c r="H120" s="351" t="str">
        <x:v>reward_pT3</x:v>
      </x:c>
      <x:c r="I120" s="351" t="str"/>
      <x:c r="J120" s="351" t="str">
        <x:v>3</x:v>
      </x:c>
      <x:c r="K120" s="351" t="str"/>
      <x:c r="L120" s="351" t="str">
        <x:v>正式</x:v>
      </x:c>
      <x:c r="M120" s="351" t="str">
        <x:v>生成 3 个 pT3 奖励候选</x:v>
      </x:c>
    </x:row>
    <x:row r="121" ht="21" customHeight="1">
      <x:c r="A121" s="351" t="str">
        <x:v>node_d09_summon_shop</x:v>
      </x:c>
      <x:c r="B121" s="351" t="str">
        <x:v>node_pool_d09_growth</x:v>
      </x:c>
      <x:c r="C121" s="351" t="str">
        <x:v>召唤终局商人</x:v>
      </x:c>
      <x:c r="D121" s="351" t="str">
        <x:v>shop</x:v>
      </x:c>
      <x:c r="E121" s="351" t="str">
        <x:v>80</x:v>
      </x:c>
      <x:c r="F121" s="351" t="str">
        <x:v>9</x:v>
      </x:c>
      <x:c r="G121" s="351" t="str">
        <x:v>role_召唤</x:v>
      </x:c>
      <x:c r="H121" s="351" t="str"/>
      <x:c r="I121" s="351" t="str"/>
      <x:c r="J121" s="351" t="str">
        <x:v>5</x:v>
      </x:c>
      <x:c r="K121" s="351" t="str"/>
      <x:c r="L121" s="351" t="str">
        <x:v>正式</x:v>
      </x:c>
      <x:c r="M121" s="351" t="str">
        <x:v>进入召唤标签摊位</x:v>
      </x:c>
    </x:row>
    <x:row r="122" ht="21" customHeight="1">
      <x:c r="A122" s="351" t="str">
        <x:v>node_d09_fire_shop</x:v>
      </x:c>
      <x:c r="B122" s="351" t="str">
        <x:v>node_pool_d09_growth</x:v>
      </x:c>
      <x:c r="C122" s="351" t="str">
        <x:v>火系终局商人</x:v>
      </x:c>
      <x:c r="D122" s="351" t="str">
        <x:v>shop</x:v>
      </x:c>
      <x:c r="E122" s="351" t="str">
        <x:v>70</x:v>
      </x:c>
      <x:c r="F122" s="351" t="str">
        <x:v>9</x:v>
      </x:c>
      <x:c r="G122" s="351" t="str">
        <x:v>elem_火</x:v>
      </x:c>
      <x:c r="H122" s="351" t="str"/>
      <x:c r="I122" s="351" t="str"/>
      <x:c r="J122" s="351" t="str">
        <x:v>5</x:v>
      </x:c>
      <x:c r="K122" s="351" t="str"/>
      <x:c r="L122" s="351" t="str">
        <x:v>正式</x:v>
      </x:c>
      <x:c r="M122" s="351" t="str">
        <x:v>进入火元素强化摊位</x:v>
      </x:c>
    </x:row>
    <x:row r="123" ht="21" customHeight="1">
      <x:c r="A123" s="351" t="str">
        <x:v>node_d09_event_summon</x:v>
      </x:c>
      <x:c r="B123" s="351" t="str">
        <x:v>node_pool_d09_growth</x:v>
      </x:c>
      <x:c r="C123" s="351" t="str">
        <x:v>召唤终局事件</x:v>
      </x:c>
      <x:c r="D123" s="351" t="str">
        <x:v>event</x:v>
      </x:c>
      <x:c r="E123" s="351" t="str">
        <x:v>60</x:v>
      </x:c>
      <x:c r="F123" s="351" t="str">
        <x:v>9</x:v>
      </x:c>
      <x:c r="G123" s="351" t="str">
        <x:v>role_召唤</x:v>
      </x:c>
      <x:c r="H123" s="351" t="str">
        <x:v>reward_pT3</x:v>
      </x:c>
      <x:c r="I123" s="351" t="str">
        <x:v>evt_role_summon</x:v>
      </x:c>
      <x:c r="J123" s="351" t="str"/>
      <x:c r="K123" s="351" t="str">
        <x:v>2</x:v>
      </x:c>
      <x:c r="L123" s="351" t="str">
        <x:v>禁用</x:v>
      </x:c>
      <x:c r="M123" s="351" t="str">
        <x:v>获得召唤流补强机会</x:v>
      </x:c>
    </x:row>
    <x:row r="124" ht="21" customHeight="1">
      <x:c r="A124" s="351" t="str">
        <x:v>node_d09_rest_gold</x:v>
      </x:c>
      <x:c r="B124" s="351" t="str">
        <x:v>node_pool_d09_growth</x:v>
      </x:c>
      <x:c r="C124" s="351" t="str">
        <x:v>Boss 前休整</x:v>
      </x:c>
      <x:c r="D124" s="351" t="str">
        <x:v>rest</x:v>
      </x:c>
      <x:c r="E124" s="351" t="str">
        <x:v>50</x:v>
      </x:c>
      <x:c r="F124" s="351" t="str">
        <x:v>9</x:v>
      </x:c>
      <x:c r="G124" s="351" t="str"/>
      <x:c r="H124" s="351" t="str"/>
      <x:c r="I124" s="351" t="str"/>
      <x:c r="J124" s="351" t="str"/>
      <x:c r="K124" s="351" t="str">
        <x:v>5</x:v>
      </x:c>
      <x:c r="L124" s="351" t="str">
        <x:v>禁用</x:v>
      </x:c>
      <x:c r="M124" s="351" t="str">
        <x:v>直接获得金币</x:v>
      </x:c>
    </x:row>
    <x:row r="125" ht="21" customHeight="1">
      <x:c r="A125" s="351" t="str">
        <x:v>node_d10_tier3_shop</x:v>
      </x:c>
      <x:c r="B125" s="351" t="str">
        <x:v>node_pool_d10_growth</x:v>
      </x:c>
      <x:c r="C125" s="351" t="str">
        <x:v>终局黄金商会</x:v>
      </x:c>
      <x:c r="D125" s="351" t="str">
        <x:v>shop</x:v>
      </x:c>
      <x:c r="E125" s="351" t="str">
        <x:v>100</x:v>
      </x:c>
      <x:c r="F125" s="351" t="str">
        <x:v>10</x:v>
      </x:c>
      <x:c r="G125" s="351" t="str">
        <x:v>tier_pT3</x:v>
      </x:c>
      <x:c r="H125" s="351" t="str"/>
      <x:c r="I125" s="351" t="str"/>
      <x:c r="J125" s="351" t="str">
        <x:v>6</x:v>
      </x:c>
      <x:c r="K125" s="351" t="str"/>
      <x:c r="L125" s="351" t="str">
        <x:v>正式</x:v>
      </x:c>
      <x:c r="M125" s="351" t="str">
        <x:v>进入 pT3 标签摊位</x:v>
      </x:c>
    </x:row>
    <x:row r="126" ht="21" customHeight="1">
      <x:c r="A126" s="351" t="str">
        <x:v>node_d10_reward_tier3</x:v>
      </x:c>
      <x:c r="B126" s="351" t="str">
        <x:v>node_pool_d10_growth</x:v>
      </x:c>
      <x:c r="C126" s="351" t="str">
        <x:v>终局黄金奖励</x:v>
      </x:c>
      <x:c r="D126" s="351" t="str">
        <x:v>reward</x:v>
      </x:c>
      <x:c r="E126" s="351" t="str">
        <x:v>90</x:v>
      </x:c>
      <x:c r="F126" s="351" t="str">
        <x:v>10</x:v>
      </x:c>
      <x:c r="G126" s="351" t="str"/>
      <x:c r="H126" s="351" t="str">
        <x:v>reward_pT3</x:v>
      </x:c>
      <x:c r="I126" s="351" t="str"/>
      <x:c r="J126" s="351" t="str">
        <x:v>3</x:v>
      </x:c>
      <x:c r="K126" s="351" t="str"/>
      <x:c r="L126" s="351" t="str">
        <x:v>正式</x:v>
      </x:c>
      <x:c r="M126" s="351" t="str">
        <x:v>生成 3 个 pT3 奖励候选</x:v>
      </x:c>
    </x:row>
    <x:row r="127" ht="21" customHeight="1">
      <x:c r="A127" s="351" t="str">
        <x:v>node_d10_output_shop</x:v>
      </x:c>
      <x:c r="B127" s="351" t="str">
        <x:v>node_pool_d10_growth</x:v>
      </x:c>
      <x:c r="C127" s="351" t="str">
        <x:v>终局输出商人</x:v>
      </x:c>
      <x:c r="D127" s="351" t="str">
        <x:v>shop</x:v>
      </x:c>
      <x:c r="E127" s="351" t="str">
        <x:v>80</x:v>
      </x:c>
      <x:c r="F127" s="351" t="str">
        <x:v>10</x:v>
      </x:c>
      <x:c r="G127" s="351" t="str">
        <x:v>role_输出</x:v>
      </x:c>
      <x:c r="H127" s="351" t="str"/>
      <x:c r="I127" s="351" t="str"/>
      <x:c r="J127" s="351" t="str">
        <x:v>6</x:v>
      </x:c>
      <x:c r="K127" s="351" t="str"/>
      <x:c r="L127" s="351" t="str">
        <x:v>正式</x:v>
      </x:c>
      <x:c r="M127" s="351" t="str">
        <x:v>进入输出标签摊位</x:v>
      </x:c>
    </x:row>
    <x:row r="128" ht="21" customHeight="1">
      <x:c r="A128" s="351" t="str">
        <x:v>node_d10_fire_shop</x:v>
      </x:c>
      <x:c r="B128" s="351" t="str">
        <x:v>node_pool_d10_growth</x:v>
      </x:c>
      <x:c r="C128" s="351" t="str">
        <x:v>终局火系商人</x:v>
      </x:c>
      <x:c r="D128" s="351" t="str">
        <x:v>shop</x:v>
      </x:c>
      <x:c r="E128" s="351" t="str">
        <x:v>70</x:v>
      </x:c>
      <x:c r="F128" s="351" t="str">
        <x:v>10</x:v>
      </x:c>
      <x:c r="G128" s="351" t="str">
        <x:v>elem_火</x:v>
      </x:c>
      <x:c r="H128" s="351" t="str"/>
      <x:c r="I128" s="351" t="str"/>
      <x:c r="J128" s="351" t="str">
        <x:v>6</x:v>
      </x:c>
      <x:c r="K128" s="351" t="str"/>
      <x:c r="L128" s="351" t="str">
        <x:v>正式</x:v>
      </x:c>
      <x:c r="M128" s="351" t="str">
        <x:v>进入火元素强化摊位</x:v>
      </x:c>
    </x:row>
    <x:row r="129" ht="21" customHeight="1">
      <x:c r="A129" s="351" t="str">
        <x:v>node_d10_event_discount</x:v>
      </x:c>
      <x:c r="B129" s="351" t="str">
        <x:v>node_pool_d10_growth</x:v>
      </x:c>
      <x:c r="C129" s="351" t="str">
        <x:v>终局折扣摊位</x:v>
      </x:c>
      <x:c r="D129" s="351" t="str">
        <x:v>event</x:v>
      </x:c>
      <x:c r="E129" s="351" t="str">
        <x:v>60</x:v>
      </x:c>
      <x:c r="F129" s="351" t="str">
        <x:v>10</x:v>
      </x:c>
      <x:c r="G129" s="351" t="str">
        <x:v>night_base</x:v>
      </x:c>
      <x:c r="H129" s="351" t="str">
        <x:v>reward_pT3</x:v>
      </x:c>
      <x:c r="I129" s="351" t="str">
        <x:v>evt_discount</x:v>
      </x:c>
      <x:c r="J129" s="351" t="str"/>
      <x:c r="K129" s="351" t="str">
        <x:v>50</x:v>
      </x:c>
      <x:c r="L129" s="351" t="str">
        <x:v>禁用</x:v>
      </x:c>
      <x:c r="M129" s="351" t="str">
        <x:v>下一件商品半价</x:v>
      </x:c>
    </x:row>
    <x:row r="130" ht="21" customHeight="1">
      <x:c r="A130" s="351" t="str">
        <x:v>node_d10_rest_gold</x:v>
      </x:c>
      <x:c r="B130" s="351" t="str">
        <x:v>node_pool_d10_growth</x:v>
      </x:c>
      <x:c r="C130" s="351" t="str">
        <x:v>终局前休整</x:v>
      </x:c>
      <x:c r="D130" s="351" t="str">
        <x:v>rest</x:v>
      </x:c>
      <x:c r="E130" s="351" t="str">
        <x:v>50</x:v>
      </x:c>
      <x:c r="F130" s="351" t="str">
        <x:v>10</x:v>
      </x:c>
      <x:c r="G130" s="351" t="str"/>
      <x:c r="H130" s="351" t="str"/>
      <x:c r="I130" s="351" t="str"/>
      <x:c r="J130" s="351" t="str"/>
      <x:c r="K130" s="351" t="str">
        <x:v>5</x:v>
      </x:c>
      <x:c r="L130" s="351" t="str">
        <x:v>禁用</x:v>
      </x:c>
      <x:c r="M130" s="351" t="str">
        <x:v>直接获得金币</x:v>
      </x:c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  <x:c r="K131" s="15"/>
      <x:c r="L131" s="15"/>
      <x:c r="M131" s="15"/>
    </x:row>
    <x:row r="132" ht="30" customHeight="1">
      <x:c r="A132" s="352" t="str">
        <x:v>#csv</x:v>
      </x:c>
      <x:c r="B132" s="352" t="str">
        <x:v>26_encounter_pool.csv</x:v>
      </x:c>
      <x:c r="C132" s="352" t="str">
        <x:v>固定战遭遇池：日程到正式遭遇的映射</x:v>
      </x:c>
      <x:c r="D132" s="352" t="str"/>
      <x:c r="E132" s="352" t="str"/>
      <x:c r="F132" s="352" t="str"/>
      <x:c r="G132" s="352" t="str"/>
      <x:c r="H132" s="352" t="str"/>
      <x:c r="I132" s="352" t="str"/>
      <x:c r="J132" s="352" t="str"/>
      <x:c r="K132" s="355"/>
      <x:c r="L132" s="355"/>
      <x:c r="M132" s="355"/>
      <x:c r="N132" s="355"/>
      <x:c r="O132" s="355"/>
    </x:row>
    <x:row r="133" ht="30" customHeight="1">
      <x:c r="A133" s="362" t="str">
        <x:v>encounter_id</x:v>
      </x:c>
      <x:c r="B133" s="362" t="str">
        <x:v>encounter_pool_id</x:v>
      </x:c>
      <x:c r="C133" s="362" t="str">
        <x:v>name</x:v>
      </x:c>
      <x:c r="D133" s="362" t="str">
        <x:v>weight</x:v>
      </x:c>
      <x:c r="E133" s="362" t="str">
        <x:v>unlock_day</x:v>
      </x:c>
      <x:c r="F133" s="362" t="str">
        <x:v>wave_period</x:v>
      </x:c>
      <x:c r="G133" s="362" t="str">
        <x:v>battle_index</x:v>
      </x:c>
      <x:c r="H133" s="362" t="str">
        <x:v>phase_label</x:v>
      </x:c>
      <x:c r="I133" s="362" t="str">
        <x:v>wave_id</x:v>
      </x:c>
      <x:c r="J133" s="362" t="str">
        <x:v>reward_pool_id</x:v>
      </x:c>
      <x:c r="K133" s="363" t="str">
        <x:v>risk_label</x:v>
      </x:c>
      <x:c r="L133" s="369" t="str">
        <x:v>enemy_preview</x:v>
      </x:c>
      <x:c r="M133" s="369" t="str">
        <x:v>mechanic_preview</x:v>
      </x:c>
      <x:c r="N133" s="369" t="str">
        <x:v>reward_preview</x:v>
      </x:c>
      <x:c r="O133" s="369" t="str">
        <x:v>status</x:v>
      </x:c>
      <x:c r="P133" s="370" t="str">
        <x:v>note</x:v>
      </x:c>
    </x:row>
    <x:row r="134" ht="21" customHeight="1">
      <x:c r="A134" s="351" t="str">
        <x:v>enc_d01_midday_a</x:v>
      </x:c>
      <x:c r="B134" s="351" t="str">
        <x:v>enc_pool_d01_midday</x:v>
      </x:c>
      <x:c r="C134" s="351" t="str">
        <x:v>水泽巡队</x:v>
      </x:c>
      <x:c r="D134" s="351" t="str">
        <x:v>100</x:v>
      </x:c>
      <x:c r="E134" s="351" t="str">
        <x:v>1</x:v>
      </x:c>
      <x:c r="F134" s="351" t="str">
        <x:v>上午</x:v>
      </x:c>
      <x:c r="G134" s="351" t="str">
        <x:v>1</x:v>
      </x:c>
      <x:c r="H134" s="351" t="str">
        <x:v>中午战</x:v>
      </x:c>
      <x:c r="I134" s="351" t="str">
        <x:v>wave_d01_enc_scout</x:v>
      </x:c>
      <x:c r="J134" s="351" t="str">
        <x:v>reward_pT1</x:v>
      </x:c>
      <x:c r="K134" s="366" t="str">
        <x:v>低风险</x:v>
      </x:c>
      <x:c r="L134" s="371" t="str">
        <x:v>棉角羊 / 灰尾狸 / 芦花鸡</x:v>
      </x:c>
      <x:c r="M134" s="371" t="str"/>
      <x:c r="N134" s="371" t="str">
        <x:v>基础宠物三选一</x:v>
      </x:c>
      <x:c r="O134" s="371" t="str">
        <x:v>正式</x:v>
      </x:c>
      <x:c r="P134" s="370" t="str">
        <x:v>Day1 稳妥遭遇；3只青铜敌人</x:v>
      </x:c>
    </x:row>
    <x:row r="135" ht="21" customHeight="1">
      <x:c r="A135" s="351" t="str">
        <x:v>enc_d01_midday_b</x:v>
      </x:c>
      <x:c r="B135" s="351" t="str">
        <x:v>enc_pool_d01_midday</x:v>
      </x:c>
      <x:c r="C135" s="351" t="str">
        <x:v>燎原伏兵</x:v>
      </x:c>
      <x:c r="D135" s="351" t="str">
        <x:v>90</x:v>
      </x:c>
      <x:c r="E135" s="351" t="str">
        <x:v>1</x:v>
      </x:c>
      <x:c r="F135" s="351" t="str">
        <x:v>上午</x:v>
      </x:c>
      <x:c r="G135" s="351" t="str">
        <x:v>1</x:v>
      </x:c>
      <x:c r="H135" s="351" t="str">
        <x:v>中午战</x:v>
      </x:c>
      <x:c r="I135" s="351" t="str">
        <x:v>wave_d01_enc_assault</x:v>
      </x:c>
      <x:c r="J135" s="351" t="str">
        <x:v>reward_pT2</x:v>
      </x:c>
      <x:c r="K135" s="366" t="str">
        <x:v>中风险</x:v>
      </x:c>
      <x:c r="L135" s="371" t="str">
        <x:v>赤尾狐 / 雷须猫 / 火角鹿 / 电棘鼠</x:v>
      </x:c>
      <x:c r="M135" s="371" t="str"/>
      <x:c r="N135" s="371" t="str">
        <x:v>进阶宠物三选一</x:v>
      </x:c>
      <x:c r="O135" s="371" t="str">
        <x:v>正式</x:v>
      </x:c>
      <x:c r="P135" s="370" t="str">
        <x:v>Day1 进取遭遇；4只青铜敌人</x:v>
      </x:c>
    </x:row>
    <x:row r="136" ht="21" customHeight="1">
      <x:c r="A136" s="351" t="str">
        <x:v>enc_d01_midday_c</x:v>
      </x:c>
      <x:c r="B136" s="351" t="str">
        <x:v>enc_pool_d01_midday</x:v>
      </x:c>
      <x:c r="C136" s="351" t="str">
        <x:v>甲阵守关</x:v>
      </x:c>
      <x:c r="D136" s="351" t="str">
        <x:v>80</x:v>
      </x:c>
      <x:c r="E136" s="351" t="str">
        <x:v>1</x:v>
      </x:c>
      <x:c r="F136" s="351" t="str">
        <x:v>上午</x:v>
      </x:c>
      <x:c r="G136" s="351" t="str">
        <x:v>1</x:v>
      </x:c>
      <x:c r="H136" s="351" t="str">
        <x:v>中午战</x:v>
      </x:c>
      <x:c r="I136" s="351" t="str">
        <x:v>wave_d01_enc_guard</x:v>
      </x:c>
      <x:c r="J136" s="351" t="str">
        <x:v>reward_pT2</x:v>
      </x:c>
      <x:c r="K136" s="366" t="str">
        <x:v>高风险</x:v>
      </x:c>
      <x:c r="L136" s="371" t="str">
        <x:v>碧水鸭 / 苔甲龟 / 黑甲猪 / 黑角犀</x:v>
      </x:c>
      <x:c r="M136" s="371" t="str"/>
      <x:c r="N136" s="371" t="str">
        <x:v>进阶宠物三选一</x:v>
      </x:c>
      <x:c r="O136" s="371" t="str">
        <x:v>正式</x:v>
      </x:c>
      <x:c r="P136" s="370" t="str">
        <x:v>Day1 高压遭遇；4只白银敌人</x:v>
      </x:c>
    </x:row>
    <x:row r="137" ht="21" customHeight="1">
      <x:c r="A137" s="351" t="str">
        <x:v>enc_d01_evening_fixed</x:v>
      </x:c>
      <x:c r="B137" s="351" t="str">
        <x:v>enc_pool_d01_evening</x:v>
      </x:c>
      <x:c r="C137" s="351" t="str">
        <x:v>晚上固定战</x:v>
      </x:c>
      <x:c r="D137" s="351" t="str">
        <x:v>100</x:v>
      </x:c>
      <x:c r="E137" s="351" t="str">
        <x:v>1</x:v>
      </x:c>
      <x:c r="F137" s="351" t="str">
        <x:v>下午</x:v>
      </x:c>
      <x:c r="G137" s="351" t="str">
        <x:v>2</x:v>
      </x:c>
      <x:c r="H137" s="351" t="str">
        <x:v>晚上战</x:v>
      </x:c>
      <x:c r="I137" s="351"/>
      <x:c r="J137" s="351"/>
      <x:c r="K137" s="366"/>
      <x:c r="L137" s="371"/>
      <x:c r="M137" s="371" t="str"/>
      <x:c r="N137" s="371"/>
      <x:c r="O137" s="371" t="str">
        <x:v>正式</x:v>
      </x:c>
      <x:c r="P137" s="370" t="str">
        <x:v>映射当前下午波次</x:v>
      </x:c>
    </x:row>
    <x:row r="138" ht="21" customHeight="1">
      <x:c r="A138" s="351" t="str">
        <x:v>enc_d02_midday_a</x:v>
      </x:c>
      <x:c r="B138" s="351" t="str">
        <x:v>enc_pool_d02_midday</x:v>
      </x:c>
      <x:c r="C138" s="351" t="str">
        <x:v>第二天中午遭遇A</x:v>
      </x:c>
      <x:c r="D138" s="351" t="str">
        <x:v>100</x:v>
      </x:c>
      <x:c r="E138" s="351" t="str">
        <x:v>2</x:v>
      </x:c>
      <x:c r="F138" s="351" t="str">
        <x:v>上午</x:v>
      </x:c>
      <x:c r="G138" s="351" t="str">
        <x:v>1</x:v>
      </x:c>
      <x:c r="H138" s="351" t="str">
        <x:v>中午战</x:v>
      </x:c>
      <x:c r="I138" s="351"/>
      <x:c r="J138" s="351"/>
      <x:c r="K138" s="366"/>
      <x:c r="L138" s="371"/>
      <x:c r="M138" s="371" t="str"/>
      <x:c r="N138" s="371"/>
      <x:c r="O138" s="371" t="str">
        <x:v>正式</x:v>
      </x:c>
      <x:c r="P138" s="370" t="str">
        <x:v>映射 Day2 上午波次</x:v>
      </x:c>
    </x:row>
    <x:row r="139" ht="21" customHeight="1">
      <x:c r="A139" s="351" t="str">
        <x:v>enc_d02_midday_b</x:v>
      </x:c>
      <x:c r="B139" s="351" t="str">
        <x:v>enc_pool_d02_midday</x:v>
      </x:c>
      <x:c r="C139" s="351" t="str">
        <x:v>第二天中午遭遇B</x:v>
      </x:c>
      <x:c r="D139" s="351" t="str">
        <x:v>90</x:v>
      </x:c>
      <x:c r="E139" s="351" t="str">
        <x:v>2</x:v>
      </x:c>
      <x:c r="F139" s="351" t="str">
        <x:v>上午</x:v>
      </x:c>
      <x:c r="G139" s="351" t="str">
        <x:v>1</x:v>
      </x:c>
      <x:c r="H139" s="351" t="str">
        <x:v>中午战</x:v>
      </x:c>
      <x:c r="I139" s="351"/>
      <x:c r="J139" s="351"/>
      <x:c r="K139" s="366"/>
      <x:c r="L139" s="371"/>
      <x:c r="M139" s="371" t="str"/>
      <x:c r="N139" s="371"/>
      <x:c r="O139" s="371" t="str">
        <x:v>正式</x:v>
      </x:c>
      <x:c r="P139" s="370" t="str">
        <x:v>Day2 备选中午遭遇</x:v>
      </x:c>
    </x:row>
    <x:row r="140" ht="21" customHeight="1">
      <x:c r="A140" s="351" t="str">
        <x:v>enc_d02_midday_c</x:v>
      </x:c>
      <x:c r="B140" s="351" t="str">
        <x:v>enc_pool_d02_midday</x:v>
      </x:c>
      <x:c r="C140" s="351" t="str">
        <x:v>第二天中午遭遇C</x:v>
      </x:c>
      <x:c r="D140" s="351" t="str">
        <x:v>80</x:v>
      </x:c>
      <x:c r="E140" s="351" t="str">
        <x:v>2</x:v>
      </x:c>
      <x:c r="F140" s="351" t="str">
        <x:v>上午</x:v>
      </x:c>
      <x:c r="G140" s="351" t="str">
        <x:v>1</x:v>
      </x:c>
      <x:c r="H140" s="351" t="str">
        <x:v>中午战</x:v>
      </x:c>
      <x:c r="I140" s="351"/>
      <x:c r="J140" s="351"/>
      <x:c r="K140" s="366"/>
      <x:c r="L140" s="371"/>
      <x:c r="M140" s="371" t="str"/>
      <x:c r="N140" s="371"/>
      <x:c r="O140" s="371" t="str">
        <x:v>正式</x:v>
      </x:c>
      <x:c r="P140" s="370" t="str">
        <x:v>Day2 备选中午遭遇</x:v>
      </x:c>
    </x:row>
    <x:row r="141" ht="21" customHeight="1">
      <x:c r="A141" s="351" t="str">
        <x:v>enc_d02_evening_fixed</x:v>
      </x:c>
      <x:c r="B141" s="351" t="str">
        <x:v>enc_pool_d02_evening</x:v>
      </x:c>
      <x:c r="C141" s="351" t="str">
        <x:v>第二天晚上固定战</x:v>
      </x:c>
      <x:c r="D141" s="351" t="str">
        <x:v>100</x:v>
      </x:c>
      <x:c r="E141" s="351" t="str">
        <x:v>2</x:v>
      </x:c>
      <x:c r="F141" s="351" t="str">
        <x:v>下午</x:v>
      </x:c>
      <x:c r="G141" s="351" t="str">
        <x:v>2</x:v>
      </x:c>
      <x:c r="H141" s="351" t="str">
        <x:v>晚上战</x:v>
      </x:c>
      <x:c r="I141" s="351"/>
      <x:c r="J141" s="351"/>
      <x:c r="K141" s="366"/>
      <x:c r="L141" s="371"/>
      <x:c r="M141" s="371" t="str"/>
      <x:c r="N141" s="371"/>
      <x:c r="O141" s="371" t="str">
        <x:v>正式</x:v>
      </x:c>
      <x:c r="P141" s="370" t="str">
        <x:v>映射 Day2 下午波次</x:v>
      </x:c>
    </x:row>
    <x:row r="142" ht="30" customHeight="1">
      <x:c r="A142" s="351" t="str">
        <x:v>enc_d03_midday_a</x:v>
      </x:c>
      <x:c r="B142" s="351" t="str">
        <x:v>enc_pool_d03_midday</x:v>
      </x:c>
      <x:c r="C142" s="351" t="str">
        <x:v>潮岸稳行队</x:v>
      </x:c>
      <x:c r="D142" s="351" t="n">
        <x:v>100</x:v>
      </x:c>
      <x:c r="E142" s="351" t="n">
        <x:v>3</x:v>
      </x:c>
      <x:c r="F142" s="351" t="str">
        <x:v>上午</x:v>
      </x:c>
      <x:c r="G142" s="351" t="n">
        <x:v>1</x:v>
      </x:c>
      <x:c r="H142" s="351" t="str">
        <x:v>早期定向</x:v>
      </x:c>
      <x:c r="I142" s="351" t="str">
        <x:v>wave_d03_enc_safe</x:v>
      </x:c>
      <x:c r="J142" s="351" t="str">
        <x:v>reward_pT1</x:v>
      </x:c>
      <x:c r="K142" s="366" t="str">
        <x:v>低风险</x:v>
      </x:c>
      <x:c r="L142" s="371" t="str">
        <x:v>棉角羊 / 碧水鸭 / 藤甲猿 / 霜羽鹭</x:v>
      </x:c>
      <x:c r="M142" s="371" t="str"/>
      <x:c r="N142" s="371" t="str">
        <x:v>基础宠物三选一</x:v>
      </x:c>
      <x:c r="O142" s="371" t="str">
        <x:v>正式</x:v>
      </x:c>
      <x:c r="P142" s="370" t="str">
        <x:v>Day3 稳妥路线；4只白银敌人</x:v>
      </x:c>
    </x:row>
    <x:row r="143" ht="30" customHeight="1">
      <x:c r="A143" s="351" t="str">
        <x:v>enc_d03_midday_b</x:v>
      </x:c>
      <x:c r="B143" s="351" t="str">
        <x:v>enc_pool_d03_midday</x:v>
      </x:c>
      <x:c r="C143" s="351" t="str">
        <x:v>雷火夹击队</x:v>
      </x:c>
      <x:c r="D143" s="351" t="n">
        <x:v>90</x:v>
      </x:c>
      <x:c r="E143" s="351" t="n">
        <x:v>3</x:v>
      </x:c>
      <x:c r="F143" s="351" t="str">
        <x:v>上午</x:v>
      </x:c>
      <x:c r="G143" s="351" t="n">
        <x:v>1</x:v>
      </x:c>
      <x:c r="H143" s="351" t="str">
        <x:v>早期定向</x:v>
      </x:c>
      <x:c r="I143" s="351" t="str">
        <x:v>wave_d03_enc_assault</x:v>
      </x:c>
      <x:c r="J143" s="351" t="str">
        <x:v>reward_pT2</x:v>
      </x:c>
      <x:c r="K143" s="366" t="str">
        <x:v>中风险</x:v>
      </x:c>
      <x:c r="L143" s="371" t="str">
        <x:v>赤尾狐 / 雷须猫 / 火角鹿 / 电棘鼠 / 金钱狸</x:v>
      </x:c>
      <x:c r="M143" s="371" t="str"/>
      <x:c r="N143" s="371" t="str">
        <x:v>进阶宠物三选一</x:v>
      </x:c>
      <x:c r="O143" s="371" t="str">
        <x:v>正式</x:v>
      </x:c>
      <x:c r="P143" s="370" t="str">
        <x:v>Day3 进取路线；5只白银敌人</x:v>
      </x:c>
    </x:row>
    <x:row r="144" ht="30" customHeight="1">
      <x:c r="A144" s="351" t="str">
        <x:v>enc_d03_midday_c</x:v>
      </x:c>
      <x:c r="B144" s="351" t="str">
        <x:v>enc_pool_d03_midday</x:v>
      </x:c>
      <x:c r="C144" s="351" t="str">
        <x:v>铁甲破阵队</x:v>
      </x:c>
      <x:c r="D144" s="351" t="n">
        <x:v>80</x:v>
      </x:c>
      <x:c r="E144" s="351" t="n">
        <x:v>3</x:v>
      </x:c>
      <x:c r="F144" s="351" t="str">
        <x:v>上午</x:v>
      </x:c>
      <x:c r="G144" s="351" t="n">
        <x:v>1</x:v>
      </x:c>
      <x:c r="H144" s="351" t="str">
        <x:v>早期定向</x:v>
      </x:c>
      <x:c r="I144" s="351" t="str">
        <x:v>wave_d03_enc_breaker</x:v>
      </x:c>
      <x:c r="J144" s="351" t="str">
        <x:v>reward_pT3</x:v>
      </x:c>
      <x:c r="K144" s="366" t="str">
        <x:v>高风险</x:v>
      </x:c>
      <x:c r="L144" s="371" t="str">
        <x:v>苔甲龟 / 黑甲猪 / 黑角犀 / 夜穴鼹 / 沙鬃猪</x:v>
      </x:c>
      <x:c r="M144" s="371" t="str"/>
      <x:c r="N144" s="371" t="str">
        <x:v>高阶宠物三选一</x:v>
      </x:c>
      <x:c r="O144" s="371" t="str">
        <x:v>正式</x:v>
      </x:c>
      <x:c r="P144" s="370" t="str">
        <x:v>Day3 高压路线；5只黄金敌人</x:v>
      </x:c>
    </x:row>
    <x:row r="145" ht="21" customHeight="1">
      <x:c r="A145" s="351" t="str">
        <x:v>enc_d03_evening_fixed</x:v>
      </x:c>
      <x:c r="B145" s="351" t="str">
        <x:v>enc_pool_d03_evening</x:v>
      </x:c>
      <x:c r="C145" s="351" t="str">
        <x:v>第三天晚上固定战</x:v>
      </x:c>
      <x:c r="D145" s="351" t="str">
        <x:v>100</x:v>
      </x:c>
      <x:c r="E145" s="351" t="str">
        <x:v>3</x:v>
      </x:c>
      <x:c r="F145" s="351" t="str">
        <x:v>下午</x:v>
      </x:c>
      <x:c r="G145" s="351" t="str">
        <x:v>2</x:v>
      </x:c>
      <x:c r="H145" s="351" t="str">
        <x:v>晚上战</x:v>
      </x:c>
      <x:c r="I145" s="351"/>
      <x:c r="J145" s="351"/>
      <x:c r="K145" s="366"/>
      <x:c r="L145" s="371"/>
      <x:c r="M145" s="371" t="str"/>
      <x:c r="N145" s="371"/>
      <x:c r="O145" s="371" t="str">
        <x:v>正式</x:v>
      </x:c>
      <x:c r="P145" s="370" t="str">
        <x:v>映射 Day3 下午波次</x:v>
      </x:c>
    </x:row>
    <x:row r="146" ht="21" customHeight="1">
      <x:c r="A146" s="351" t="str">
        <x:v>enc_d04_midday_a</x:v>
      </x:c>
      <x:c r="B146" s="351" t="str">
        <x:v>enc_pool_d04_midday</x:v>
      </x:c>
      <x:c r="C146" s="351" t="str">
        <x:v>第四天中午遭遇A</x:v>
      </x:c>
      <x:c r="D146" s="351" t="str">
        <x:v>100</x:v>
      </x:c>
      <x:c r="E146" s="351" t="str">
        <x:v>4</x:v>
      </x:c>
      <x:c r="F146" s="351" t="str">
        <x:v>上午</x:v>
      </x:c>
      <x:c r="G146" s="351" t="str">
        <x:v>1</x:v>
      </x:c>
      <x:c r="H146" s="351" t="str">
        <x:v>中午战</x:v>
      </x:c>
      <x:c r="I146" s="351"/>
      <x:c r="J146" s="351"/>
      <x:c r="K146" s="366"/>
      <x:c r="L146" s="371"/>
      <x:c r="M146" s="371" t="str"/>
      <x:c r="N146" s="371"/>
      <x:c r="O146" s="371" t="str">
        <x:v>正式</x:v>
      </x:c>
      <x:c r="P146" s="370" t="str">
        <x:v>映射 Day4 上午波次</x:v>
      </x:c>
    </x:row>
    <x:row r="147" ht="21" customHeight="1">
      <x:c r="A147" s="351" t="str">
        <x:v>enc_d04_midday_b</x:v>
      </x:c>
      <x:c r="B147" s="351" t="str">
        <x:v>enc_pool_d04_midday</x:v>
      </x:c>
      <x:c r="C147" s="351" t="str">
        <x:v>第四天中午遭遇B</x:v>
      </x:c>
      <x:c r="D147" s="351" t="str">
        <x:v>90</x:v>
      </x:c>
      <x:c r="E147" s="351" t="str">
        <x:v>4</x:v>
      </x:c>
      <x:c r="F147" s="351" t="str">
        <x:v>上午</x:v>
      </x:c>
      <x:c r="G147" s="351" t="str">
        <x:v>1</x:v>
      </x:c>
      <x:c r="H147" s="351" t="str">
        <x:v>中午战</x:v>
      </x:c>
      <x:c r="I147" s="351"/>
      <x:c r="J147" s="351"/>
      <x:c r="K147" s="366"/>
      <x:c r="L147" s="371"/>
      <x:c r="M147" s="371" t="str"/>
      <x:c r="N147" s="371"/>
      <x:c r="O147" s="371" t="str">
        <x:v>正式</x:v>
      </x:c>
      <x:c r="P147" s="370" t="str">
        <x:v>Day4 备选中午遭遇</x:v>
      </x:c>
    </x:row>
    <x:row r="148" ht="21" customHeight="1">
      <x:c r="A148" s="351" t="str">
        <x:v>enc_d04_midday_c</x:v>
      </x:c>
      <x:c r="B148" s="351" t="str">
        <x:v>enc_pool_d04_midday</x:v>
      </x:c>
      <x:c r="C148" s="351" t="str">
        <x:v>第四天中午遭遇C</x:v>
      </x:c>
      <x:c r="D148" s="351" t="str">
        <x:v>80</x:v>
      </x:c>
      <x:c r="E148" s="351" t="str">
        <x:v>4</x:v>
      </x:c>
      <x:c r="F148" s="351" t="str">
        <x:v>上午</x:v>
      </x:c>
      <x:c r="G148" s="351" t="str">
        <x:v>1</x:v>
      </x:c>
      <x:c r="H148" s="351" t="str">
        <x:v>中午战</x:v>
      </x:c>
      <x:c r="I148" s="351"/>
      <x:c r="J148" s="351"/>
      <x:c r="K148" s="366"/>
      <x:c r="L148" s="371"/>
      <x:c r="M148" s="371" t="str"/>
      <x:c r="N148" s="371"/>
      <x:c r="O148" s="371" t="str">
        <x:v>正式</x:v>
      </x:c>
      <x:c r="P148" s="370" t="str">
        <x:v>Day4 备选中午遭遇</x:v>
      </x:c>
    </x:row>
    <x:row r="149" ht="21" customHeight="1">
      <x:c r="A149" s="351" t="str">
        <x:v>enc_d04_evening_fixed</x:v>
      </x:c>
      <x:c r="B149" s="351" t="str">
        <x:v>enc_pool_d04_evening</x:v>
      </x:c>
      <x:c r="C149" s="351" t="str">
        <x:v>第四天晚上固定战</x:v>
      </x:c>
      <x:c r="D149" s="351" t="str">
        <x:v>100</x:v>
      </x:c>
      <x:c r="E149" s="351" t="str">
        <x:v>4</x:v>
      </x:c>
      <x:c r="F149" s="351" t="str">
        <x:v>下午</x:v>
      </x:c>
      <x:c r="G149" s="351" t="str">
        <x:v>2</x:v>
      </x:c>
      <x:c r="H149" s="351" t="str">
        <x:v>晚上战</x:v>
      </x:c>
      <x:c r="I149" s="351"/>
      <x:c r="J149" s="351"/>
      <x:c r="K149" s="366"/>
      <x:c r="L149" s="371"/>
      <x:c r="M149" s="371" t="str"/>
      <x:c r="N149" s="371"/>
      <x:c r="O149" s="371" t="str">
        <x:v>正式</x:v>
      </x:c>
      <x:c r="P149" s="370" t="str">
        <x:v>映射 Day4 下午波次</x:v>
      </x:c>
    </x:row>
    <x:row r="150" ht="21" customHeight="1">
      <x:c r="A150" s="351" t="str">
        <x:v>enc_d05_midday_a</x:v>
      </x:c>
      <x:c r="B150" s="351" t="str">
        <x:v>enc_pool_d05_midday</x:v>
      </x:c>
      <x:c r="C150" s="351" t="str">
        <x:v>第五天中午遭遇A</x:v>
      </x:c>
      <x:c r="D150" s="351" t="str">
        <x:v>100</x:v>
      </x:c>
      <x:c r="E150" s="351" t="str">
        <x:v>5</x:v>
      </x:c>
      <x:c r="F150" s="351" t="str">
        <x:v>上午</x:v>
      </x:c>
      <x:c r="G150" s="351" t="str">
        <x:v>1</x:v>
      </x:c>
      <x:c r="H150" s="351" t="str">
        <x:v>中午战</x:v>
      </x:c>
      <x:c r="I150" s="351"/>
      <x:c r="J150" s="351"/>
      <x:c r="K150" s="366"/>
      <x:c r="L150" s="371"/>
      <x:c r="M150" s="371" t="str"/>
      <x:c r="N150" s="371"/>
      <x:c r="O150" s="371" t="str">
        <x:v>正式</x:v>
      </x:c>
      <x:c r="P150" s="370" t="str">
        <x:v>映射 Day5 上午波次</x:v>
      </x:c>
    </x:row>
    <x:row r="151" ht="21" customHeight="1">
      <x:c r="A151" s="351" t="str">
        <x:v>enc_d05_midday_b</x:v>
      </x:c>
      <x:c r="B151" s="351" t="str">
        <x:v>enc_pool_d05_midday</x:v>
      </x:c>
      <x:c r="C151" s="351" t="str">
        <x:v>第五天中午遭遇B</x:v>
      </x:c>
      <x:c r="D151" s="351" t="str">
        <x:v>90</x:v>
      </x:c>
      <x:c r="E151" s="351" t="str">
        <x:v>5</x:v>
      </x:c>
      <x:c r="F151" s="351" t="str">
        <x:v>上午</x:v>
      </x:c>
      <x:c r="G151" s="351" t="str">
        <x:v>1</x:v>
      </x:c>
      <x:c r="H151" s="351" t="str">
        <x:v>中午战</x:v>
      </x:c>
      <x:c r="I151" s="351"/>
      <x:c r="J151" s="351"/>
      <x:c r="K151" s="366"/>
      <x:c r="L151" s="371"/>
      <x:c r="M151" s="371" t="str"/>
      <x:c r="N151" s="371"/>
      <x:c r="O151" s="371" t="str">
        <x:v>正式</x:v>
      </x:c>
      <x:c r="P151" s="370" t="str">
        <x:v>Day5 备选中午遭遇</x:v>
      </x:c>
    </x:row>
    <x:row r="152" ht="21" customHeight="1">
      <x:c r="A152" s="351" t="str">
        <x:v>enc_d05_midday_c</x:v>
      </x:c>
      <x:c r="B152" s="351" t="str">
        <x:v>enc_pool_d05_midday</x:v>
      </x:c>
      <x:c r="C152" s="351" t="str">
        <x:v>第五天中午遭遇C</x:v>
      </x:c>
      <x:c r="D152" s="351" t="str">
        <x:v>80</x:v>
      </x:c>
      <x:c r="E152" s="351" t="str">
        <x:v>5</x:v>
      </x:c>
      <x:c r="F152" s="351" t="str">
        <x:v>上午</x:v>
      </x:c>
      <x:c r="G152" s="351" t="str">
        <x:v>1</x:v>
      </x:c>
      <x:c r="H152" s="351" t="str">
        <x:v>中午战</x:v>
      </x:c>
      <x:c r="I152" s="351"/>
      <x:c r="J152" s="351"/>
      <x:c r="K152" s="366"/>
      <x:c r="L152" s="371"/>
      <x:c r="M152" s="371" t="str"/>
      <x:c r="N152" s="371"/>
      <x:c r="O152" s="371" t="str">
        <x:v>正式</x:v>
      </x:c>
      <x:c r="P152" s="370" t="str">
        <x:v>Day5 备选中午遭遇</x:v>
      </x:c>
    </x:row>
    <x:row r="153" ht="21" customHeight="1">
      <x:c r="A153" s="351" t="str">
        <x:v>enc_d05_evening_fixed</x:v>
      </x:c>
      <x:c r="B153" s="351" t="str">
        <x:v>enc_pool_d05_evening</x:v>
      </x:c>
      <x:c r="C153" s="351" t="str">
        <x:v>第五天晚上固定战</x:v>
      </x:c>
      <x:c r="D153" s="351" t="str">
        <x:v>100</x:v>
      </x:c>
      <x:c r="E153" s="351" t="str">
        <x:v>5</x:v>
      </x:c>
      <x:c r="F153" s="351" t="str">
        <x:v>下午</x:v>
      </x:c>
      <x:c r="G153" s="351" t="str">
        <x:v>2</x:v>
      </x:c>
      <x:c r="H153" s="351" t="str">
        <x:v>晚上战</x:v>
      </x:c>
      <x:c r="I153" s="351"/>
      <x:c r="J153" s="351"/>
      <x:c r="K153" s="366"/>
      <x:c r="L153" s="371"/>
      <x:c r="M153" s="371" t="str"/>
      <x:c r="N153" s="371"/>
      <x:c r="O153" s="371" t="str">
        <x:v>正式</x:v>
      </x:c>
      <x:c r="P153" s="370" t="str">
        <x:v>映射 Day5 下午波次</x:v>
      </x:c>
    </x:row>
    <x:row r="154" ht="30" customHeight="1">
      <x:c r="A154" s="351" t="str">
        <x:v>enc_d06_midday_a</x:v>
      </x:c>
      <x:c r="B154" s="351" t="str">
        <x:v>enc_pool_d06_midday</x:v>
      </x:c>
      <x:c r="C154" s="351" t="str">
        <x:v>龙龟稳压阵</x:v>
      </x:c>
      <x:c r="D154" s="351" t="n">
        <x:v>100</x:v>
      </x:c>
      <x:c r="E154" s="351" t="n">
        <x:v>6</x:v>
      </x:c>
      <x:c r="F154" s="351" t="str">
        <x:v>上午</x:v>
      </x:c>
      <x:c r="G154" s="351" t="n">
        <x:v>1</x:v>
      </x:c>
      <x:c r="H154" s="351" t="str">
        <x:v>中期遭遇</x:v>
      </x:c>
      <x:c r="I154" s="351" t="str">
        <x:v>wave_d06_enc_anchor</x:v>
      </x:c>
      <x:c r="J154" s="351" t="str">
        <x:v>reward_pT2</x:v>
      </x:c>
      <x:c r="K154" s="366" t="str">
        <x:v>低风险</x:v>
      </x:c>
      <x:c r="L154" s="371" t="str">
        <x:v>三首火犬 / 覆水龙龟 / 连理双鹿 / 冰峰巨驼 / 青林巨象</x:v>
      </x:c>
      <x:c r="M154" s="371" t="str"/>
      <x:c r="N154" s="371" t="str">
        <x:v>进阶宠物三选一</x:v>
      </x:c>
      <x:c r="O154" s="371" t="str">
        <x:v>正式</x:v>
      </x:c>
      <x:c r="P154" s="370" t="str">
        <x:v>Day6 稳妥路线；6只白银敌人</x:v>
      </x:c>
    </x:row>
    <x:row r="155" ht="30" customHeight="1">
      <x:c r="A155" s="351" t="str">
        <x:v>enc_d06_midday_b</x:v>
      </x:c>
      <x:c r="B155" s="351" t="str">
        <x:v>enc_pool_d06_midday</x:v>
      </x:c>
      <x:c r="C155" s="351" t="str">
        <x:v>熔雷突袭群</x:v>
      </x:c>
      <x:c r="D155" s="351" t="n">
        <x:v>90</x:v>
      </x:c>
      <x:c r="E155" s="351" t="n">
        <x:v>6</x:v>
      </x:c>
      <x:c r="F155" s="351" t="str">
        <x:v>上午</x:v>
      </x:c>
      <x:c r="G155" s="351" t="n">
        <x:v>1</x:v>
      </x:c>
      <x:c r="H155" s="351" t="str">
        <x:v>中期遭遇</x:v>
      </x:c>
      <x:c r="I155" s="351" t="str">
        <x:v>wave_d06_enc_assault</x:v>
      </x:c>
      <x:c r="J155" s="351" t="str">
        <x:v>reward_pT3</x:v>
      </x:c>
      <x:c r="K155" s="366" t="str">
        <x:v>中风险</x:v>
      </x:c>
      <x:c r="L155" s="371" t="str">
        <x:v>雷泽青蛟 / 海棠水鹿 / 百花灵鹿 / 熔岩巨兽 / 云顶巨驼 / 焰羽赤雕</x:v>
      </x:c>
      <x:c r="M155" s="371" t="str"/>
      <x:c r="N155" s="371" t="str">
        <x:v>高阶宠物三选一</x:v>
      </x:c>
      <x:c r="O155" s="371" t="str">
        <x:v>正式</x:v>
      </x:c>
      <x:c r="P155" s="370" t="str">
        <x:v>Day6 进取路线；6只白银/黄金混编敌人</x:v>
      </x:c>
    </x:row>
    <x:row r="156" ht="42" customHeight="1">
      <x:c r="A156" s="351" t="str">
        <x:v>enc_d06_midday_c</x:v>
      </x:c>
      <x:c r="B156" s="351" t="str">
        <x:v>enc_pool_d06_midday</x:v>
      </x:c>
      <x:c r="C156" s="351" t="str">
        <x:v>反击成长精英团</x:v>
      </x:c>
      <x:c r="D156" s="351" t="n">
        <x:v>80</x:v>
      </x:c>
      <x:c r="E156" s="351" t="n">
        <x:v>6</x:v>
      </x:c>
      <x:c r="F156" s="351" t="str">
        <x:v>上午</x:v>
      </x:c>
      <x:c r="G156" s="351" t="n">
        <x:v>1</x:v>
      </x:c>
      <x:c r="H156" s="351" t="str">
        <x:v>精英战</x:v>
      </x:c>
      <x:c r="I156" s="351" t="str">
        <x:v>wave_d06_enc_elite</x:v>
      </x:c>
      <x:c r="J156" s="351" t="str">
        <x:v>reward_elite</x:v>
      </x:c>
      <x:c r="K156" s="366" t="str">
        <x:v>高风险</x:v>
      </x:c>
      <x:c r="L156" s="371" t="str">
        <x:v>黄背牛 / 月镰螳螂 / 苍焰赤豺 / 寒岩巨兽 / 白牙雪象 / 天羽云螭</x:v>
      </x:c>
      <x:c r="M156" s="371" t="str">
        <x:v>护甲减伤 / 三名反击 / 回合攻盾成长</x:v>
      </x:c>
      <x:c r="N156" s="371" t="str">
        <x:v>精英专属奖励</x:v>
      </x:c>
      <x:c r="O156" s="371" t="str">
        <x:v>正式</x:v>
      </x:c>
      <x:c r="P156" s="370" t="str">
        <x:v>Day6 机制精英路线；6只黄金敌人</x:v>
      </x:c>
    </x:row>
    <x:row r="157" ht="21" customHeight="1">
      <x:c r="A157" s="351" t="str">
        <x:v>enc_d06_evening_fixed</x:v>
      </x:c>
      <x:c r="B157" s="351" t="str">
        <x:v>enc_pool_d06_evening</x:v>
      </x:c>
      <x:c r="C157" s="351" t="str">
        <x:v>第六天晚上精英固定战</x:v>
      </x:c>
      <x:c r="D157" s="351" t="str">
        <x:v>100</x:v>
      </x:c>
      <x:c r="E157" s="351" t="str">
        <x:v>6</x:v>
      </x:c>
      <x:c r="F157" s="351" t="str">
        <x:v>下午</x:v>
      </x:c>
      <x:c r="G157" s="351" t="str">
        <x:v>2</x:v>
      </x:c>
      <x:c r="H157" s="351" t="str">
        <x:v>精英固定战</x:v>
      </x:c>
      <x:c r="I157" s="351"/>
      <x:c r="J157" s="351"/>
      <x:c r="K157" s="366"/>
      <x:c r="L157" s="371"/>
      <x:c r="M157" s="371" t="str"/>
      <x:c r="N157" s="371"/>
      <x:c r="O157" s="371" t="str">
        <x:v>正式</x:v>
      </x:c>
      <x:c r="P157" s="370" t="str">
        <x:v>映射 Day6 下午精英波次</x:v>
      </x:c>
    </x:row>
    <x:row r="158" ht="21" customHeight="1">
      <x:c r="A158" s="351" t="str">
        <x:v>enc_d07_midday_a</x:v>
      </x:c>
      <x:c r="B158" s="351" t="str">
        <x:v>enc_pool_d07_midday</x:v>
      </x:c>
      <x:c r="C158" s="351" t="str">
        <x:v>第七天精英遭遇A</x:v>
      </x:c>
      <x:c r="D158" s="351" t="str">
        <x:v>100</x:v>
      </x:c>
      <x:c r="E158" s="351" t="str">
        <x:v>7</x:v>
      </x:c>
      <x:c r="F158" s="351" t="str">
        <x:v>上午</x:v>
      </x:c>
      <x:c r="G158" s="351" t="str">
        <x:v>1</x:v>
      </x:c>
      <x:c r="H158" s="351" t="str">
        <x:v>精英战</x:v>
      </x:c>
      <x:c r="I158" s="351"/>
      <x:c r="J158" s="351"/>
      <x:c r="K158" s="366"/>
      <x:c r="L158" s="371"/>
      <x:c r="M158" s="371" t="str"/>
      <x:c r="N158" s="371"/>
      <x:c r="O158" s="371" t="str">
        <x:v>正式</x:v>
      </x:c>
      <x:c r="P158" s="370" t="str">
        <x:v>Day7 精英压力上午波次</x:v>
      </x:c>
    </x:row>
    <x:row r="159" ht="21" customHeight="1">
      <x:c r="A159" s="351" t="str">
        <x:v>enc_d07_midday_b</x:v>
      </x:c>
      <x:c r="B159" s="351" t="str">
        <x:v>enc_pool_d07_midday</x:v>
      </x:c>
      <x:c r="C159" s="351" t="str">
        <x:v>第七天精英遭遇B</x:v>
      </x:c>
      <x:c r="D159" s="351" t="str">
        <x:v>90</x:v>
      </x:c>
      <x:c r="E159" s="351" t="str">
        <x:v>7</x:v>
      </x:c>
      <x:c r="F159" s="351" t="str">
        <x:v>上午</x:v>
      </x:c>
      <x:c r="G159" s="351" t="str">
        <x:v>1</x:v>
      </x:c>
      <x:c r="H159" s="351" t="str">
        <x:v>精英战</x:v>
      </x:c>
      <x:c r="I159" s="351"/>
      <x:c r="J159" s="351"/>
      <x:c r="K159" s="366"/>
      <x:c r="L159" s="371"/>
      <x:c r="M159" s="371" t="str"/>
      <x:c r="N159" s="371"/>
      <x:c r="O159" s="371" t="str">
        <x:v>正式</x:v>
      </x:c>
      <x:c r="P159" s="370" t="str">
        <x:v>Day7 备选精英遭遇</x:v>
      </x:c>
    </x:row>
    <x:row r="160" ht="21" customHeight="1">
      <x:c r="A160" s="351" t="str">
        <x:v>enc_d07_midday_c</x:v>
      </x:c>
      <x:c r="B160" s="351" t="str">
        <x:v>enc_pool_d07_midday</x:v>
      </x:c>
      <x:c r="C160" s="351" t="str">
        <x:v>第七天精英遭遇C</x:v>
      </x:c>
      <x:c r="D160" s="351" t="str">
        <x:v>80</x:v>
      </x:c>
      <x:c r="E160" s="351" t="str">
        <x:v>7</x:v>
      </x:c>
      <x:c r="F160" s="351" t="str">
        <x:v>上午</x:v>
      </x:c>
      <x:c r="G160" s="351" t="str">
        <x:v>1</x:v>
      </x:c>
      <x:c r="H160" s="351" t="str">
        <x:v>精英战</x:v>
      </x:c>
      <x:c r="I160" s="351"/>
      <x:c r="J160" s="351"/>
      <x:c r="K160" s="366"/>
      <x:c r="L160" s="371"/>
      <x:c r="M160" s="371" t="str"/>
      <x:c r="N160" s="371"/>
      <x:c r="O160" s="371" t="str">
        <x:v>正式</x:v>
      </x:c>
      <x:c r="P160" s="370" t="str">
        <x:v>Day7 备选精英遭遇</x:v>
      </x:c>
    </x:row>
    <x:row r="161" ht="21" customHeight="1">
      <x:c r="A161" s="351" t="str">
        <x:v>enc_d07_evening_fixed</x:v>
      </x:c>
      <x:c r="B161" s="351" t="str">
        <x:v>enc_pool_d07_evening</x:v>
      </x:c>
      <x:c r="C161" s="351" t="str">
        <x:v>第七天晚上精英固定战</x:v>
      </x:c>
      <x:c r="D161" s="351" t="str">
        <x:v>100</x:v>
      </x:c>
      <x:c r="E161" s="351" t="str">
        <x:v>7</x:v>
      </x:c>
      <x:c r="F161" s="351" t="str">
        <x:v>下午</x:v>
      </x:c>
      <x:c r="G161" s="351" t="str">
        <x:v>2</x:v>
      </x:c>
      <x:c r="H161" s="351" t="str">
        <x:v>精英固定战</x:v>
      </x:c>
      <x:c r="I161" s="351"/>
      <x:c r="J161" s="351"/>
      <x:c r="K161" s="366"/>
      <x:c r="L161" s="371"/>
      <x:c r="M161" s="371" t="str"/>
      <x:c r="N161" s="371"/>
      <x:c r="O161" s="371" t="str">
        <x:v>正式</x:v>
      </x:c>
      <x:c r="P161" s="370" t="str">
        <x:v>映射 Day7 下午精英波次</x:v>
      </x:c>
    </x:row>
    <x:row r="162" ht="21" customHeight="1">
      <x:c r="A162" s="351" t="str">
        <x:v>enc_d08_midday_a</x:v>
      </x:c>
      <x:c r="B162" s="351" t="str">
        <x:v>enc_pool_d08_midday</x:v>
      </x:c>
      <x:c r="C162" s="351" t="str">
        <x:v>第八天精英遭遇A</x:v>
      </x:c>
      <x:c r="D162" s="351" t="str">
        <x:v>100</x:v>
      </x:c>
      <x:c r="E162" s="351" t="str">
        <x:v>8</x:v>
      </x:c>
      <x:c r="F162" s="351" t="str">
        <x:v>上午</x:v>
      </x:c>
      <x:c r="G162" s="351" t="str">
        <x:v>1</x:v>
      </x:c>
      <x:c r="H162" s="351" t="str">
        <x:v>精英战</x:v>
      </x:c>
      <x:c r="I162" s="351"/>
      <x:c r="J162" s="351"/>
      <x:c r="K162" s="366"/>
      <x:c r="L162" s="371"/>
      <x:c r="M162" s="371" t="str"/>
      <x:c r="N162" s="371"/>
      <x:c r="O162" s="371" t="str">
        <x:v>正式</x:v>
      </x:c>
      <x:c r="P162" s="370" t="str">
        <x:v>Day8 精英压力上午波次</x:v>
      </x:c>
    </x:row>
    <x:row r="163" ht="21" customHeight="1">
      <x:c r="A163" s="351" t="str">
        <x:v>enc_d08_midday_b</x:v>
      </x:c>
      <x:c r="B163" s="351" t="str">
        <x:v>enc_pool_d08_midday</x:v>
      </x:c>
      <x:c r="C163" s="351" t="str">
        <x:v>第八天精英遭遇B</x:v>
      </x:c>
      <x:c r="D163" s="351" t="str">
        <x:v>90</x:v>
      </x:c>
      <x:c r="E163" s="351" t="str">
        <x:v>8</x:v>
      </x:c>
      <x:c r="F163" s="351" t="str">
        <x:v>上午</x:v>
      </x:c>
      <x:c r="G163" s="351" t="str">
        <x:v>1</x:v>
      </x:c>
      <x:c r="H163" s="351" t="str">
        <x:v>精英战</x:v>
      </x:c>
      <x:c r="I163" s="351"/>
      <x:c r="J163" s="351"/>
      <x:c r="K163" s="366"/>
      <x:c r="L163" s="371"/>
      <x:c r="M163" s="371" t="str"/>
      <x:c r="N163" s="371"/>
      <x:c r="O163" s="371" t="str">
        <x:v>正式</x:v>
      </x:c>
      <x:c r="P163" s="370" t="str">
        <x:v>Day8 备选精英遭遇</x:v>
      </x:c>
    </x:row>
    <x:row r="164" ht="21" customHeight="1">
      <x:c r="A164" s="351" t="str">
        <x:v>enc_d08_midday_c</x:v>
      </x:c>
      <x:c r="B164" s="351" t="str">
        <x:v>enc_pool_d08_midday</x:v>
      </x:c>
      <x:c r="C164" s="351" t="str">
        <x:v>第八天精英遭遇C</x:v>
      </x:c>
      <x:c r="D164" s="351" t="str">
        <x:v>80</x:v>
      </x:c>
      <x:c r="E164" s="351" t="str">
        <x:v>8</x:v>
      </x:c>
      <x:c r="F164" s="351" t="str">
        <x:v>上午</x:v>
      </x:c>
      <x:c r="G164" s="351" t="str">
        <x:v>1</x:v>
      </x:c>
      <x:c r="H164" s="351" t="str">
        <x:v>精英战</x:v>
      </x:c>
      <x:c r="I164" s="351"/>
      <x:c r="J164" s="351"/>
      <x:c r="K164" s="366"/>
      <x:c r="L164" s="371"/>
      <x:c r="M164" s="371" t="str"/>
      <x:c r="N164" s="371"/>
      <x:c r="O164" s="371" t="str">
        <x:v>正式</x:v>
      </x:c>
      <x:c r="P164" s="370" t="str">
        <x:v>Day8 备选精英遭遇</x:v>
      </x:c>
    </x:row>
    <x:row r="165" ht="21" customHeight="1">
      <x:c r="A165" s="351" t="str">
        <x:v>enc_d08_evening_fixed</x:v>
      </x:c>
      <x:c r="B165" s="351" t="str">
        <x:v>enc_pool_d08_evening</x:v>
      </x:c>
      <x:c r="C165" s="351" t="str">
        <x:v>第八天晚上精英固定战</x:v>
      </x:c>
      <x:c r="D165" s="351" t="str">
        <x:v>100</x:v>
      </x:c>
      <x:c r="E165" s="351" t="str">
        <x:v>8</x:v>
      </x:c>
      <x:c r="F165" s="351" t="str">
        <x:v>下午</x:v>
      </x:c>
      <x:c r="G165" s="351" t="str">
        <x:v>2</x:v>
      </x:c>
      <x:c r="H165" s="351" t="str">
        <x:v>精英固定战</x:v>
      </x:c>
      <x:c r="I165" s="351"/>
      <x:c r="J165" s="351"/>
      <x:c r="K165" s="366"/>
      <x:c r="L165" s="371"/>
      <x:c r="M165" s="371" t="str"/>
      <x:c r="N165" s="371"/>
      <x:c r="O165" s="371" t="str">
        <x:v>正式</x:v>
      </x:c>
      <x:c r="P165" s="370" t="str">
        <x:v>映射 Day8 下午精英波次</x:v>
      </x:c>
    </x:row>
    <x:row r="166" ht="30" customHeight="1">
      <x:c r="A166" s="351" t="str">
        <x:v>enc_d09_midday_a</x:v>
      </x:c>
      <x:c r="B166" s="351" t="str">
        <x:v>enc_pool_d09_midday</x:v>
      </x:c>
      <x:c r="C166" s="351" t="str">
        <x:v>王侯守备线</x:v>
      </x:c>
      <x:c r="D166" s="351" t="n">
        <x:v>100</x:v>
      </x:c>
      <x:c r="E166" s="351" t="n">
        <x:v>9</x:v>
      </x:c>
      <x:c r="F166" s="351" t="str">
        <x:v>上午</x:v>
      </x:c>
      <x:c r="G166" s="351" t="n">
        <x:v>1</x:v>
      </x:c>
      <x:c r="H166" s="351" t="str">
        <x:v>终战备战</x:v>
      </x:c>
      <x:c r="I166" s="351" t="str">
        <x:v>wave_d09_enc_guard</x:v>
      </x:c>
      <x:c r="J166" s="351" t="str">
        <x:v>reward_pT2</x:v>
      </x:c>
      <x:c r="K166" s="366" t="str">
        <x:v>低风险</x:v>
      </x:c>
      <x:c r="L166" s="371" t="str">
        <x:v>焰豹将 / 赤鼋妖 / 雷狼卫 / 电虎侯 / 燎狼将</x:v>
      </x:c>
      <x:c r="M166" s="371" t="str"/>
      <x:c r="N166" s="371" t="str">
        <x:v>进阶宠物三选一</x:v>
      </x:c>
      <x:c r="O166" s="371" t="str">
        <x:v>正式</x:v>
      </x:c>
      <x:c r="P166" s="370" t="str">
        <x:v>Day9 稳妥路线；6只黄金敌人</x:v>
      </x:c>
    </x:row>
    <x:row r="167" ht="30" customHeight="1">
      <x:c r="A167" s="351" t="str">
        <x:v>enc_d09_midday_b</x:v>
      </x:c>
      <x:c r="B167" s="351" t="str">
        <x:v>enc_pool_d09_midday</x:v>
      </x:c>
      <x:c r="C167" s="351" t="str">
        <x:v>地雷决胜阵</x:v>
      </x:c>
      <x:c r="D167" s="351" t="n">
        <x:v>90</x:v>
      </x:c>
      <x:c r="E167" s="351" t="n">
        <x:v>9</x:v>
      </x:c>
      <x:c r="F167" s="351" t="str">
        <x:v>上午</x:v>
      </x:c>
      <x:c r="G167" s="351" t="n">
        <x:v>1</x:v>
      </x:c>
      <x:c r="H167" s="351" t="str">
        <x:v>终战备战</x:v>
      </x:c>
      <x:c r="I167" s="351" t="str">
        <x:v>wave_d09_enc_decisive</x:v>
      </x:c>
      <x:c r="J167" s="351" t="str">
        <x:v>reward_pT3</x:v>
      </x:c>
      <x:c r="K167" s="366" t="str">
        <x:v>中风险</x:v>
      </x:c>
      <x:c r="L167" s="371" t="str">
        <x:v>垒牦灵 / 雷鹰将 / 烬鳗将 / 雷鹰卫 / 岩獒精 / 潮鹤精</x:v>
      </x:c>
      <x:c r="M167" s="371" t="str"/>
      <x:c r="N167" s="371" t="str">
        <x:v>高阶宠物三选一</x:v>
      </x:c>
      <x:c r="O167" s="371" t="str">
        <x:v>正式</x:v>
      </x:c>
      <x:c r="P167" s="370" t="str">
        <x:v>Day9 进取路线；6只钻石敌人</x:v>
      </x:c>
    </x:row>
    <x:row r="168" ht="42" customHeight="1">
      <x:c r="A168" s="351" t="str">
        <x:v>enc_d09_midday_c</x:v>
      </x:c>
      <x:c r="B168" s="351" t="str">
        <x:v>enc_pool_d09_midday</x:v>
      </x:c>
      <x:c r="C168" s="351" t="str">
        <x:v>死亡爆阵团</x:v>
      </x:c>
      <x:c r="D168" s="351" t="n">
        <x:v>80</x:v>
      </x:c>
      <x:c r="E168" s="351" t="n">
        <x:v>9</x:v>
      </x:c>
      <x:c r="F168" s="351" t="str">
        <x:v>上午</x:v>
      </x:c>
      <x:c r="G168" s="351" t="n">
        <x:v>1</x:v>
      </x:c>
      <x:c r="H168" s="351" t="str">
        <x:v>终战备战</x:v>
      </x:c>
      <x:c r="I168" s="351" t="str">
        <x:v>wave_d09_enc_ancestral</x:v>
      </x:c>
      <x:c r="J168" s="351" t="str">
        <x:v>reward_pT4</x:v>
      </x:c>
      <x:c r="K168" s="366" t="str">
        <x:v>高风险</x:v>
      </x:c>
      <x:c r="L168" s="371" t="str">
        <x:v>藤巢蜂 / 白眉雪猿 / 渊蚁皇 / 角豹神 / 寒狐祖 / 墨蝎王</x:v>
      </x:c>
      <x:c r="M168" s="371" t="str">
        <x:v>三名死亡爆炸 / 回合攻盾成长 / 反击</x:v>
      </x:c>
      <x:c r="N168" s="371" t="str">
        <x:v>钻石宠物三选一</x:v>
      </x:c>
      <x:c r="O168" s="371" t="str">
        <x:v>正式</x:v>
      </x:c>
      <x:c r="P168" s="370" t="str">
        <x:v>Day9 死亡爆阵路线；6只钻石敌人</x:v>
      </x:c>
    </x:row>
    <x:row r="169" ht="21" customHeight="1">
      <x:c r="A169" s="351" t="str">
        <x:v>enc_d09_evening_fixed</x:v>
      </x:c>
      <x:c r="B169" s="351" t="str">
        <x:v>enc_pool_d09_evening</x:v>
      </x:c>
      <x:c r="C169" s="351" t="str">
        <x:v>第九天晚上Boss前固定战</x:v>
      </x:c>
      <x:c r="D169" s="351" t="str">
        <x:v>100</x:v>
      </x:c>
      <x:c r="E169" s="351" t="str">
        <x:v>9</x:v>
      </x:c>
      <x:c r="F169" s="351" t="str">
        <x:v>下午</x:v>
      </x:c>
      <x:c r="G169" s="351" t="str">
        <x:v>2</x:v>
      </x:c>
      <x:c r="H169" s="351" t="str">
        <x:v>Boss前固定战</x:v>
      </x:c>
      <x:c r="I169" s="351"/>
      <x:c r="J169" s="351"/>
      <x:c r="K169" s="366"/>
      <x:c r="L169" s="371"/>
      <x:c r="M169" s="371" t="str"/>
      <x:c r="N169" s="371"/>
      <x:c r="O169" s="371" t="str">
        <x:v>正式</x:v>
      </x:c>
      <x:c r="P169" s="370" t="str">
        <x:v>映射 Day9 下午 Boss 前波次</x:v>
      </x:c>
    </x:row>
    <x:row r="170" ht="21" customHeight="1">
      <x:c r="A170" s="351" t="str">
        <x:v>enc_d10_midday_a</x:v>
      </x:c>
      <x:c r="B170" s="351" t="str">
        <x:v>enc_pool_d10_midday</x:v>
      </x:c>
      <x:c r="C170" s="351" t="str">
        <x:v>第十天Boss前遭遇A</x:v>
      </x:c>
      <x:c r="D170" s="351" t="str">
        <x:v>100</x:v>
      </x:c>
      <x:c r="E170" s="351" t="str">
        <x:v>10</x:v>
      </x:c>
      <x:c r="F170" s="351" t="str">
        <x:v>上午</x:v>
      </x:c>
      <x:c r="G170" s="351" t="str">
        <x:v>1</x:v>
      </x:c>
      <x:c r="H170" s="351" t="str">
        <x:v>Boss前战</x:v>
      </x:c>
      <x:c r="I170" s="351"/>
      <x:c r="J170" s="351"/>
      <x:c r="K170" s="366"/>
      <x:c r="L170" s="371"/>
      <x:c r="M170" s="371" t="str"/>
      <x:c r="N170" s="371"/>
      <x:c r="O170" s="371" t="str">
        <x:v>正式</x:v>
      </x:c>
      <x:c r="P170" s="370" t="str">
        <x:v>Day10 Boss 前上午波次</x:v>
      </x:c>
    </x:row>
    <x:row r="171" ht="21" customHeight="1">
      <x:c r="A171" s="351" t="str">
        <x:v>enc_d10_midday_b</x:v>
      </x:c>
      <x:c r="B171" s="351" t="str">
        <x:v>enc_pool_d10_midday</x:v>
      </x:c>
      <x:c r="C171" s="351" t="str">
        <x:v>第十天Boss前遭遇B</x:v>
      </x:c>
      <x:c r="D171" s="351" t="str">
        <x:v>90</x:v>
      </x:c>
      <x:c r="E171" s="351" t="str">
        <x:v>10</x:v>
      </x:c>
      <x:c r="F171" s="351" t="str">
        <x:v>上午</x:v>
      </x:c>
      <x:c r="G171" s="351" t="str">
        <x:v>1</x:v>
      </x:c>
      <x:c r="H171" s="351" t="str">
        <x:v>Boss前战</x:v>
      </x:c>
      <x:c r="I171" s="351"/>
      <x:c r="J171" s="351"/>
      <x:c r="K171" s="366"/>
      <x:c r="L171" s="371"/>
      <x:c r="M171" s="371" t="str"/>
      <x:c r="N171" s="371"/>
      <x:c r="O171" s="371" t="str">
        <x:v>正式</x:v>
      </x:c>
      <x:c r="P171" s="370" t="str">
        <x:v>Day10 备选 Boss 前遭遇</x:v>
      </x:c>
    </x:row>
    <x:row r="172" ht="21" customHeight="1">
      <x:c r="A172" s="351" t="str">
        <x:v>enc_d10_midday_c</x:v>
      </x:c>
      <x:c r="B172" s="351" t="str">
        <x:v>enc_pool_d10_midday</x:v>
      </x:c>
      <x:c r="C172" s="351" t="str">
        <x:v>第十天Boss前遭遇C</x:v>
      </x:c>
      <x:c r="D172" s="351" t="str">
        <x:v>80</x:v>
      </x:c>
      <x:c r="E172" s="351" t="str">
        <x:v>10</x:v>
      </x:c>
      <x:c r="F172" s="351" t="str">
        <x:v>上午</x:v>
      </x:c>
      <x:c r="G172" s="351" t="str">
        <x:v>1</x:v>
      </x:c>
      <x:c r="H172" s="351" t="str">
        <x:v>Boss前战</x:v>
      </x:c>
      <x:c r="I172" s="351"/>
      <x:c r="J172" s="351"/>
      <x:c r="K172" s="366"/>
      <x:c r="L172" s="371"/>
      <x:c r="M172" s="371" t="str"/>
      <x:c r="N172" s="371"/>
      <x:c r="O172" s="371" t="str">
        <x:v>正式</x:v>
      </x:c>
      <x:c r="P172" s="370" t="str">
        <x:v>Day10 备选 Boss 前遭遇</x:v>
      </x:c>
    </x:row>
    <x:row r="173" ht="21" customHeight="1">
      <x:c r="A173" s="351" t="str">
        <x:v>enc_d10_final_boss</x:v>
      </x:c>
      <x:c r="B173" s="351" t="str">
        <x:v>enc_pool_d10_evening</x:v>
      </x:c>
      <x:c r="C173" s="351" t="str">
        <x:v>第十天终局Boss</x:v>
      </x:c>
      <x:c r="D173" s="351" t="str">
        <x:v>100</x:v>
      </x:c>
      <x:c r="E173" s="351" t="str">
        <x:v>10</x:v>
      </x:c>
      <x:c r="F173" s="351" t="str">
        <x:v>下午</x:v>
      </x:c>
      <x:c r="G173" s="351" t="str">
        <x:v>2</x:v>
      </x:c>
      <x:c r="H173" s="351" t="str">
        <x:v>终局战</x:v>
      </x:c>
      <x:c r="I173" s="351"/>
      <x:c r="J173" s="351"/>
      <x:c r="K173" s="366"/>
      <x:c r="L173" s="371"/>
      <x:c r="M173" s="371" t="str"/>
      <x:c r="N173" s="371"/>
      <x:c r="O173" s="371" t="str">
        <x:v>正式</x:v>
      </x:c>
      <x:c r="P173" s="370" t="str">
        <x:v>Day10 终局 Boss 压力</x:v>
      </x:c>
    </x:row>
    <x:row r="174">
      <x:c r="A174" s="15"/>
      <x:c r="B174" s="15"/>
      <x:c r="C174" s="15"/>
      <x:c r="D174" s="15"/>
      <x:c r="E174" s="15"/>
      <x:c r="F174" s="15"/>
      <x:c r="G174" s="15"/>
      <x:c r="H174" s="15"/>
      <x:c r="I174" s="15"/>
      <x:c r="J174" s="15"/>
      <x:c r="K174" s="15"/>
      <x:c r="L174" s="15"/>
      <x:c r="M174" s="15"/>
    </x:row>
    <x:row r="175">
      <x:c r="A175" s="15"/>
      <x:c r="B175" s="15"/>
      <x:c r="C175" s="15"/>
      <x:c r="D175" s="15"/>
      <x:c r="E175" s="15"/>
      <x:c r="F175" s="15"/>
      <x:c r="G175" s="15"/>
      <x:c r="H175" s="15"/>
      <x:c r="I175" s="15"/>
      <x:c r="J175" s="15"/>
      <x:c r="K175" s="15"/>
      <x:c r="L175" s="15"/>
      <x:c r="M175" s="15"/>
    </x:row>
  </x:sheetData>
  <x:pageMargins left="0.7" right="0.7" top="0.75" bottom="0.75" header="0.3" footer="0.3"/>
</x:worksheet>
</file>