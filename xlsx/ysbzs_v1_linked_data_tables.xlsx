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tables/table5.xml" ContentType="application/vnd.openxmlformats-officedocument.spreadsheetml.table+xml"/>
  <Override PartName="/xl/worksheets/sheet1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读我_怎么维护" sheetId="1" state="visible" r:id="rId1"/>
    <sheet xmlns:r="http://schemas.openxmlformats.org/officeDocument/2006/relationships" name="01_宠物主表_好读版" sheetId="2" state="visible" r:id="rId2"/>
    <sheet xmlns:r="http://schemas.openxmlformats.org/officeDocument/2006/relationships" name="02_怪物模板_好读版" sheetId="3" state="visible" r:id="rId3"/>
    <sheet xmlns:r="http://schemas.openxmlformats.org/officeDocument/2006/relationships" name="03_怪物波次_好读版" sheetId="4" state="visible" r:id="rId4"/>
    <sheet xmlns:r="http://schemas.openxmlformats.org/officeDocument/2006/relationships" name="04_机制词条库_60条" sheetId="5" state="visible" r:id="rId5"/>
    <sheet xmlns:r="http://schemas.openxmlformats.org/officeDocument/2006/relationships" name="05_事件主表_好读版" sheetId="6" state="visible" r:id="rId6"/>
    <sheet xmlns:r="http://schemas.openxmlformats.org/officeDocument/2006/relationships" name="06_商店奖励池_好读版" sheetId="7" state="visible" r:id="rId7"/>
    <sheet xmlns:r="http://schemas.openxmlformats.org/officeDocument/2006/relationships" name="07_遗物祝福_好读版" sheetId="8" state="visible" r:id="rId8"/>
    <sheet xmlns:r="http://schemas.openxmlformats.org/officeDocument/2006/relationships" name="08_形状行动槽_好读版" sheetId="9" state="visible" r:id="rId9"/>
    <sheet xmlns:r="http://schemas.openxmlformats.org/officeDocument/2006/relationships" name="09_跨表校验" sheetId="10" state="visible" r:id="rId10"/>
    <sheet xmlns:r="http://schemas.openxmlformats.org/officeDocument/2006/relationships" name="03_波次规则说明" sheetId="11" state="visible" r:id="rId11"/>
    <sheet xmlns:r="http://schemas.openxmlformats.org/officeDocument/2006/relationships" name="03_波次规则交付" sheetId="12" state="visible" r:id="rId12"/>
    <sheet xmlns:r="http://schemas.openxmlformats.org/officeDocument/2006/relationships" name="10_初始阵容" sheetId="13" state="visible" r:id="rId13"/>
    <sheet xmlns:r="http://schemas.openxmlformats.org/officeDocument/2006/relationships" name="11_英雄领域_联动版" sheetId="14" state="visible" r:id="rId14"/>
    <sheet xmlns:r="http://schemas.openxmlformats.org/officeDocument/2006/relationships" name="12_元素反应_联动版" sheetId="15" state="visible" r:id="rId15"/>
    <sheet xmlns:r="http://schemas.openxmlformats.org/officeDocument/2006/relationships" name="13_第7天兽群试炼_联动版" sheetId="16" state="visible" r:id="rId16"/>
    <sheet xmlns:r="http://schemas.openxmlformats.org/officeDocument/2006/relationships" name="14_品质进阶倍率" sheetId="17" state="visible" r:id="rId17"/>
    <sheet xmlns:r="http://schemas.openxmlformats.org/officeDocument/2006/relationships" name="15_召唤试炼题库" sheetId="18" state="visible" r:id="rId18"/>
  </sheets>
  <definedNames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00FFFFFF"/>
      <sz val="12"/>
    </font>
    <font>
      <name val="宋体"/>
      <b val="1"/>
      <color rgb="00FFFFFF"/>
      <sz val="12"/>
    </font>
    <font>
      <name val="Carlito"/>
      <b val="1"/>
      <color rgb="00FFFFFF"/>
      <sz val="11"/>
    </font>
    <font>
      <name val="Carlito"/>
      <sz val="10"/>
    </font>
    <font>
      <name val="Carlito"/>
      <color rgb="00374151"/>
      <sz val="10"/>
    </font>
    <font>
      <name val="Carlito"/>
      <color rgb="00374151"/>
      <sz val="11"/>
    </font>
    <font>
      <name val="Carlito"/>
      <b val="1"/>
      <color rgb="00FFFFFF"/>
      <sz val="14"/>
    </font>
    <font>
      <name val="Carlito"/>
      <b val="1"/>
      <sz val="11"/>
    </font>
  </fonts>
  <fills count="9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005B3518"/>
      </patternFill>
    </fill>
    <fill>
      <patternFill patternType="solid">
        <fgColor rgb="00FEF3C7"/>
      </patternFill>
    </fill>
    <fill>
      <patternFill patternType="solid">
        <fgColor rgb="00E5E7EB"/>
      </patternFill>
    </fill>
    <fill>
      <patternFill patternType="solid">
        <fgColor rgb="005B3A1E"/>
      </patternFill>
    </fill>
    <fill>
      <patternFill patternType="solid">
        <fgColor rgb="00FFF7CC"/>
      </patternFill>
    </fill>
    <fill>
      <patternFill patternType="solid">
        <fgColor rgb="00D9EAF7"/>
      </patternFill>
    </fill>
  </fills>
  <borders count="2">
    <border/>
    <border/>
  </borders>
  <cellStyleXfs count="1">
    <xf numFmtId="0" fontId="0" fillId="0" borderId="1"/>
  </cellStyleXfs>
  <cellXfs count="3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horizontal="center" vertical="center" wrapText="1"/>
    </xf>
    <xf numFmtId="1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 wrapText="1"/>
    </xf>
    <xf numFmtId="164" fontId="6" fillId="5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 wrapText="1"/>
    </xf>
    <xf numFmtId="164" fontId="0" fillId="0" borderId="1" pivotButton="0" quotePrefix="0" xfId="0"/>
    <xf numFmtId="0" fontId="0" fillId="0" borderId="1" pivotButton="0" quotePrefix="0" xfId="49"/>
    <xf numFmtId="0" fontId="4" fillId="6" borderId="1" applyAlignment="1" pivotButton="0" quotePrefix="0" xfId="49">
      <alignment horizontal="center" vertical="center" wrapText="1"/>
    </xf>
    <xf numFmtId="0" fontId="0" fillId="4" borderId="1" applyAlignment="1" pivotButton="0" quotePrefix="0" xfId="49">
      <alignment vertical="center" wrapText="1"/>
    </xf>
    <xf numFmtId="0" fontId="0" fillId="4" borderId="1" applyAlignment="1" pivotButton="0" quotePrefix="0" xfId="49">
      <alignment vertical="center"/>
    </xf>
    <xf numFmtId="0" fontId="7" fillId="5" borderId="1" applyAlignment="1" pivotButton="0" quotePrefix="0" xfId="49">
      <alignment vertical="center"/>
    </xf>
    <xf numFmtId="0" fontId="4" fillId="6" borderId="1" applyAlignment="1" pivotButton="0" quotePrefix="0" xfId="49">
      <alignment horizontal="center" vertical="center"/>
    </xf>
    <xf numFmtId="0" fontId="0" fillId="7" borderId="1" applyAlignment="1" pivotButton="0" quotePrefix="0" xfId="49">
      <alignment vertical="center"/>
    </xf>
    <xf numFmtId="0" fontId="0" fillId="5" borderId="1" applyAlignment="1" pivotButton="0" quotePrefix="0" xfId="49">
      <alignment vertical="center"/>
    </xf>
    <xf numFmtId="0" fontId="8" fillId="3" borderId="1" applyAlignment="1" pivotButton="0" quotePrefix="0" xfId="0">
      <alignment horizontal="center" wrapText="1"/>
    </xf>
    <xf numFmtId="0" fontId="9" fillId="8" borderId="1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ables/table1.xml><?xml version="1.0" encoding="utf-8"?>
<table xmlns="http://schemas.openxmlformats.org/spreadsheetml/2006/main" id="1" name="T_10_初始阵容" displayName="T_10_初始阵容" ref="A1:G5" headerRowCount="1">
  <tableColumns count="7">
    <tableColumn id="1" name="阵营"/>
    <tableColumn id="2" name="槽位"/>
    <tableColumn id="3" name="宠物ID"/>
    <tableColumn id="4" name="行(1-8)"/>
    <tableColumn id="5" name="列(1-8)"/>
    <tableColumn id="6" name="启用"/>
    <tableColumn id="7" name="备注"/>
  </tableColumns>
  <tableStyleInfo name="TableStyleMedium2" showRowStripes="1"/>
</table>
</file>

<file path=xl/tables/table2.xml><?xml version="1.0" encoding="utf-8"?>
<table xmlns="http://schemas.openxmlformats.org/spreadsheetml/2006/main" id="2" name="T_11_英雄领域_联动版" displayName="T_11_英雄领域_联动版" ref="A1:I8" headerRowCount="1">
  <tableColumns count="9">
    <tableColumn id="1" name="领域ID"/>
    <tableColumn id="2" name="提供者宠物ID"/>
    <tableColumn id="3" name="提供者名称"/>
    <tableColumn id="4" name="挂接到"/>
    <tableColumn id="5" name="触发"/>
    <tableColumn id="6" name="效果ID"/>
    <tableColumn id="7" name="参数"/>
    <tableColumn id="8" name="是否持续"/>
    <tableColumn id="9" name="说明"/>
  </tableColumns>
  <tableStyleInfo name="TableStyleMedium2" showRowStripes="1"/>
</table>
</file>

<file path=xl/tables/table3.xml><?xml version="1.0" encoding="utf-8"?>
<table xmlns="http://schemas.openxmlformats.org/spreadsheetml/2006/main" id="3" name="T_12_元素反应_联动版" displayName="T_12_元素反应_联动版" ref="A1:H9" headerRowCount="1">
  <tableColumns count="8">
    <tableColumn id="1" name="反应ID"/>
    <tableColumn id="2" name="触发"/>
    <tableColumn id="3" name="条件"/>
    <tableColumn id="4" name="效果"/>
    <tableColumn id="5" name="消耗"/>
    <tableColumn id="6" name="伤害公式"/>
    <tableColumn id="7" name="优先级"/>
    <tableColumn id="8" name="说明"/>
  </tableColumns>
  <tableStyleInfo name="TableStyleMedium2" showRowStripes="1"/>
</table>
</file>

<file path=xl/tables/table4.xml><?xml version="1.0" encoding="utf-8"?>
<table xmlns="http://schemas.openxmlformats.org/spreadsheetml/2006/main" id="4" name="T_13_第7天兽群试炼_联动版" displayName="T_13_第7天兽群试炼_联动版" ref="A1:Q10" headerRowCount="1">
  <tableColumns count="17">
    <tableColumn id="1" name="配置ID"/>
    <tableColumn id="2" name="类型"/>
    <tableColumn id="3" name="阵营"/>
    <tableColumn id="4" name="宠物ID"/>
    <tableColumn id="5" name="名称"/>
    <tableColumn id="6" name="品质覆盖"/>
    <tableColumn id="7" name="行(1-8)"/>
    <tableColumn id="8" name="列(1-8)"/>
    <tableColumn id="9" name="HP"/>
    <tableColumn id="10" name="攻"/>
    <tableColumn id="11" name="防"/>
    <tableColumn id="12" name="盾"/>
    <tableColumn id="13" name="行动"/>
    <tableColumn id="14" name="机制ID"/>
    <tableColumn id="15" name="形状ID"/>
    <tableColumn id="16" name="关键规则"/>
    <tableColumn id="17" name="备注"/>
  </tableColumns>
  <tableStyleInfo name="TableStyleMedium2" showRowStripes="1"/>
</table>
</file>

<file path=xl/tables/table5.xml><?xml version="1.0" encoding="utf-8"?>
<table xmlns="http://schemas.openxmlformats.org/spreadsheetml/2006/main" id="5" name="T_14_品质进阶倍率" displayName="T_14_品质进阶倍率" ref="A1:J5" headerRowCount="1">
  <tableColumns count="10">
    <tableColumn id="1" name="品质"/>
    <tableColumn id="2" name="倍率"/>
    <tableColumn id="3" name="效果分参考"/>
    <tableColumn id="4" name="HP倍率"/>
    <tableColumn id="5" name="攻倍率"/>
    <tableColumn id="6" name="防倍率"/>
    <tableColumn id="7" name="盾倍率"/>
    <tableColumn id="8" name="机制分倍率"/>
    <tableColumn id="9" name="行动规则"/>
    <tableColumn id="10" name="说明"/>
  </tableColumns>
  <tableStyleInfo name="TableStyleMedium2" showRowStripes="1"/>
</table>
</file>

<file path=xl/tables/table6.xml><?xml version="1.0" encoding="utf-8"?>
<table xmlns="http://schemas.openxmlformats.org/spreadsheetml/2006/main" id="6" name="T_15_召唤试炼题库" displayName="T_15_召唤试炼题库" ref="A1:O5" headerRowCount="1">
  <tableColumns count="15">
    <tableColumn id="1" name="题库ID"/>
    <tableColumn id="2" name="钻石原型宠物ID"/>
    <tableColumn id="3" name="原型名称"/>
    <tableColumn id="4" name="题型"/>
    <tableColumn id="5" name="复制体品质"/>
    <tableColumn id="6" name="复制体HP"/>
    <tableColumn id="7" name="复制体攻"/>
    <tableColumn id="8" name="复制体防"/>
    <tableColumn id="9" name="复制体盾"/>
    <tableColumn id="10" name="复制体行动"/>
    <tableColumn id="11" name="机制ID"/>
    <tableColumn id="12" name="是否有元素"/>
    <tableColumn id="13" name="是否铺场"/>
    <tableColumn id="14" name="解题方式"/>
    <tableColumn id="15" name="备注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78" customWidth="1" min="2" max="2"/>
    <col width="58" customWidth="1" min="3" max="3"/>
  </cols>
  <sheetData>
    <row r="1" ht="24" customHeight="1">
      <c r="A1" s="23" t="inlineStr">
        <is>
          <t>区域</t>
        </is>
      </c>
      <c r="B1" s="23" t="inlineStr">
        <is>
          <t>怎么改</t>
        </is>
      </c>
      <c r="C1" s="23" t="inlineStr">
        <is>
          <t>会同步到哪里</t>
        </is>
      </c>
    </row>
    <row r="2" ht="24" customHeight="1">
      <c r="A2" s="24" t="inlineStr">
        <is>
          <t>01_宠物主表_好读版</t>
        </is>
      </c>
      <c r="B2" s="24" t="inlineStr">
        <is>
          <t>只改宠物基础信息：名称、元素、副属、品质、体型、定位、形状、范围、动作、技能、标签、可召、备注。灰色数值列从02自动显示。</t>
        </is>
      </c>
      <c r="C2" s="24" t="inlineStr">
        <is>
          <t>02会带出名称/元素/体型/定位；03也会通过02显示关键数据。</t>
        </is>
      </c>
    </row>
    <row r="3" ht="24" customHeight="1">
      <c r="A3" s="24" t="inlineStr">
        <is>
          <t>02_怪物模板_好读版</t>
        </is>
      </c>
      <c r="B3" s="24" t="inlineStr">
        <is>
          <t>只改最终战斗数值：阶段、敌方定位、HP、攻、防、盾、行动、机制ID、机制参数、面板分、机制分、克制、推荐日、备注。</t>
        </is>
      </c>
      <c r="C3" s="24" t="inlineStr">
        <is>
          <t>01的数值列会自动显示；03波次会自动带出名称/数值/定位。</t>
        </is>
      </c>
    </row>
    <row r="4" ht="24" customHeight="1">
      <c r="A4" s="24" t="inlineStr">
        <is>
          <t>03_怪物波次_好读版</t>
        </is>
      </c>
      <c r="B4" s="24" t="inlineStr">
        <is>
          <t>只改战斗编排：波次ID、天数、时段、回合、宠物ID、数量、位置、设计目的、失败惩罚、奖励影响、备注。</t>
        </is>
      </c>
      <c r="C4" s="24" t="inlineStr">
        <is>
          <t>名称、元素、定位、HP/攻/防/盾/行动、本行威胁自动从02带出。</t>
        </is>
      </c>
    </row>
    <row r="5" ht="24" customHeight="1">
      <c r="A5" s="24" t="inlineStr">
        <is>
          <t>颜色规则</t>
        </is>
      </c>
      <c r="B5" s="24" t="inlineStr">
        <is>
          <t>黄色=手动维护；灰色=公式自动同步，尽量不要手改。</t>
        </is>
      </c>
      <c r="C5" s="24" t="inlineStr">
        <is>
          <t>用宠物ID统一关联三表。</t>
        </is>
      </c>
    </row>
    <row r="6" ht="24" customHeight="1">
      <c r="A6" s="24" t="inlineStr">
        <is>
          <t>核心口径</t>
        </is>
      </c>
      <c r="B6" s="24" t="inlineStr">
        <is>
          <t>最终数值以02_怪物模板_好读版为准。宠物表不新增复杂来源列；不存在列放YAML/MD说明。</t>
        </is>
      </c>
      <c r="C6" s="24" t="inlineStr">
        <is>
          <t>脚本生成数据时以这三张表 + YAML 为真源。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2" customWidth="1" min="7" max="7"/>
    <col width="8" customWidth="1" min="8" max="8"/>
    <col width="10" customWidth="1" min="13" max="13"/>
    <col width="14" customWidth="1" min="15" max="15"/>
    <col width="16" customWidth="1" min="16" max="16"/>
    <col width="18" customWidth="1" min="17" max="17"/>
    <col width="10" customWidth="1" min="20" max="20"/>
    <col width="18" customWidth="1" min="21" max="21"/>
    <col width="24" customWidth="1" min="22" max="22"/>
  </cols>
  <sheetData>
    <row r="1" ht="28" customHeight="1">
      <c r="A1" s="23" t="inlineStr">
        <is>
          <t>宠物ID</t>
        </is>
      </c>
      <c r="B1" s="23" t="inlineStr">
        <is>
          <t>编号</t>
        </is>
      </c>
      <c r="C1" s="23" t="inlineStr">
        <is>
          <t>名称</t>
        </is>
      </c>
      <c r="D1" s="23" t="inlineStr">
        <is>
          <t>元素</t>
        </is>
      </c>
      <c r="E1" s="23" t="inlineStr">
        <is>
          <t>副属</t>
        </is>
      </c>
      <c r="F1" s="23" t="inlineStr">
        <is>
          <t>品质</t>
        </is>
      </c>
      <c r="G1" s="23" t="inlineStr">
        <is>
          <t>体型</t>
        </is>
      </c>
      <c r="H1" s="23" t="inlineStr">
        <is>
          <t>定位</t>
        </is>
      </c>
      <c r="I1" s="23" t="inlineStr">
        <is>
          <t>效果分</t>
        </is>
      </c>
      <c r="J1" s="23" t="inlineStr">
        <is>
          <t>HP</t>
        </is>
      </c>
      <c r="K1" s="23" t="inlineStr">
        <is>
          <t>攻</t>
        </is>
      </c>
      <c r="L1" s="23" t="inlineStr">
        <is>
          <t>防</t>
        </is>
      </c>
      <c r="M1" s="23" t="inlineStr">
        <is>
          <t>盾</t>
        </is>
      </c>
      <c r="N1" s="23" t="inlineStr">
        <is>
          <t>行动</t>
        </is>
      </c>
      <c r="O1" s="23" t="inlineStr">
        <is>
          <t>机制ID</t>
        </is>
      </c>
      <c r="P1" s="23" t="inlineStr">
        <is>
          <t>形状</t>
        </is>
      </c>
      <c r="Q1" s="23" t="inlineStr">
        <is>
          <t>范围</t>
        </is>
      </c>
      <c r="R1" s="23" t="inlineStr">
        <is>
          <t>动作</t>
        </is>
      </c>
      <c r="S1" s="23" t="inlineStr">
        <is>
          <t>技能</t>
        </is>
      </c>
      <c r="T1" s="23" t="inlineStr">
        <is>
          <t>标签</t>
        </is>
      </c>
      <c r="U1" s="23" t="inlineStr">
        <is>
          <t>可召</t>
        </is>
      </c>
      <c r="V1" s="23" t="inlineStr">
        <is>
          <t>备注</t>
        </is>
      </c>
    </row>
    <row r="2" ht="22" customHeight="1">
      <c r="A2" s="25" t="inlineStr">
        <is>
          <t>pal_001</t>
        </is>
      </c>
      <c r="B2" s="25" t="inlineStr">
        <is>
          <t>No.001</t>
        </is>
      </c>
      <c r="C2" s="25" t="inlineStr">
        <is>
          <t>棉悠悠</t>
        </is>
      </c>
      <c r="D2" s="25" t="inlineStr">
        <is>
          <t>风</t>
        </is>
      </c>
      <c r="E2" s="25" t="inlineStr">
        <is>
          <t>44</t>
        </is>
      </c>
      <c r="F2" s="25" t="inlineStr">
        <is>
          <t>青铜</t>
        </is>
      </c>
      <c r="G2" s="25" t="inlineStr">
        <is>
          <t>小型</t>
        </is>
      </c>
      <c r="H2" s="25" t="inlineStr">
        <is>
          <t>经济</t>
        </is>
      </c>
      <c r="I2" s="26">
        <f>IFERROR(VLOOKUP($A2,'02_怪物模板_好读版'!$A:$S,15,FALSE),0)+IFERROR(VLOOKUP($A2,'02_怪物模板_好读版'!$A:$S,16,FALSE),0)</f>
        <v/>
      </c>
      <c r="J2" s="26">
        <f>IFERROR(VLOOKUP($A2,'02_怪物模板_好读版'!$A:$Z,8,FALSE),6)</f>
        <v/>
      </c>
      <c r="K2" s="26">
        <f>IFERROR(VLOOKUP($A2,'02_怪物模板_好读版'!$A:$Z,9,FALSE),1)</f>
        <v/>
      </c>
      <c r="L2" s="26">
        <f>IFERROR(VLOOKUP($A2,'02_怪物模板_好读版'!$A:$Z,10,FALSE),0)</f>
        <v/>
      </c>
      <c r="M2" s="26">
        <f>IFERROR(VLOOKUP($A2,'02_怪物模板_好读版'!$A:$Z,11,FALSE),0)</f>
        <v/>
      </c>
      <c r="N2" s="26">
        <f>IFERROR(VLOOKUP($A2,'02_怪物模板_好读版'!$A:$Z,12,FALSE),3)</f>
        <v/>
      </c>
      <c r="O2" s="26">
        <f>IFERROR(VLOOKUP($A2,'02_怪物模板_好读版'!$A:$Z,13,FALSE),"none")</f>
        <v/>
      </c>
      <c r="P2" s="25" t="inlineStr">
        <is>
          <t>A1 单点刺</t>
        </is>
      </c>
      <c r="Q2" s="25" t="inlineStr">
        <is>
          <t>直线/1格</t>
        </is>
      </c>
      <c r="R2" s="25" t="inlineStr">
        <is>
          <t>召唤</t>
        </is>
      </c>
      <c r="S2" s="25" t="inlineStr">
        <is>
          <t>buffAllSummons</t>
        </is>
      </c>
      <c r="T2" s="25" t="inlineStr">
        <is>
          <t>风、经济、召唤、发育</t>
        </is>
      </c>
      <c r="U2" s="25" t="inlineStr">
        <is>
          <t>是</t>
        </is>
      </c>
      <c r="V2" s="25" t="inlineStr">
        <is>
          <t>44</t>
        </is>
      </c>
    </row>
    <row r="3" ht="22" customHeight="1">
      <c r="A3" s="25" t="inlineStr">
        <is>
          <t>pal_002</t>
        </is>
      </c>
      <c r="B3" s="25" t="inlineStr">
        <is>
          <t>No.002</t>
        </is>
      </c>
      <c r="C3" s="25" t="inlineStr">
        <is>
          <t>捣蛋猫</t>
        </is>
      </c>
      <c r="D3" s="25" t="inlineStr">
        <is>
          <t>风</t>
        </is>
      </c>
      <c r="E3" s="25" t="inlineStr">
        <is>
          <t>44</t>
        </is>
      </c>
      <c r="F3" s="25" t="inlineStr">
        <is>
          <t>青铜</t>
        </is>
      </c>
      <c r="G3" s="25" t="inlineStr">
        <is>
          <t>小型</t>
        </is>
      </c>
      <c r="H3" s="25" t="inlineStr">
        <is>
          <t>坦克</t>
        </is>
      </c>
      <c r="I3" s="26">
        <f>IFERROR(VLOOKUP($A3,'02_怪物模板_好读版'!$A:$S,15,FALSE),0)+IFERROR(VLOOKUP($A3,'02_怪物模板_好读版'!$A:$S,16,FALSE),0)</f>
        <v/>
      </c>
      <c r="J3" s="26">
        <f>IFERROR(VLOOKUP($A3,'02_怪物模板_好读版'!$A:$Z,8,FALSE),20)</f>
        <v/>
      </c>
      <c r="K3" s="26">
        <f>IFERROR(VLOOKUP($A3,'02_怪物模板_好读版'!$A:$Z,9,FALSE),3)</f>
        <v/>
      </c>
      <c r="L3" s="26">
        <f>IFERROR(VLOOKUP($A3,'02_怪物模板_好读版'!$A:$Z,10,FALSE),0)</f>
        <v/>
      </c>
      <c r="M3" s="26">
        <f>IFERROR(VLOOKUP($A3,'02_怪物模板_好读版'!$A:$Z,11,FALSE),0)</f>
        <v/>
      </c>
      <c r="N3" s="26">
        <f>IFERROR(VLOOKUP($A3,'02_怪物模板_好读版'!$A:$Z,12,FALSE),3)</f>
        <v/>
      </c>
      <c r="O3" s="26">
        <f>IFERROR(VLOOKUP($A3,'02_怪物模板_好读版'!$A:$Z,13,FALSE),"mech_first_hit_block")</f>
        <v/>
      </c>
      <c r="P3" s="25" t="inlineStr">
        <is>
          <t>B1 横扫三格</t>
        </is>
      </c>
      <c r="Q3" s="25" t="inlineStr">
        <is>
          <t>扫击/3格</t>
        </is>
      </c>
      <c r="R3" s="25" t="inlineStr">
        <is>
          <t>阻挡</t>
        </is>
      </c>
      <c r="S3" s="25" t="inlineStr">
        <is>
          <t>castleReduce</t>
        </is>
      </c>
      <c r="T3" s="25" t="inlineStr">
        <is>
          <t>风、防御、前排、阻挡</t>
        </is>
      </c>
      <c r="U3" s="25" t="inlineStr">
        <is>
          <t>—</t>
        </is>
      </c>
      <c r="V3" s="25" t="inlineStr">
        <is>
          <t>旧定位=防御</t>
        </is>
      </c>
    </row>
    <row r="4" ht="22" customHeight="1">
      <c r="A4" s="25" t="inlineStr">
        <is>
          <t>pal_003</t>
        </is>
      </c>
      <c r="B4" s="25" t="inlineStr">
        <is>
          <t>No.003</t>
        </is>
      </c>
      <c r="C4" s="25" t="inlineStr">
        <is>
          <t>皮皮鸡</t>
        </is>
      </c>
      <c r="D4" s="25" t="inlineStr">
        <is>
          <t>风</t>
        </is>
      </c>
      <c r="E4" s="25" t="inlineStr">
        <is>
          <t>44</t>
        </is>
      </c>
      <c r="F4" s="25" t="inlineStr">
        <is>
          <t>青铜</t>
        </is>
      </c>
      <c r="G4" s="25" t="inlineStr">
        <is>
          <t>小型</t>
        </is>
      </c>
      <c r="H4" s="25" t="inlineStr">
        <is>
          <t>经济</t>
        </is>
      </c>
      <c r="I4" s="26">
        <f>IFERROR(VLOOKUP($A4,'02_怪物模板_好读版'!$A:$S,15,FALSE),0)+IFERROR(VLOOKUP($A4,'02_怪物模板_好读版'!$A:$S,16,FALSE),0)</f>
        <v/>
      </c>
      <c r="J4" s="26">
        <f>IFERROR(VLOOKUP($A4,'02_怪物模板_好读版'!$A:$Z,8,FALSE),10)</f>
        <v/>
      </c>
      <c r="K4" s="26">
        <f>IFERROR(VLOOKUP($A4,'02_怪物模板_好读版'!$A:$Z,9,FALSE),3)</f>
        <v/>
      </c>
      <c r="L4" s="26">
        <f>IFERROR(VLOOKUP($A4,'02_怪物模板_好读版'!$A:$Z,10,FALSE),0)</f>
        <v/>
      </c>
      <c r="M4" s="26">
        <f>IFERROR(VLOOKUP($A4,'02_怪物模板_好读版'!$A:$Z,11,FALSE),0)</f>
        <v/>
      </c>
      <c r="N4" s="26">
        <f>IFERROR(VLOOKUP($A4,'02_怪物模板_好读版'!$A:$Z,12,FALSE),3)</f>
        <v/>
      </c>
      <c r="O4" s="26">
        <f>IFERROR(VLOOKUP($A4,'02_怪物模板_好读版'!$A:$Z,13,FALSE),"mech_weaken")</f>
        <v/>
      </c>
      <c r="P4" s="25" t="inlineStr">
        <is>
          <t>A1 单点刺</t>
        </is>
      </c>
      <c r="Q4" s="25" t="inlineStr">
        <is>
          <t>直线/1格</t>
        </is>
      </c>
      <c r="R4" s="25" t="inlineStr">
        <is>
          <t>召唤</t>
        </is>
      </c>
      <c r="S4" s="25" t="inlineStr">
        <is>
          <t>buffAllSummons</t>
        </is>
      </c>
      <c r="T4" s="25" t="inlineStr">
        <is>
          <t>风、经济、召唤、发育</t>
        </is>
      </c>
      <c r="U4" s="25" t="inlineStr">
        <is>
          <t>是</t>
        </is>
      </c>
      <c r="V4" s="25" t="inlineStr">
        <is>
          <t>44</t>
        </is>
      </c>
    </row>
    <row r="5" ht="22" customHeight="1">
      <c r="A5" s="25" t="inlineStr">
        <is>
          <t>pal_004</t>
        </is>
      </c>
      <c r="B5" s="25" t="inlineStr">
        <is>
          <t>No.004</t>
        </is>
      </c>
      <c r="C5" s="25" t="inlineStr">
        <is>
          <t>翠叶鼠</t>
        </is>
      </c>
      <c r="D5" s="25" t="inlineStr">
        <is>
          <t>风</t>
        </is>
      </c>
      <c r="E5" s="25" t="inlineStr">
        <is>
          <t>草</t>
        </is>
      </c>
      <c r="F5" s="25" t="inlineStr">
        <is>
          <t>青铜</t>
        </is>
      </c>
      <c r="G5" s="25" t="inlineStr">
        <is>
          <t>小型</t>
        </is>
      </c>
      <c r="H5" s="25" t="inlineStr">
        <is>
          <t>治疗</t>
        </is>
      </c>
      <c r="I5" s="26">
        <f>IFERROR(VLOOKUP($A5,'02_怪物模板_好读版'!$A:$S,15,FALSE),0)+IFERROR(VLOOKUP($A5,'02_怪物模板_好读版'!$A:$S,16,FALSE),0)</f>
        <v/>
      </c>
      <c r="J5" s="26">
        <f>IFERROR(VLOOKUP($A5,'02_怪物模板_好读版'!$A:$Z,8,FALSE),10)</f>
        <v/>
      </c>
      <c r="K5" s="26">
        <f>IFERROR(VLOOKUP($A5,'02_怪物模板_好读版'!$A:$Z,9,FALSE),3)</f>
        <v/>
      </c>
      <c r="L5" s="26">
        <f>IFERROR(VLOOKUP($A5,'02_怪物模板_好读版'!$A:$Z,10,FALSE),0)</f>
        <v/>
      </c>
      <c r="M5" s="26">
        <f>IFERROR(VLOOKUP($A5,'02_怪物模板_好读版'!$A:$Z,11,FALSE),0)</f>
        <v/>
      </c>
      <c r="N5" s="26">
        <f>IFERROR(VLOOKUP($A5,'02_怪物模板_好读版'!$A:$Z,12,FALSE),3)</f>
        <v/>
      </c>
      <c r="O5" s="26">
        <f>IFERROR(VLOOKUP($A5,'02_怪物模板_好读版'!$A:$Z,13,FALSE),"REVIEW")</f>
        <v/>
      </c>
      <c r="P5" s="25" t="inlineStr">
        <is>
          <t>B1 横扫三格</t>
        </is>
      </c>
      <c r="Q5" s="25" t="inlineStr">
        <is>
          <t>扫击/3格</t>
        </is>
      </c>
      <c r="R5" s="25" t="inlineStr">
        <is>
          <t>场地</t>
        </is>
      </c>
      <c r="S5" s="25" t="inlineStr">
        <is>
          <t>healAmpBonus</t>
        </is>
      </c>
      <c r="T5" s="25" t="inlineStr">
        <is>
          <t>风、治疗、后排、增益</t>
        </is>
      </c>
      <c r="U5" s="25" t="inlineStr">
        <is>
          <t>—</t>
        </is>
      </c>
      <c r="V5" s="25" t="inlineStr">
        <is>
          <t>44</t>
        </is>
      </c>
    </row>
    <row r="6" ht="22" customHeight="1">
      <c r="A6" s="25" t="inlineStr">
        <is>
          <t>pal_005</t>
        </is>
      </c>
      <c r="B6" s="25" t="inlineStr">
        <is>
          <t>No.005</t>
        </is>
      </c>
      <c r="C6" s="25" t="inlineStr">
        <is>
          <t>火绒狐</t>
        </is>
      </c>
      <c r="D6" s="25" t="inlineStr">
        <is>
          <t>火</t>
        </is>
      </c>
      <c r="E6" s="25" t="inlineStr">
        <is>
          <t>44</t>
        </is>
      </c>
      <c r="F6" s="25" t="inlineStr">
        <is>
          <t>青铜</t>
        </is>
      </c>
      <c r="G6" s="25" t="inlineStr">
        <is>
          <t>中型</t>
        </is>
      </c>
      <c r="H6" s="25" t="inlineStr">
        <is>
          <t>输出</t>
        </is>
      </c>
      <c r="I6" s="26">
        <f>IFERROR(VLOOKUP($A6,'02_怪物模板_好读版'!$A:$S,15,FALSE),0)+IFERROR(VLOOKUP($A6,'02_怪物模板_好读版'!$A:$S,16,FALSE),0)</f>
        <v/>
      </c>
      <c r="J6" s="26">
        <f>IFERROR(VLOOKUP($A6,'02_怪物模板_好读版'!$A:$Z,8,FALSE),10)</f>
        <v/>
      </c>
      <c r="K6" s="26">
        <f>IFERROR(VLOOKUP($A6,'02_怪物模板_好读版'!$A:$Z,9,FALSE),2)</f>
        <v/>
      </c>
      <c r="L6" s="26">
        <f>IFERROR(VLOOKUP($A6,'02_怪物模板_好读版'!$A:$Z,10,FALSE),0)</f>
        <v/>
      </c>
      <c r="M6" s="26">
        <f>IFERROR(VLOOKUP($A6,'02_怪物模板_好读版'!$A:$Z,11,FALSE),6)</f>
        <v/>
      </c>
      <c r="N6" s="26">
        <f>IFERROR(VLOOKUP($A6,'02_怪物模板_好读版'!$A:$Z,12,FALSE),3)</f>
        <v/>
      </c>
      <c r="O6" s="26">
        <f>IFERROR(VLOOKUP($A6,'02_怪物模板_好读版'!$A:$Z,13,FALSE),"mech_shielded_fragile")</f>
        <v/>
      </c>
      <c r="P6" s="25" t="inlineStr">
        <is>
          <t>A1 单点刺</t>
        </is>
      </c>
      <c r="Q6" s="25" t="inlineStr">
        <is>
          <t>直线/1格</t>
        </is>
      </c>
      <c r="R6" s="25" t="inlineStr">
        <is>
          <t>输出</t>
        </is>
      </c>
      <c r="S6" s="25" t="inlineStr">
        <is>
          <t>spaceExplosionBonus</t>
        </is>
      </c>
      <c r="T6" s="25" t="inlineStr">
        <is>
          <t>火、输出、爆发、前排</t>
        </is>
      </c>
      <c r="U6" s="25" t="inlineStr">
        <is>
          <t>—</t>
        </is>
      </c>
      <c r="V6" s="25" t="inlineStr">
        <is>
          <t>44</t>
        </is>
      </c>
    </row>
    <row r="7" ht="22" customHeight="1">
      <c r="A7" s="25" t="inlineStr">
        <is>
          <t>pal_006</t>
        </is>
      </c>
      <c r="B7" s="25" t="inlineStr">
        <is>
          <t>No.006</t>
        </is>
      </c>
      <c r="C7" s="25" t="inlineStr">
        <is>
          <t>冲浪鸭</t>
        </is>
      </c>
      <c r="D7" s="25" t="inlineStr">
        <is>
          <t>水</t>
        </is>
      </c>
      <c r="E7" s="25" t="inlineStr">
        <is>
          <t>44</t>
        </is>
      </c>
      <c r="F7" s="25" t="inlineStr">
        <is>
          <t>青铜</t>
        </is>
      </c>
      <c r="G7" s="25" t="inlineStr">
        <is>
          <t>小型</t>
        </is>
      </c>
      <c r="H7" s="25" t="inlineStr">
        <is>
          <t>治疗</t>
        </is>
      </c>
      <c r="I7" s="26">
        <f>IFERROR(VLOOKUP($A7,'02_怪物模板_好读版'!$A:$S,15,FALSE),0)+IFERROR(VLOOKUP($A7,'02_怪物模板_好读版'!$A:$S,16,FALSE),0)</f>
        <v/>
      </c>
      <c r="J7" s="26">
        <f>IFERROR(VLOOKUP($A7,'02_怪物模板_好读版'!$A:$Z,8,FALSE),10)</f>
        <v/>
      </c>
      <c r="K7" s="26">
        <f>IFERROR(VLOOKUP($A7,'02_怪物模板_好读版'!$A:$Z,9,FALSE),2)</f>
        <v/>
      </c>
      <c r="L7" s="26">
        <f>IFERROR(VLOOKUP($A7,'02_怪物模板_好读版'!$A:$Z,10,FALSE),0)</f>
        <v/>
      </c>
      <c r="M7" s="26">
        <f>IFERROR(VLOOKUP($A7,'02_怪物模板_好读版'!$A:$Z,11,FALSE),0)</f>
        <v/>
      </c>
      <c r="N7" s="26">
        <f>IFERROR(VLOOKUP($A7,'02_怪物模板_好读版'!$A:$Z,12,FALSE),3)</f>
        <v/>
      </c>
      <c r="O7" s="26">
        <f>IFERROR(VLOOKUP($A7,'02_怪物模板_好读版'!$A:$Z,13,FALSE),"mech_poison")</f>
        <v/>
      </c>
      <c r="P7" s="25" t="inlineStr">
        <is>
          <t>B1 横扫三格</t>
        </is>
      </c>
      <c r="Q7" s="25" t="inlineStr">
        <is>
          <t>扫击/3格</t>
        </is>
      </c>
      <c r="R7" s="25" t="inlineStr">
        <is>
          <t>场地</t>
        </is>
      </c>
      <c r="S7" s="25" t="inlineStr">
        <is>
          <t>healAmpBonus</t>
        </is>
      </c>
      <c r="T7" s="25" t="inlineStr">
        <is>
          <t>水、治疗、后排、增益</t>
        </is>
      </c>
      <c r="U7" s="25" t="inlineStr">
        <is>
          <t>—</t>
        </is>
      </c>
      <c r="V7" s="25" t="inlineStr">
        <is>
          <t>44</t>
        </is>
      </c>
    </row>
    <row r="8" ht="22" customHeight="1">
      <c r="A8" s="25" t="inlineStr">
        <is>
          <t>pal_007</t>
        </is>
      </c>
      <c r="B8" s="25" t="inlineStr">
        <is>
          <t>No.007</t>
        </is>
      </c>
      <c r="C8" s="25" t="inlineStr">
        <is>
          <t>伏特喵</t>
        </is>
      </c>
      <c r="D8" s="25" t="inlineStr">
        <is>
          <t>风</t>
        </is>
      </c>
      <c r="E8" s="25" t="inlineStr">
        <is>
          <t>雷</t>
        </is>
      </c>
      <c r="F8" s="25" t="inlineStr">
        <is>
          <t>青铜</t>
        </is>
      </c>
      <c r="G8" s="25" t="inlineStr">
        <is>
          <t>小型</t>
        </is>
      </c>
      <c r="H8" s="25" t="inlineStr">
        <is>
          <t>坦克</t>
        </is>
      </c>
      <c r="I8" s="26">
        <f>IFERROR(VLOOKUP($A8,'02_怪物模板_好读版'!$A:$S,15,FALSE),0)+IFERROR(VLOOKUP($A8,'02_怪物模板_好读版'!$A:$S,16,FALSE),0)</f>
        <v/>
      </c>
      <c r="J8" s="26">
        <f>IFERROR(VLOOKUP($A8,'02_怪物模板_好读版'!$A:$Z,8,FALSE),15)</f>
        <v/>
      </c>
      <c r="K8" s="26">
        <f>IFERROR(VLOOKUP($A8,'02_怪物模板_好读版'!$A:$Z,9,FALSE),4)</f>
        <v/>
      </c>
      <c r="L8" s="26">
        <f>IFERROR(VLOOKUP($A8,'02_怪物模板_好读版'!$A:$Z,10,FALSE),0)</f>
        <v/>
      </c>
      <c r="M8" s="26">
        <f>IFERROR(VLOOKUP($A8,'02_怪物模板_好读版'!$A:$Z,11,FALSE),0)</f>
        <v/>
      </c>
      <c r="N8" s="26">
        <f>IFERROR(VLOOKUP($A8,'02_怪物模板_好读版'!$A:$Z,12,FALSE),3)</f>
        <v/>
      </c>
      <c r="O8" s="26">
        <f>IFERROR(VLOOKUP($A8,'02_怪物模板_好读版'!$A:$Z,13,FALSE),"REVIEW")</f>
        <v/>
      </c>
      <c r="P8" s="25" t="inlineStr">
        <is>
          <t>B1 横扫三格</t>
        </is>
      </c>
      <c r="Q8" s="25" t="inlineStr">
        <is>
          <t>扫击/3格</t>
        </is>
      </c>
      <c r="R8" s="25" t="inlineStr">
        <is>
          <t>阻挡</t>
        </is>
      </c>
      <c r="S8" s="25" t="inlineStr">
        <is>
          <t>castleReduce</t>
        </is>
      </c>
      <c r="T8" s="25" t="inlineStr">
        <is>
          <t>风、防御、前排、阻挡</t>
        </is>
      </c>
      <c r="U8" s="25" t="inlineStr">
        <is>
          <t>—</t>
        </is>
      </c>
      <c r="V8" s="25" t="inlineStr">
        <is>
          <t>旧定位=防御</t>
        </is>
      </c>
    </row>
    <row r="9" ht="22" customHeight="1">
      <c r="A9" s="25" t="inlineStr">
        <is>
          <t>pal_008</t>
        </is>
      </c>
      <c r="B9" s="25" t="inlineStr">
        <is>
          <t>No.008</t>
        </is>
      </c>
      <c r="C9" s="25" t="inlineStr">
        <is>
          <t>新叶猿</t>
        </is>
      </c>
      <c r="D9" s="25" t="inlineStr">
        <is>
          <t>风</t>
        </is>
      </c>
      <c r="E9" s="25" t="inlineStr">
        <is>
          <t>草</t>
        </is>
      </c>
      <c r="F9" s="25" t="inlineStr">
        <is>
          <t>青铜</t>
        </is>
      </c>
      <c r="G9" s="25" t="inlineStr">
        <is>
          <t>中型</t>
        </is>
      </c>
      <c r="H9" s="25" t="inlineStr">
        <is>
          <t>坦克</t>
        </is>
      </c>
      <c r="I9" s="26">
        <f>IFERROR(VLOOKUP($A9,'02_怪物模板_好读版'!$A:$S,15,FALSE),0)+IFERROR(VLOOKUP($A9,'02_怪物模板_好读版'!$A:$S,16,FALSE),0)</f>
        <v/>
      </c>
      <c r="J9" s="26">
        <f>IFERROR(VLOOKUP($A9,'02_怪物模板_好读版'!$A:$Z,8,FALSE),15)</f>
        <v/>
      </c>
      <c r="K9" s="26">
        <f>IFERROR(VLOOKUP($A9,'02_怪物模板_好读版'!$A:$Z,9,FALSE),4)</f>
        <v/>
      </c>
      <c r="L9" s="26">
        <f>IFERROR(VLOOKUP($A9,'02_怪物模板_好读版'!$A:$Z,10,FALSE),0)</f>
        <v/>
      </c>
      <c r="M9" s="26">
        <f>IFERROR(VLOOKUP($A9,'02_怪物模板_好读版'!$A:$Z,11,FALSE),6)</f>
        <v/>
      </c>
      <c r="N9" s="26">
        <f>IFERROR(VLOOKUP($A9,'02_怪物模板_好读版'!$A:$Z,12,FALSE),3)</f>
        <v/>
      </c>
      <c r="O9" s="26">
        <f>IFERROR(VLOOKUP($A9,'02_怪物模板_好读版'!$A:$Z,13,FALSE),"REVIEW")</f>
        <v/>
      </c>
      <c r="P9" s="25" t="inlineStr">
        <is>
          <t>B1 横扫三格</t>
        </is>
      </c>
      <c r="Q9" s="25" t="inlineStr">
        <is>
          <t>扫击/3格</t>
        </is>
      </c>
      <c r="R9" s="25" t="inlineStr">
        <is>
          <t>阻挡</t>
        </is>
      </c>
      <c r="S9" s="25" t="inlineStr">
        <is>
          <t>castleReduce</t>
        </is>
      </c>
      <c r="T9" s="25" t="inlineStr">
        <is>
          <t>风、防御、前排、阻挡</t>
        </is>
      </c>
      <c r="U9" s="25" t="inlineStr">
        <is>
          <t>—</t>
        </is>
      </c>
      <c r="V9" s="25" t="inlineStr">
        <is>
          <t>旧定位=防御</t>
        </is>
      </c>
    </row>
    <row r="10" ht="22" customHeight="1">
      <c r="A10" s="25" t="inlineStr">
        <is>
          <t>pal_009</t>
        </is>
      </c>
      <c r="B10" s="25" t="inlineStr">
        <is>
          <t>No.009</t>
        </is>
      </c>
      <c r="C10" s="25" t="inlineStr">
        <is>
          <t>燎火鹿</t>
        </is>
      </c>
      <c r="D10" s="25" t="inlineStr">
        <is>
          <t>火</t>
        </is>
      </c>
      <c r="E10" s="25" t="inlineStr">
        <is>
          <t>44</t>
        </is>
      </c>
      <c r="F10" s="25" t="inlineStr">
        <is>
          <t>青铜</t>
        </is>
      </c>
      <c r="G10" s="25" t="inlineStr">
        <is>
          <t>中型</t>
        </is>
      </c>
      <c r="H10" s="25" t="inlineStr">
        <is>
          <t>输出</t>
        </is>
      </c>
      <c r="I10" s="26">
        <f>IFERROR(VLOOKUP($A10,'02_怪物模板_好读版'!$A:$S,15,FALSE),0)+IFERROR(VLOOKUP($A10,'02_怪物模板_好读版'!$A:$S,16,FALSE),0)</f>
        <v/>
      </c>
      <c r="J10" s="26">
        <f>IFERROR(VLOOKUP($A10,'02_怪物模板_好读版'!$A:$Z,8,FALSE),25)</f>
        <v/>
      </c>
      <c r="K10" s="26">
        <f>IFERROR(VLOOKUP($A10,'02_怪物模板_好读版'!$A:$Z,9,FALSE),3)</f>
        <v/>
      </c>
      <c r="L10" s="26">
        <f>IFERROR(VLOOKUP($A10,'02_怪物模板_好读版'!$A:$Z,10,FALSE),0)</f>
        <v/>
      </c>
      <c r="M10" s="26">
        <f>IFERROR(VLOOKUP($A10,'02_怪物模板_好读版'!$A:$Z,11,FALSE),6)</f>
        <v/>
      </c>
      <c r="N10" s="26">
        <f>IFERROR(VLOOKUP($A10,'02_怪物模板_好读版'!$A:$Z,12,FALSE),3)</f>
        <v/>
      </c>
      <c r="O10" s="26">
        <f>IFERROR(VLOOKUP($A10,'02_怪物模板_好读版'!$A:$Z,13,FALSE),"mech_first_hit_block")</f>
        <v/>
      </c>
      <c r="P10" s="25" t="inlineStr">
        <is>
          <t>A1 单点刺</t>
        </is>
      </c>
      <c r="Q10" s="25" t="inlineStr">
        <is>
          <t>直线/1格</t>
        </is>
      </c>
      <c r="R10" s="25" t="inlineStr">
        <is>
          <t>输出</t>
        </is>
      </c>
      <c r="S10" s="25" t="inlineStr">
        <is>
          <t>spaceExplosionBonus</t>
        </is>
      </c>
      <c r="T10" s="25" t="inlineStr">
        <is>
          <t>火、输出、爆发、前排</t>
        </is>
      </c>
      <c r="U10" s="25" t="inlineStr">
        <is>
          <t>—</t>
        </is>
      </c>
      <c r="V10" s="25" t="inlineStr">
        <is>
          <t>44</t>
        </is>
      </c>
    </row>
    <row r="11" ht="22" customHeight="1">
      <c r="A11" s="25" t="inlineStr">
        <is>
          <t>pal_010</t>
        </is>
      </c>
      <c r="B11" s="25" t="inlineStr">
        <is>
          <t>No.010</t>
        </is>
      </c>
      <c r="C11" s="25" t="inlineStr">
        <is>
          <t>企丸丸</t>
        </is>
      </c>
      <c r="D11" s="25" t="inlineStr">
        <is>
          <t>水</t>
        </is>
      </c>
      <c r="E11" s="25" t="inlineStr">
        <is>
          <t>水、冰</t>
        </is>
      </c>
      <c r="F11" s="25" t="inlineStr">
        <is>
          <t>青铜</t>
        </is>
      </c>
      <c r="G11" s="25" t="inlineStr">
        <is>
          <t>小型</t>
        </is>
      </c>
      <c r="H11" s="25" t="inlineStr">
        <is>
          <t>治疗</t>
        </is>
      </c>
      <c r="I11" s="26">
        <f>IFERROR(VLOOKUP($A11,'02_怪物模板_好读版'!$A:$S,15,FALSE),0)+IFERROR(VLOOKUP($A11,'02_怪物模板_好读版'!$A:$S,16,FALSE),0)</f>
        <v/>
      </c>
      <c r="J11" s="26">
        <f>IFERROR(VLOOKUP($A11,'02_怪物模板_好读版'!$A:$Z,8,FALSE),10)</f>
        <v/>
      </c>
      <c r="K11" s="26">
        <f>IFERROR(VLOOKUP($A11,'02_怪物模板_好读版'!$A:$Z,9,FALSE),3)</f>
        <v/>
      </c>
      <c r="L11" s="26">
        <f>IFERROR(VLOOKUP($A11,'02_怪物模板_好读版'!$A:$Z,10,FALSE),0)</f>
        <v/>
      </c>
      <c r="M11" s="26">
        <f>IFERROR(VLOOKUP($A11,'02_怪物模板_好读版'!$A:$Z,11,FALSE),0)</f>
        <v/>
      </c>
      <c r="N11" s="26">
        <f>IFERROR(VLOOKUP($A11,'02_怪物模板_好读版'!$A:$Z,12,FALSE),3)</f>
        <v/>
      </c>
      <c r="O11" s="26">
        <f>IFERROR(VLOOKUP($A11,'02_怪物模板_好读版'!$A:$Z,13,FALSE),"REVIEW")</f>
        <v/>
      </c>
      <c r="P11" s="25" t="inlineStr">
        <is>
          <t>B1 横扫三格</t>
        </is>
      </c>
      <c r="Q11" s="25" t="inlineStr">
        <is>
          <t>扫击/3格</t>
        </is>
      </c>
      <c r="R11" s="25" t="inlineStr">
        <is>
          <t>场地</t>
        </is>
      </c>
      <c r="S11" s="25" t="inlineStr">
        <is>
          <t>healAmpBonus</t>
        </is>
      </c>
      <c r="T11" s="25" t="inlineStr">
        <is>
          <t>水、治疗、后排、增益</t>
        </is>
      </c>
      <c r="U11" s="25" t="inlineStr">
        <is>
          <t>—</t>
        </is>
      </c>
      <c r="V11" s="25" t="inlineStr">
        <is>
          <t>44</t>
        </is>
      </c>
    </row>
    <row r="12" ht="22" customHeight="1">
      <c r="A12" s="25" t="inlineStr">
        <is>
          <t>pal_011</t>
        </is>
      </c>
      <c r="B12" s="25" t="inlineStr">
        <is>
          <t>No.011</t>
        </is>
      </c>
      <c r="C12" s="25" t="inlineStr">
        <is>
          <t>企丸王</t>
        </is>
      </c>
      <c r="D12" s="25" t="inlineStr">
        <is>
          <t>水</t>
        </is>
      </c>
      <c r="E12" s="25" t="inlineStr">
        <is>
          <t>水、冰</t>
        </is>
      </c>
      <c r="F12" s="25" t="inlineStr">
        <is>
          <t>青铜</t>
        </is>
      </c>
      <c r="G12" s="25" t="inlineStr">
        <is>
          <t>大型</t>
        </is>
      </c>
      <c r="H12" s="25" t="inlineStr">
        <is>
          <t>治疗</t>
        </is>
      </c>
      <c r="I12" s="26">
        <f>IFERROR(VLOOKUP($A12,'02_怪物模板_好读版'!$A:$S,15,FALSE),0)+IFERROR(VLOOKUP($A12,'02_怪物模板_好读版'!$A:$S,16,FALSE),0)</f>
        <v/>
      </c>
      <c r="J12" s="26">
        <f>IFERROR(VLOOKUP($A12,'02_怪物模板_好读版'!$A:$Z,8,FALSE),25)</f>
        <v/>
      </c>
      <c r="K12" s="26">
        <f>IFERROR(VLOOKUP($A12,'02_怪物模板_好读版'!$A:$Z,9,FALSE),24)</f>
        <v/>
      </c>
      <c r="L12" s="26">
        <f>IFERROR(VLOOKUP($A12,'02_怪物模板_好读版'!$A:$Z,10,FALSE),0)</f>
        <v/>
      </c>
      <c r="M12" s="26">
        <f>IFERROR(VLOOKUP($A12,'02_怪物模板_好读版'!$A:$Z,11,FALSE),0)</f>
        <v/>
      </c>
      <c r="N12" s="26">
        <f>IFERROR(VLOOKUP($A12,'02_怪物模板_好读版'!$A:$Z,12,FALSE),3)</f>
        <v/>
      </c>
      <c r="O12" s="26">
        <f>IFERROR(VLOOKUP($A12,'02_怪物模板_好读版'!$A:$Z,13,FALSE),"REVIEW")</f>
        <v/>
      </c>
      <c r="P12" s="25" t="inlineStr">
        <is>
          <t>B1 横扫三格</t>
        </is>
      </c>
      <c r="Q12" s="25" t="inlineStr">
        <is>
          <t>扫击/3格</t>
        </is>
      </c>
      <c r="R12" s="25" t="inlineStr">
        <is>
          <t>场地</t>
        </is>
      </c>
      <c r="S12" s="25" t="inlineStr">
        <is>
          <t>healAmpBonus</t>
        </is>
      </c>
      <c r="T12" s="25" t="inlineStr">
        <is>
          <t>水、治疗、后排、增益</t>
        </is>
      </c>
      <c r="U12" s="25" t="inlineStr">
        <is>
          <t>—</t>
        </is>
      </c>
      <c r="V12" s="25" t="inlineStr">
        <is>
          <t>44</t>
        </is>
      </c>
    </row>
    <row r="13" ht="22" customHeight="1">
      <c r="A13" s="25" t="inlineStr">
        <is>
          <t>pal_012</t>
        </is>
      </c>
      <c r="B13" s="25" t="inlineStr">
        <is>
          <t>No.012</t>
        </is>
      </c>
      <c r="C13" s="25" t="inlineStr">
        <is>
          <t>电棘鼠</t>
        </is>
      </c>
      <c r="D13" s="25" t="inlineStr">
        <is>
          <t>风</t>
        </is>
      </c>
      <c r="E13" s="25" t="inlineStr">
        <is>
          <t>雷</t>
        </is>
      </c>
      <c r="F13" s="25" t="inlineStr">
        <is>
          <t>青铜</t>
        </is>
      </c>
      <c r="G13" s="25" t="inlineStr">
        <is>
          <t>小型</t>
        </is>
      </c>
      <c r="H13" s="25" t="inlineStr">
        <is>
          <t>控制</t>
        </is>
      </c>
      <c r="I13" s="26">
        <f>IFERROR(VLOOKUP($A13,'02_怪物模板_好读版'!$A:$S,15,FALSE),0)+IFERROR(VLOOKUP($A13,'02_怪物模板_好读版'!$A:$S,16,FALSE),0)</f>
        <v/>
      </c>
      <c r="J13" s="26">
        <f>IFERROR(VLOOKUP($A13,'02_怪物模板_好读版'!$A:$Z,8,FALSE),10)</f>
        <v/>
      </c>
      <c r="K13" s="26">
        <f>IFERROR(VLOOKUP($A13,'02_怪物模板_好读版'!$A:$Z,9,FALSE),3)</f>
        <v/>
      </c>
      <c r="L13" s="26">
        <f>IFERROR(VLOOKUP($A13,'02_怪物模板_好读版'!$A:$Z,10,FALSE),0)</f>
        <v/>
      </c>
      <c r="M13" s="26">
        <f>IFERROR(VLOOKUP($A13,'02_怪物模板_好读版'!$A:$Z,11,FALSE),0)</f>
        <v/>
      </c>
      <c r="N13" s="26">
        <f>IFERROR(VLOOKUP($A13,'02_怪物模板_好读版'!$A:$Z,12,FALSE),3)</f>
        <v/>
      </c>
      <c r="O13" s="26">
        <f>IFERROR(VLOOKUP($A13,'02_怪物模板_好读版'!$A:$Z,13,FALSE),"REVIEW")</f>
        <v/>
      </c>
      <c r="P13" s="25" t="inlineStr">
        <is>
          <t>T2 长柄T</t>
        </is>
      </c>
      <c r="Q13" s="25" t="inlineStr">
        <is>
          <t>T形/5格</t>
        </is>
      </c>
      <c r="R13" s="25" t="inlineStr">
        <is>
          <t>牵制</t>
        </is>
      </c>
      <c r="S13" s="25" t="inlineStr">
        <is>
          <t>advHitBonus</t>
        </is>
      </c>
      <c r="T13" s="25" t="inlineStr">
        <is>
          <t>风、牵制、范围、机动</t>
        </is>
      </c>
      <c r="U13" s="25" t="inlineStr">
        <is>
          <t>—</t>
        </is>
      </c>
      <c r="V13" s="25" t="inlineStr">
        <is>
          <t>旧定位=牵制</t>
        </is>
      </c>
    </row>
    <row r="14" ht="22" customHeight="1">
      <c r="A14" s="25" t="inlineStr">
        <is>
          <t>pal_013</t>
        </is>
      </c>
      <c r="B14" s="25" t="inlineStr">
        <is>
          <t>No.013</t>
        </is>
      </c>
      <c r="C14" s="25" t="inlineStr">
        <is>
          <t>叶泥泥</t>
        </is>
      </c>
      <c r="D14" s="25" t="inlineStr">
        <is>
          <t>土</t>
        </is>
      </c>
      <c r="E14" s="25" t="inlineStr">
        <is>
          <t>草、地</t>
        </is>
      </c>
      <c r="F14" s="25" t="inlineStr">
        <is>
          <t>青铜</t>
        </is>
      </c>
      <c r="G14" s="25" t="inlineStr">
        <is>
          <t>小型</t>
        </is>
      </c>
      <c r="H14" s="25" t="inlineStr">
        <is>
          <t>坦克</t>
        </is>
      </c>
      <c r="I14" s="26">
        <f>IFERROR(VLOOKUP($A14,'02_怪物模板_好读版'!$A:$S,15,FALSE),0)+IFERROR(VLOOKUP($A14,'02_怪物模板_好读版'!$A:$S,16,FALSE),0)</f>
        <v/>
      </c>
      <c r="J14" s="26">
        <f>IFERROR(VLOOKUP($A14,'02_怪物模板_好读版'!$A:$Z,8,FALSE),15)</f>
        <v/>
      </c>
      <c r="K14" s="26">
        <f>IFERROR(VLOOKUP($A14,'02_怪物模板_好读版'!$A:$Z,9,FALSE),4)</f>
        <v/>
      </c>
      <c r="L14" s="26">
        <f>IFERROR(VLOOKUP($A14,'02_怪物模板_好读版'!$A:$Z,10,FALSE),0)</f>
        <v/>
      </c>
      <c r="M14" s="26">
        <f>IFERROR(VLOOKUP($A14,'02_怪物模板_好读版'!$A:$Z,11,FALSE),0)</f>
        <v/>
      </c>
      <c r="N14" s="26">
        <f>IFERROR(VLOOKUP($A14,'02_怪物模板_好读版'!$A:$Z,12,FALSE),3)</f>
        <v/>
      </c>
      <c r="O14" s="26">
        <f>IFERROR(VLOOKUP($A14,'02_怪物模板_好读版'!$A:$Z,13,FALSE),"REVIEW")</f>
        <v/>
      </c>
      <c r="P14" s="25" t="inlineStr">
        <is>
          <t>B1 横扫三格</t>
        </is>
      </c>
      <c r="Q14" s="25" t="inlineStr">
        <is>
          <t>扫击/3格</t>
        </is>
      </c>
      <c r="R14" s="25" t="inlineStr">
        <is>
          <t>阻挡</t>
        </is>
      </c>
      <c r="S14" s="25" t="inlineStr">
        <is>
          <t>castleReduce</t>
        </is>
      </c>
      <c r="T14" s="25" t="inlineStr">
        <is>
          <t>土、防御、前排、阻挡</t>
        </is>
      </c>
      <c r="U14" s="25" t="inlineStr">
        <is>
          <t>—</t>
        </is>
      </c>
      <c r="V14" s="25" t="inlineStr">
        <is>
          <t>旧定位=防御</t>
        </is>
      </c>
    </row>
    <row r="15" ht="22" customHeight="1">
      <c r="A15" s="25" t="inlineStr">
        <is>
          <t>pal_014</t>
        </is>
      </c>
      <c r="B15" s="25" t="inlineStr">
        <is>
          <t>No.014</t>
        </is>
      </c>
      <c r="C15" s="25" t="inlineStr">
        <is>
          <t>玉藻狐</t>
        </is>
      </c>
      <c r="D15" s="25" t="inlineStr">
        <is>
          <t>风</t>
        </is>
      </c>
      <c r="E15" s="25" t="inlineStr">
        <is>
          <t>44</t>
        </is>
      </c>
      <c r="F15" s="25" t="inlineStr">
        <is>
          <t>青铜</t>
        </is>
      </c>
      <c r="G15" s="25" t="inlineStr">
        <is>
          <t>小型</t>
        </is>
      </c>
      <c r="H15" s="25" t="inlineStr">
        <is>
          <t>经济</t>
        </is>
      </c>
      <c r="I15" s="26">
        <f>IFERROR(VLOOKUP($A15,'02_怪物模板_好读版'!$A:$S,15,FALSE),0)+IFERROR(VLOOKUP($A15,'02_怪物模板_好读版'!$A:$S,16,FALSE),0)</f>
        <v/>
      </c>
      <c r="J15" s="26">
        <f>IFERROR(VLOOKUP($A15,'02_怪物模板_好读版'!$A:$Z,8,FALSE),15)</f>
        <v/>
      </c>
      <c r="K15" s="26">
        <f>IFERROR(VLOOKUP($A15,'02_怪物模板_好读版'!$A:$Z,9,FALSE),2)</f>
        <v/>
      </c>
      <c r="L15" s="26">
        <f>IFERROR(VLOOKUP($A15,'02_怪物模板_好读版'!$A:$Z,10,FALSE),0)</f>
        <v/>
      </c>
      <c r="M15" s="26">
        <f>IFERROR(VLOOKUP($A15,'02_怪物模板_好读版'!$A:$Z,11,FALSE),0)</f>
        <v/>
      </c>
      <c r="N15" s="26">
        <f>IFERROR(VLOOKUP($A15,'02_怪物模板_好读版'!$A:$Z,12,FALSE),4)</f>
        <v/>
      </c>
      <c r="O15" s="26">
        <f>IFERROR(VLOOKUP($A15,'02_怪物模板_好读版'!$A:$Z,13,FALSE),"mech_steal_reward")</f>
        <v/>
      </c>
      <c r="P15" s="25" t="inlineStr">
        <is>
          <t>A1 单点刺</t>
        </is>
      </c>
      <c r="Q15" s="25" t="inlineStr">
        <is>
          <t>直线/1格</t>
        </is>
      </c>
      <c r="R15" s="25" t="inlineStr">
        <is>
          <t>召唤</t>
        </is>
      </c>
      <c r="S15" s="25" t="inlineStr">
        <is>
          <t>buffAllSummons</t>
        </is>
      </c>
      <c r="T15" s="25" t="inlineStr">
        <is>
          <t>风、经济、召唤、发育</t>
        </is>
      </c>
      <c r="U15" s="25" t="inlineStr">
        <is>
          <t>是</t>
        </is>
      </c>
      <c r="V15" s="25" t="inlineStr">
        <is>
          <t>44</t>
        </is>
      </c>
    </row>
    <row r="16" ht="22" customHeight="1">
      <c r="A16" s="25" t="inlineStr">
        <is>
          <t>pal_015</t>
        </is>
      </c>
      <c r="B16" s="25" t="inlineStr">
        <is>
          <t>No.015</t>
        </is>
      </c>
      <c r="C16" s="25" t="inlineStr">
        <is>
          <t>啼卡尔</t>
        </is>
      </c>
      <c r="D16" s="25" t="inlineStr">
        <is>
          <t>土</t>
        </is>
      </c>
      <c r="E16" s="25" t="inlineStr">
        <is>
          <t>暗</t>
        </is>
      </c>
      <c r="F16" s="25" t="inlineStr">
        <is>
          <t>青铜</t>
        </is>
      </c>
      <c r="G16" s="25" t="inlineStr">
        <is>
          <t>小型</t>
        </is>
      </c>
      <c r="H16" s="25" t="inlineStr">
        <is>
          <t>坦克</t>
        </is>
      </c>
      <c r="I16" s="26">
        <f>IFERROR(VLOOKUP($A16,'02_怪物模板_好读版'!$A:$S,15,FALSE),0)+IFERROR(VLOOKUP($A16,'02_怪物模板_好读版'!$A:$S,16,FALSE),0)</f>
        <v/>
      </c>
      <c r="J16" s="26">
        <f>IFERROR(VLOOKUP($A16,'02_怪物模板_好读版'!$A:$Z,8,FALSE),15)</f>
        <v/>
      </c>
      <c r="K16" s="26">
        <f>IFERROR(VLOOKUP($A16,'02_怪物模板_好读版'!$A:$Z,9,FALSE),4)</f>
        <v/>
      </c>
      <c r="L16" s="26">
        <f>IFERROR(VLOOKUP($A16,'02_怪物模板_好读版'!$A:$Z,10,FALSE),0)</f>
        <v/>
      </c>
      <c r="M16" s="26">
        <f>IFERROR(VLOOKUP($A16,'02_怪物模板_好读版'!$A:$Z,11,FALSE),0)</f>
        <v/>
      </c>
      <c r="N16" s="26">
        <f>IFERROR(VLOOKUP($A16,'02_怪物模板_好读版'!$A:$Z,12,FALSE),3)</f>
        <v/>
      </c>
      <c r="O16" s="26">
        <f>IFERROR(VLOOKUP($A16,'02_怪物模板_好读版'!$A:$Z,13,FALSE),"REVIEW")</f>
        <v/>
      </c>
      <c r="P16" s="25" t="inlineStr">
        <is>
          <t>B1 横扫三格</t>
        </is>
      </c>
      <c r="Q16" s="25" t="inlineStr">
        <is>
          <t>扫击/3格</t>
        </is>
      </c>
      <c r="R16" s="25" t="inlineStr">
        <is>
          <t>阻挡</t>
        </is>
      </c>
      <c r="S16" s="25" t="inlineStr">
        <is>
          <t>castleReduce</t>
        </is>
      </c>
      <c r="T16" s="25" t="inlineStr">
        <is>
          <t>土、防御、前排、阻挡</t>
        </is>
      </c>
      <c r="U16" s="25" t="inlineStr">
        <is>
          <t>—</t>
        </is>
      </c>
      <c r="V16" s="25" t="inlineStr">
        <is>
          <t>旧定位=防御</t>
        </is>
      </c>
    </row>
    <row r="17" ht="22" customHeight="1">
      <c r="A17" s="25" t="inlineStr">
        <is>
          <t>pal_016</t>
        </is>
      </c>
      <c r="B17" s="25" t="inlineStr">
        <is>
          <t>No.016</t>
        </is>
      </c>
      <c r="C17" s="25" t="inlineStr">
        <is>
          <t>壶小象</t>
        </is>
      </c>
      <c r="D17" s="25" t="inlineStr">
        <is>
          <t>水</t>
        </is>
      </c>
      <c r="E17" s="25" t="inlineStr">
        <is>
          <t>44</t>
        </is>
      </c>
      <c r="F17" s="25" t="inlineStr">
        <is>
          <t>青铜</t>
        </is>
      </c>
      <c r="G17" s="25" t="inlineStr">
        <is>
          <t>大型</t>
        </is>
      </c>
      <c r="H17" s="25" t="inlineStr">
        <is>
          <t>治疗</t>
        </is>
      </c>
      <c r="I17" s="26">
        <f>IFERROR(VLOOKUP($A17,'02_怪物模板_好读版'!$A:$S,15,FALSE),0)+IFERROR(VLOOKUP($A17,'02_怪物模板_好读版'!$A:$S,16,FALSE),0)</f>
        <v/>
      </c>
      <c r="J17" s="26">
        <f>IFERROR(VLOOKUP($A17,'02_怪物模板_好读版'!$A:$Z,8,FALSE),25)</f>
        <v/>
      </c>
      <c r="K17" s="26">
        <f>IFERROR(VLOOKUP($A17,'02_怪物模板_好读版'!$A:$Z,9,FALSE),24)</f>
        <v/>
      </c>
      <c r="L17" s="26">
        <f>IFERROR(VLOOKUP($A17,'02_怪物模板_好读版'!$A:$Z,10,FALSE),0)</f>
        <v/>
      </c>
      <c r="M17" s="26">
        <f>IFERROR(VLOOKUP($A17,'02_怪物模板_好读版'!$A:$Z,11,FALSE),0)</f>
        <v/>
      </c>
      <c r="N17" s="26">
        <f>IFERROR(VLOOKUP($A17,'02_怪物模板_好读版'!$A:$Z,12,FALSE),3)</f>
        <v/>
      </c>
      <c r="O17" s="26">
        <f>IFERROR(VLOOKUP($A17,'02_怪物模板_好读版'!$A:$Z,13,FALSE),"REVIEW")</f>
        <v/>
      </c>
      <c r="P17" s="25" t="inlineStr">
        <is>
          <t>B1 横扫三格</t>
        </is>
      </c>
      <c r="Q17" s="25" t="inlineStr">
        <is>
          <t>扫击/3格</t>
        </is>
      </c>
      <c r="R17" s="25" t="inlineStr">
        <is>
          <t>场地</t>
        </is>
      </c>
      <c r="S17" s="25" t="inlineStr">
        <is>
          <t>healAmpBonus</t>
        </is>
      </c>
      <c r="T17" s="25" t="inlineStr">
        <is>
          <t>水、治疗、后排、增益</t>
        </is>
      </c>
      <c r="U17" s="25" t="inlineStr">
        <is>
          <t>—</t>
        </is>
      </c>
      <c r="V17" s="25" t="inlineStr">
        <is>
          <t>44</t>
        </is>
      </c>
    </row>
    <row r="18" ht="22" customHeight="1">
      <c r="A18" s="25" t="inlineStr">
        <is>
          <t>pal_017</t>
        </is>
      </c>
      <c r="B18" s="25" t="inlineStr">
        <is>
          <t>No.017</t>
        </is>
      </c>
      <c r="C18" s="25" t="inlineStr">
        <is>
          <t>瞅什魔</t>
        </is>
      </c>
      <c r="D18" s="25" t="inlineStr">
        <is>
          <t>土</t>
        </is>
      </c>
      <c r="E18" s="25" t="inlineStr">
        <is>
          <t>暗</t>
        </is>
      </c>
      <c r="F18" s="25" t="inlineStr">
        <is>
          <t>青铜</t>
        </is>
      </c>
      <c r="G18" s="25" t="inlineStr">
        <is>
          <t>大型</t>
        </is>
      </c>
      <c r="H18" s="25" t="inlineStr">
        <is>
          <t>坦克</t>
        </is>
      </c>
      <c r="I18" s="26">
        <f>IFERROR(VLOOKUP($A18,'02_怪物模板_好读版'!$A:$S,15,FALSE),0)+IFERROR(VLOOKUP($A18,'02_怪物模板_好读版'!$A:$S,16,FALSE),0)</f>
        <v/>
      </c>
      <c r="J18" s="26">
        <f>IFERROR(VLOOKUP($A18,'02_怪物模板_好读版'!$A:$Z,8,FALSE),40)</f>
        <v/>
      </c>
      <c r="K18" s="26">
        <f>IFERROR(VLOOKUP($A18,'02_怪物模板_好读版'!$A:$Z,9,FALSE),3)</f>
        <v/>
      </c>
      <c r="L18" s="26">
        <f>IFERROR(VLOOKUP($A18,'02_怪物模板_好读版'!$A:$Z,10,FALSE),0)</f>
        <v/>
      </c>
      <c r="M18" s="26">
        <f>IFERROR(VLOOKUP($A18,'02_怪物模板_好读版'!$A:$Z,11,FALSE),0)</f>
        <v/>
      </c>
      <c r="N18" s="26">
        <f>IFERROR(VLOOKUP($A18,'02_怪物模板_好读版'!$A:$Z,12,FALSE),2)</f>
        <v/>
      </c>
      <c r="O18" s="26">
        <f>IFERROR(VLOOKUP($A18,'02_怪物模板_好读版'!$A:$Z,13,FALSE),"mech_firm_threshold")</f>
        <v/>
      </c>
      <c r="P18" s="25" t="inlineStr">
        <is>
          <t>B1 横扫三格</t>
        </is>
      </c>
      <c r="Q18" s="25" t="inlineStr">
        <is>
          <t>扫击/3格</t>
        </is>
      </c>
      <c r="R18" s="25" t="inlineStr">
        <is>
          <t>阻挡</t>
        </is>
      </c>
      <c r="S18" s="25" t="inlineStr">
        <is>
          <t>castleReduce</t>
        </is>
      </c>
      <c r="T18" s="25" t="inlineStr">
        <is>
          <t>土、防御、前排、阻挡</t>
        </is>
      </c>
      <c r="U18" s="25" t="inlineStr">
        <is>
          <t>—</t>
        </is>
      </c>
      <c r="V18" s="25" t="inlineStr">
        <is>
          <t>旧定位=防御</t>
        </is>
      </c>
    </row>
    <row r="19" ht="22" customHeight="1">
      <c r="A19" s="25" t="inlineStr">
        <is>
          <t>pal_018</t>
        </is>
      </c>
      <c r="B19" s="25" t="inlineStr">
        <is>
          <t>No.018</t>
        </is>
      </c>
      <c r="C19" s="25" t="inlineStr">
        <is>
          <t>米露菲</t>
        </is>
      </c>
      <c r="D19" s="25" t="inlineStr">
        <is>
          <t>风</t>
        </is>
      </c>
      <c r="E19" s="25" t="inlineStr">
        <is>
          <t>44</t>
        </is>
      </c>
      <c r="F19" s="25" t="inlineStr">
        <is>
          <t>青铜</t>
        </is>
      </c>
      <c r="G19" s="25" t="inlineStr">
        <is>
          <t>小型</t>
        </is>
      </c>
      <c r="H19" s="25" t="inlineStr">
        <is>
          <t>经济</t>
        </is>
      </c>
      <c r="I19" s="26">
        <f>IFERROR(VLOOKUP($A19,'02_怪物模板_好读版'!$A:$S,15,FALSE),0)+IFERROR(VLOOKUP($A19,'02_怪物模板_好读版'!$A:$S,16,FALSE),0)</f>
        <v/>
      </c>
      <c r="J19" s="26">
        <f>IFERROR(VLOOKUP($A19,'02_怪物模板_好读版'!$A:$Z,8,FALSE),10)</f>
        <v/>
      </c>
      <c r="K19" s="26">
        <f>IFERROR(VLOOKUP($A19,'02_怪物模板_好读版'!$A:$Z,9,FALSE),3)</f>
        <v/>
      </c>
      <c r="L19" s="26">
        <f>IFERROR(VLOOKUP($A19,'02_怪物模板_好读版'!$A:$Z,10,FALSE),0)</f>
        <v/>
      </c>
      <c r="M19" s="26">
        <f>IFERROR(VLOOKUP($A19,'02_怪物模板_好读版'!$A:$Z,11,FALSE),0)</f>
        <v/>
      </c>
      <c r="N19" s="26">
        <f>IFERROR(VLOOKUP($A19,'02_怪物模板_好读版'!$A:$Z,12,FALSE),3)</f>
        <v/>
      </c>
      <c r="O19" s="26">
        <f>IFERROR(VLOOKUP($A19,'02_怪物模板_好读版'!$A:$Z,13,FALSE),"mech_aura")</f>
        <v/>
      </c>
      <c r="P19" s="25" t="inlineStr">
        <is>
          <t>A1 单点刺</t>
        </is>
      </c>
      <c r="Q19" s="25" t="inlineStr">
        <is>
          <t>直线/1格</t>
        </is>
      </c>
      <c r="R19" s="25" t="inlineStr">
        <is>
          <t>召唤</t>
        </is>
      </c>
      <c r="S19" s="25" t="inlineStr">
        <is>
          <t>buffAllSummons</t>
        </is>
      </c>
      <c r="T19" s="25" t="inlineStr">
        <is>
          <t>风、经济、召唤、发育</t>
        </is>
      </c>
      <c r="U19" s="25" t="inlineStr">
        <is>
          <t>是</t>
        </is>
      </c>
      <c r="V19" s="25" t="inlineStr">
        <is>
          <t>44</t>
        </is>
      </c>
    </row>
    <row r="20" ht="22" customHeight="1">
      <c r="A20" s="25" t="inlineStr">
        <is>
          <t>pal_019</t>
        </is>
      </c>
      <c r="B20" s="25" t="inlineStr">
        <is>
          <t>No.019</t>
        </is>
      </c>
      <c r="C20" s="25" t="inlineStr">
        <is>
          <t>寐魔</t>
        </is>
      </c>
      <c r="D20" s="25" t="inlineStr">
        <is>
          <t>土</t>
        </is>
      </c>
      <c r="E20" s="25" t="inlineStr">
        <is>
          <t>暗</t>
        </is>
      </c>
      <c r="F20" s="25" t="inlineStr">
        <is>
          <t>青铜</t>
        </is>
      </c>
      <c r="G20" s="25" t="inlineStr">
        <is>
          <t>大型</t>
        </is>
      </c>
      <c r="H20" s="25" t="inlineStr">
        <is>
          <t>坦克</t>
        </is>
      </c>
      <c r="I20" s="26">
        <f>IFERROR(VLOOKUP($A20,'02_怪物模板_好读版'!$A:$S,15,FALSE),0)+IFERROR(VLOOKUP($A20,'02_怪物模板_好读版'!$A:$S,16,FALSE),0)</f>
        <v/>
      </c>
      <c r="J20" s="26">
        <f>IFERROR(VLOOKUP($A20,'02_怪物模板_好读版'!$A:$Z,8,FALSE),30)</f>
        <v/>
      </c>
      <c r="K20" s="26">
        <f>IFERROR(VLOOKUP($A20,'02_怪物模板_好读版'!$A:$Z,9,FALSE),3)</f>
        <v/>
      </c>
      <c r="L20" s="26">
        <f>IFERROR(VLOOKUP($A20,'02_怪物模板_好读版'!$A:$Z,10,FALSE),0)</f>
        <v/>
      </c>
      <c r="M20" s="26">
        <f>IFERROR(VLOOKUP($A20,'02_怪物模板_好读版'!$A:$Z,11,FALSE),10)</f>
        <v/>
      </c>
      <c r="N20" s="26">
        <f>IFERROR(VLOOKUP($A20,'02_怪物模板_好读版'!$A:$Z,12,FALSE),3)</f>
        <v/>
      </c>
      <c r="O20" s="26">
        <f>IFERROR(VLOOKUP($A20,'02_怪物模板_好读版'!$A:$Z,13,FALSE),"mech_grow_shield")</f>
        <v/>
      </c>
      <c r="P20" s="25" t="inlineStr">
        <is>
          <t>B1 横扫三格</t>
        </is>
      </c>
      <c r="Q20" s="25" t="inlineStr">
        <is>
          <t>扫击/3格</t>
        </is>
      </c>
      <c r="R20" s="25" t="inlineStr">
        <is>
          <t>阻挡</t>
        </is>
      </c>
      <c r="S20" s="25" t="inlineStr">
        <is>
          <t>castleReduce</t>
        </is>
      </c>
      <c r="T20" s="25" t="inlineStr">
        <is>
          <t>土、防御、前排、阻挡</t>
        </is>
      </c>
      <c r="U20" s="25" t="inlineStr">
        <is>
          <t>—</t>
        </is>
      </c>
      <c r="V20" s="25" t="inlineStr">
        <is>
          <t>旧定位=防御</t>
        </is>
      </c>
    </row>
    <row r="21" ht="22" customHeight="1">
      <c r="A21" s="25" t="inlineStr">
        <is>
          <t>pal_020</t>
        </is>
      </c>
      <c r="B21" s="25" t="inlineStr">
        <is>
          <t>No.020</t>
        </is>
      </c>
      <c r="C21" s="25" t="inlineStr">
        <is>
          <t>草莽猪</t>
        </is>
      </c>
      <c r="D21" s="25" t="inlineStr">
        <is>
          <t>土</t>
        </is>
      </c>
      <c r="E21" s="25" t="inlineStr">
        <is>
          <t>地</t>
        </is>
      </c>
      <c r="F21" s="25" t="inlineStr">
        <is>
          <t>青铜</t>
        </is>
      </c>
      <c r="G21" s="25" t="inlineStr">
        <is>
          <t>小型</t>
        </is>
      </c>
      <c r="H21" s="25" t="inlineStr">
        <is>
          <t>坦克</t>
        </is>
      </c>
      <c r="I21" s="26">
        <f>IFERROR(VLOOKUP($A21,'02_怪物模板_好读版'!$A:$S,15,FALSE),0)+IFERROR(VLOOKUP($A21,'02_怪物模板_好读版'!$A:$S,16,FALSE),0)</f>
        <v/>
      </c>
      <c r="J21" s="26">
        <f>IFERROR(VLOOKUP($A21,'02_怪物模板_好读版'!$A:$Z,8,FALSE),15)</f>
        <v/>
      </c>
      <c r="K21" s="26">
        <f>IFERROR(VLOOKUP($A21,'02_怪物模板_好读版'!$A:$Z,9,FALSE),4)</f>
        <v/>
      </c>
      <c r="L21" s="26">
        <f>IFERROR(VLOOKUP($A21,'02_怪物模板_好读版'!$A:$Z,10,FALSE),0)</f>
        <v/>
      </c>
      <c r="M21" s="26">
        <f>IFERROR(VLOOKUP($A21,'02_怪物模板_好读版'!$A:$Z,11,FALSE),0)</f>
        <v/>
      </c>
      <c r="N21" s="26">
        <f>IFERROR(VLOOKUP($A21,'02_怪物模板_好读版'!$A:$Z,12,FALSE),3)</f>
        <v/>
      </c>
      <c r="O21" s="26">
        <f>IFERROR(VLOOKUP($A21,'02_怪物模板_好读版'!$A:$Z,13,FALSE),"REVIEW")</f>
        <v/>
      </c>
      <c r="P21" s="25" t="inlineStr">
        <is>
          <t>B1 横扫三格</t>
        </is>
      </c>
      <c r="Q21" s="25" t="inlineStr">
        <is>
          <t>扫击/3格</t>
        </is>
      </c>
      <c r="R21" s="25" t="inlineStr">
        <is>
          <t>阻挡</t>
        </is>
      </c>
      <c r="S21" s="25" t="inlineStr">
        <is>
          <t>castleReduce</t>
        </is>
      </c>
      <c r="T21" s="25" t="inlineStr">
        <is>
          <t>土、防御、前排、阻挡</t>
        </is>
      </c>
      <c r="U21" s="25" t="inlineStr">
        <is>
          <t>—</t>
        </is>
      </c>
      <c r="V21" s="25" t="inlineStr">
        <is>
          <t>旧定位=防御</t>
        </is>
      </c>
    </row>
    <row r="22" ht="22" customHeight="1">
      <c r="A22" s="25" t="inlineStr">
        <is>
          <t>pal_021</t>
        </is>
      </c>
      <c r="B22" s="25" t="inlineStr">
        <is>
          <t>No.021</t>
        </is>
      </c>
      <c r="C22" s="25" t="inlineStr">
        <is>
          <t>露娜蒂</t>
        </is>
      </c>
      <c r="D22" s="25" t="inlineStr">
        <is>
          <t>土</t>
        </is>
      </c>
      <c r="E22" s="25" t="inlineStr">
        <is>
          <t>暗</t>
        </is>
      </c>
      <c r="F22" s="25" t="inlineStr">
        <is>
          <t>青铜</t>
        </is>
      </c>
      <c r="G22" s="25" t="inlineStr">
        <is>
          <t>小型</t>
        </is>
      </c>
      <c r="H22" s="25" t="inlineStr">
        <is>
          <t>坦克</t>
        </is>
      </c>
      <c r="I22" s="26">
        <f>IFERROR(VLOOKUP($A22,'02_怪物模板_好读版'!$A:$S,15,FALSE),0)+IFERROR(VLOOKUP($A22,'02_怪物模板_好读版'!$A:$S,16,FALSE),0)</f>
        <v/>
      </c>
      <c r="J22" s="26">
        <f>IFERROR(VLOOKUP($A22,'02_怪物模板_好读版'!$A:$Z,8,FALSE),15)</f>
        <v/>
      </c>
      <c r="K22" s="26">
        <f>IFERROR(VLOOKUP($A22,'02_怪物模板_好读版'!$A:$Z,9,FALSE),4)</f>
        <v/>
      </c>
      <c r="L22" s="26">
        <f>IFERROR(VLOOKUP($A22,'02_怪物模板_好读版'!$A:$Z,10,FALSE),0)</f>
        <v/>
      </c>
      <c r="M22" s="26">
        <f>IFERROR(VLOOKUP($A22,'02_怪物模板_好读版'!$A:$Z,11,FALSE),0)</f>
        <v/>
      </c>
      <c r="N22" s="26">
        <f>IFERROR(VLOOKUP($A22,'02_怪物模板_好读版'!$A:$Z,12,FALSE),3)</f>
        <v/>
      </c>
      <c r="O22" s="26">
        <f>IFERROR(VLOOKUP($A22,'02_怪物模板_好读版'!$A:$Z,13,FALSE),"REVIEW")</f>
        <v/>
      </c>
      <c r="P22" s="25" t="inlineStr">
        <is>
          <t>B1 横扫三格</t>
        </is>
      </c>
      <c r="Q22" s="25" t="inlineStr">
        <is>
          <t>扫击/3格</t>
        </is>
      </c>
      <c r="R22" s="25" t="inlineStr">
        <is>
          <t>阻挡</t>
        </is>
      </c>
      <c r="S22" s="25" t="inlineStr">
        <is>
          <t>castleReduce</t>
        </is>
      </c>
      <c r="T22" s="25" t="inlineStr">
        <is>
          <t>土、防御、前排、阻挡</t>
        </is>
      </c>
      <c r="U22" s="25" t="inlineStr">
        <is>
          <t>—</t>
        </is>
      </c>
      <c r="V22" s="25" t="inlineStr">
        <is>
          <t>旧定位=防御</t>
        </is>
      </c>
    </row>
    <row r="23" ht="22" customHeight="1">
      <c r="A23" s="25" t="inlineStr">
        <is>
          <t>pal_022</t>
        </is>
      </c>
      <c r="B23" s="25" t="inlineStr">
        <is>
          <t>No.022</t>
        </is>
      </c>
      <c r="C23" s="25" t="inlineStr">
        <is>
          <t>遁地鼠</t>
        </is>
      </c>
      <c r="D23" s="25" t="inlineStr">
        <is>
          <t>土</t>
        </is>
      </c>
      <c r="E23" s="25" t="inlineStr">
        <is>
          <t>地</t>
        </is>
      </c>
      <c r="F23" s="25" t="inlineStr">
        <is>
          <t>青铜</t>
        </is>
      </c>
      <c r="G23" s="25" t="inlineStr">
        <is>
          <t>中型</t>
        </is>
      </c>
      <c r="H23" s="25" t="inlineStr">
        <is>
          <t>坦克</t>
        </is>
      </c>
      <c r="I23" s="26">
        <f>IFERROR(VLOOKUP($A23,'02_怪物模板_好读版'!$A:$S,15,FALSE),0)+IFERROR(VLOOKUP($A23,'02_怪物模板_好读版'!$A:$S,16,FALSE),0)</f>
        <v/>
      </c>
      <c r="J23" s="26">
        <f>IFERROR(VLOOKUP($A23,'02_怪物模板_好读版'!$A:$Z,8,FALSE),25)</f>
        <v/>
      </c>
      <c r="K23" s="26">
        <f>IFERROR(VLOOKUP($A23,'02_怪物模板_好读版'!$A:$Z,9,FALSE),1)</f>
        <v/>
      </c>
      <c r="L23" s="26">
        <f>IFERROR(VLOOKUP($A23,'02_怪物模板_好读版'!$A:$Z,10,FALSE),0)</f>
        <v/>
      </c>
      <c r="M23" s="26">
        <f>IFERROR(VLOOKUP($A23,'02_怪物模板_好读版'!$A:$Z,11,FALSE),0)</f>
        <v/>
      </c>
      <c r="N23" s="26">
        <f>IFERROR(VLOOKUP($A23,'02_怪物模板_好读版'!$A:$Z,12,FALSE),2)</f>
        <v/>
      </c>
      <c r="O23" s="26">
        <f>IFERROR(VLOOKUP($A23,'02_怪物模板_好读版'!$A:$Z,13,FALSE),"none")</f>
        <v/>
      </c>
      <c r="P23" s="25" t="inlineStr">
        <is>
          <t>B1 横扫三格</t>
        </is>
      </c>
      <c r="Q23" s="25" t="inlineStr">
        <is>
          <t>扫击/3格</t>
        </is>
      </c>
      <c r="R23" s="25" t="inlineStr">
        <is>
          <t>阻挡</t>
        </is>
      </c>
      <c r="S23" s="25" t="inlineStr">
        <is>
          <t>castleReduce</t>
        </is>
      </c>
      <c r="T23" s="25" t="inlineStr">
        <is>
          <t>土、防御、前排、阻挡</t>
        </is>
      </c>
      <c r="U23" s="25" t="inlineStr">
        <is>
          <t>—</t>
        </is>
      </c>
      <c r="V23" s="25" t="inlineStr">
        <is>
          <t>旧定位=防御</t>
        </is>
      </c>
    </row>
    <row r="24" ht="22" customHeight="1">
      <c r="A24" s="25" t="inlineStr">
        <is>
          <t>pal_023</t>
        </is>
      </c>
      <c r="B24" s="25" t="inlineStr">
        <is>
          <t>No.023</t>
        </is>
      </c>
      <c r="C24" s="25" t="inlineStr">
        <is>
          <t>勾魂鱿</t>
        </is>
      </c>
      <c r="D24" s="25" t="inlineStr">
        <is>
          <t>土</t>
        </is>
      </c>
      <c r="E24" s="25" t="inlineStr">
        <is>
          <t>暗</t>
        </is>
      </c>
      <c r="F24" s="25" t="inlineStr">
        <is>
          <t>青铜</t>
        </is>
      </c>
      <c r="G24" s="25" t="inlineStr">
        <is>
          <t>中型</t>
        </is>
      </c>
      <c r="H24" s="25" t="inlineStr">
        <is>
          <t>坦克</t>
        </is>
      </c>
      <c r="I24" s="26">
        <f>IFERROR(VLOOKUP($A24,'02_怪物模板_好读版'!$A:$S,15,FALSE),0)+IFERROR(VLOOKUP($A24,'02_怪物模板_好读版'!$A:$S,16,FALSE),0)</f>
        <v/>
      </c>
      <c r="J24" s="26">
        <f>IFERROR(VLOOKUP($A24,'02_怪物模板_好读版'!$A:$Z,8,FALSE),25)</f>
        <v/>
      </c>
      <c r="K24" s="26">
        <f>IFERROR(VLOOKUP($A24,'02_怪物模板_好读版'!$A:$Z,9,FALSE),2)</f>
        <v/>
      </c>
      <c r="L24" s="26">
        <f>IFERROR(VLOOKUP($A24,'02_怪物模板_好读版'!$A:$Z,10,FALSE),0)</f>
        <v/>
      </c>
      <c r="M24" s="26">
        <f>IFERROR(VLOOKUP($A24,'02_怪物模板_好读版'!$A:$Z,11,FALSE),6)</f>
        <v/>
      </c>
      <c r="N24" s="26">
        <f>IFERROR(VLOOKUP($A24,'02_怪物模板_好读版'!$A:$Z,12,FALSE),3)</f>
        <v/>
      </c>
      <c r="O24" s="26">
        <f>IFERROR(VLOOKUP($A24,'02_怪物模板_好读版'!$A:$Z,13,FALSE),"mech_shield_regen")</f>
        <v/>
      </c>
      <c r="P24" s="25" t="inlineStr">
        <is>
          <t>B1 横扫三格</t>
        </is>
      </c>
      <c r="Q24" s="25" t="inlineStr">
        <is>
          <t>扫击/3格</t>
        </is>
      </c>
      <c r="R24" s="25" t="inlineStr">
        <is>
          <t>阻挡</t>
        </is>
      </c>
      <c r="S24" s="25" t="inlineStr">
        <is>
          <t>castleReduce</t>
        </is>
      </c>
      <c r="T24" s="25" t="inlineStr">
        <is>
          <t>土、防御、前排、阻挡</t>
        </is>
      </c>
      <c r="U24" s="25" t="inlineStr">
        <is>
          <t>—</t>
        </is>
      </c>
      <c r="V24" s="25" t="inlineStr">
        <is>
          <t>旧定位=防御</t>
        </is>
      </c>
    </row>
    <row r="25" ht="22" customHeight="1">
      <c r="A25" s="25" t="inlineStr">
        <is>
          <t>pal_024</t>
        </is>
      </c>
      <c r="B25" s="25" t="inlineStr">
        <is>
          <t>No.024</t>
        </is>
      </c>
      <c r="C25" s="25" t="inlineStr">
        <is>
          <t>喵丝特</t>
        </is>
      </c>
      <c r="D25" s="25" t="inlineStr">
        <is>
          <t>土</t>
        </is>
      </c>
      <c r="E25" s="25" t="inlineStr">
        <is>
          <t>暗</t>
        </is>
      </c>
      <c r="F25" s="25" t="inlineStr">
        <is>
          <t>青铜</t>
        </is>
      </c>
      <c r="G25" s="25" t="inlineStr">
        <is>
          <t>小型</t>
        </is>
      </c>
      <c r="H25" s="25" t="inlineStr">
        <is>
          <t>经济</t>
        </is>
      </c>
      <c r="I25" s="26">
        <f>IFERROR(VLOOKUP($A25,'02_怪物模板_好读版'!$A:$S,15,FALSE),0)+IFERROR(VLOOKUP($A25,'02_怪物模板_好读版'!$A:$S,16,FALSE),0)</f>
        <v/>
      </c>
      <c r="J25" s="26">
        <f>IFERROR(VLOOKUP($A25,'02_怪物模板_好读版'!$A:$Z,8,FALSE),10)</f>
        <v/>
      </c>
      <c r="K25" s="26">
        <f>IFERROR(VLOOKUP($A25,'02_怪物模板_好读版'!$A:$Z,9,FALSE),3)</f>
        <v/>
      </c>
      <c r="L25" s="26">
        <f>IFERROR(VLOOKUP($A25,'02_怪物模板_好读版'!$A:$Z,10,FALSE),0)</f>
        <v/>
      </c>
      <c r="M25" s="26">
        <f>IFERROR(VLOOKUP($A25,'02_怪物模板_好读版'!$A:$Z,11,FALSE),0)</f>
        <v/>
      </c>
      <c r="N25" s="26">
        <f>IFERROR(VLOOKUP($A25,'02_怪物模板_好读版'!$A:$Z,12,FALSE),3)</f>
        <v/>
      </c>
      <c r="O25" s="26">
        <f>IFERROR(VLOOKUP($A25,'02_怪物模板_好读版'!$A:$Z,13,FALSE),"mech_aura")</f>
        <v/>
      </c>
      <c r="P25" s="25" t="inlineStr">
        <is>
          <t>A1 单点刺</t>
        </is>
      </c>
      <c r="Q25" s="25" t="inlineStr">
        <is>
          <t>直线/1格</t>
        </is>
      </c>
      <c r="R25" s="25" t="inlineStr">
        <is>
          <t>召唤</t>
        </is>
      </c>
      <c r="S25" s="25" t="inlineStr">
        <is>
          <t>buffAllSummons</t>
        </is>
      </c>
      <c r="T25" s="25" t="inlineStr">
        <is>
          <t>土、经济、召唤、发育</t>
        </is>
      </c>
      <c r="U25" s="25" t="inlineStr">
        <is>
          <t>是</t>
        </is>
      </c>
      <c r="V25" s="25" t="inlineStr">
        <is>
          <t>44</t>
        </is>
      </c>
    </row>
    <row r="26" ht="22" customHeight="1">
      <c r="A26" s="25" t="inlineStr">
        <is>
          <t>pal_025</t>
        </is>
      </c>
      <c r="B26" s="25" t="inlineStr">
        <is>
          <t>No.025</t>
        </is>
      </c>
      <c r="C26" s="25" t="inlineStr">
        <is>
          <t>鲁米儿</t>
        </is>
      </c>
      <c r="D26" s="25" t="inlineStr">
        <is>
          <t>水</t>
        </is>
      </c>
      <c r="E26" s="25" t="inlineStr">
        <is>
          <t>44</t>
        </is>
      </c>
      <c r="F26" s="25" t="inlineStr">
        <is>
          <t>青铜</t>
        </is>
      </c>
      <c r="G26" s="25" t="inlineStr">
        <is>
          <t>小型</t>
        </is>
      </c>
      <c r="H26" s="25" t="inlineStr">
        <is>
          <t>治疗</t>
        </is>
      </c>
      <c r="I26" s="26">
        <f>IFERROR(VLOOKUP($A26,'02_怪物模板_好读版'!$A:$S,15,FALSE),0)+IFERROR(VLOOKUP($A26,'02_怪物模板_好读版'!$A:$S,16,FALSE),0)</f>
        <v/>
      </c>
      <c r="J26" s="26">
        <f>IFERROR(VLOOKUP($A26,'02_怪物模板_好读版'!$A:$Z,8,FALSE),10)</f>
        <v/>
      </c>
      <c r="K26" s="26">
        <f>IFERROR(VLOOKUP($A26,'02_怪物模板_好读版'!$A:$Z,9,FALSE),3)</f>
        <v/>
      </c>
      <c r="L26" s="26">
        <f>IFERROR(VLOOKUP($A26,'02_怪物模板_好读版'!$A:$Z,10,FALSE),0)</f>
        <v/>
      </c>
      <c r="M26" s="26">
        <f>IFERROR(VLOOKUP($A26,'02_怪物模板_好读版'!$A:$Z,11,FALSE),0)</f>
        <v/>
      </c>
      <c r="N26" s="26">
        <f>IFERROR(VLOOKUP($A26,'02_怪物模板_好读版'!$A:$Z,12,FALSE),3)</f>
        <v/>
      </c>
      <c r="O26" s="26">
        <f>IFERROR(VLOOKUP($A26,'02_怪物模板_好读版'!$A:$Z,13,FALSE),"REVIEW")</f>
        <v/>
      </c>
      <c r="P26" s="25" t="inlineStr">
        <is>
          <t>B1 横扫三格</t>
        </is>
      </c>
      <c r="Q26" s="25" t="inlineStr">
        <is>
          <t>扫击/3格</t>
        </is>
      </c>
      <c r="R26" s="25" t="inlineStr">
        <is>
          <t>场地</t>
        </is>
      </c>
      <c r="S26" s="25" t="inlineStr">
        <is>
          <t>healAmpBonus</t>
        </is>
      </c>
      <c r="T26" s="25" t="inlineStr">
        <is>
          <t>水、治疗、后排、增益</t>
        </is>
      </c>
      <c r="U26" s="25" t="inlineStr">
        <is>
          <t>—</t>
        </is>
      </c>
      <c r="V26" s="25" t="inlineStr">
        <is>
          <t>44</t>
        </is>
      </c>
    </row>
    <row r="27" ht="22" customHeight="1">
      <c r="A27" s="25" t="inlineStr">
        <is>
          <t>pal_026</t>
        </is>
      </c>
      <c r="B27" s="25" t="inlineStr">
        <is>
          <t>No.026</t>
        </is>
      </c>
      <c r="C27" s="25" t="inlineStr">
        <is>
          <t>猎狼</t>
        </is>
      </c>
      <c r="D27" s="25" t="inlineStr">
        <is>
          <t>风</t>
        </is>
      </c>
      <c r="E27" s="25" t="inlineStr">
        <is>
          <t>44</t>
        </is>
      </c>
      <c r="F27" s="25" t="inlineStr">
        <is>
          <t>青铜</t>
        </is>
      </c>
      <c r="G27" s="25" t="inlineStr">
        <is>
          <t>中型</t>
        </is>
      </c>
      <c r="H27" s="25" t="inlineStr">
        <is>
          <t>机动</t>
        </is>
      </c>
      <c r="I27" s="26">
        <f>IFERROR(VLOOKUP($A27,'02_怪物模板_好读版'!$A:$S,15,FALSE),0)+IFERROR(VLOOKUP($A27,'02_怪物模板_好读版'!$A:$S,16,FALSE),0)</f>
        <v/>
      </c>
      <c r="J27" s="26">
        <f>IFERROR(VLOOKUP($A27,'02_怪物模板_好读版'!$A:$Z,8,FALSE),20)</f>
        <v/>
      </c>
      <c r="K27" s="26">
        <f>IFERROR(VLOOKUP($A27,'02_怪物模板_好读版'!$A:$Z,9,FALSE),3)</f>
        <v/>
      </c>
      <c r="L27" s="26">
        <f>IFERROR(VLOOKUP($A27,'02_怪物模板_好读版'!$A:$Z,10,FALSE),0)</f>
        <v/>
      </c>
      <c r="M27" s="26">
        <f>IFERROR(VLOOKUP($A27,'02_怪物模板_好读版'!$A:$Z,11,FALSE),6)</f>
        <v/>
      </c>
      <c r="N27" s="26">
        <f>IFERROR(VLOOKUP($A27,'02_怪物模板_好读版'!$A:$Z,12,FALSE),4)</f>
        <v/>
      </c>
      <c r="O27" s="26">
        <f>IFERROR(VLOOKUP($A27,'02_怪物模板_好读版'!$A:$Z,13,FALSE),"mech_steal_reward,mech_pierce_shield")</f>
        <v/>
      </c>
      <c r="P27" s="25" t="inlineStr">
        <is>
          <t>A1 单点刺</t>
        </is>
      </c>
      <c r="Q27" s="25" t="inlineStr">
        <is>
          <t>直线/1格</t>
        </is>
      </c>
      <c r="R27" s="25" t="inlineStr">
        <is>
          <t>召唤</t>
        </is>
      </c>
      <c r="S27" s="25" t="inlineStr">
        <is>
          <t>buffAllSummons</t>
        </is>
      </c>
      <c r="T27" s="25" t="inlineStr">
        <is>
          <t>风、机动、灵活、泛用</t>
        </is>
      </c>
      <c r="U27" s="25" t="inlineStr">
        <is>
          <t>是</t>
        </is>
      </c>
      <c r="V27" s="25" t="inlineStr">
        <is>
          <t>44</t>
        </is>
      </c>
    </row>
    <row r="28" ht="22" customHeight="1">
      <c r="A28" s="25" t="inlineStr">
        <is>
          <t>pal_027</t>
        </is>
      </c>
      <c r="B28" s="25" t="inlineStr">
        <is>
          <t>No.027</t>
        </is>
      </c>
      <c r="C28" s="25" t="inlineStr">
        <is>
          <t>炸蛋鸟</t>
        </is>
      </c>
      <c r="D28" s="25" t="inlineStr">
        <is>
          <t>风</t>
        </is>
      </c>
      <c r="E28" s="25" t="inlineStr">
        <is>
          <t>44</t>
        </is>
      </c>
      <c r="F28" s="25" t="inlineStr">
        <is>
          <t>青铜</t>
        </is>
      </c>
      <c r="G28" s="25" t="inlineStr">
        <is>
          <t>中型</t>
        </is>
      </c>
      <c r="H28" s="25" t="inlineStr">
        <is>
          <t>机动</t>
        </is>
      </c>
      <c r="I28" s="26">
        <f>IFERROR(VLOOKUP($A28,'02_怪物模板_好读版'!$A:$S,15,FALSE),0)+IFERROR(VLOOKUP($A28,'02_怪物模板_好读版'!$A:$S,16,FALSE),0)</f>
        <v/>
      </c>
      <c r="J28" s="26">
        <f>IFERROR(VLOOKUP($A28,'02_怪物模板_好读版'!$A:$Z,8,FALSE),20)</f>
        <v/>
      </c>
      <c r="K28" s="26">
        <f>IFERROR(VLOOKUP($A28,'02_怪物模板_好读版'!$A:$Z,9,FALSE),8)</f>
        <v/>
      </c>
      <c r="L28" s="26">
        <f>IFERROR(VLOOKUP($A28,'02_怪物模板_好读版'!$A:$Z,10,FALSE),0)</f>
        <v/>
      </c>
      <c r="M28" s="26">
        <f>IFERROR(VLOOKUP($A28,'02_怪物模板_好读版'!$A:$Z,11,FALSE),0)</f>
        <v/>
      </c>
      <c r="N28" s="26">
        <f>IFERROR(VLOOKUP($A28,'02_怪物模板_好读版'!$A:$Z,12,FALSE),4)</f>
        <v/>
      </c>
      <c r="O28" s="26">
        <f>IFERROR(VLOOKUP($A28,'02_怪物模板_好读版'!$A:$Z,13,FALSE),"mech_aura")</f>
        <v/>
      </c>
      <c r="P28" s="25" t="inlineStr">
        <is>
          <t>A1 单点刺</t>
        </is>
      </c>
      <c r="Q28" s="25" t="inlineStr">
        <is>
          <t>直线/1格</t>
        </is>
      </c>
      <c r="R28" s="25" t="inlineStr">
        <is>
          <t>召唤</t>
        </is>
      </c>
      <c r="S28" s="25" t="inlineStr">
        <is>
          <t>buffAllSummons</t>
        </is>
      </c>
      <c r="T28" s="25" t="inlineStr">
        <is>
          <t>风、机动、灵活、泛用</t>
        </is>
      </c>
      <c r="U28" s="25" t="inlineStr">
        <is>
          <t>是</t>
        </is>
      </c>
      <c r="V28" s="25" t="inlineStr">
        <is>
          <t>44</t>
        </is>
      </c>
    </row>
    <row r="29" ht="22" customHeight="1">
      <c r="A29" s="25" t="inlineStr">
        <is>
          <t>pal_028</t>
        </is>
      </c>
      <c r="B29" s="25" t="inlineStr">
        <is>
          <t>No.028</t>
        </is>
      </c>
      <c r="C29" s="25" t="inlineStr">
        <is>
          <t>波娜兔</t>
        </is>
      </c>
      <c r="D29" s="25" t="inlineStr">
        <is>
          <t>风</t>
        </is>
      </c>
      <c r="E29" s="25" t="inlineStr">
        <is>
          <t>草</t>
        </is>
      </c>
      <c r="F29" s="25" t="inlineStr">
        <is>
          <t>青铜</t>
        </is>
      </c>
      <c r="G29" s="25" t="inlineStr">
        <is>
          <t>小型</t>
        </is>
      </c>
      <c r="H29" s="25" t="inlineStr">
        <is>
          <t>治疗</t>
        </is>
      </c>
      <c r="I29" s="26">
        <f>IFERROR(VLOOKUP($A29,'02_怪物模板_好读版'!$A:$S,15,FALSE),0)+IFERROR(VLOOKUP($A29,'02_怪物模板_好读版'!$A:$S,16,FALSE),0)</f>
        <v/>
      </c>
      <c r="J29" s="26">
        <f>IFERROR(VLOOKUP($A29,'02_怪物模板_好读版'!$A:$Z,8,FALSE),10)</f>
        <v/>
      </c>
      <c r="K29" s="26">
        <f>IFERROR(VLOOKUP($A29,'02_怪物模板_好读版'!$A:$Z,9,FALSE),3)</f>
        <v/>
      </c>
      <c r="L29" s="26">
        <f>IFERROR(VLOOKUP($A29,'02_怪物模板_好读版'!$A:$Z,10,FALSE),0)</f>
        <v/>
      </c>
      <c r="M29" s="26">
        <f>IFERROR(VLOOKUP($A29,'02_怪物模板_好读版'!$A:$Z,11,FALSE),0)</f>
        <v/>
      </c>
      <c r="N29" s="26">
        <f>IFERROR(VLOOKUP($A29,'02_怪物模板_好读版'!$A:$Z,12,FALSE),3)</f>
        <v/>
      </c>
      <c r="O29" s="26">
        <f>IFERROR(VLOOKUP($A29,'02_怪物模板_好读版'!$A:$Z,13,FALSE),"REVIEW")</f>
        <v/>
      </c>
      <c r="P29" s="25" t="inlineStr">
        <is>
          <t>B1 横扫三格</t>
        </is>
      </c>
      <c r="Q29" s="25" t="inlineStr">
        <is>
          <t>扫击/3格</t>
        </is>
      </c>
      <c r="R29" s="25" t="inlineStr">
        <is>
          <t>场地</t>
        </is>
      </c>
      <c r="S29" s="25" t="inlineStr">
        <is>
          <t>healAmpBonus</t>
        </is>
      </c>
      <c r="T29" s="25" t="inlineStr">
        <is>
          <t>风、治疗、后排、增益</t>
        </is>
      </c>
      <c r="U29" s="25" t="inlineStr">
        <is>
          <t>—</t>
        </is>
      </c>
      <c r="V29" s="25" t="inlineStr">
        <is>
          <t>44</t>
        </is>
      </c>
    </row>
    <row r="30" ht="22" customHeight="1">
      <c r="A30" s="25" t="inlineStr">
        <is>
          <t>pal_029</t>
        </is>
      </c>
      <c r="B30" s="25" t="inlineStr">
        <is>
          <t>No.029</t>
        </is>
      </c>
      <c r="C30" s="25" t="inlineStr">
        <is>
          <t>波霸牛</t>
        </is>
      </c>
      <c r="D30" s="25" t="inlineStr">
        <is>
          <t>风</t>
        </is>
      </c>
      <c r="E30" s="25" t="inlineStr">
        <is>
          <t>44</t>
        </is>
      </c>
      <c r="F30" s="25" t="inlineStr">
        <is>
          <t>青铜</t>
        </is>
      </c>
      <c r="G30" s="25" t="inlineStr">
        <is>
          <t>中型</t>
        </is>
      </c>
      <c r="H30" s="25" t="inlineStr">
        <is>
          <t>经济</t>
        </is>
      </c>
      <c r="I30" s="26">
        <f>IFERROR(VLOOKUP($A30,'02_怪物模板_好读版'!$A:$S,15,FALSE),0)+IFERROR(VLOOKUP($A30,'02_怪物模板_好读版'!$A:$S,16,FALSE),0)</f>
        <v/>
      </c>
      <c r="J30" s="26">
        <f>IFERROR(VLOOKUP($A30,'02_怪物模板_好读版'!$A:$Z,8,FALSE),25)</f>
        <v/>
      </c>
      <c r="K30" s="26">
        <f>IFERROR(VLOOKUP($A30,'02_怪物模板_好读版'!$A:$Z,9,FALSE),2)</f>
        <v/>
      </c>
      <c r="L30" s="26">
        <f>IFERROR(VLOOKUP($A30,'02_怪物模板_好读版'!$A:$Z,10,FALSE),0)</f>
        <v/>
      </c>
      <c r="M30" s="26">
        <f>IFERROR(VLOOKUP($A30,'02_怪物模板_好读版'!$A:$Z,11,FALSE),6)</f>
        <v/>
      </c>
      <c r="N30" s="26">
        <f>IFERROR(VLOOKUP($A30,'02_怪物模板_好读版'!$A:$Z,12,FALSE),3)</f>
        <v/>
      </c>
      <c r="O30" s="26">
        <f>IFERROR(VLOOKUP($A30,'02_怪物模板_好读版'!$A:$Z,13,FALSE),"mech_aura,mech_curse")</f>
        <v/>
      </c>
      <c r="P30" s="25" t="inlineStr">
        <is>
          <t>A1 单点刺</t>
        </is>
      </c>
      <c r="Q30" s="25" t="inlineStr">
        <is>
          <t>直线/1格</t>
        </is>
      </c>
      <c r="R30" s="25" t="inlineStr">
        <is>
          <t>召唤</t>
        </is>
      </c>
      <c r="S30" s="25" t="inlineStr">
        <is>
          <t>buffAllSummons</t>
        </is>
      </c>
      <c r="T30" s="25" t="inlineStr">
        <is>
          <t>风、经济、召唤、发育</t>
        </is>
      </c>
      <c r="U30" s="25" t="inlineStr">
        <is>
          <t>是</t>
        </is>
      </c>
      <c r="V30" s="25" t="inlineStr">
        <is>
          <t>经济补预算</t>
        </is>
      </c>
    </row>
    <row r="31" ht="22" customHeight="1">
      <c r="A31" s="25" t="inlineStr">
        <is>
          <t>pal_030</t>
        </is>
      </c>
      <c r="B31" s="25" t="inlineStr">
        <is>
          <t>No.030</t>
        </is>
      </c>
      <c r="C31" s="25" t="inlineStr">
        <is>
          <t>荆棘魔仙</t>
        </is>
      </c>
      <c r="D31" s="25" t="inlineStr">
        <is>
          <t>风</t>
        </is>
      </c>
      <c r="E31" s="25" t="inlineStr">
        <is>
          <t>草</t>
        </is>
      </c>
      <c r="F31" s="25" t="inlineStr">
        <is>
          <t>青铜</t>
        </is>
      </c>
      <c r="G31" s="25" t="inlineStr">
        <is>
          <t>大型</t>
        </is>
      </c>
      <c r="H31" s="25" t="inlineStr">
        <is>
          <t>治疗</t>
        </is>
      </c>
      <c r="I31" s="26">
        <f>IFERROR(VLOOKUP($A31,'02_怪物模板_好读版'!$A:$S,15,FALSE),0)+IFERROR(VLOOKUP($A31,'02_怪物模板_好读版'!$A:$S,16,FALSE),0)</f>
        <v/>
      </c>
      <c r="J31" s="26">
        <f>IFERROR(VLOOKUP($A31,'02_怪物模板_好读版'!$A:$Z,8,FALSE),25)</f>
        <v/>
      </c>
      <c r="K31" s="26">
        <f>IFERROR(VLOOKUP($A31,'02_怪物模板_好读版'!$A:$Z,9,FALSE),24)</f>
        <v/>
      </c>
      <c r="L31" s="26">
        <f>IFERROR(VLOOKUP($A31,'02_怪物模板_好读版'!$A:$Z,10,FALSE),0)</f>
        <v/>
      </c>
      <c r="M31" s="26">
        <f>IFERROR(VLOOKUP($A31,'02_怪物模板_好读版'!$A:$Z,11,FALSE),0)</f>
        <v/>
      </c>
      <c r="N31" s="26">
        <f>IFERROR(VLOOKUP($A31,'02_怪物模板_好读版'!$A:$Z,12,FALSE),3)</f>
        <v/>
      </c>
      <c r="O31" s="26">
        <f>IFERROR(VLOOKUP($A31,'02_怪物模板_好读版'!$A:$Z,13,FALSE),"REVIEW")</f>
        <v/>
      </c>
      <c r="P31" s="25" t="inlineStr">
        <is>
          <t>B1 横扫三格</t>
        </is>
      </c>
      <c r="Q31" s="25" t="inlineStr">
        <is>
          <t>扫击/3格</t>
        </is>
      </c>
      <c r="R31" s="25" t="inlineStr">
        <is>
          <t>场地</t>
        </is>
      </c>
      <c r="S31" s="25" t="inlineStr">
        <is>
          <t>healAmpBonus</t>
        </is>
      </c>
      <c r="T31" s="25" t="inlineStr">
        <is>
          <t>风、治疗、后排、增益</t>
        </is>
      </c>
      <c r="U31" s="25" t="inlineStr">
        <is>
          <t>—</t>
        </is>
      </c>
      <c r="V31" s="25" t="inlineStr">
        <is>
          <t>44</t>
        </is>
      </c>
    </row>
    <row r="32" ht="22" customHeight="1">
      <c r="A32" s="25" t="inlineStr">
        <is>
          <t>pal_031</t>
        </is>
      </c>
      <c r="B32" s="25" t="inlineStr">
        <is>
          <t>No.031</t>
        </is>
      </c>
      <c r="C32" s="25" t="inlineStr">
        <is>
          <t>鲨小子</t>
        </is>
      </c>
      <c r="D32" s="25" t="inlineStr">
        <is>
          <t>水</t>
        </is>
      </c>
      <c r="E32" s="25" t="inlineStr">
        <is>
          <t>44</t>
        </is>
      </c>
      <c r="F32" s="25" t="inlineStr">
        <is>
          <t>青铜</t>
        </is>
      </c>
      <c r="G32" s="25" t="inlineStr">
        <is>
          <t>中型</t>
        </is>
      </c>
      <c r="H32" s="25" t="inlineStr">
        <is>
          <t>治疗</t>
        </is>
      </c>
      <c r="I32" s="26">
        <f>IFERROR(VLOOKUP($A32,'02_怪物模板_好读版'!$A:$S,15,FALSE),0)+IFERROR(VLOOKUP($A32,'02_怪物模板_好读版'!$A:$S,16,FALSE),0)</f>
        <v/>
      </c>
      <c r="J32" s="26">
        <f>IFERROR(VLOOKUP($A32,'02_怪物模板_好读版'!$A:$Z,8,FALSE),25)</f>
        <v/>
      </c>
      <c r="K32" s="26">
        <f>IFERROR(VLOOKUP($A32,'02_怪物模板_好读版'!$A:$Z,9,FALSE),2)</f>
        <v/>
      </c>
      <c r="L32" s="26">
        <f>IFERROR(VLOOKUP($A32,'02_怪物模板_好读版'!$A:$Z,10,FALSE),0)</f>
        <v/>
      </c>
      <c r="M32" s="26">
        <f>IFERROR(VLOOKUP($A32,'02_怪物模板_好读版'!$A:$Z,11,FALSE),6)</f>
        <v/>
      </c>
      <c r="N32" s="26">
        <f>IFERROR(VLOOKUP($A32,'02_怪物模板_好读版'!$A:$Z,12,FALSE),3)</f>
        <v/>
      </c>
      <c r="O32" s="26">
        <f>IFERROR(VLOOKUP($A32,'02_怪物模板_好读版'!$A:$Z,13,FALSE),"mech_grow_shield")</f>
        <v/>
      </c>
      <c r="P32" s="25" t="inlineStr">
        <is>
          <t>B1 横扫三格</t>
        </is>
      </c>
      <c r="Q32" s="25" t="inlineStr">
        <is>
          <t>扫击/3格</t>
        </is>
      </c>
      <c r="R32" s="25" t="inlineStr">
        <is>
          <t>场地</t>
        </is>
      </c>
      <c r="S32" s="25" t="inlineStr">
        <is>
          <t>healAmpBonus</t>
        </is>
      </c>
      <c r="T32" s="25" t="inlineStr">
        <is>
          <t>水、治疗、后排、增益</t>
        </is>
      </c>
      <c r="U32" s="25" t="inlineStr">
        <is>
          <t>—</t>
        </is>
      </c>
      <c r="V32" s="25" t="inlineStr">
        <is>
          <t>44</t>
        </is>
      </c>
    </row>
    <row r="33" ht="22" customHeight="1">
      <c r="A33" s="25" t="inlineStr">
        <is>
          <t>pal_032</t>
        </is>
      </c>
      <c r="B33" s="25" t="inlineStr">
        <is>
          <t>No.032</t>
        </is>
      </c>
      <c r="C33" s="25" t="inlineStr">
        <is>
          <t>吊缚灵</t>
        </is>
      </c>
      <c r="D33" s="25" t="inlineStr">
        <is>
          <t>土</t>
        </is>
      </c>
      <c r="E33" s="25" t="inlineStr">
        <is>
          <t>地</t>
        </is>
      </c>
      <c r="F33" s="25" t="inlineStr">
        <is>
          <t>青铜</t>
        </is>
      </c>
      <c r="G33" s="25" t="inlineStr">
        <is>
          <t>中型</t>
        </is>
      </c>
      <c r="H33" s="25" t="inlineStr">
        <is>
          <t>坦克</t>
        </is>
      </c>
      <c r="I33" s="26">
        <f>IFERROR(VLOOKUP($A33,'02_怪物模板_好读版'!$A:$S,15,FALSE),0)+IFERROR(VLOOKUP($A33,'02_怪物模板_好读版'!$A:$S,16,FALSE),0)</f>
        <v/>
      </c>
      <c r="J33" s="26">
        <f>IFERROR(VLOOKUP($A33,'02_怪物模板_好读版'!$A:$Z,8,FALSE),30)</f>
        <v/>
      </c>
      <c r="K33" s="26">
        <f>IFERROR(VLOOKUP($A33,'02_怪物模板_好读版'!$A:$Z,9,FALSE),3)</f>
        <v/>
      </c>
      <c r="L33" s="26">
        <f>IFERROR(VLOOKUP($A33,'02_怪物模板_好读版'!$A:$Z,10,FALSE),0)</f>
        <v/>
      </c>
      <c r="M33" s="26">
        <f>IFERROR(VLOOKUP($A33,'02_怪物模板_好读版'!$A:$Z,11,FALSE),0)</f>
        <v/>
      </c>
      <c r="N33" s="26">
        <f>IFERROR(VLOOKUP($A33,'02_怪物模板_好读版'!$A:$Z,12,FALSE),3)</f>
        <v/>
      </c>
      <c r="O33" s="26">
        <f>IFERROR(VLOOKUP($A33,'02_怪物模板_好读版'!$A:$Z,13,FALSE),"mech_damage_cap")</f>
        <v/>
      </c>
      <c r="P33" s="25" t="inlineStr">
        <is>
          <t>B1 横扫三格</t>
        </is>
      </c>
      <c r="Q33" s="25" t="inlineStr">
        <is>
          <t>扫击/3格</t>
        </is>
      </c>
      <c r="R33" s="25" t="inlineStr">
        <is>
          <t>阻挡</t>
        </is>
      </c>
      <c r="S33" s="25" t="inlineStr">
        <is>
          <t>castleReduce</t>
        </is>
      </c>
      <c r="T33" s="25" t="inlineStr">
        <is>
          <t>土、防御、前排、阻挡</t>
        </is>
      </c>
      <c r="U33" s="25" t="inlineStr">
        <is>
          <t>—</t>
        </is>
      </c>
      <c r="V33" s="25" t="inlineStr">
        <is>
          <t>旧定位=防御</t>
        </is>
      </c>
    </row>
    <row r="34" ht="22" customHeight="1">
      <c r="A34" s="25" t="inlineStr">
        <is>
          <t>pal_033</t>
        </is>
      </c>
      <c r="B34" s="25" t="inlineStr">
        <is>
          <t>No.033</t>
        </is>
      </c>
      <c r="C34" s="25" t="inlineStr">
        <is>
          <t>叶胖达</t>
        </is>
      </c>
      <c r="D34" s="25" t="inlineStr">
        <is>
          <t>风</t>
        </is>
      </c>
      <c r="E34" s="25" t="inlineStr">
        <is>
          <t>草</t>
        </is>
      </c>
      <c r="F34" s="25" t="inlineStr">
        <is>
          <t>青铜</t>
        </is>
      </c>
      <c r="G34" s="25" t="inlineStr">
        <is>
          <t>中型</t>
        </is>
      </c>
      <c r="H34" s="25" t="inlineStr">
        <is>
          <t>坦克</t>
        </is>
      </c>
      <c r="I34" s="26">
        <f>IFERROR(VLOOKUP($A34,'02_怪物模板_好读版'!$A:$S,15,FALSE),0)+IFERROR(VLOOKUP($A34,'02_怪物模板_好读版'!$A:$S,16,FALSE),0)</f>
        <v/>
      </c>
      <c r="J34" s="26">
        <f>IFERROR(VLOOKUP($A34,'02_怪物模板_好读版'!$A:$Z,8,FALSE),15)</f>
        <v/>
      </c>
      <c r="K34" s="26">
        <f>IFERROR(VLOOKUP($A34,'02_怪物模板_好读版'!$A:$Z,9,FALSE),4)</f>
        <v/>
      </c>
      <c r="L34" s="26">
        <f>IFERROR(VLOOKUP($A34,'02_怪物模板_好读版'!$A:$Z,10,FALSE),0)</f>
        <v/>
      </c>
      <c r="M34" s="26">
        <f>IFERROR(VLOOKUP($A34,'02_怪物模板_好读版'!$A:$Z,11,FALSE),6)</f>
        <v/>
      </c>
      <c r="N34" s="26">
        <f>IFERROR(VLOOKUP($A34,'02_怪物模板_好读版'!$A:$Z,12,FALSE),3)</f>
        <v/>
      </c>
      <c r="O34" s="26">
        <f>IFERROR(VLOOKUP($A34,'02_怪物模板_好读版'!$A:$Z,13,FALSE),"REVIEW")</f>
        <v/>
      </c>
      <c r="P34" s="25" t="inlineStr">
        <is>
          <t>B1 横扫三格</t>
        </is>
      </c>
      <c r="Q34" s="25" t="inlineStr">
        <is>
          <t>扫击/3格</t>
        </is>
      </c>
      <c r="R34" s="25" t="inlineStr">
        <is>
          <t>阻挡</t>
        </is>
      </c>
      <c r="S34" s="25" t="inlineStr">
        <is>
          <t>castleReduce</t>
        </is>
      </c>
      <c r="T34" s="25" t="inlineStr">
        <is>
          <t>风、防御、前排、阻挡</t>
        </is>
      </c>
      <c r="U34" s="25" t="inlineStr">
        <is>
          <t>—</t>
        </is>
      </c>
      <c r="V34" s="25" t="inlineStr">
        <is>
          <t>旧定位=防御</t>
        </is>
      </c>
    </row>
    <row r="35" ht="22" customHeight="1">
      <c r="A35" s="25" t="inlineStr">
        <is>
          <t>pal_034</t>
        </is>
      </c>
      <c r="B35" s="25" t="inlineStr">
        <is>
          <t>No.034</t>
        </is>
      </c>
      <c r="C35" s="25" t="inlineStr">
        <is>
          <t>棉花糖</t>
        </is>
      </c>
      <c r="D35" s="25" t="inlineStr">
        <is>
          <t>风</t>
        </is>
      </c>
      <c r="E35" s="25" t="inlineStr">
        <is>
          <t>44</t>
        </is>
      </c>
      <c r="F35" s="25" t="inlineStr">
        <is>
          <t>青铜</t>
        </is>
      </c>
      <c r="G35" s="25" t="inlineStr">
        <is>
          <t>小型</t>
        </is>
      </c>
      <c r="H35" s="25" t="inlineStr">
        <is>
          <t>经济</t>
        </is>
      </c>
      <c r="I35" s="26">
        <f>IFERROR(VLOOKUP($A35,'02_怪物模板_好读版'!$A:$S,15,FALSE),0)+IFERROR(VLOOKUP($A35,'02_怪物模板_好读版'!$A:$S,16,FALSE),0)</f>
        <v/>
      </c>
      <c r="J35" s="26">
        <f>IFERROR(VLOOKUP($A35,'02_怪物模板_好读版'!$A:$Z,8,FALSE),10)</f>
        <v/>
      </c>
      <c r="K35" s="26">
        <f>IFERROR(VLOOKUP($A35,'02_怪物模板_好读版'!$A:$Z,9,FALSE),3)</f>
        <v/>
      </c>
      <c r="L35" s="26">
        <f>IFERROR(VLOOKUP($A35,'02_怪物模板_好读版'!$A:$Z,10,FALSE),0)</f>
        <v/>
      </c>
      <c r="M35" s="26">
        <f>IFERROR(VLOOKUP($A35,'02_怪物模板_好读版'!$A:$Z,11,FALSE),0)</f>
        <v/>
      </c>
      <c r="N35" s="26">
        <f>IFERROR(VLOOKUP($A35,'02_怪物模板_好读版'!$A:$Z,12,FALSE),3)</f>
        <v/>
      </c>
      <c r="O35" s="26">
        <f>IFERROR(VLOOKUP($A35,'02_怪物模板_好读版'!$A:$Z,13,FALSE),"mech_aura")</f>
        <v/>
      </c>
      <c r="P35" s="25" t="inlineStr">
        <is>
          <t>A1 单点刺</t>
        </is>
      </c>
      <c r="Q35" s="25" t="inlineStr">
        <is>
          <t>直线/1格</t>
        </is>
      </c>
      <c r="R35" s="25" t="inlineStr">
        <is>
          <t>召唤</t>
        </is>
      </c>
      <c r="S35" s="25" t="inlineStr">
        <is>
          <t>buffAllSummons</t>
        </is>
      </c>
      <c r="T35" s="25" t="inlineStr">
        <is>
          <t>风、经济、召唤、发育</t>
        </is>
      </c>
      <c r="U35" s="25" t="inlineStr">
        <is>
          <t>是</t>
        </is>
      </c>
      <c r="V35" s="25" t="inlineStr">
        <is>
          <t>44</t>
        </is>
      </c>
    </row>
    <row r="36" ht="22" customHeight="1">
      <c r="A36" s="25" t="inlineStr">
        <is>
          <t>pal_035</t>
        </is>
      </c>
      <c r="B36" s="25" t="inlineStr">
        <is>
          <t>No.035</t>
        </is>
      </c>
      <c r="C36" s="25" t="inlineStr">
        <is>
          <t>灌木羊</t>
        </is>
      </c>
      <c r="D36" s="25" t="inlineStr">
        <is>
          <t>风</t>
        </is>
      </c>
      <c r="E36" s="25" t="inlineStr">
        <is>
          <t>草</t>
        </is>
      </c>
      <c r="F36" s="25" t="inlineStr">
        <is>
          <t>青铜</t>
        </is>
      </c>
      <c r="G36" s="25" t="inlineStr">
        <is>
          <t>小型</t>
        </is>
      </c>
      <c r="H36" s="25" t="inlineStr">
        <is>
          <t>召唤</t>
        </is>
      </c>
      <c r="I36" s="26">
        <f>IFERROR(VLOOKUP($A36,'02_怪物模板_好读版'!$A:$S,15,FALSE),0)+IFERROR(VLOOKUP($A36,'02_怪物模板_好读版'!$A:$S,16,FALSE),0)</f>
        <v/>
      </c>
      <c r="J36" s="26">
        <f>IFERROR(VLOOKUP($A36,'02_怪物模板_好读版'!$A:$Z,8,FALSE),10)</f>
        <v/>
      </c>
      <c r="K36" s="26">
        <f>IFERROR(VLOOKUP($A36,'02_怪物模板_好读版'!$A:$Z,9,FALSE),3)</f>
        <v/>
      </c>
      <c r="L36" s="26">
        <f>IFERROR(VLOOKUP($A36,'02_怪物模板_好读版'!$A:$Z,10,FALSE),0)</f>
        <v/>
      </c>
      <c r="M36" s="26">
        <f>IFERROR(VLOOKUP($A36,'02_怪物模板_好读版'!$A:$Z,11,FALSE),0)</f>
        <v/>
      </c>
      <c r="N36" s="26">
        <f>IFERROR(VLOOKUP($A36,'02_怪物模板_好读版'!$A:$Z,12,FALSE),3)</f>
        <v/>
      </c>
      <c r="O36" s="26">
        <f>IFERROR(VLOOKUP($A36,'02_怪物模板_好读版'!$A:$Z,13,FALSE),"mech_aura")</f>
        <v/>
      </c>
      <c r="P36" s="25" t="inlineStr">
        <is>
          <t>A1 单点刺</t>
        </is>
      </c>
      <c r="Q36" s="25" t="inlineStr">
        <is>
          <t>直线/1格</t>
        </is>
      </c>
      <c r="R36" s="25" t="inlineStr">
        <is>
          <t>召唤</t>
        </is>
      </c>
      <c r="S36" s="25" t="inlineStr">
        <is>
          <t>buffAllSummons</t>
        </is>
      </c>
      <c r="T36" s="25" t="inlineStr">
        <is>
          <t>风、召唤、成长、核心</t>
        </is>
      </c>
      <c r="U36" s="25" t="inlineStr">
        <is>
          <t>是</t>
        </is>
      </c>
      <c r="V36" s="25" t="inlineStr">
        <is>
          <t>44</t>
        </is>
      </c>
    </row>
    <row r="37" ht="22" customHeight="1">
      <c r="A37" s="25" t="inlineStr">
        <is>
          <t>pal_036</t>
        </is>
      </c>
      <c r="B37" s="25" t="inlineStr">
        <is>
          <t>No.036</t>
        </is>
      </c>
      <c r="C37" s="25" t="inlineStr">
        <is>
          <t>美露帕</t>
        </is>
      </c>
      <c r="D37" s="25" t="inlineStr">
        <is>
          <t>风</t>
        </is>
      </c>
      <c r="E37" s="25" t="inlineStr">
        <is>
          <t>44</t>
        </is>
      </c>
      <c r="F37" s="25" t="inlineStr">
        <is>
          <t>白银</t>
        </is>
      </c>
      <c r="G37" s="25" t="inlineStr">
        <is>
          <t>小型</t>
        </is>
      </c>
      <c r="H37" s="25" t="inlineStr">
        <is>
          <t>经济</t>
        </is>
      </c>
      <c r="I37" s="26">
        <f>IFERROR(VLOOKUP($A37,'02_怪物模板_好读版'!$A:$S,15,FALSE),0)+IFERROR(VLOOKUP($A37,'02_怪物模板_好读版'!$A:$S,16,FALSE),0)</f>
        <v/>
      </c>
      <c r="J37" s="26">
        <f>IFERROR(VLOOKUP($A37,'02_怪物模板_好读版'!$A:$Z,8,FALSE),20)</f>
        <v/>
      </c>
      <c r="K37" s="26">
        <f>IFERROR(VLOOKUP($A37,'02_怪物模板_好读版'!$A:$Z,9,FALSE),11)</f>
        <v/>
      </c>
      <c r="L37" s="26">
        <f>IFERROR(VLOOKUP($A37,'02_怪物模板_好读版'!$A:$Z,10,FALSE),0)</f>
        <v/>
      </c>
      <c r="M37" s="26">
        <f>IFERROR(VLOOKUP($A37,'02_怪物模板_好读版'!$A:$Z,11,FALSE),0)</f>
        <v/>
      </c>
      <c r="N37" s="26">
        <f>IFERROR(VLOOKUP($A37,'02_怪物模板_好读版'!$A:$Z,12,FALSE),3)</f>
        <v/>
      </c>
      <c r="O37" s="26">
        <f>IFERROR(VLOOKUP($A37,'02_怪物模板_好读版'!$A:$Z,13,FALSE),"mech_aura")</f>
        <v/>
      </c>
      <c r="P37" s="25" t="inlineStr">
        <is>
          <t>A1 单点刺</t>
        </is>
      </c>
      <c r="Q37" s="25" t="inlineStr">
        <is>
          <t>直线/1格</t>
        </is>
      </c>
      <c r="R37" s="25" t="inlineStr">
        <is>
          <t>召唤</t>
        </is>
      </c>
      <c r="S37" s="25" t="inlineStr">
        <is>
          <t>buffAllSummons</t>
        </is>
      </c>
      <c r="T37" s="25" t="inlineStr">
        <is>
          <t>风、经济、召唤、发育</t>
        </is>
      </c>
      <c r="U37" s="25" t="inlineStr">
        <is>
          <t>是</t>
        </is>
      </c>
      <c r="V37" s="25" t="inlineStr">
        <is>
          <t>经济补预算</t>
        </is>
      </c>
    </row>
    <row r="38" ht="22" customHeight="1">
      <c r="A38" s="25" t="inlineStr">
        <is>
          <t>pal_037</t>
        </is>
      </c>
      <c r="B38" s="25" t="inlineStr">
        <is>
          <t>No.037</t>
        </is>
      </c>
      <c r="C38" s="25" t="inlineStr">
        <is>
          <t>紫霞鹿</t>
        </is>
      </c>
      <c r="D38" s="25" t="inlineStr">
        <is>
          <t>风</t>
        </is>
      </c>
      <c r="E38" s="25" t="inlineStr">
        <is>
          <t>44</t>
        </is>
      </c>
      <c r="F38" s="25" t="inlineStr">
        <is>
          <t>白银</t>
        </is>
      </c>
      <c r="G38" s="25" t="inlineStr">
        <is>
          <t>小型</t>
        </is>
      </c>
      <c r="H38" s="25" t="inlineStr">
        <is>
          <t>机动</t>
        </is>
      </c>
      <c r="I38" s="26">
        <f>IFERROR(VLOOKUP($A38,'02_怪物模板_好读版'!$A:$S,15,FALSE),0)+IFERROR(VLOOKUP($A38,'02_怪物模板_好读版'!$A:$S,16,FALSE),0)</f>
        <v/>
      </c>
      <c r="J38" s="26">
        <f>IFERROR(VLOOKUP($A38,'02_怪物模板_好读版'!$A:$Z,8,FALSE),10)</f>
        <v/>
      </c>
      <c r="K38" s="26">
        <f>IFERROR(VLOOKUP($A38,'02_怪物模板_好读版'!$A:$Z,9,FALSE),17)</f>
        <v/>
      </c>
      <c r="L38" s="26">
        <f>IFERROR(VLOOKUP($A38,'02_怪物模板_好读版'!$A:$Z,10,FALSE),0)</f>
        <v/>
      </c>
      <c r="M38" s="26">
        <f>IFERROR(VLOOKUP($A38,'02_怪物模板_好读版'!$A:$Z,11,FALSE),0)</f>
        <v/>
      </c>
      <c r="N38" s="26">
        <f>IFERROR(VLOOKUP($A38,'02_怪物模板_好读版'!$A:$Z,12,FALSE),3)</f>
        <v/>
      </c>
      <c r="O38" s="26">
        <f>IFERROR(VLOOKUP($A38,'02_怪物模板_好读版'!$A:$Z,13,FALSE),"REVIEW")</f>
        <v/>
      </c>
      <c r="P38" s="25" t="inlineStr">
        <is>
          <t>T2 长柄T</t>
        </is>
      </c>
      <c r="Q38" s="25" t="inlineStr">
        <is>
          <t>T形/5格</t>
        </is>
      </c>
      <c r="R38" s="25" t="inlineStr">
        <is>
          <t>牵制</t>
        </is>
      </c>
      <c r="S38" s="25" t="inlineStr">
        <is>
          <t>advHitBonus</t>
        </is>
      </c>
      <c r="T38" s="25" t="inlineStr">
        <is>
          <t>风、机动、灵活、泛用</t>
        </is>
      </c>
      <c r="U38" s="25" t="inlineStr">
        <is>
          <t>—</t>
        </is>
      </c>
      <c r="V38" s="25" t="inlineStr">
        <is>
          <t>44</t>
        </is>
      </c>
    </row>
    <row r="39" ht="22" customHeight="1">
      <c r="A39" s="25" t="inlineStr">
        <is>
          <t>pal_038</t>
        </is>
      </c>
      <c r="B39" s="25" t="inlineStr">
        <is>
          <t>No.038</t>
        </is>
      </c>
      <c r="C39" s="25" t="inlineStr">
        <is>
          <t>疾风隼</t>
        </is>
      </c>
      <c r="D39" s="25" t="inlineStr">
        <is>
          <t>风</t>
        </is>
      </c>
      <c r="E39" s="25" t="inlineStr">
        <is>
          <t>44</t>
        </is>
      </c>
      <c r="F39" s="25" t="inlineStr">
        <is>
          <t>白银</t>
        </is>
      </c>
      <c r="G39" s="25" t="inlineStr">
        <is>
          <t>小型</t>
        </is>
      </c>
      <c r="H39" s="25" t="inlineStr">
        <is>
          <t>机动</t>
        </is>
      </c>
      <c r="I39" s="26">
        <f>IFERROR(VLOOKUP($A39,'02_怪物模板_好读版'!$A:$S,15,FALSE),0)+IFERROR(VLOOKUP($A39,'02_怪物模板_好读版'!$A:$S,16,FALSE),0)</f>
        <v/>
      </c>
      <c r="J39" s="26">
        <f>IFERROR(VLOOKUP($A39,'02_怪物模板_好读版'!$A:$Z,8,FALSE),10)</f>
        <v/>
      </c>
      <c r="K39" s="26">
        <f>IFERROR(VLOOKUP($A39,'02_怪物模板_好读版'!$A:$Z,9,FALSE),17)</f>
        <v/>
      </c>
      <c r="L39" s="26">
        <f>IFERROR(VLOOKUP($A39,'02_怪物模板_好读版'!$A:$Z,10,FALSE),0)</f>
        <v/>
      </c>
      <c r="M39" s="26">
        <f>IFERROR(VLOOKUP($A39,'02_怪物模板_好读版'!$A:$Z,11,FALSE),0)</f>
        <v/>
      </c>
      <c r="N39" s="26">
        <f>IFERROR(VLOOKUP($A39,'02_怪物模板_好读版'!$A:$Z,12,FALSE),3)</f>
        <v/>
      </c>
      <c r="O39" s="26">
        <f>IFERROR(VLOOKUP($A39,'02_怪物模板_好读版'!$A:$Z,13,FALSE),"REVIEW")</f>
        <v/>
      </c>
      <c r="P39" s="25" t="inlineStr">
        <is>
          <t>T2 长柄T</t>
        </is>
      </c>
      <c r="Q39" s="25" t="inlineStr">
        <is>
          <t>T形/5格</t>
        </is>
      </c>
      <c r="R39" s="25" t="inlineStr">
        <is>
          <t>牵制</t>
        </is>
      </c>
      <c r="S39" s="25" t="inlineStr">
        <is>
          <t>advHitBonus</t>
        </is>
      </c>
      <c r="T39" s="25" t="inlineStr">
        <is>
          <t>风、机动、灵活、泛用</t>
        </is>
      </c>
      <c r="U39" s="25" t="inlineStr">
        <is>
          <t>—</t>
        </is>
      </c>
      <c r="V39" s="25" t="inlineStr">
        <is>
          <t>44</t>
        </is>
      </c>
    </row>
    <row r="40" ht="22" customHeight="1">
      <c r="A40" s="25" t="inlineStr">
        <is>
          <t>pal_039</t>
        </is>
      </c>
      <c r="B40" s="25" t="inlineStr">
        <is>
          <t>No.039</t>
        </is>
      </c>
      <c r="C40" s="25" t="inlineStr">
        <is>
          <t>姬小兔</t>
        </is>
      </c>
      <c r="D40" s="25" t="inlineStr">
        <is>
          <t>风</t>
        </is>
      </c>
      <c r="E40" s="25" t="inlineStr">
        <is>
          <t>44</t>
        </is>
      </c>
      <c r="F40" s="25" t="inlineStr">
        <is>
          <t>白银</t>
        </is>
      </c>
      <c r="G40" s="25" t="inlineStr">
        <is>
          <t>小型</t>
        </is>
      </c>
      <c r="H40" s="25" t="inlineStr">
        <is>
          <t>坦克</t>
        </is>
      </c>
      <c r="I40" s="26">
        <f>IFERROR(VLOOKUP($A40,'02_怪物模板_好读版'!$A:$S,15,FALSE),0)+IFERROR(VLOOKUP($A40,'02_怪物模板_好读版'!$A:$S,16,FALSE),0)</f>
        <v/>
      </c>
      <c r="J40" s="26">
        <f>IFERROR(VLOOKUP($A40,'02_怪物模板_好读版'!$A:$Z,8,FALSE),15)</f>
        <v/>
      </c>
      <c r="K40" s="26">
        <f>IFERROR(VLOOKUP($A40,'02_怪物模板_好读版'!$A:$Z,9,FALSE),8)</f>
        <v/>
      </c>
      <c r="L40" s="26">
        <f>IFERROR(VLOOKUP($A40,'02_怪物模板_好读版'!$A:$Z,10,FALSE),0)</f>
        <v/>
      </c>
      <c r="M40" s="26">
        <f>IFERROR(VLOOKUP($A40,'02_怪物模板_好读版'!$A:$Z,11,FALSE),6)</f>
        <v/>
      </c>
      <c r="N40" s="26">
        <f>IFERROR(VLOOKUP($A40,'02_怪物模板_好读版'!$A:$Z,12,FALSE),3)</f>
        <v/>
      </c>
      <c r="O40" s="26">
        <f>IFERROR(VLOOKUP($A40,'02_怪物模板_好读版'!$A:$Z,13,FALSE),"REVIEW")</f>
        <v/>
      </c>
      <c r="P40" s="25" t="inlineStr">
        <is>
          <t>B1 横扫三格</t>
        </is>
      </c>
      <c r="Q40" s="25" t="inlineStr">
        <is>
          <t>扫击/3格</t>
        </is>
      </c>
      <c r="R40" s="25" t="inlineStr">
        <is>
          <t>阻挡</t>
        </is>
      </c>
      <c r="S40" s="25" t="inlineStr">
        <is>
          <t>castleReduce</t>
        </is>
      </c>
      <c r="T40" s="25" t="inlineStr">
        <is>
          <t>风、防御、前排、阻挡</t>
        </is>
      </c>
      <c r="U40" s="25" t="inlineStr">
        <is>
          <t>—</t>
        </is>
      </c>
      <c r="V40" s="25" t="inlineStr">
        <is>
          <t>旧定位=防御</t>
        </is>
      </c>
    </row>
    <row r="41" ht="22" customHeight="1">
      <c r="A41" s="25" t="inlineStr">
        <is>
          <t>pal_040</t>
        </is>
      </c>
      <c r="B41" s="25" t="inlineStr">
        <is>
          <t>No.040</t>
        </is>
      </c>
      <c r="C41" s="25" t="inlineStr">
        <is>
          <t>炎魔羊</t>
        </is>
      </c>
      <c r="D41" s="25" t="inlineStr">
        <is>
          <t>火</t>
        </is>
      </c>
      <c r="E41" s="25" t="inlineStr">
        <is>
          <t>火、暗</t>
        </is>
      </c>
      <c r="F41" s="25" t="inlineStr">
        <is>
          <t>白银</t>
        </is>
      </c>
      <c r="G41" s="25" t="inlineStr">
        <is>
          <t>中型</t>
        </is>
      </c>
      <c r="H41" s="25" t="inlineStr">
        <is>
          <t>输出</t>
        </is>
      </c>
      <c r="I41" s="26">
        <f>IFERROR(VLOOKUP($A41,'02_怪物模板_好读版'!$A:$S,15,FALSE),0)+IFERROR(VLOOKUP($A41,'02_怪物模板_好读版'!$A:$S,16,FALSE),0)</f>
        <v/>
      </c>
      <c r="J41" s="26">
        <f>IFERROR(VLOOKUP($A41,'02_怪物模板_好读版'!$A:$Z,8,FALSE),25)</f>
        <v/>
      </c>
      <c r="K41" s="26">
        <f>IFERROR(VLOOKUP($A41,'02_怪物模板_好读版'!$A:$Z,9,FALSE),4)</f>
        <v/>
      </c>
      <c r="L41" s="26">
        <f>IFERROR(VLOOKUP($A41,'02_怪物模板_好读版'!$A:$Z,10,FALSE),0)</f>
        <v/>
      </c>
      <c r="M41" s="26">
        <f>IFERROR(VLOOKUP($A41,'02_怪物模板_好读版'!$A:$Z,11,FALSE),0)</f>
        <v/>
      </c>
      <c r="N41" s="26">
        <f>IFERROR(VLOOKUP($A41,'02_怪物模板_好读版'!$A:$Z,12,FALSE),3)</f>
        <v/>
      </c>
      <c r="O41" s="26">
        <f>IFERROR(VLOOKUP($A41,'02_怪物模板_好读版'!$A:$Z,13,FALSE),"mech_counter")</f>
        <v/>
      </c>
      <c r="P41" s="25" t="inlineStr">
        <is>
          <t>B1 横扫三格</t>
        </is>
      </c>
      <c r="Q41" s="25" t="inlineStr">
        <is>
          <t>扫击/3格</t>
        </is>
      </c>
      <c r="R41" s="25" t="inlineStr">
        <is>
          <t>输出</t>
        </is>
      </c>
      <c r="S41" s="25" t="inlineStr">
        <is>
          <t>castleReduce</t>
        </is>
      </c>
      <c r="T41" s="25" t="inlineStr">
        <is>
          <t>火、输出、爆发、前排</t>
        </is>
      </c>
      <c r="U41" s="25" t="inlineStr">
        <is>
          <t>—</t>
        </is>
      </c>
      <c r="V41" s="25" t="inlineStr">
        <is>
          <t>44</t>
        </is>
      </c>
    </row>
    <row r="42" ht="22" customHeight="1">
      <c r="A42" s="25" t="inlineStr">
        <is>
          <t>pal_041</t>
        </is>
      </c>
      <c r="B42" s="25" t="inlineStr">
        <is>
          <t>No.041</t>
        </is>
      </c>
      <c r="C42" s="25" t="inlineStr">
        <is>
          <t>幻悦蝶</t>
        </is>
      </c>
      <c r="D42" s="25" t="inlineStr">
        <is>
          <t>风</t>
        </is>
      </c>
      <c r="E42" s="25" t="inlineStr">
        <is>
          <t>草</t>
        </is>
      </c>
      <c r="F42" s="25" t="inlineStr">
        <is>
          <t>白银</t>
        </is>
      </c>
      <c r="G42" s="25" t="inlineStr">
        <is>
          <t>小型</t>
        </is>
      </c>
      <c r="H42" s="25" t="inlineStr">
        <is>
          <t>治疗</t>
        </is>
      </c>
      <c r="I42" s="26">
        <f>IFERROR(VLOOKUP($A42,'02_怪物模板_好读版'!$A:$S,15,FALSE),0)+IFERROR(VLOOKUP($A42,'02_怪物模板_好读版'!$A:$S,16,FALSE),0)</f>
        <v/>
      </c>
      <c r="J42" s="26">
        <f>IFERROR(VLOOKUP($A42,'02_怪物模板_好读版'!$A:$Z,8,FALSE),25)</f>
        <v/>
      </c>
      <c r="K42" s="26">
        <f>IFERROR(VLOOKUP($A42,'02_怪物模板_好读版'!$A:$Z,9,FALSE),12)</f>
        <v/>
      </c>
      <c r="L42" s="26">
        <f>IFERROR(VLOOKUP($A42,'02_怪物模板_好读版'!$A:$Z,10,FALSE),0)</f>
        <v/>
      </c>
      <c r="M42" s="26">
        <f>IFERROR(VLOOKUP($A42,'02_怪物模板_好读版'!$A:$Z,11,FALSE),0)</f>
        <v/>
      </c>
      <c r="N42" s="26">
        <f>IFERROR(VLOOKUP($A42,'02_怪物模板_好读版'!$A:$Z,12,FALSE),3)</f>
        <v/>
      </c>
      <c r="O42" s="26">
        <f>IFERROR(VLOOKUP($A42,'02_怪物模板_好读版'!$A:$Z,13,FALSE),"REVIEW")</f>
        <v/>
      </c>
      <c r="P42" s="25" t="inlineStr">
        <is>
          <t>T1 标准前置T</t>
        </is>
      </c>
      <c r="Q42" s="25" t="inlineStr">
        <is>
          <t>T形/4格</t>
        </is>
      </c>
      <c r="R42" s="25" t="inlineStr">
        <is>
          <t>场地</t>
        </is>
      </c>
      <c r="S42" s="25" t="inlineStr">
        <is>
          <t>healAmpBonus</t>
        </is>
      </c>
      <c r="T42" s="25" t="inlineStr">
        <is>
          <t>风、治疗、后排、增益</t>
        </is>
      </c>
      <c r="U42" s="25" t="inlineStr">
        <is>
          <t>—</t>
        </is>
      </c>
      <c r="V42" s="25" t="inlineStr">
        <is>
          <t>治疗补预算</t>
        </is>
      </c>
    </row>
    <row r="43" ht="22" customHeight="1">
      <c r="A43" s="25" t="inlineStr">
        <is>
          <t>pal_042</t>
        </is>
      </c>
      <c r="B43" s="25" t="inlineStr">
        <is>
          <t>No.042</t>
        </is>
      </c>
      <c r="C43" s="25" t="inlineStr">
        <is>
          <t>炽焰牛</t>
        </is>
      </c>
      <c r="D43" s="25" t="inlineStr">
        <is>
          <t>火</t>
        </is>
      </c>
      <c r="E43" s="25" t="inlineStr">
        <is>
          <t>44</t>
        </is>
      </c>
      <c r="F43" s="25" t="inlineStr">
        <is>
          <t>白银</t>
        </is>
      </c>
      <c r="G43" s="25" t="inlineStr">
        <is>
          <t>小型</t>
        </is>
      </c>
      <c r="H43" s="25" t="inlineStr">
        <is>
          <t>输出</t>
        </is>
      </c>
      <c r="I43" s="26">
        <f>IFERROR(VLOOKUP($A43,'02_怪物模板_好读版'!$A:$S,15,FALSE),0)+IFERROR(VLOOKUP($A43,'02_怪物模板_好读版'!$A:$S,16,FALSE),0)</f>
        <v/>
      </c>
      <c r="J43" s="26">
        <f>IFERROR(VLOOKUP($A43,'02_怪物模板_好读版'!$A:$Z,8,FALSE),10)</f>
        <v/>
      </c>
      <c r="K43" s="26">
        <f>IFERROR(VLOOKUP($A43,'02_怪物模板_好读版'!$A:$Z,9,FALSE),2)</f>
        <v/>
      </c>
      <c r="L43" s="26">
        <f>IFERROR(VLOOKUP($A43,'02_怪物模板_好读版'!$A:$Z,10,FALSE),0)</f>
        <v/>
      </c>
      <c r="M43" s="26">
        <f>IFERROR(VLOOKUP($A43,'02_怪物模板_好读版'!$A:$Z,11,FALSE),0)</f>
        <v/>
      </c>
      <c r="N43" s="26">
        <f>IFERROR(VLOOKUP($A43,'02_怪物模板_好读版'!$A:$Z,12,FALSE),3)</f>
        <v/>
      </c>
      <c r="O43" s="26">
        <f>IFERROR(VLOOKUP($A43,'02_怪物模板_好读版'!$A:$Z,13,FALSE),"mech_self_destruct")</f>
        <v/>
      </c>
      <c r="P43" s="25" t="inlineStr">
        <is>
          <t>B1 横扫三格</t>
        </is>
      </c>
      <c r="Q43" s="25" t="inlineStr">
        <is>
          <t>扫击/3格</t>
        </is>
      </c>
      <c r="R43" s="25" t="inlineStr">
        <is>
          <t>输出</t>
        </is>
      </c>
      <c r="S43" s="25" t="inlineStr">
        <is>
          <t>castleReduce</t>
        </is>
      </c>
      <c r="T43" s="25" t="inlineStr">
        <is>
          <t>火、输出、爆发、前排</t>
        </is>
      </c>
      <c r="U43" s="25" t="inlineStr">
        <is>
          <t>—</t>
        </is>
      </c>
      <c r="V43" s="25" t="inlineStr">
        <is>
          <t>44</t>
        </is>
      </c>
    </row>
    <row r="44" ht="22" customHeight="1">
      <c r="A44" s="25" t="inlineStr">
        <is>
          <t>pal_043</t>
        </is>
      </c>
      <c r="B44" s="25" t="inlineStr">
        <is>
          <t>No.043</t>
        </is>
      </c>
      <c r="C44" s="25" t="inlineStr">
        <is>
          <t>趴趴鲶</t>
        </is>
      </c>
      <c r="D44" s="25" t="inlineStr">
        <is>
          <t>土</t>
        </is>
      </c>
      <c r="E44" s="25" t="inlineStr">
        <is>
          <t>地</t>
        </is>
      </c>
      <c r="F44" s="25" t="inlineStr">
        <is>
          <t>白银</t>
        </is>
      </c>
      <c r="G44" s="25" t="inlineStr">
        <is>
          <t>小型</t>
        </is>
      </c>
      <c r="H44" s="25" t="inlineStr">
        <is>
          <t>治疗</t>
        </is>
      </c>
      <c r="I44" s="26">
        <f>IFERROR(VLOOKUP($A44,'02_怪物模板_好读版'!$A:$S,15,FALSE),0)+IFERROR(VLOOKUP($A44,'02_怪物模板_好读版'!$A:$S,16,FALSE),0)</f>
        <v/>
      </c>
      <c r="J44" s="26">
        <f>IFERROR(VLOOKUP($A44,'02_怪物模板_好读版'!$A:$Z,8,FALSE),25)</f>
        <v/>
      </c>
      <c r="K44" s="26">
        <f>IFERROR(VLOOKUP($A44,'02_怪物模板_好读版'!$A:$Z,9,FALSE),12)</f>
        <v/>
      </c>
      <c r="L44" s="26">
        <f>IFERROR(VLOOKUP($A44,'02_怪物模板_好读版'!$A:$Z,10,FALSE),0)</f>
        <v/>
      </c>
      <c r="M44" s="26">
        <f>IFERROR(VLOOKUP($A44,'02_怪物模板_好读版'!$A:$Z,11,FALSE),0)</f>
        <v/>
      </c>
      <c r="N44" s="26">
        <f>IFERROR(VLOOKUP($A44,'02_怪物模板_好读版'!$A:$Z,12,FALSE),3)</f>
        <v/>
      </c>
      <c r="O44" s="26">
        <f>IFERROR(VLOOKUP($A44,'02_怪物模板_好读版'!$A:$Z,13,FALSE),"REVIEW")</f>
        <v/>
      </c>
      <c r="P44" s="25" t="inlineStr">
        <is>
          <t>T1 标准前置T</t>
        </is>
      </c>
      <c r="Q44" s="25" t="inlineStr">
        <is>
          <t>T形/4格</t>
        </is>
      </c>
      <c r="R44" s="25" t="inlineStr">
        <is>
          <t>场地</t>
        </is>
      </c>
      <c r="S44" s="25" t="inlineStr">
        <is>
          <t>healAmpBonus</t>
        </is>
      </c>
      <c r="T44" s="25" t="inlineStr">
        <is>
          <t>土、治疗、后排、增益</t>
        </is>
      </c>
      <c r="U44" s="25" t="inlineStr">
        <is>
          <t>—</t>
        </is>
      </c>
      <c r="V44" s="25" t="inlineStr">
        <is>
          <t>治疗补预算</t>
        </is>
      </c>
    </row>
    <row r="45" ht="22" customHeight="1">
      <c r="A45" s="25" t="inlineStr">
        <is>
          <t>pal_044</t>
        </is>
      </c>
      <c r="B45" s="25" t="inlineStr">
        <is>
          <t>No.044</t>
        </is>
      </c>
      <c r="C45" s="25" t="inlineStr">
        <is>
          <t>黑鸦隐士</t>
        </is>
      </c>
      <c r="D45" s="25" t="inlineStr">
        <is>
          <t>土</t>
        </is>
      </c>
      <c r="E45" s="25" t="inlineStr">
        <is>
          <t>暗</t>
        </is>
      </c>
      <c r="F45" s="25" t="inlineStr">
        <is>
          <t>白银</t>
        </is>
      </c>
      <c r="G45" s="25" t="inlineStr">
        <is>
          <t>小型</t>
        </is>
      </c>
      <c r="H45" s="25" t="inlineStr">
        <is>
          <t>坦克</t>
        </is>
      </c>
      <c r="I45" s="26">
        <f>IFERROR(VLOOKUP($A45,'02_怪物模板_好读版'!$A:$S,15,FALSE),0)+IFERROR(VLOOKUP($A45,'02_怪物模板_好读版'!$A:$S,16,FALSE),0)</f>
        <v/>
      </c>
      <c r="J45" s="26">
        <f>IFERROR(VLOOKUP($A45,'02_怪物模板_好读版'!$A:$Z,8,FALSE),15)</f>
        <v/>
      </c>
      <c r="K45" s="26">
        <f>IFERROR(VLOOKUP($A45,'02_怪物模板_好读版'!$A:$Z,9,FALSE),8)</f>
        <v/>
      </c>
      <c r="L45" s="26">
        <f>IFERROR(VLOOKUP($A45,'02_怪物模板_好读版'!$A:$Z,10,FALSE),0)</f>
        <v/>
      </c>
      <c r="M45" s="26">
        <f>IFERROR(VLOOKUP($A45,'02_怪物模板_好读版'!$A:$Z,11,FALSE),6)</f>
        <v/>
      </c>
      <c r="N45" s="26">
        <f>IFERROR(VLOOKUP($A45,'02_怪物模板_好读版'!$A:$Z,12,FALSE),3)</f>
        <v/>
      </c>
      <c r="O45" s="26">
        <f>IFERROR(VLOOKUP($A45,'02_怪物模板_好读版'!$A:$Z,13,FALSE),"REVIEW")</f>
        <v/>
      </c>
      <c r="P45" s="25" t="inlineStr">
        <is>
          <t>B1 横扫三格</t>
        </is>
      </c>
      <c r="Q45" s="25" t="inlineStr">
        <is>
          <t>扫击/3格</t>
        </is>
      </c>
      <c r="R45" s="25" t="inlineStr">
        <is>
          <t>阻挡</t>
        </is>
      </c>
      <c r="S45" s="25" t="inlineStr">
        <is>
          <t>castleReduce</t>
        </is>
      </c>
      <c r="T45" s="25" t="inlineStr">
        <is>
          <t>土、防御、前排、阻挡</t>
        </is>
      </c>
      <c r="U45" s="25" t="inlineStr">
        <is>
          <t>—</t>
        </is>
      </c>
      <c r="V45" s="25" t="inlineStr">
        <is>
          <t>旧定位=防御</t>
        </is>
      </c>
    </row>
    <row r="46" ht="22" customHeight="1">
      <c r="A46" s="25" t="inlineStr">
        <is>
          <t>pal_045</t>
        </is>
      </c>
      <c r="B46" s="25" t="inlineStr">
        <is>
          <t>No.045</t>
        </is>
      </c>
      <c r="C46" s="25" t="inlineStr">
        <is>
          <t>朋克蜥</t>
        </is>
      </c>
      <c r="D46" s="25" t="inlineStr">
        <is>
          <t>土</t>
        </is>
      </c>
      <c r="E46" s="25" t="inlineStr">
        <is>
          <t>暗</t>
        </is>
      </c>
      <c r="F46" s="25" t="inlineStr">
        <is>
          <t>白银</t>
        </is>
      </c>
      <c r="G46" s="25" t="inlineStr">
        <is>
          <t>小型</t>
        </is>
      </c>
      <c r="H46" s="25" t="inlineStr">
        <is>
          <t>坦克</t>
        </is>
      </c>
      <c r="I46" s="26">
        <f>IFERROR(VLOOKUP($A46,'02_怪物模板_好读版'!$A:$S,15,FALSE),0)+IFERROR(VLOOKUP($A46,'02_怪物模板_好读版'!$A:$S,16,FALSE),0)</f>
        <v/>
      </c>
      <c r="J46" s="26">
        <f>IFERROR(VLOOKUP($A46,'02_怪物模板_好读版'!$A:$Z,8,FALSE),15)</f>
        <v/>
      </c>
      <c r="K46" s="26">
        <f>IFERROR(VLOOKUP($A46,'02_怪物模板_好读版'!$A:$Z,9,FALSE),8)</f>
        <v/>
      </c>
      <c r="L46" s="26">
        <f>IFERROR(VLOOKUP($A46,'02_怪物模板_好读版'!$A:$Z,10,FALSE),0)</f>
        <v/>
      </c>
      <c r="M46" s="26">
        <f>IFERROR(VLOOKUP($A46,'02_怪物模板_好读版'!$A:$Z,11,FALSE),6)</f>
        <v/>
      </c>
      <c r="N46" s="26">
        <f>IFERROR(VLOOKUP($A46,'02_怪物模板_好读版'!$A:$Z,12,FALSE),3)</f>
        <v/>
      </c>
      <c r="O46" s="26">
        <f>IFERROR(VLOOKUP($A46,'02_怪物模板_好读版'!$A:$Z,13,FALSE),"REVIEW")</f>
        <v/>
      </c>
      <c r="P46" s="25" t="inlineStr">
        <is>
          <t>B1 横扫三格</t>
        </is>
      </c>
      <c r="Q46" s="25" t="inlineStr">
        <is>
          <t>扫击/3格</t>
        </is>
      </c>
      <c r="R46" s="25" t="inlineStr">
        <is>
          <t>阻挡</t>
        </is>
      </c>
      <c r="S46" s="25" t="inlineStr">
        <is>
          <t>castleReduce</t>
        </is>
      </c>
      <c r="T46" s="25" t="inlineStr">
        <is>
          <t>土、防御、前排、阻挡</t>
        </is>
      </c>
      <c r="U46" s="25" t="inlineStr">
        <is>
          <t>—</t>
        </is>
      </c>
      <c r="V46" s="25" t="inlineStr">
        <is>
          <t>旧定位=防御</t>
        </is>
      </c>
    </row>
    <row r="47" ht="22" customHeight="1">
      <c r="A47" s="25" t="inlineStr">
        <is>
          <t>pal_046</t>
        </is>
      </c>
      <c r="B47" s="25" t="inlineStr">
        <is>
          <t>No.046</t>
        </is>
      </c>
      <c r="C47" s="25" t="inlineStr">
        <is>
          <t>月镰魔</t>
        </is>
      </c>
      <c r="D47" s="25" t="inlineStr">
        <is>
          <t>土</t>
        </is>
      </c>
      <c r="E47" s="25" t="inlineStr">
        <is>
          <t>暗</t>
        </is>
      </c>
      <c r="F47" s="25" t="inlineStr">
        <is>
          <t>白银</t>
        </is>
      </c>
      <c r="G47" s="25" t="inlineStr">
        <is>
          <t>中型</t>
        </is>
      </c>
      <c r="H47" s="25" t="inlineStr">
        <is>
          <t>坦克</t>
        </is>
      </c>
      <c r="I47" s="26">
        <f>IFERROR(VLOOKUP($A47,'02_怪物模板_好读版'!$A:$S,15,FALSE),0)+IFERROR(VLOOKUP($A47,'02_怪物模板_好读版'!$A:$S,16,FALSE),0)</f>
        <v/>
      </c>
      <c r="J47" s="26">
        <f>IFERROR(VLOOKUP($A47,'02_怪物模板_好读版'!$A:$Z,8,FALSE),30)</f>
        <v/>
      </c>
      <c r="K47" s="26">
        <f>IFERROR(VLOOKUP($A47,'02_怪物模板_好读版'!$A:$Z,9,FALSE),4)</f>
        <v/>
      </c>
      <c r="L47" s="26">
        <f>IFERROR(VLOOKUP($A47,'02_怪物模板_好读版'!$A:$Z,10,FALSE),0)</f>
        <v/>
      </c>
      <c r="M47" s="26">
        <f>IFERROR(VLOOKUP($A47,'02_怪物模板_好读版'!$A:$Z,11,FALSE),6)</f>
        <v/>
      </c>
      <c r="N47" s="26">
        <f>IFERROR(VLOOKUP($A47,'02_怪物模板_好读版'!$A:$Z,12,FALSE),3)</f>
        <v/>
      </c>
      <c r="O47" s="26">
        <f>IFERROR(VLOOKUP($A47,'02_怪物模板_好读版'!$A:$Z,13,FALSE),"mech_counter")</f>
        <v/>
      </c>
      <c r="P47" s="25" t="inlineStr">
        <is>
          <t>B1 横扫三格</t>
        </is>
      </c>
      <c r="Q47" s="25" t="inlineStr">
        <is>
          <t>扫击/3格</t>
        </is>
      </c>
      <c r="R47" s="25" t="inlineStr">
        <is>
          <t>阻挡</t>
        </is>
      </c>
      <c r="S47" s="25" t="inlineStr">
        <is>
          <t>castleReduce</t>
        </is>
      </c>
      <c r="T47" s="25" t="inlineStr">
        <is>
          <t>土、防御、前排、阻挡</t>
        </is>
      </c>
      <c r="U47" s="25" t="inlineStr">
        <is>
          <t>—</t>
        </is>
      </c>
      <c r="V47" s="25" t="inlineStr">
        <is>
          <t>旧定位=防御</t>
        </is>
      </c>
    </row>
    <row r="48" ht="22" customHeight="1">
      <c r="A48" s="25" t="inlineStr">
        <is>
          <t>pal_047</t>
        </is>
      </c>
      <c r="B48" s="25" t="inlineStr">
        <is>
          <t>No.047</t>
        </is>
      </c>
      <c r="C48" s="25" t="inlineStr">
        <is>
          <t>天擒鸟</t>
        </is>
      </c>
      <c r="D48" s="25" t="inlineStr">
        <is>
          <t>风</t>
        </is>
      </c>
      <c r="E48" s="25" t="inlineStr">
        <is>
          <t>44</t>
        </is>
      </c>
      <c r="F48" s="25" t="inlineStr">
        <is>
          <t>白银</t>
        </is>
      </c>
      <c r="G48" s="25" t="inlineStr">
        <is>
          <t>小型</t>
        </is>
      </c>
      <c r="H48" s="25" t="inlineStr">
        <is>
          <t>机动</t>
        </is>
      </c>
      <c r="I48" s="26">
        <f>IFERROR(VLOOKUP($A48,'02_怪物模板_好读版'!$A:$S,15,FALSE),0)+IFERROR(VLOOKUP($A48,'02_怪物模板_好读版'!$A:$S,16,FALSE),0)</f>
        <v/>
      </c>
      <c r="J48" s="26">
        <f>IFERROR(VLOOKUP($A48,'02_怪物模板_好读版'!$A:$Z,8,FALSE),10)</f>
        <v/>
      </c>
      <c r="K48" s="26">
        <f>IFERROR(VLOOKUP($A48,'02_怪物模板_好读版'!$A:$Z,9,FALSE),17)</f>
        <v/>
      </c>
      <c r="L48" s="26">
        <f>IFERROR(VLOOKUP($A48,'02_怪物模板_好读版'!$A:$Z,10,FALSE),0)</f>
        <v/>
      </c>
      <c r="M48" s="26">
        <f>IFERROR(VLOOKUP($A48,'02_怪物模板_好读版'!$A:$Z,11,FALSE),0)</f>
        <v/>
      </c>
      <c r="N48" s="26">
        <f>IFERROR(VLOOKUP($A48,'02_怪物模板_好读版'!$A:$Z,12,FALSE),3)</f>
        <v/>
      </c>
      <c r="O48" s="26">
        <f>IFERROR(VLOOKUP($A48,'02_怪物模板_好读版'!$A:$Z,13,FALSE),"REVIEW")</f>
        <v/>
      </c>
      <c r="P48" s="25" t="inlineStr">
        <is>
          <t>T2 长柄T</t>
        </is>
      </c>
      <c r="Q48" s="25" t="inlineStr">
        <is>
          <t>T形/5格</t>
        </is>
      </c>
      <c r="R48" s="25" t="inlineStr">
        <is>
          <t>牵制</t>
        </is>
      </c>
      <c r="S48" s="25" t="inlineStr">
        <is>
          <t>advHitBonus</t>
        </is>
      </c>
      <c r="T48" s="25" t="inlineStr">
        <is>
          <t>风、机动、灵活、泛用</t>
        </is>
      </c>
      <c r="U48" s="25" t="inlineStr">
        <is>
          <t>—</t>
        </is>
      </c>
      <c r="V48" s="25" t="inlineStr">
        <is>
          <t>44</t>
        </is>
      </c>
    </row>
    <row r="49" ht="22" customHeight="1">
      <c r="A49" s="25" t="inlineStr">
        <is>
          <t>pal_048</t>
        </is>
      </c>
      <c r="B49" s="25" t="inlineStr">
        <is>
          <t>No.048</t>
        </is>
      </c>
      <c r="C49" s="25" t="inlineStr">
        <is>
          <t>羽箭射手</t>
        </is>
      </c>
      <c r="D49" s="25" t="inlineStr">
        <is>
          <t>风</t>
        </is>
      </c>
      <c r="E49" s="25" t="inlineStr">
        <is>
          <t>草</t>
        </is>
      </c>
      <c r="F49" s="25" t="inlineStr">
        <is>
          <t>白银</t>
        </is>
      </c>
      <c r="G49" s="25" t="inlineStr">
        <is>
          <t>小型</t>
        </is>
      </c>
      <c r="H49" s="25" t="inlineStr">
        <is>
          <t>治疗</t>
        </is>
      </c>
      <c r="I49" s="26">
        <f>IFERROR(VLOOKUP($A49,'02_怪物模板_好读版'!$A:$S,15,FALSE),0)+IFERROR(VLOOKUP($A49,'02_怪物模板_好读版'!$A:$S,16,FALSE),0)</f>
        <v/>
      </c>
      <c r="J49" s="26">
        <f>IFERROR(VLOOKUP($A49,'02_怪物模板_好读版'!$A:$Z,8,FALSE),25)</f>
        <v/>
      </c>
      <c r="K49" s="26">
        <f>IFERROR(VLOOKUP($A49,'02_怪物模板_好读版'!$A:$Z,9,FALSE),12)</f>
        <v/>
      </c>
      <c r="L49" s="26">
        <f>IFERROR(VLOOKUP($A49,'02_怪物模板_好读版'!$A:$Z,10,FALSE),0)</f>
        <v/>
      </c>
      <c r="M49" s="26">
        <f>IFERROR(VLOOKUP($A49,'02_怪物模板_好读版'!$A:$Z,11,FALSE),0)</f>
        <v/>
      </c>
      <c r="N49" s="26">
        <f>IFERROR(VLOOKUP($A49,'02_怪物模板_好读版'!$A:$Z,12,FALSE),3)</f>
        <v/>
      </c>
      <c r="O49" s="26">
        <f>IFERROR(VLOOKUP($A49,'02_怪物模板_好读版'!$A:$Z,13,FALSE),"REVIEW")</f>
        <v/>
      </c>
      <c r="P49" s="25" t="inlineStr">
        <is>
          <t>T1 标准前置T</t>
        </is>
      </c>
      <c r="Q49" s="25" t="inlineStr">
        <is>
          <t>T形/4格</t>
        </is>
      </c>
      <c r="R49" s="25" t="inlineStr">
        <is>
          <t>场地</t>
        </is>
      </c>
      <c r="S49" s="25" t="inlineStr">
        <is>
          <t>healAmpBonus</t>
        </is>
      </c>
      <c r="T49" s="25" t="inlineStr">
        <is>
          <t>风、治疗、后排、增益</t>
        </is>
      </c>
      <c r="U49" s="25" t="inlineStr">
        <is>
          <t>—</t>
        </is>
      </c>
      <c r="V49" s="25" t="inlineStr">
        <is>
          <t>治疗补预算</t>
        </is>
      </c>
    </row>
    <row r="50" ht="22" customHeight="1">
      <c r="A50" s="25" t="inlineStr">
        <is>
          <t>pal_049</t>
        </is>
      </c>
      <c r="B50" s="25" t="inlineStr">
        <is>
          <t>No.049</t>
        </is>
      </c>
      <c r="C50" s="25" t="inlineStr">
        <is>
          <t>铁拳猿</t>
        </is>
      </c>
      <c r="D50" s="25" t="inlineStr">
        <is>
          <t>风</t>
        </is>
      </c>
      <c r="E50" s="25" t="inlineStr">
        <is>
          <t>44</t>
        </is>
      </c>
      <c r="F50" s="25" t="inlineStr">
        <is>
          <t>白银</t>
        </is>
      </c>
      <c r="G50" s="25" t="inlineStr">
        <is>
          <t>小型</t>
        </is>
      </c>
      <c r="H50" s="25" t="inlineStr">
        <is>
          <t>坦克</t>
        </is>
      </c>
      <c r="I50" s="26">
        <f>IFERROR(VLOOKUP($A50,'02_怪物模板_好读版'!$A:$S,15,FALSE),0)+IFERROR(VLOOKUP($A50,'02_怪物模板_好读版'!$A:$S,16,FALSE),0)</f>
        <v/>
      </c>
      <c r="J50" s="26">
        <f>IFERROR(VLOOKUP($A50,'02_怪物模板_好读版'!$A:$Z,8,FALSE),15)</f>
        <v/>
      </c>
      <c r="K50" s="26">
        <f>IFERROR(VLOOKUP($A50,'02_怪物模板_好读版'!$A:$Z,9,FALSE),8)</f>
        <v/>
      </c>
      <c r="L50" s="26">
        <f>IFERROR(VLOOKUP($A50,'02_怪物模板_好读版'!$A:$Z,10,FALSE),0)</f>
        <v/>
      </c>
      <c r="M50" s="26">
        <f>IFERROR(VLOOKUP($A50,'02_怪物模板_好读版'!$A:$Z,11,FALSE),6)</f>
        <v/>
      </c>
      <c r="N50" s="26">
        <f>IFERROR(VLOOKUP($A50,'02_怪物模板_好读版'!$A:$Z,12,FALSE),3)</f>
        <v/>
      </c>
      <c r="O50" s="26">
        <f>IFERROR(VLOOKUP($A50,'02_怪物模板_好读版'!$A:$Z,13,FALSE),"REVIEW")</f>
        <v/>
      </c>
      <c r="P50" s="25" t="inlineStr">
        <is>
          <t>B1 横扫三格</t>
        </is>
      </c>
      <c r="Q50" s="25" t="inlineStr">
        <is>
          <t>扫击/3格</t>
        </is>
      </c>
      <c r="R50" s="25" t="inlineStr">
        <is>
          <t>阻挡</t>
        </is>
      </c>
      <c r="S50" s="25" t="inlineStr">
        <is>
          <t>castleReduce</t>
        </is>
      </c>
      <c r="T50" s="25" t="inlineStr">
        <is>
          <t>风、防御、前排、阻挡</t>
        </is>
      </c>
      <c r="U50" s="25" t="inlineStr">
        <is>
          <t>—</t>
        </is>
      </c>
      <c r="V50" s="25" t="inlineStr">
        <is>
          <t>旧定位=防御</t>
        </is>
      </c>
    </row>
    <row r="51" ht="22" customHeight="1">
      <c r="A51" s="25" t="inlineStr">
        <is>
          <t>pal_050</t>
        </is>
      </c>
      <c r="B51" s="25" t="inlineStr">
        <is>
          <t>No.050</t>
        </is>
      </c>
      <c r="C51" s="25" t="inlineStr">
        <is>
          <t>骑士蜂</t>
        </is>
      </c>
      <c r="D51" s="25" t="inlineStr">
        <is>
          <t>风</t>
        </is>
      </c>
      <c r="E51" s="25" t="inlineStr">
        <is>
          <t>草</t>
        </is>
      </c>
      <c r="F51" s="25" t="inlineStr">
        <is>
          <t>白银</t>
        </is>
      </c>
      <c r="G51" s="25" t="inlineStr">
        <is>
          <t>中型</t>
        </is>
      </c>
      <c r="H51" s="25" t="inlineStr">
        <is>
          <t>召唤</t>
        </is>
      </c>
      <c r="I51" s="26">
        <f>IFERROR(VLOOKUP($A51,'02_怪物模板_好读版'!$A:$S,15,FALSE),0)+IFERROR(VLOOKUP($A51,'02_怪物模板_好读版'!$A:$S,16,FALSE),0)</f>
        <v/>
      </c>
      <c r="J51" s="26">
        <f>IFERROR(VLOOKUP($A51,'02_怪物模板_好读版'!$A:$Z,8,FALSE),35)</f>
        <v/>
      </c>
      <c r="K51" s="26">
        <f>IFERROR(VLOOKUP($A51,'02_怪物模板_好读版'!$A:$Z,9,FALSE),26)</f>
        <v/>
      </c>
      <c r="L51" s="26">
        <f>IFERROR(VLOOKUP($A51,'02_怪物模板_好读版'!$A:$Z,10,FALSE),0)</f>
        <v/>
      </c>
      <c r="M51" s="26">
        <f>IFERROR(VLOOKUP($A51,'02_怪物模板_好读版'!$A:$Z,11,FALSE),0)</f>
        <v/>
      </c>
      <c r="N51" s="26">
        <f>IFERROR(VLOOKUP($A51,'02_怪物模板_好读版'!$A:$Z,12,FALSE),3)</f>
        <v/>
      </c>
      <c r="O51" s="26">
        <f>IFERROR(VLOOKUP($A51,'02_怪物模板_好读版'!$A:$Z,13,FALSE),"mech_summon")</f>
        <v/>
      </c>
      <c r="P51" s="25" t="inlineStr">
        <is>
          <t>A1 单点刺</t>
        </is>
      </c>
      <c r="Q51" s="25" t="inlineStr">
        <is>
          <t>直线/1格</t>
        </is>
      </c>
      <c r="R51" s="25" t="inlineStr">
        <is>
          <t>召唤</t>
        </is>
      </c>
      <c r="S51" s="25" t="inlineStr">
        <is>
          <t>summonFromCell</t>
        </is>
      </c>
      <c r="T51" s="25" t="inlineStr">
        <is>
          <t>风、召唤、成长、核心</t>
        </is>
      </c>
      <c r="U51" s="25" t="inlineStr">
        <is>
          <t>是</t>
        </is>
      </c>
      <c r="V51" s="25" t="inlineStr">
        <is>
          <t>召唤补预算</t>
        </is>
      </c>
    </row>
    <row r="52" ht="22" customHeight="1">
      <c r="A52" s="25" t="inlineStr">
        <is>
          <t>pal_051</t>
        </is>
      </c>
      <c r="B52" s="25" t="inlineStr">
        <is>
          <t>No.051</t>
        </is>
      </c>
      <c r="C52" s="25" t="inlineStr">
        <is>
          <t>女皇蜂</t>
        </is>
      </c>
      <c r="D52" s="25" t="inlineStr">
        <is>
          <t>风</t>
        </is>
      </c>
      <c r="E52" s="25" t="inlineStr">
        <is>
          <t>草</t>
        </is>
      </c>
      <c r="F52" s="25" t="inlineStr">
        <is>
          <t>白银</t>
        </is>
      </c>
      <c r="G52" s="25" t="inlineStr">
        <is>
          <t>小型</t>
        </is>
      </c>
      <c r="H52" s="25" t="inlineStr">
        <is>
          <t>治疗</t>
        </is>
      </c>
      <c r="I52" s="26">
        <f>IFERROR(VLOOKUP($A52,'02_怪物模板_好读版'!$A:$S,15,FALSE),0)+IFERROR(VLOOKUP($A52,'02_怪物模板_好读版'!$A:$S,16,FALSE),0)</f>
        <v/>
      </c>
      <c r="J52" s="26">
        <f>IFERROR(VLOOKUP($A52,'02_怪物模板_好读版'!$A:$Z,8,FALSE),25)</f>
        <v/>
      </c>
      <c r="K52" s="26">
        <f>IFERROR(VLOOKUP($A52,'02_怪物模板_好读版'!$A:$Z,9,FALSE),12)</f>
        <v/>
      </c>
      <c r="L52" s="26">
        <f>IFERROR(VLOOKUP($A52,'02_怪物模板_好读版'!$A:$Z,10,FALSE),0)</f>
        <v/>
      </c>
      <c r="M52" s="26">
        <f>IFERROR(VLOOKUP($A52,'02_怪物模板_好读版'!$A:$Z,11,FALSE),0)</f>
        <v/>
      </c>
      <c r="N52" s="26">
        <f>IFERROR(VLOOKUP($A52,'02_怪物模板_好读版'!$A:$Z,12,FALSE),3)</f>
        <v/>
      </c>
      <c r="O52" s="26">
        <f>IFERROR(VLOOKUP($A52,'02_怪物模板_好读版'!$A:$Z,13,FALSE),"REVIEW")</f>
        <v/>
      </c>
      <c r="P52" s="25" t="inlineStr">
        <is>
          <t>T1 标准前置T</t>
        </is>
      </c>
      <c r="Q52" s="25" t="inlineStr">
        <is>
          <t>T形/4格</t>
        </is>
      </c>
      <c r="R52" s="25" t="inlineStr">
        <is>
          <t>场地</t>
        </is>
      </c>
      <c r="S52" s="25" t="inlineStr">
        <is>
          <t>healAmpBonus</t>
        </is>
      </c>
      <c r="T52" s="25" t="inlineStr">
        <is>
          <t>风、治疗、后排、增益</t>
        </is>
      </c>
      <c r="U52" s="25" t="inlineStr">
        <is>
          <t>—</t>
        </is>
      </c>
      <c r="V52" s="25" t="inlineStr">
        <is>
          <t>治疗补预算</t>
        </is>
      </c>
    </row>
    <row r="53" ht="22" customHeight="1">
      <c r="A53" s="25" t="inlineStr">
        <is>
          <t>pal_052</t>
        </is>
      </c>
      <c r="B53" s="25" t="inlineStr">
        <is>
          <t>No.052</t>
        </is>
      </c>
      <c r="C53" s="25" t="inlineStr">
        <is>
          <t>笑魇猫</t>
        </is>
      </c>
      <c r="D53" s="25" t="inlineStr">
        <is>
          <t>风</t>
        </is>
      </c>
      <c r="E53" s="25" t="inlineStr">
        <is>
          <t>44</t>
        </is>
      </c>
      <c r="F53" s="25" t="inlineStr">
        <is>
          <t>白银</t>
        </is>
      </c>
      <c r="G53" s="25" t="inlineStr">
        <is>
          <t>小型</t>
        </is>
      </c>
      <c r="H53" s="25" t="inlineStr">
        <is>
          <t>机动</t>
        </is>
      </c>
      <c r="I53" s="26">
        <f>IFERROR(VLOOKUP($A53,'02_怪物模板_好读版'!$A:$S,15,FALSE),0)+IFERROR(VLOOKUP($A53,'02_怪物模板_好读版'!$A:$S,16,FALSE),0)</f>
        <v/>
      </c>
      <c r="J53" s="26">
        <f>IFERROR(VLOOKUP($A53,'02_怪物模板_好读版'!$A:$Z,8,FALSE),10)</f>
        <v/>
      </c>
      <c r="K53" s="26">
        <f>IFERROR(VLOOKUP($A53,'02_怪物模板_好读版'!$A:$Z,9,FALSE),17)</f>
        <v/>
      </c>
      <c r="L53" s="26">
        <f>IFERROR(VLOOKUP($A53,'02_怪物模板_好读版'!$A:$Z,10,FALSE),0)</f>
        <v/>
      </c>
      <c r="M53" s="26">
        <f>IFERROR(VLOOKUP($A53,'02_怪物模板_好读版'!$A:$Z,11,FALSE),0)</f>
        <v/>
      </c>
      <c r="N53" s="26">
        <f>IFERROR(VLOOKUP($A53,'02_怪物模板_好读版'!$A:$Z,12,FALSE),3)</f>
        <v/>
      </c>
      <c r="O53" s="26">
        <f>IFERROR(VLOOKUP($A53,'02_怪物模板_好读版'!$A:$Z,13,FALSE),"REVIEW")</f>
        <v/>
      </c>
      <c r="P53" s="25" t="inlineStr">
        <is>
          <t>T2 长柄T</t>
        </is>
      </c>
      <c r="Q53" s="25" t="inlineStr">
        <is>
          <t>T形/5格</t>
        </is>
      </c>
      <c r="R53" s="25" t="inlineStr">
        <is>
          <t>牵制</t>
        </is>
      </c>
      <c r="S53" s="25" t="inlineStr">
        <is>
          <t>advHitBonus</t>
        </is>
      </c>
      <c r="T53" s="25" t="inlineStr">
        <is>
          <t>风、机动、灵活、泛用</t>
        </is>
      </c>
      <c r="U53" s="25" t="inlineStr">
        <is>
          <t>—</t>
        </is>
      </c>
      <c r="V53" s="25" t="inlineStr">
        <is>
          <t>44</t>
        </is>
      </c>
    </row>
    <row r="54" ht="22" customHeight="1">
      <c r="A54" s="25" t="inlineStr">
        <is>
          <t>pal_053</t>
        </is>
      </c>
      <c r="B54" s="25" t="inlineStr">
        <is>
          <t>No.053</t>
        </is>
      </c>
      <c r="C54" s="25" t="inlineStr">
        <is>
          <t>毛掸儿</t>
        </is>
      </c>
      <c r="D54" s="25" t="inlineStr">
        <is>
          <t>水</t>
        </is>
      </c>
      <c r="E54" s="25" t="inlineStr">
        <is>
          <t>冰</t>
        </is>
      </c>
      <c r="F54" s="25" t="inlineStr">
        <is>
          <t>白银</t>
        </is>
      </c>
      <c r="G54" s="25" t="inlineStr">
        <is>
          <t>小型</t>
        </is>
      </c>
      <c r="H54" s="25" t="inlineStr">
        <is>
          <t>控制</t>
        </is>
      </c>
      <c r="I54" s="26">
        <f>IFERROR(VLOOKUP($A54,'02_怪物模板_好读版'!$A:$S,15,FALSE),0)+IFERROR(VLOOKUP($A54,'02_怪物模板_好读版'!$A:$S,16,FALSE),0)</f>
        <v/>
      </c>
      <c r="J54" s="26">
        <f>IFERROR(VLOOKUP($A54,'02_怪物模板_好读版'!$A:$Z,8,FALSE),20)</f>
        <v/>
      </c>
      <c r="K54" s="26">
        <f>IFERROR(VLOOKUP($A54,'02_怪物模板_好读版'!$A:$Z,9,FALSE),12)</f>
        <v/>
      </c>
      <c r="L54" s="26">
        <f>IFERROR(VLOOKUP($A54,'02_怪物模板_好读版'!$A:$Z,10,FALSE),0)</f>
        <v/>
      </c>
      <c r="M54" s="26">
        <f>IFERROR(VLOOKUP($A54,'02_怪物模板_好读版'!$A:$Z,11,FALSE),0)</f>
        <v/>
      </c>
      <c r="N54" s="26">
        <f>IFERROR(VLOOKUP($A54,'02_怪物模板_好读版'!$A:$Z,12,FALSE),4)</f>
        <v/>
      </c>
      <c r="O54" s="26">
        <f>IFERROR(VLOOKUP($A54,'02_怪物模板_好读版'!$A:$Z,13,FALSE),"REVIEW")</f>
        <v/>
      </c>
      <c r="P54" s="25" t="inlineStr">
        <is>
          <t>T1 标准前置T</t>
        </is>
      </c>
      <c r="Q54" s="25" t="inlineStr">
        <is>
          <t>T形/4格</t>
        </is>
      </c>
      <c r="R54" s="25" t="inlineStr">
        <is>
          <t>牵制</t>
        </is>
      </c>
      <c r="S54" s="25" t="inlineStr">
        <is>
          <t>healAmpBonus</t>
        </is>
      </c>
      <c r="T54" s="25" t="inlineStr">
        <is>
          <t>水、牵制、范围、机动</t>
        </is>
      </c>
      <c r="U54" s="25" t="inlineStr">
        <is>
          <t>—</t>
        </is>
      </c>
      <c r="V54" s="25" t="inlineStr">
        <is>
          <t>旧定位=牵制；控制补预算</t>
        </is>
      </c>
    </row>
    <row r="55" ht="22" customHeight="1">
      <c r="A55" s="25" t="inlineStr">
        <is>
          <t>pal_054</t>
        </is>
      </c>
      <c r="B55" s="25" t="inlineStr">
        <is>
          <t>No.054</t>
        </is>
      </c>
      <c r="C55" s="25" t="inlineStr">
        <is>
          <t>毛老爹</t>
        </is>
      </c>
      <c r="D55" s="25" t="inlineStr">
        <is>
          <t>水</t>
        </is>
      </c>
      <c r="E55" s="25" t="inlineStr">
        <is>
          <t>冰</t>
        </is>
      </c>
      <c r="F55" s="25" t="inlineStr">
        <is>
          <t>白银</t>
        </is>
      </c>
      <c r="G55" s="25" t="inlineStr">
        <is>
          <t>小型</t>
        </is>
      </c>
      <c r="H55" s="25" t="inlineStr">
        <is>
          <t>控制</t>
        </is>
      </c>
      <c r="I55" s="26">
        <f>IFERROR(VLOOKUP($A55,'02_怪物模板_好读版'!$A:$S,15,FALSE),0)+IFERROR(VLOOKUP($A55,'02_怪物模板_好读版'!$A:$S,16,FALSE),0)</f>
        <v/>
      </c>
      <c r="J55" s="26">
        <f>IFERROR(VLOOKUP($A55,'02_怪物模板_好读版'!$A:$Z,8,FALSE),20)</f>
        <v/>
      </c>
      <c r="K55" s="26">
        <f>IFERROR(VLOOKUP($A55,'02_怪物模板_好读版'!$A:$Z,9,FALSE),12)</f>
        <v/>
      </c>
      <c r="L55" s="26">
        <f>IFERROR(VLOOKUP($A55,'02_怪物模板_好读版'!$A:$Z,10,FALSE),0)</f>
        <v/>
      </c>
      <c r="M55" s="26">
        <f>IFERROR(VLOOKUP($A55,'02_怪物模板_好读版'!$A:$Z,11,FALSE),0)</f>
        <v/>
      </c>
      <c r="N55" s="26">
        <f>IFERROR(VLOOKUP($A55,'02_怪物模板_好读版'!$A:$Z,12,FALSE),4)</f>
        <v/>
      </c>
      <c r="O55" s="26">
        <f>IFERROR(VLOOKUP($A55,'02_怪物模板_好读版'!$A:$Z,13,FALSE),"REVIEW")</f>
        <v/>
      </c>
      <c r="P55" s="25" t="inlineStr">
        <is>
          <t>T1 标准前置T</t>
        </is>
      </c>
      <c r="Q55" s="25" t="inlineStr">
        <is>
          <t>T形/4格</t>
        </is>
      </c>
      <c r="R55" s="25" t="inlineStr">
        <is>
          <t>牵制</t>
        </is>
      </c>
      <c r="S55" s="25" t="inlineStr">
        <is>
          <t>healAmpBonus</t>
        </is>
      </c>
      <c r="T55" s="25" t="inlineStr">
        <is>
          <t>水、牵制、范围、机动</t>
        </is>
      </c>
      <c r="U55" s="25" t="inlineStr">
        <is>
          <t>—</t>
        </is>
      </c>
      <c r="V55" s="25" t="inlineStr">
        <is>
          <t>旧定位=牵制；控制补预算</t>
        </is>
      </c>
    </row>
    <row r="56" ht="22" customHeight="1">
      <c r="A56" s="25" t="inlineStr">
        <is>
          <t>pal_055</t>
        </is>
      </c>
      <c r="B56" s="25" t="inlineStr">
        <is>
          <t>No.055</t>
        </is>
      </c>
      <c r="C56" s="25" t="inlineStr">
        <is>
          <t>疾旋鼬</t>
        </is>
      </c>
      <c r="D56" s="25" t="inlineStr">
        <is>
          <t>水</t>
        </is>
      </c>
      <c r="E56" s="25" t="inlineStr">
        <is>
          <t>冰、龙</t>
        </is>
      </c>
      <c r="F56" s="25" t="inlineStr">
        <is>
          <t>白银</t>
        </is>
      </c>
      <c r="G56" s="25" t="inlineStr">
        <is>
          <t>中型</t>
        </is>
      </c>
      <c r="H56" s="25" t="inlineStr">
        <is>
          <t>控制</t>
        </is>
      </c>
      <c r="I56" s="26">
        <f>IFERROR(VLOOKUP($A56,'02_怪物模板_好读版'!$A:$S,15,FALSE),0)+IFERROR(VLOOKUP($A56,'02_怪物模板_好读版'!$A:$S,16,FALSE),0)</f>
        <v/>
      </c>
      <c r="J56" s="26">
        <f>IFERROR(VLOOKUP($A56,'02_怪物模板_好读版'!$A:$Z,8,FALSE),30)</f>
        <v/>
      </c>
      <c r="K56" s="26">
        <f>IFERROR(VLOOKUP($A56,'02_怪物模板_好读版'!$A:$Z,9,FALSE),2)</f>
        <v/>
      </c>
      <c r="L56" s="26">
        <f>IFERROR(VLOOKUP($A56,'02_怪物模板_好读版'!$A:$Z,10,FALSE),0)</f>
        <v/>
      </c>
      <c r="M56" s="26">
        <f>IFERROR(VLOOKUP($A56,'02_怪物模板_好读版'!$A:$Z,11,FALSE),6)</f>
        <v/>
      </c>
      <c r="N56" s="26">
        <f>IFERROR(VLOOKUP($A56,'02_怪物模板_好读版'!$A:$Z,12,FALSE),3)</f>
        <v/>
      </c>
      <c r="O56" s="26">
        <f>IFERROR(VLOOKUP($A56,'02_怪物模板_好读版'!$A:$Z,13,FALSE),"mech_summon")</f>
        <v/>
      </c>
      <c r="P56" s="25" t="inlineStr">
        <is>
          <t>T1 标准前置T</t>
        </is>
      </c>
      <c r="Q56" s="25" t="inlineStr">
        <is>
          <t>T形/4格</t>
        </is>
      </c>
      <c r="R56" s="25" t="inlineStr">
        <is>
          <t>牵制</t>
        </is>
      </c>
      <c r="S56" s="25" t="inlineStr">
        <is>
          <t>healAmpBonus</t>
        </is>
      </c>
      <c r="T56" s="25" t="inlineStr">
        <is>
          <t>水、牵制、范围、机动</t>
        </is>
      </c>
      <c r="U56" s="25" t="inlineStr">
        <is>
          <t>—</t>
        </is>
      </c>
      <c r="V56" s="25" t="inlineStr">
        <is>
          <t>旧定位=牵制；控制补预算</t>
        </is>
      </c>
    </row>
    <row r="57" ht="22" customHeight="1">
      <c r="A57" s="25" t="inlineStr">
        <is>
          <t>pal_056</t>
        </is>
      </c>
      <c r="B57" s="25" t="inlineStr">
        <is>
          <t>No.056</t>
        </is>
      </c>
      <c r="C57" s="25" t="inlineStr">
        <is>
          <t>雷角马</t>
        </is>
      </c>
      <c r="D57" s="25" t="inlineStr">
        <is>
          <t>风</t>
        </is>
      </c>
      <c r="E57" s="25" t="inlineStr">
        <is>
          <t>雷</t>
        </is>
      </c>
      <c r="F57" s="25" t="inlineStr">
        <is>
          <t>白银</t>
        </is>
      </c>
      <c r="G57" s="25" t="inlineStr">
        <is>
          <t>小型</t>
        </is>
      </c>
      <c r="H57" s="25" t="inlineStr">
        <is>
          <t>控制</t>
        </is>
      </c>
      <c r="I57" s="26">
        <f>IFERROR(VLOOKUP($A57,'02_怪物模板_好读版'!$A:$S,15,FALSE),0)+IFERROR(VLOOKUP($A57,'02_怪物模板_好读版'!$A:$S,16,FALSE),0)</f>
        <v/>
      </c>
      <c r="J57" s="26">
        <f>IFERROR(VLOOKUP($A57,'02_怪物模板_好读版'!$A:$Z,8,FALSE),20)</f>
        <v/>
      </c>
      <c r="K57" s="26">
        <f>IFERROR(VLOOKUP($A57,'02_怪物模板_好读版'!$A:$Z,9,FALSE),12)</f>
        <v/>
      </c>
      <c r="L57" s="26">
        <f>IFERROR(VLOOKUP($A57,'02_怪物模板_好读版'!$A:$Z,10,FALSE),0)</f>
        <v/>
      </c>
      <c r="M57" s="26">
        <f>IFERROR(VLOOKUP($A57,'02_怪物模板_好读版'!$A:$Z,11,FALSE),0)</f>
        <v/>
      </c>
      <c r="N57" s="26">
        <f>IFERROR(VLOOKUP($A57,'02_怪物模板_好读版'!$A:$Z,12,FALSE),4)</f>
        <v/>
      </c>
      <c r="O57" s="26">
        <f>IFERROR(VLOOKUP($A57,'02_怪物模板_好读版'!$A:$Z,13,FALSE),"REVIEW")</f>
        <v/>
      </c>
      <c r="P57" s="25" t="inlineStr">
        <is>
          <t>T2 长柄T</t>
        </is>
      </c>
      <c r="Q57" s="25" t="inlineStr">
        <is>
          <t>T形/5格</t>
        </is>
      </c>
      <c r="R57" s="25" t="inlineStr">
        <is>
          <t>牵制</t>
        </is>
      </c>
      <c r="S57" s="25" t="inlineStr">
        <is>
          <t>advHitBonus</t>
        </is>
      </c>
      <c r="T57" s="25" t="inlineStr">
        <is>
          <t>风、牵制、范围、机动</t>
        </is>
      </c>
      <c r="U57" s="25" t="inlineStr">
        <is>
          <t>—</t>
        </is>
      </c>
      <c r="V57" s="25" t="inlineStr">
        <is>
          <t>旧定位=牵制；控制补预算</t>
        </is>
      </c>
    </row>
    <row r="58" ht="22" customHeight="1">
      <c r="A58" s="25" t="inlineStr">
        <is>
          <t>pal_057</t>
        </is>
      </c>
      <c r="B58" s="25" t="inlineStr">
        <is>
          <t>No.057</t>
        </is>
      </c>
      <c r="C58" s="25" t="inlineStr">
        <is>
          <t>吹雪狐</t>
        </is>
      </c>
      <c r="D58" s="25" t="inlineStr">
        <is>
          <t>水</t>
        </is>
      </c>
      <c r="E58" s="25" t="inlineStr">
        <is>
          <t>冰</t>
        </is>
      </c>
      <c r="F58" s="25" t="inlineStr">
        <is>
          <t>白银</t>
        </is>
      </c>
      <c r="G58" s="25" t="inlineStr">
        <is>
          <t>小型</t>
        </is>
      </c>
      <c r="H58" s="25" t="inlineStr">
        <is>
          <t>控制</t>
        </is>
      </c>
      <c r="I58" s="26">
        <f>IFERROR(VLOOKUP($A58,'02_怪物模板_好读版'!$A:$S,15,FALSE),0)+IFERROR(VLOOKUP($A58,'02_怪物模板_好读版'!$A:$S,16,FALSE),0)</f>
        <v/>
      </c>
      <c r="J58" s="26">
        <f>IFERROR(VLOOKUP($A58,'02_怪物模板_好读版'!$A:$Z,8,FALSE),20)</f>
        <v/>
      </c>
      <c r="K58" s="26">
        <f>IFERROR(VLOOKUP($A58,'02_怪物模板_好读版'!$A:$Z,9,FALSE),12)</f>
        <v/>
      </c>
      <c r="L58" s="26">
        <f>IFERROR(VLOOKUP($A58,'02_怪物模板_好读版'!$A:$Z,10,FALSE),0)</f>
        <v/>
      </c>
      <c r="M58" s="26">
        <f>IFERROR(VLOOKUP($A58,'02_怪物模板_好读版'!$A:$Z,11,FALSE),0)</f>
        <v/>
      </c>
      <c r="N58" s="26">
        <f>IFERROR(VLOOKUP($A58,'02_怪物模板_好读版'!$A:$Z,12,FALSE),4)</f>
        <v/>
      </c>
      <c r="O58" s="26">
        <f>IFERROR(VLOOKUP($A58,'02_怪物模板_好读版'!$A:$Z,13,FALSE),"REVIEW")</f>
        <v/>
      </c>
      <c r="P58" s="25" t="inlineStr">
        <is>
          <t>T1 标准前置T</t>
        </is>
      </c>
      <c r="Q58" s="25" t="inlineStr">
        <is>
          <t>T形/4格</t>
        </is>
      </c>
      <c r="R58" s="25" t="inlineStr">
        <is>
          <t>牵制</t>
        </is>
      </c>
      <c r="S58" s="25" t="inlineStr">
        <is>
          <t>healAmpBonus</t>
        </is>
      </c>
      <c r="T58" s="25" t="inlineStr">
        <is>
          <t>水、牵制、范围、机动</t>
        </is>
      </c>
      <c r="U58" s="25" t="inlineStr">
        <is>
          <t>—</t>
        </is>
      </c>
      <c r="V58" s="25" t="inlineStr">
        <is>
          <t>旧定位=牵制；控制补预算</t>
        </is>
      </c>
    </row>
    <row r="59" ht="22" customHeight="1">
      <c r="A59" s="25" t="inlineStr">
        <is>
          <t>pal_058</t>
        </is>
      </c>
      <c r="B59" s="25" t="inlineStr">
        <is>
          <t>No.058</t>
        </is>
      </c>
      <c r="C59" s="25" t="inlineStr">
        <is>
          <t>火麒麟</t>
        </is>
      </c>
      <c r="D59" s="25" t="inlineStr">
        <is>
          <t>火</t>
        </is>
      </c>
      <c r="E59" s="25" t="inlineStr">
        <is>
          <t>44</t>
        </is>
      </c>
      <c r="F59" s="25" t="inlineStr">
        <is>
          <t>白银</t>
        </is>
      </c>
      <c r="G59" s="25" t="inlineStr">
        <is>
          <t>小型</t>
        </is>
      </c>
      <c r="H59" s="25" t="inlineStr">
        <is>
          <t>输出</t>
        </is>
      </c>
      <c r="I59" s="26">
        <f>IFERROR(VLOOKUP($A59,'02_怪物模板_好读版'!$A:$S,15,FALSE),0)+IFERROR(VLOOKUP($A59,'02_怪物模板_好读版'!$A:$S,16,FALSE),0)</f>
        <v/>
      </c>
      <c r="J59" s="26">
        <f>IFERROR(VLOOKUP($A59,'02_怪物模板_好读版'!$A:$Z,8,FALSE),30)</f>
        <v/>
      </c>
      <c r="K59" s="26">
        <f>IFERROR(VLOOKUP($A59,'02_怪物模板_好读版'!$A:$Z,9,FALSE),13)</f>
        <v/>
      </c>
      <c r="L59" s="26">
        <f>IFERROR(VLOOKUP($A59,'02_怪物模板_好读版'!$A:$Z,10,FALSE),0)</f>
        <v/>
      </c>
      <c r="M59" s="26">
        <f>IFERROR(VLOOKUP($A59,'02_怪物模板_好读版'!$A:$Z,11,FALSE),0)</f>
        <v/>
      </c>
      <c r="N59" s="26">
        <f>IFERROR(VLOOKUP($A59,'02_怪物模板_好读版'!$A:$Z,12,FALSE),3)</f>
        <v/>
      </c>
      <c r="O59" s="26">
        <f>IFERROR(VLOOKUP($A59,'02_怪物模板_好读版'!$A:$Z,13,FALSE),"REVIEW")</f>
        <v/>
      </c>
      <c r="P59" s="25" t="inlineStr">
        <is>
          <t>B1 横扫三格</t>
        </is>
      </c>
      <c r="Q59" s="25" t="inlineStr">
        <is>
          <t>扫击/3格</t>
        </is>
      </c>
      <c r="R59" s="25" t="inlineStr">
        <is>
          <t>输出</t>
        </is>
      </c>
      <c r="S59" s="25" t="inlineStr">
        <is>
          <t>castleReduce</t>
        </is>
      </c>
      <c r="T59" s="25" t="inlineStr">
        <is>
          <t>火、输出、爆发、前排</t>
        </is>
      </c>
      <c r="U59" s="25" t="inlineStr">
        <is>
          <t>—</t>
        </is>
      </c>
      <c r="V59" s="25" t="inlineStr">
        <is>
          <t>44</t>
        </is>
      </c>
    </row>
    <row r="60" ht="22" customHeight="1">
      <c r="A60" s="25" t="inlineStr">
        <is>
          <t>pal_059</t>
        </is>
      </c>
      <c r="B60" s="25" t="inlineStr">
        <is>
          <t>No.059</t>
        </is>
      </c>
      <c r="C60" s="25" t="inlineStr">
        <is>
          <t>严冬鹿</t>
        </is>
      </c>
      <c r="D60" s="25" t="inlineStr">
        <is>
          <t>水</t>
        </is>
      </c>
      <c r="E60" s="25" t="inlineStr">
        <is>
          <t>冰</t>
        </is>
      </c>
      <c r="F60" s="25" t="inlineStr">
        <is>
          <t>白银</t>
        </is>
      </c>
      <c r="G60" s="25" t="inlineStr">
        <is>
          <t>小型</t>
        </is>
      </c>
      <c r="H60" s="25" t="inlineStr">
        <is>
          <t>控制</t>
        </is>
      </c>
      <c r="I60" s="26">
        <f>IFERROR(VLOOKUP($A60,'02_怪物模板_好读版'!$A:$S,15,FALSE),0)+IFERROR(VLOOKUP($A60,'02_怪物模板_好读版'!$A:$S,16,FALSE),0)</f>
        <v/>
      </c>
      <c r="J60" s="26">
        <f>IFERROR(VLOOKUP($A60,'02_怪物模板_好读版'!$A:$Z,8,FALSE),20)</f>
        <v/>
      </c>
      <c r="K60" s="26">
        <f>IFERROR(VLOOKUP($A60,'02_怪物模板_好读版'!$A:$Z,9,FALSE),12)</f>
        <v/>
      </c>
      <c r="L60" s="26">
        <f>IFERROR(VLOOKUP($A60,'02_怪物模板_好读版'!$A:$Z,10,FALSE),0)</f>
        <v/>
      </c>
      <c r="M60" s="26">
        <f>IFERROR(VLOOKUP($A60,'02_怪物模板_好读版'!$A:$Z,11,FALSE),0)</f>
        <v/>
      </c>
      <c r="N60" s="26">
        <f>IFERROR(VLOOKUP($A60,'02_怪物模板_好读版'!$A:$Z,12,FALSE),4)</f>
        <v/>
      </c>
      <c r="O60" s="26">
        <f>IFERROR(VLOOKUP($A60,'02_怪物模板_好读版'!$A:$Z,13,FALSE),"REVIEW")</f>
        <v/>
      </c>
      <c r="P60" s="25" t="inlineStr">
        <is>
          <t>T1 标准前置T</t>
        </is>
      </c>
      <c r="Q60" s="25" t="inlineStr">
        <is>
          <t>T形/4格</t>
        </is>
      </c>
      <c r="R60" s="25" t="inlineStr">
        <is>
          <t>牵制</t>
        </is>
      </c>
      <c r="S60" s="25" t="inlineStr">
        <is>
          <t>healAmpBonus</t>
        </is>
      </c>
      <c r="T60" s="25" t="inlineStr">
        <is>
          <t>水、牵制、范围、机动</t>
        </is>
      </c>
      <c r="U60" s="25" t="inlineStr">
        <is>
          <t>—</t>
        </is>
      </c>
      <c r="V60" s="25" t="inlineStr">
        <is>
          <t>旧定位=牵制；控制补预算</t>
        </is>
      </c>
    </row>
    <row r="61" ht="22" customHeight="1">
      <c r="A61" s="25" t="inlineStr">
        <is>
          <t>pal_060</t>
        </is>
      </c>
      <c r="B61" s="25" t="inlineStr">
        <is>
          <t>No.060</t>
        </is>
      </c>
      <c r="C61" s="25" t="inlineStr">
        <is>
          <t>霹雳犬</t>
        </is>
      </c>
      <c r="D61" s="25" t="inlineStr">
        <is>
          <t>风</t>
        </is>
      </c>
      <c r="E61" s="25" t="inlineStr">
        <is>
          <t>雷</t>
        </is>
      </c>
      <c r="F61" s="25" t="inlineStr">
        <is>
          <t>白银</t>
        </is>
      </c>
      <c r="G61" s="25" t="inlineStr">
        <is>
          <t>小型</t>
        </is>
      </c>
      <c r="H61" s="25" t="inlineStr">
        <is>
          <t>控制</t>
        </is>
      </c>
      <c r="I61" s="26">
        <f>IFERROR(VLOOKUP($A61,'02_怪物模板_好读版'!$A:$S,15,FALSE),0)+IFERROR(VLOOKUP($A61,'02_怪物模板_好读版'!$A:$S,16,FALSE),0)</f>
        <v/>
      </c>
      <c r="J61" s="26">
        <f>IFERROR(VLOOKUP($A61,'02_怪物模板_好读版'!$A:$Z,8,FALSE),20)</f>
        <v/>
      </c>
      <c r="K61" s="26">
        <f>IFERROR(VLOOKUP($A61,'02_怪物模板_好读版'!$A:$Z,9,FALSE),12)</f>
        <v/>
      </c>
      <c r="L61" s="26">
        <f>IFERROR(VLOOKUP($A61,'02_怪物模板_好读版'!$A:$Z,10,FALSE),0)</f>
        <v/>
      </c>
      <c r="M61" s="26">
        <f>IFERROR(VLOOKUP($A61,'02_怪物模板_好读版'!$A:$Z,11,FALSE),0)</f>
        <v/>
      </c>
      <c r="N61" s="26">
        <f>IFERROR(VLOOKUP($A61,'02_怪物模板_好读版'!$A:$Z,12,FALSE),4)</f>
        <v/>
      </c>
      <c r="O61" s="26">
        <f>IFERROR(VLOOKUP($A61,'02_怪物模板_好读版'!$A:$Z,13,FALSE),"REVIEW")</f>
        <v/>
      </c>
      <c r="P61" s="25" t="inlineStr">
        <is>
          <t>T2 长柄T</t>
        </is>
      </c>
      <c r="Q61" s="25" t="inlineStr">
        <is>
          <t>T形/5格</t>
        </is>
      </c>
      <c r="R61" s="25" t="inlineStr">
        <is>
          <t>牵制</t>
        </is>
      </c>
      <c r="S61" s="25" t="inlineStr">
        <is>
          <t>advHitBonus</t>
        </is>
      </c>
      <c r="T61" s="25" t="inlineStr">
        <is>
          <t>风、牵制、范围、机动</t>
        </is>
      </c>
      <c r="U61" s="25" t="inlineStr">
        <is>
          <t>—</t>
        </is>
      </c>
      <c r="V61" s="25" t="inlineStr">
        <is>
          <t>旧定位=牵制；控制补预算</t>
        </is>
      </c>
    </row>
    <row r="62" ht="22" customHeight="1">
      <c r="A62" s="25" t="inlineStr">
        <is>
          <t>pal_061</t>
        </is>
      </c>
      <c r="B62" s="25" t="inlineStr">
        <is>
          <t>No.061</t>
        </is>
      </c>
      <c r="C62" s="25" t="inlineStr">
        <is>
          <t>苍焰狼</t>
        </is>
      </c>
      <c r="D62" s="25" t="inlineStr">
        <is>
          <t>火</t>
        </is>
      </c>
      <c r="E62" s="25" t="inlineStr">
        <is>
          <t>44</t>
        </is>
      </c>
      <c r="F62" s="25" t="inlineStr">
        <is>
          <t>白银</t>
        </is>
      </c>
      <c r="G62" s="25" t="inlineStr">
        <is>
          <t>中型</t>
        </is>
      </c>
      <c r="H62" s="25" t="inlineStr">
        <is>
          <t>输出</t>
        </is>
      </c>
      <c r="I62" s="26">
        <f>IFERROR(VLOOKUP($A62,'02_怪物模板_好读版'!$A:$S,15,FALSE),0)+IFERROR(VLOOKUP($A62,'02_怪物模板_好读版'!$A:$S,16,FALSE),0)</f>
        <v/>
      </c>
      <c r="J62" s="26">
        <f>IFERROR(VLOOKUP($A62,'02_怪物模板_好读版'!$A:$Z,8,FALSE),25)</f>
        <v/>
      </c>
      <c r="K62" s="26">
        <f>IFERROR(VLOOKUP($A62,'02_怪物模板_好读版'!$A:$Z,9,FALSE),2)</f>
        <v/>
      </c>
      <c r="L62" s="26">
        <f>IFERROR(VLOOKUP($A62,'02_怪物模板_好读版'!$A:$Z,10,FALSE),0)</f>
        <v/>
      </c>
      <c r="M62" s="26">
        <f>IFERROR(VLOOKUP($A62,'02_怪物模板_好读版'!$A:$Z,11,FALSE),0)</f>
        <v/>
      </c>
      <c r="N62" s="26">
        <f>IFERROR(VLOOKUP($A62,'02_怪物模板_好读版'!$A:$Z,12,FALSE),3)</f>
        <v/>
      </c>
      <c r="O62" s="26">
        <f>IFERROR(VLOOKUP($A62,'02_怪物模板_好读版'!$A:$Z,13,FALSE),"mech_grow_attack")</f>
        <v/>
      </c>
      <c r="P62" s="25" t="inlineStr">
        <is>
          <t>B1 横扫三格</t>
        </is>
      </c>
      <c r="Q62" s="25" t="inlineStr">
        <is>
          <t>扫击/3格</t>
        </is>
      </c>
      <c r="R62" s="25" t="inlineStr">
        <is>
          <t>输出</t>
        </is>
      </c>
      <c r="S62" s="25" t="inlineStr">
        <is>
          <t>castleReduce</t>
        </is>
      </c>
      <c r="T62" s="25" t="inlineStr">
        <is>
          <t>火、输出、爆发、前排</t>
        </is>
      </c>
      <c r="U62" s="25" t="inlineStr">
        <is>
          <t>—</t>
        </is>
      </c>
      <c r="V62" s="25" t="inlineStr">
        <is>
          <t>44</t>
        </is>
      </c>
    </row>
    <row r="63" ht="22" customHeight="1">
      <c r="A63" s="25" t="inlineStr">
        <is>
          <t>pal_062</t>
        </is>
      </c>
      <c r="B63" s="25" t="inlineStr">
        <is>
          <t>No.062</t>
        </is>
      </c>
      <c r="C63" s="25" t="inlineStr">
        <is>
          <t>雷鸣童子</t>
        </is>
      </c>
      <c r="D63" s="25" t="inlineStr">
        <is>
          <t>风</t>
        </is>
      </c>
      <c r="E63" s="25" t="inlineStr">
        <is>
          <t>雷</t>
        </is>
      </c>
      <c r="F63" s="25" t="inlineStr">
        <is>
          <t>白银</t>
        </is>
      </c>
      <c r="G63" s="25" t="inlineStr">
        <is>
          <t>小型</t>
        </is>
      </c>
      <c r="H63" s="25" t="inlineStr">
        <is>
          <t>控制</t>
        </is>
      </c>
      <c r="I63" s="26">
        <f>IFERROR(VLOOKUP($A63,'02_怪物模板_好读版'!$A:$S,15,FALSE),0)+IFERROR(VLOOKUP($A63,'02_怪物模板_好读版'!$A:$S,16,FALSE),0)</f>
        <v/>
      </c>
      <c r="J63" s="26">
        <f>IFERROR(VLOOKUP($A63,'02_怪物模板_好读版'!$A:$Z,8,FALSE),20)</f>
        <v/>
      </c>
      <c r="K63" s="26">
        <f>IFERROR(VLOOKUP($A63,'02_怪物模板_好读版'!$A:$Z,9,FALSE),12)</f>
        <v/>
      </c>
      <c r="L63" s="26">
        <f>IFERROR(VLOOKUP($A63,'02_怪物模板_好读版'!$A:$Z,10,FALSE),0)</f>
        <v/>
      </c>
      <c r="M63" s="26">
        <f>IFERROR(VLOOKUP($A63,'02_怪物模板_好读版'!$A:$Z,11,FALSE),0)</f>
        <v/>
      </c>
      <c r="N63" s="26">
        <f>IFERROR(VLOOKUP($A63,'02_怪物模板_好读版'!$A:$Z,12,FALSE),4)</f>
        <v/>
      </c>
      <c r="O63" s="26">
        <f>IFERROR(VLOOKUP($A63,'02_怪物模板_好读版'!$A:$Z,13,FALSE),"REVIEW")</f>
        <v/>
      </c>
      <c r="P63" s="25" t="inlineStr">
        <is>
          <t>T2 长柄T</t>
        </is>
      </c>
      <c r="Q63" s="25" t="inlineStr">
        <is>
          <t>T形/5格</t>
        </is>
      </c>
      <c r="R63" s="25" t="inlineStr">
        <is>
          <t>牵制</t>
        </is>
      </c>
      <c r="S63" s="25" t="inlineStr">
        <is>
          <t>advHitBonus</t>
        </is>
      </c>
      <c r="T63" s="25" t="inlineStr">
        <is>
          <t>风、牵制、范围、机动</t>
        </is>
      </c>
      <c r="U63" s="25" t="inlineStr">
        <is>
          <t>—</t>
        </is>
      </c>
      <c r="V63" s="25" t="inlineStr">
        <is>
          <t>旧定位=牵制；控制补预算</t>
        </is>
      </c>
    </row>
    <row r="64" ht="22" customHeight="1">
      <c r="A64" s="25" t="inlineStr">
        <is>
          <t>pal_063</t>
        </is>
      </c>
      <c r="B64" s="25" t="inlineStr">
        <is>
          <t>No.063</t>
        </is>
      </c>
      <c r="C64" s="25" t="inlineStr">
        <is>
          <t>秘斯媞雅</t>
        </is>
      </c>
      <c r="D64" s="25" t="inlineStr">
        <is>
          <t>风</t>
        </is>
      </c>
      <c r="E64" s="25" t="inlineStr">
        <is>
          <t>44</t>
        </is>
      </c>
      <c r="F64" s="25" t="inlineStr">
        <is>
          <t>白银</t>
        </is>
      </c>
      <c r="G64" s="25" t="inlineStr">
        <is>
          <t>小型</t>
        </is>
      </c>
      <c r="H64" s="25" t="inlineStr">
        <is>
          <t>召唤</t>
        </is>
      </c>
      <c r="I64" s="26">
        <f>IFERROR(VLOOKUP($A64,'02_怪物模板_好读版'!$A:$S,15,FALSE),0)+IFERROR(VLOOKUP($A64,'02_怪物模板_好读版'!$A:$S,16,FALSE),0)</f>
        <v/>
      </c>
      <c r="J64" s="26">
        <f>IFERROR(VLOOKUP($A64,'02_怪物模板_好读版'!$A:$Z,8,FALSE),20)</f>
        <v/>
      </c>
      <c r="K64" s="26">
        <f>IFERROR(VLOOKUP($A64,'02_怪物模板_好读版'!$A:$Z,9,FALSE),11)</f>
        <v/>
      </c>
      <c r="L64" s="26">
        <f>IFERROR(VLOOKUP($A64,'02_怪物模板_好读版'!$A:$Z,10,FALSE),0)</f>
        <v/>
      </c>
      <c r="M64" s="26">
        <f>IFERROR(VLOOKUP($A64,'02_怪物模板_好读版'!$A:$Z,11,FALSE),0)</f>
        <v/>
      </c>
      <c r="N64" s="26">
        <f>IFERROR(VLOOKUP($A64,'02_怪物模板_好读版'!$A:$Z,12,FALSE),3)</f>
        <v/>
      </c>
      <c r="O64" s="26">
        <f>IFERROR(VLOOKUP($A64,'02_怪物模板_好读版'!$A:$Z,13,FALSE),"mech_summon")</f>
        <v/>
      </c>
      <c r="P64" s="25" t="inlineStr">
        <is>
          <t>A1 单点刺</t>
        </is>
      </c>
      <c r="Q64" s="25" t="inlineStr">
        <is>
          <t>直线/1格</t>
        </is>
      </c>
      <c r="R64" s="25" t="inlineStr">
        <is>
          <t>召唤</t>
        </is>
      </c>
      <c r="S64" s="25" t="inlineStr">
        <is>
          <t>summonFromCell</t>
        </is>
      </c>
      <c r="T64" s="25" t="inlineStr">
        <is>
          <t>风、召唤、成长、核心</t>
        </is>
      </c>
      <c r="U64" s="25" t="inlineStr">
        <is>
          <t>是</t>
        </is>
      </c>
      <c r="V64" s="25" t="inlineStr">
        <is>
          <t>召唤补预算</t>
        </is>
      </c>
    </row>
    <row r="65" ht="22" customHeight="1">
      <c r="A65" s="25" t="inlineStr">
        <is>
          <t>pal_064</t>
        </is>
      </c>
      <c r="B65" s="25" t="inlineStr">
        <is>
          <t>No.064</t>
        </is>
      </c>
      <c r="C65" s="25" t="inlineStr">
        <is>
          <t>花冠龙</t>
        </is>
      </c>
      <c r="D65" s="25" t="inlineStr">
        <is>
          <t>风</t>
        </is>
      </c>
      <c r="E65" s="25" t="inlineStr">
        <is>
          <t>草、龙</t>
        </is>
      </c>
      <c r="F65" s="25" t="inlineStr">
        <is>
          <t>白银</t>
        </is>
      </c>
      <c r="G65" s="25" t="inlineStr">
        <is>
          <t>中型</t>
        </is>
      </c>
      <c r="H65" s="25" t="inlineStr">
        <is>
          <t>召唤</t>
        </is>
      </c>
      <c r="I65" s="26">
        <f>IFERROR(VLOOKUP($A65,'02_怪物模板_好读版'!$A:$S,15,FALSE),0)+IFERROR(VLOOKUP($A65,'02_怪物模板_好读版'!$A:$S,16,FALSE),0)</f>
        <v/>
      </c>
      <c r="J65" s="26">
        <f>IFERROR(VLOOKUP($A65,'02_怪物模板_好读版'!$A:$Z,8,FALSE),35)</f>
        <v/>
      </c>
      <c r="K65" s="26">
        <f>IFERROR(VLOOKUP($A65,'02_怪物模板_好读版'!$A:$Z,9,FALSE),26)</f>
        <v/>
      </c>
      <c r="L65" s="26">
        <f>IFERROR(VLOOKUP($A65,'02_怪物模板_好读版'!$A:$Z,10,FALSE),0)</f>
        <v/>
      </c>
      <c r="M65" s="26">
        <f>IFERROR(VLOOKUP($A65,'02_怪物模板_好读版'!$A:$Z,11,FALSE),0)</f>
        <v/>
      </c>
      <c r="N65" s="26">
        <f>IFERROR(VLOOKUP($A65,'02_怪物模板_好读版'!$A:$Z,12,FALSE),3)</f>
        <v/>
      </c>
      <c r="O65" s="26">
        <f>IFERROR(VLOOKUP($A65,'02_怪物模板_好读版'!$A:$Z,13,FALSE),"mech_summon")</f>
        <v/>
      </c>
      <c r="P65" s="25" t="inlineStr">
        <is>
          <t>A1 单点刺</t>
        </is>
      </c>
      <c r="Q65" s="25" t="inlineStr">
        <is>
          <t>直线/1格</t>
        </is>
      </c>
      <c r="R65" s="25" t="inlineStr">
        <is>
          <t>召唤</t>
        </is>
      </c>
      <c r="S65" s="25" t="inlineStr">
        <is>
          <t>summonFromCell</t>
        </is>
      </c>
      <c r="T65" s="25" t="inlineStr">
        <is>
          <t>风、召唤、成长、核心</t>
        </is>
      </c>
      <c r="U65" s="25" t="inlineStr">
        <is>
          <t>是</t>
        </is>
      </c>
      <c r="V65" s="25" t="inlineStr">
        <is>
          <t>召唤补预算</t>
        </is>
      </c>
    </row>
    <row r="66" ht="22" customHeight="1">
      <c r="A66" s="25" t="inlineStr">
        <is>
          <t>pal_065</t>
        </is>
      </c>
      <c r="B66" s="25" t="inlineStr">
        <is>
          <t>No.064B</t>
        </is>
      </c>
      <c r="C66" s="25" t="inlineStr">
        <is>
          <t>雷冠龙</t>
        </is>
      </c>
      <c r="D66" s="25" t="inlineStr">
        <is>
          <t>风</t>
        </is>
      </c>
      <c r="E66" s="25" t="inlineStr">
        <is>
          <t>雷、龙</t>
        </is>
      </c>
      <c r="F66" s="25" t="inlineStr">
        <is>
          <t>白银</t>
        </is>
      </c>
      <c r="G66" s="25" t="inlineStr">
        <is>
          <t>中型</t>
        </is>
      </c>
      <c r="H66" s="25" t="inlineStr">
        <is>
          <t>控制</t>
        </is>
      </c>
      <c r="I66" s="26">
        <f>IFERROR(VLOOKUP($A66,'02_怪物模板_好读版'!$A:$S,15,FALSE),0)+IFERROR(VLOOKUP($A66,'02_怪物模板_好读版'!$A:$S,16,FALSE),0)</f>
        <v/>
      </c>
      <c r="J66" s="26">
        <f>IFERROR(VLOOKUP($A66,'02_怪物模板_好读版'!$A:$Z,8,FALSE),35)</f>
        <v/>
      </c>
      <c r="K66" s="26">
        <f>IFERROR(VLOOKUP($A66,'02_怪物模板_好读版'!$A:$Z,9,FALSE),27)</f>
        <v/>
      </c>
      <c r="L66" s="26">
        <f>IFERROR(VLOOKUP($A66,'02_怪物模板_好读版'!$A:$Z,10,FALSE),0)</f>
        <v/>
      </c>
      <c r="M66" s="26">
        <f>IFERROR(VLOOKUP($A66,'02_怪物模板_好读版'!$A:$Z,11,FALSE),0)</f>
        <v/>
      </c>
      <c r="N66" s="26">
        <f>IFERROR(VLOOKUP($A66,'02_怪物模板_好读版'!$A:$Z,12,FALSE),4)</f>
        <v/>
      </c>
      <c r="O66" s="26">
        <f>IFERROR(VLOOKUP($A66,'02_怪物模板_好读版'!$A:$Z,13,FALSE),"REVIEW")</f>
        <v/>
      </c>
      <c r="P66" s="25" t="inlineStr">
        <is>
          <t>T2 长柄T</t>
        </is>
      </c>
      <c r="Q66" s="25" t="inlineStr">
        <is>
          <t>T形/5格</t>
        </is>
      </c>
      <c r="R66" s="25" t="inlineStr">
        <is>
          <t>牵制</t>
        </is>
      </c>
      <c r="S66" s="25" t="inlineStr">
        <is>
          <t>advHitBonus</t>
        </is>
      </c>
      <c r="T66" s="25" t="inlineStr">
        <is>
          <t>风、牵制、范围、机动</t>
        </is>
      </c>
      <c r="U66" s="25" t="inlineStr">
        <is>
          <t>—</t>
        </is>
      </c>
      <c r="V66" s="25" t="inlineStr">
        <is>
          <t>旧定位=牵制；控制补预算</t>
        </is>
      </c>
    </row>
    <row r="67" ht="22" customHeight="1">
      <c r="A67" s="25" t="inlineStr">
        <is>
          <t>pal_066</t>
        </is>
      </c>
      <c r="B67" s="25" t="inlineStr">
        <is>
          <t>No.065</t>
        </is>
      </c>
      <c r="C67" s="25" t="inlineStr">
        <is>
          <t>滑水蛇</t>
        </is>
      </c>
      <c r="D67" s="25" t="inlineStr">
        <is>
          <t>水</t>
        </is>
      </c>
      <c r="E67" s="25" t="inlineStr">
        <is>
          <t>44</t>
        </is>
      </c>
      <c r="F67" s="25" t="inlineStr">
        <is>
          <t>白银</t>
        </is>
      </c>
      <c r="G67" s="25" t="inlineStr">
        <is>
          <t>小型</t>
        </is>
      </c>
      <c r="H67" s="25" t="inlineStr">
        <is>
          <t>治疗</t>
        </is>
      </c>
      <c r="I67" s="26">
        <f>IFERROR(VLOOKUP($A67,'02_怪物模板_好读版'!$A:$S,15,FALSE),0)+IFERROR(VLOOKUP($A67,'02_怪物模板_好读版'!$A:$S,16,FALSE),0)</f>
        <v/>
      </c>
      <c r="J67" s="26">
        <f>IFERROR(VLOOKUP($A67,'02_怪物模板_好读版'!$A:$Z,8,FALSE),25)</f>
        <v/>
      </c>
      <c r="K67" s="26">
        <f>IFERROR(VLOOKUP($A67,'02_怪物模板_好读版'!$A:$Z,9,FALSE),12)</f>
        <v/>
      </c>
      <c r="L67" s="26">
        <f>IFERROR(VLOOKUP($A67,'02_怪物模板_好读版'!$A:$Z,10,FALSE),0)</f>
        <v/>
      </c>
      <c r="M67" s="26">
        <f>IFERROR(VLOOKUP($A67,'02_怪物模板_好读版'!$A:$Z,11,FALSE),0)</f>
        <v/>
      </c>
      <c r="N67" s="26">
        <f>IFERROR(VLOOKUP($A67,'02_怪物模板_好读版'!$A:$Z,12,FALSE),3)</f>
        <v/>
      </c>
      <c r="O67" s="26">
        <f>IFERROR(VLOOKUP($A67,'02_怪物模板_好读版'!$A:$Z,13,FALSE),"REVIEW")</f>
        <v/>
      </c>
      <c r="P67" s="25" t="inlineStr">
        <is>
          <t>T1 标准前置T</t>
        </is>
      </c>
      <c r="Q67" s="25" t="inlineStr">
        <is>
          <t>T形/4格</t>
        </is>
      </c>
      <c r="R67" s="25" t="inlineStr">
        <is>
          <t>场地</t>
        </is>
      </c>
      <c r="S67" s="25" t="inlineStr">
        <is>
          <t>healAmpBonus</t>
        </is>
      </c>
      <c r="T67" s="25" t="inlineStr">
        <is>
          <t>水、治疗、后排、增益</t>
        </is>
      </c>
      <c r="U67" s="25" t="inlineStr">
        <is>
          <t>—</t>
        </is>
      </c>
      <c r="V67" s="25" t="inlineStr">
        <is>
          <t>治疗补预算</t>
        </is>
      </c>
    </row>
    <row r="68" ht="22" customHeight="1">
      <c r="A68" s="25" t="inlineStr">
        <is>
          <t>pal_067</t>
        </is>
      </c>
      <c r="B68" s="25" t="inlineStr">
        <is>
          <t>No.065B</t>
        </is>
      </c>
      <c r="C68" s="25" t="inlineStr">
        <is>
          <t>流沙蛇</t>
        </is>
      </c>
      <c r="D68" s="25" t="inlineStr">
        <is>
          <t>土</t>
        </is>
      </c>
      <c r="E68" s="25" t="inlineStr">
        <is>
          <t>地</t>
        </is>
      </c>
      <c r="F68" s="25" t="inlineStr">
        <is>
          <t>白银</t>
        </is>
      </c>
      <c r="G68" s="25" t="inlineStr">
        <is>
          <t>中型</t>
        </is>
      </c>
      <c r="H68" s="25" t="inlineStr">
        <is>
          <t>坦克</t>
        </is>
      </c>
      <c r="I68" s="26">
        <f>IFERROR(VLOOKUP($A68,'02_怪物模板_好读版'!$A:$S,15,FALSE),0)+IFERROR(VLOOKUP($A68,'02_怪物模板_好读版'!$A:$S,16,FALSE),0)</f>
        <v/>
      </c>
      <c r="J68" s="26">
        <f>IFERROR(VLOOKUP($A68,'02_怪物模板_好读版'!$A:$Z,8,FALSE),20)</f>
        <v/>
      </c>
      <c r="K68" s="26">
        <f>IFERROR(VLOOKUP($A68,'02_怪物模板_好读版'!$A:$Z,9,FALSE),1)</f>
        <v/>
      </c>
      <c r="L68" s="26">
        <f>IFERROR(VLOOKUP($A68,'02_怪物模板_好读版'!$A:$Z,10,FALSE),0)</f>
        <v/>
      </c>
      <c r="M68" s="26">
        <f>IFERROR(VLOOKUP($A68,'02_怪物模板_好读版'!$A:$Z,11,FALSE),0)</f>
        <v/>
      </c>
      <c r="N68" s="26">
        <f>IFERROR(VLOOKUP($A68,'02_怪物模板_好读版'!$A:$Z,12,FALSE),3)</f>
        <v/>
      </c>
      <c r="O68" s="26">
        <f>IFERROR(VLOOKUP($A68,'02_怪物模板_好读版'!$A:$Z,13,FALSE),"mech_summon")</f>
        <v/>
      </c>
      <c r="P68" s="25" t="inlineStr">
        <is>
          <t>B1 横扫三格</t>
        </is>
      </c>
      <c r="Q68" s="25" t="inlineStr">
        <is>
          <t>扫击/3格</t>
        </is>
      </c>
      <c r="R68" s="25" t="inlineStr">
        <is>
          <t>阻挡</t>
        </is>
      </c>
      <c r="S68" s="25" t="inlineStr">
        <is>
          <t>castleReduce</t>
        </is>
      </c>
      <c r="T68" s="25" t="inlineStr">
        <is>
          <t>土、防御、前排、阻挡</t>
        </is>
      </c>
      <c r="U68" s="25" t="inlineStr">
        <is>
          <t>—</t>
        </is>
      </c>
      <c r="V68" s="25" t="inlineStr">
        <is>
          <t>旧定位=防御</t>
        </is>
      </c>
    </row>
    <row r="69" ht="22" customHeight="1">
      <c r="A69" s="25" t="inlineStr">
        <is>
          <t>pal_068</t>
        </is>
      </c>
      <c r="B69" s="25" t="inlineStr">
        <is>
          <t>No.066</t>
        </is>
      </c>
      <c r="C69" s="25" t="inlineStr">
        <is>
          <t>噬魂兽</t>
        </is>
      </c>
      <c r="D69" s="25" t="inlineStr">
        <is>
          <t>土</t>
        </is>
      </c>
      <c r="E69" s="25" t="inlineStr">
        <is>
          <t>暗</t>
        </is>
      </c>
      <c r="F69" s="25" t="inlineStr">
        <is>
          <t>白银</t>
        </is>
      </c>
      <c r="G69" s="25" t="inlineStr">
        <is>
          <t>中型</t>
        </is>
      </c>
      <c r="H69" s="25" t="inlineStr">
        <is>
          <t>坦克</t>
        </is>
      </c>
      <c r="I69" s="26">
        <f>IFERROR(VLOOKUP($A69,'02_怪物模板_好读版'!$A:$S,15,FALSE),0)+IFERROR(VLOOKUP($A69,'02_怪物模板_好读版'!$A:$S,16,FALSE),0)</f>
        <v/>
      </c>
      <c r="J69" s="26">
        <f>IFERROR(VLOOKUP($A69,'02_怪物模板_好读版'!$A:$Z,8,FALSE),25)</f>
        <v/>
      </c>
      <c r="K69" s="26">
        <f>IFERROR(VLOOKUP($A69,'02_怪物模板_好读版'!$A:$Z,9,FALSE),3)</f>
        <v/>
      </c>
      <c r="L69" s="26">
        <f>IFERROR(VLOOKUP($A69,'02_怪物模板_好读版'!$A:$Z,10,FALSE),0)</f>
        <v/>
      </c>
      <c r="M69" s="26">
        <f>IFERROR(VLOOKUP($A69,'02_怪物模板_好读版'!$A:$Z,11,FALSE),0)</f>
        <v/>
      </c>
      <c r="N69" s="26">
        <f>IFERROR(VLOOKUP($A69,'02_怪物模板_好读版'!$A:$Z,12,FALSE),2)</f>
        <v/>
      </c>
      <c r="O69" s="26">
        <f>IFERROR(VLOOKUP($A69,'02_怪物模板_好读版'!$A:$Z,13,FALSE),"mech_break_castle")</f>
        <v/>
      </c>
      <c r="P69" s="25" t="inlineStr">
        <is>
          <t>B1 横扫三格</t>
        </is>
      </c>
      <c r="Q69" s="25" t="inlineStr">
        <is>
          <t>扫击/3格</t>
        </is>
      </c>
      <c r="R69" s="25" t="inlineStr">
        <is>
          <t>阻挡</t>
        </is>
      </c>
      <c r="S69" s="25" t="inlineStr">
        <is>
          <t>castleReduce</t>
        </is>
      </c>
      <c r="T69" s="25" t="inlineStr">
        <is>
          <t>土、防御、前排、阻挡</t>
        </is>
      </c>
      <c r="U69" s="25" t="inlineStr">
        <is>
          <t>—</t>
        </is>
      </c>
      <c r="V69" s="25" t="inlineStr">
        <is>
          <t>旧定位=防御</t>
        </is>
      </c>
    </row>
    <row r="70" ht="22" customHeight="1">
      <c r="A70" s="25" t="inlineStr">
        <is>
          <t>pal_069</t>
        </is>
      </c>
      <c r="B70" s="25" t="inlineStr">
        <is>
          <t>No.067</t>
        </is>
      </c>
      <c r="C70" s="25" t="inlineStr">
        <is>
          <t>碎岩龟</t>
        </is>
      </c>
      <c r="D70" s="25" t="inlineStr">
        <is>
          <t>土</t>
        </is>
      </c>
      <c r="E70" s="25" t="inlineStr">
        <is>
          <t>地</t>
        </is>
      </c>
      <c r="F70" s="25" t="inlineStr">
        <is>
          <t>白银</t>
        </is>
      </c>
      <c r="G70" s="25" t="inlineStr">
        <is>
          <t>中型</t>
        </is>
      </c>
      <c r="H70" s="25" t="inlineStr">
        <is>
          <t>坦克</t>
        </is>
      </c>
      <c r="I70" s="26">
        <f>IFERROR(VLOOKUP($A70,'02_怪物模板_好读版'!$A:$S,15,FALSE),0)+IFERROR(VLOOKUP($A70,'02_怪物模板_好读版'!$A:$S,16,FALSE),0)</f>
        <v/>
      </c>
      <c r="J70" s="26">
        <f>IFERROR(VLOOKUP($A70,'02_怪物模板_好读版'!$A:$Z,8,FALSE),25)</f>
        <v/>
      </c>
      <c r="K70" s="26">
        <f>IFERROR(VLOOKUP($A70,'02_怪物模板_好读版'!$A:$Z,9,FALSE),18)</f>
        <v/>
      </c>
      <c r="L70" s="26">
        <f>IFERROR(VLOOKUP($A70,'02_怪物模板_好读版'!$A:$Z,10,FALSE),0)</f>
        <v/>
      </c>
      <c r="M70" s="26">
        <f>IFERROR(VLOOKUP($A70,'02_怪物模板_好读版'!$A:$Z,11,FALSE),10)</f>
        <v/>
      </c>
      <c r="N70" s="26">
        <f>IFERROR(VLOOKUP($A70,'02_怪物模板_好读版'!$A:$Z,12,FALSE),3)</f>
        <v/>
      </c>
      <c r="O70" s="26">
        <f>IFERROR(VLOOKUP($A70,'02_怪物模板_好读版'!$A:$Z,13,FALSE),"REVIEW")</f>
        <v/>
      </c>
      <c r="P70" s="25" t="inlineStr">
        <is>
          <t>B1 横扫三格</t>
        </is>
      </c>
      <c r="Q70" s="25" t="inlineStr">
        <is>
          <t>扫击/3格</t>
        </is>
      </c>
      <c r="R70" s="25" t="inlineStr">
        <is>
          <t>阻挡</t>
        </is>
      </c>
      <c r="S70" s="25" t="inlineStr">
        <is>
          <t>castleReduce</t>
        </is>
      </c>
      <c r="T70" s="25" t="inlineStr">
        <is>
          <t>土、防御、前排、阻挡</t>
        </is>
      </c>
      <c r="U70" s="25" t="inlineStr">
        <is>
          <t>—</t>
        </is>
      </c>
      <c r="V70" s="25" t="inlineStr">
        <is>
          <t>旧定位=防御</t>
        </is>
      </c>
    </row>
    <row r="71" ht="22" customHeight="1">
      <c r="A71" s="25" t="inlineStr">
        <is>
          <t>pal_070</t>
        </is>
      </c>
      <c r="B71" s="25" t="inlineStr">
        <is>
          <t>No.068</t>
        </is>
      </c>
      <c r="C71" s="25" t="inlineStr">
        <is>
          <t>猫蝠怪</t>
        </is>
      </c>
      <c r="D71" s="25" t="inlineStr">
        <is>
          <t>土</t>
        </is>
      </c>
      <c r="E71" s="25" t="inlineStr">
        <is>
          <t>暗</t>
        </is>
      </c>
      <c r="F71" s="25" t="inlineStr">
        <is>
          <t>白银</t>
        </is>
      </c>
      <c r="G71" s="25" t="inlineStr">
        <is>
          <t>中型</t>
        </is>
      </c>
      <c r="H71" s="25" t="inlineStr">
        <is>
          <t>坦克</t>
        </is>
      </c>
      <c r="I71" s="26">
        <f>IFERROR(VLOOKUP($A71,'02_怪物模板_好读版'!$A:$S,15,FALSE),0)+IFERROR(VLOOKUP($A71,'02_怪物模板_好读版'!$A:$S,16,FALSE),0)</f>
        <v/>
      </c>
      <c r="J71" s="26">
        <f>IFERROR(VLOOKUP($A71,'02_怪物模板_好读版'!$A:$Z,8,FALSE),25)</f>
        <v/>
      </c>
      <c r="K71" s="26">
        <f>IFERROR(VLOOKUP($A71,'02_怪物模板_好读版'!$A:$Z,9,FALSE),18)</f>
        <v/>
      </c>
      <c r="L71" s="26">
        <f>IFERROR(VLOOKUP($A71,'02_怪物模板_好读版'!$A:$Z,10,FALSE),0)</f>
        <v/>
      </c>
      <c r="M71" s="26">
        <f>IFERROR(VLOOKUP($A71,'02_怪物模板_好读版'!$A:$Z,11,FALSE),10)</f>
        <v/>
      </c>
      <c r="N71" s="26">
        <f>IFERROR(VLOOKUP($A71,'02_怪物模板_好读版'!$A:$Z,12,FALSE),3)</f>
        <v/>
      </c>
      <c r="O71" s="26">
        <f>IFERROR(VLOOKUP($A71,'02_怪物模板_好读版'!$A:$Z,13,FALSE),"REVIEW")</f>
        <v/>
      </c>
      <c r="P71" s="25" t="inlineStr">
        <is>
          <t>B1 横扫三格</t>
        </is>
      </c>
      <c r="Q71" s="25" t="inlineStr">
        <is>
          <t>扫击/3格</t>
        </is>
      </c>
      <c r="R71" s="25" t="inlineStr">
        <is>
          <t>阻挡</t>
        </is>
      </c>
      <c r="S71" s="25" t="inlineStr">
        <is>
          <t>castleReduce</t>
        </is>
      </c>
      <c r="T71" s="25" t="inlineStr">
        <is>
          <t>土、防御、前排、阻挡</t>
        </is>
      </c>
      <c r="U71" s="25" t="inlineStr">
        <is>
          <t>—</t>
        </is>
      </c>
      <c r="V71" s="25" t="inlineStr">
        <is>
          <t>旧定位=防御</t>
        </is>
      </c>
    </row>
    <row r="72" ht="22" customHeight="1">
      <c r="A72" s="25" t="inlineStr">
        <is>
          <t>pal_071</t>
        </is>
      </c>
      <c r="B72" s="25" t="inlineStr">
        <is>
          <t>No.069</t>
        </is>
      </c>
      <c r="C72" s="25" t="inlineStr">
        <is>
          <t>博爱蜥</t>
        </is>
      </c>
      <c r="D72" s="25" t="inlineStr">
        <is>
          <t>风</t>
        </is>
      </c>
      <c r="E72" s="25" t="inlineStr">
        <is>
          <t>44</t>
        </is>
      </c>
      <c r="F72" s="25" t="inlineStr">
        <is>
          <t>白银</t>
        </is>
      </c>
      <c r="G72" s="25" t="inlineStr">
        <is>
          <t>小型</t>
        </is>
      </c>
      <c r="H72" s="25" t="inlineStr">
        <is>
          <t>治疗</t>
        </is>
      </c>
      <c r="I72" s="26">
        <f>IFERROR(VLOOKUP($A72,'02_怪物模板_好读版'!$A:$S,15,FALSE),0)+IFERROR(VLOOKUP($A72,'02_怪物模板_好读版'!$A:$S,16,FALSE),0)</f>
        <v/>
      </c>
      <c r="J72" s="26">
        <f>IFERROR(VLOOKUP($A72,'02_怪物模板_好读版'!$A:$Z,8,FALSE),25)</f>
        <v/>
      </c>
      <c r="K72" s="26">
        <f>IFERROR(VLOOKUP($A72,'02_怪物模板_好读版'!$A:$Z,9,FALSE),12)</f>
        <v/>
      </c>
      <c r="L72" s="26">
        <f>IFERROR(VLOOKUP($A72,'02_怪物模板_好读版'!$A:$Z,10,FALSE),0)</f>
        <v/>
      </c>
      <c r="M72" s="26">
        <f>IFERROR(VLOOKUP($A72,'02_怪物模板_好读版'!$A:$Z,11,FALSE),0)</f>
        <v/>
      </c>
      <c r="N72" s="26">
        <f>IFERROR(VLOOKUP($A72,'02_怪物模板_好读版'!$A:$Z,12,FALSE),3)</f>
        <v/>
      </c>
      <c r="O72" s="26">
        <f>IFERROR(VLOOKUP($A72,'02_怪物模板_好读版'!$A:$Z,13,FALSE),"REVIEW")</f>
        <v/>
      </c>
      <c r="P72" s="25" t="inlineStr">
        <is>
          <t>T1 标准前置T</t>
        </is>
      </c>
      <c r="Q72" s="25" t="inlineStr">
        <is>
          <t>T形/4格</t>
        </is>
      </c>
      <c r="R72" s="25" t="inlineStr">
        <is>
          <t>场地</t>
        </is>
      </c>
      <c r="S72" s="25" t="inlineStr">
        <is>
          <t>healAmpBonus</t>
        </is>
      </c>
      <c r="T72" s="25" t="inlineStr">
        <is>
          <t>风、治疗、后排、增益</t>
        </is>
      </c>
      <c r="U72" s="25" t="inlineStr">
        <is>
          <t>—</t>
        </is>
      </c>
      <c r="V72" s="25" t="inlineStr">
        <is>
          <t>治疗补预算</t>
        </is>
      </c>
    </row>
    <row r="73" ht="22" customHeight="1">
      <c r="A73" s="25" t="inlineStr">
        <is>
          <t>pal_072</t>
        </is>
      </c>
      <c r="B73" s="25" t="inlineStr">
        <is>
          <t>No.070</t>
        </is>
      </c>
      <c r="C73" s="25" t="inlineStr">
        <is>
          <t>融焰娘</t>
        </is>
      </c>
      <c r="D73" s="25" t="inlineStr">
        <is>
          <t>火</t>
        </is>
      </c>
      <c r="E73" s="25" t="inlineStr">
        <is>
          <t>44</t>
        </is>
      </c>
      <c r="F73" s="25" t="inlineStr">
        <is>
          <t>白银</t>
        </is>
      </c>
      <c r="G73" s="25" t="inlineStr">
        <is>
          <t>小型</t>
        </is>
      </c>
      <c r="H73" s="25" t="inlineStr">
        <is>
          <t>召唤</t>
        </is>
      </c>
      <c r="I73" s="26">
        <f>IFERROR(VLOOKUP($A73,'02_怪物模板_好读版'!$A:$S,15,FALSE),0)+IFERROR(VLOOKUP($A73,'02_怪物模板_好读版'!$A:$S,16,FALSE),0)</f>
        <v/>
      </c>
      <c r="J73" s="26">
        <f>IFERROR(VLOOKUP($A73,'02_怪物模板_好读版'!$A:$Z,8,FALSE),20)</f>
        <v/>
      </c>
      <c r="K73" s="26">
        <f>IFERROR(VLOOKUP($A73,'02_怪物模板_好读版'!$A:$Z,9,FALSE),2)</f>
        <v/>
      </c>
      <c r="L73" s="26">
        <f>IFERROR(VLOOKUP($A73,'02_怪物模板_好读版'!$A:$Z,10,FALSE),0)</f>
        <v/>
      </c>
      <c r="M73" s="26">
        <f>IFERROR(VLOOKUP($A73,'02_怪物模板_好读版'!$A:$Z,11,FALSE),0)</f>
        <v/>
      </c>
      <c r="N73" s="26">
        <f>IFERROR(VLOOKUP($A73,'02_怪物模板_好读版'!$A:$Z,12,FALSE),3)</f>
        <v/>
      </c>
      <c r="O73" s="26">
        <f>IFERROR(VLOOKUP($A73,'02_怪物模板_好读版'!$A:$Z,13,FALSE),"mech_aura")</f>
        <v/>
      </c>
      <c r="P73" s="25" t="inlineStr">
        <is>
          <t>A1 单点刺</t>
        </is>
      </c>
      <c r="Q73" s="25" t="inlineStr">
        <is>
          <t>直线/1格</t>
        </is>
      </c>
      <c r="R73" s="25" t="inlineStr">
        <is>
          <t>召唤</t>
        </is>
      </c>
      <c r="S73" s="25" t="inlineStr">
        <is>
          <t>summonFromCell</t>
        </is>
      </c>
      <c r="T73" s="25" t="inlineStr">
        <is>
          <t>火、召唤、成长、核心</t>
        </is>
      </c>
      <c r="U73" s="25" t="inlineStr">
        <is>
          <t>是</t>
        </is>
      </c>
      <c r="V73" s="25" t="inlineStr">
        <is>
          <t>召唤补预算</t>
        </is>
      </c>
    </row>
    <row r="74" ht="22" customHeight="1">
      <c r="A74" s="25" t="inlineStr">
        <is>
          <t>pal_073</t>
        </is>
      </c>
      <c r="B74" s="25" t="inlineStr">
        <is>
          <t>No.071</t>
        </is>
      </c>
      <c r="C74" s="25" t="inlineStr">
        <is>
          <t>烽歌龙</t>
        </is>
      </c>
      <c r="D74" s="25" t="inlineStr">
        <is>
          <t>火</t>
        </is>
      </c>
      <c r="E74" s="25" t="inlineStr">
        <is>
          <t>火、暗</t>
        </is>
      </c>
      <c r="F74" s="25" t="inlineStr">
        <is>
          <t>白银</t>
        </is>
      </c>
      <c r="G74" s="25" t="inlineStr">
        <is>
          <t>中型</t>
        </is>
      </c>
      <c r="H74" s="25" t="inlineStr">
        <is>
          <t>机动</t>
        </is>
      </c>
      <c r="I74" s="26">
        <f>IFERROR(VLOOKUP($A74,'02_怪物模板_好读版'!$A:$S,15,FALSE),0)+IFERROR(VLOOKUP($A74,'02_怪物模板_好读版'!$A:$S,16,FALSE),0)</f>
        <v/>
      </c>
      <c r="J74" s="26">
        <f>IFERROR(VLOOKUP($A74,'02_怪物模板_好读版'!$A:$Z,8,FALSE),30)</f>
        <v/>
      </c>
      <c r="K74" s="26">
        <f>IFERROR(VLOOKUP($A74,'02_怪物模板_好读版'!$A:$Z,9,FALSE),4)</f>
        <v/>
      </c>
      <c r="L74" s="26">
        <f>IFERROR(VLOOKUP($A74,'02_怪物模板_好读版'!$A:$Z,10,FALSE),0)</f>
        <v/>
      </c>
      <c r="M74" s="26">
        <f>IFERROR(VLOOKUP($A74,'02_怪物模板_好读版'!$A:$Z,11,FALSE),0)</f>
        <v/>
      </c>
      <c r="N74" s="26">
        <f>IFERROR(VLOOKUP($A74,'02_怪物模板_好读版'!$A:$Z,12,FALSE),3)</f>
        <v/>
      </c>
      <c r="O74" s="26">
        <f>IFERROR(VLOOKUP($A74,'02_怪物模板_好读版'!$A:$Z,13,FALSE),"mech_break_castle,mech_multi_hit")</f>
        <v/>
      </c>
      <c r="P74" s="25" t="inlineStr">
        <is>
          <t>T2 长柄T</t>
        </is>
      </c>
      <c r="Q74" s="25" t="inlineStr">
        <is>
          <t>T形/5格</t>
        </is>
      </c>
      <c r="R74" s="25" t="inlineStr">
        <is>
          <t>牵制</t>
        </is>
      </c>
      <c r="S74" s="25" t="inlineStr">
        <is>
          <t>advHitBonus</t>
        </is>
      </c>
      <c r="T74" s="25" t="inlineStr">
        <is>
          <t>火、机动、灵活、泛用</t>
        </is>
      </c>
      <c r="U74" s="25" t="inlineStr">
        <is>
          <t>—</t>
        </is>
      </c>
      <c r="V74" s="25" t="inlineStr">
        <is>
          <t>44</t>
        </is>
      </c>
    </row>
    <row r="75" ht="22" customHeight="1">
      <c r="A75" s="25" t="inlineStr">
        <is>
          <t>pal_074</t>
        </is>
      </c>
      <c r="B75" s="25" t="inlineStr">
        <is>
          <t>No.071B</t>
        </is>
      </c>
      <c r="C75" s="25" t="inlineStr">
        <is>
          <t>霜歌龙</t>
        </is>
      </c>
      <c r="D75" s="25" t="inlineStr">
        <is>
          <t>水</t>
        </is>
      </c>
      <c r="E75" s="25" t="inlineStr">
        <is>
          <t>冰、暗</t>
        </is>
      </c>
      <c r="F75" s="25" t="inlineStr">
        <is>
          <t>白银</t>
        </is>
      </c>
      <c r="G75" s="25" t="inlineStr">
        <is>
          <t>中型</t>
        </is>
      </c>
      <c r="H75" s="25" t="inlineStr">
        <is>
          <t>控制</t>
        </is>
      </c>
      <c r="I75" s="26">
        <f>IFERROR(VLOOKUP($A75,'02_怪物模板_好读版'!$A:$S,15,FALSE),0)+IFERROR(VLOOKUP($A75,'02_怪物模板_好读版'!$A:$S,16,FALSE),0)</f>
        <v/>
      </c>
      <c r="J75" s="26">
        <f>IFERROR(VLOOKUP($A75,'02_怪物模板_好读版'!$A:$Z,8,FALSE),35)</f>
        <v/>
      </c>
      <c r="K75" s="26">
        <f>IFERROR(VLOOKUP($A75,'02_怪物模板_好读版'!$A:$Z,9,FALSE),27)</f>
        <v/>
      </c>
      <c r="L75" s="26">
        <f>IFERROR(VLOOKUP($A75,'02_怪物模板_好读版'!$A:$Z,10,FALSE),0)</f>
        <v/>
      </c>
      <c r="M75" s="26">
        <f>IFERROR(VLOOKUP($A75,'02_怪物模板_好读版'!$A:$Z,11,FALSE),0)</f>
        <v/>
      </c>
      <c r="N75" s="26">
        <f>IFERROR(VLOOKUP($A75,'02_怪物模板_好读版'!$A:$Z,12,FALSE),4)</f>
        <v/>
      </c>
      <c r="O75" s="26">
        <f>IFERROR(VLOOKUP($A75,'02_怪物模板_好读版'!$A:$Z,13,FALSE),"REVIEW")</f>
        <v/>
      </c>
      <c r="P75" s="25" t="inlineStr">
        <is>
          <t>T1 标准前置T</t>
        </is>
      </c>
      <c r="Q75" s="25" t="inlineStr">
        <is>
          <t>T形/4格</t>
        </is>
      </c>
      <c r="R75" s="25" t="inlineStr">
        <is>
          <t>牵制</t>
        </is>
      </c>
      <c r="S75" s="25" t="inlineStr">
        <is>
          <t>healAmpBonus</t>
        </is>
      </c>
      <c r="T75" s="25" t="inlineStr">
        <is>
          <t>水、牵制、范围、机动</t>
        </is>
      </c>
      <c r="U75" s="25" t="inlineStr">
        <is>
          <t>—</t>
        </is>
      </c>
      <c r="V75" s="25" t="inlineStr">
        <is>
          <t>旧定位=牵制；控制补预算</t>
        </is>
      </c>
    </row>
    <row r="76" ht="22" customHeight="1">
      <c r="A76" s="25" t="inlineStr">
        <is>
          <t>pal_075</t>
        </is>
      </c>
      <c r="B76" s="25" t="inlineStr">
        <is>
          <t>No.072</t>
        </is>
      </c>
      <c r="C76" s="25" t="inlineStr">
        <is>
          <t>浪刃武士</t>
        </is>
      </c>
      <c r="D76" s="25" t="inlineStr">
        <is>
          <t>火</t>
        </is>
      </c>
      <c r="E76" s="25" t="inlineStr">
        <is>
          <t>44</t>
        </is>
      </c>
      <c r="F76" s="25" t="inlineStr">
        <is>
          <t>白银</t>
        </is>
      </c>
      <c r="G76" s="25" t="inlineStr">
        <is>
          <t>小型</t>
        </is>
      </c>
      <c r="H76" s="25" t="inlineStr">
        <is>
          <t>输出</t>
        </is>
      </c>
      <c r="I76" s="26">
        <f>IFERROR(VLOOKUP($A76,'02_怪物模板_好读版'!$A:$S,15,FALSE),0)+IFERROR(VLOOKUP($A76,'02_怪物模板_好读版'!$A:$S,16,FALSE),0)</f>
        <v/>
      </c>
      <c r="J76" s="26">
        <f>IFERROR(VLOOKUP($A76,'02_怪物模板_好读版'!$A:$Z,8,FALSE),30)</f>
        <v/>
      </c>
      <c r="K76" s="26">
        <f>IFERROR(VLOOKUP($A76,'02_怪物模板_好读版'!$A:$Z,9,FALSE),13)</f>
        <v/>
      </c>
      <c r="L76" s="26">
        <f>IFERROR(VLOOKUP($A76,'02_怪物模板_好读版'!$A:$Z,10,FALSE),0)</f>
        <v/>
      </c>
      <c r="M76" s="26">
        <f>IFERROR(VLOOKUP($A76,'02_怪物模板_好读版'!$A:$Z,11,FALSE),0)</f>
        <v/>
      </c>
      <c r="N76" s="26">
        <f>IFERROR(VLOOKUP($A76,'02_怪物模板_好读版'!$A:$Z,12,FALSE),3)</f>
        <v/>
      </c>
      <c r="O76" s="26">
        <f>IFERROR(VLOOKUP($A76,'02_怪物模板_好读版'!$A:$Z,13,FALSE),"REVIEW")</f>
        <v/>
      </c>
      <c r="P76" s="25" t="inlineStr">
        <is>
          <t>B1 横扫三格</t>
        </is>
      </c>
      <c r="Q76" s="25" t="inlineStr">
        <is>
          <t>扫击/3格</t>
        </is>
      </c>
      <c r="R76" s="25" t="inlineStr">
        <is>
          <t>输出</t>
        </is>
      </c>
      <c r="S76" s="25" t="inlineStr">
        <is>
          <t>castleReduce</t>
        </is>
      </c>
      <c r="T76" s="25" t="inlineStr">
        <is>
          <t>火、输出、爆发、前排</t>
        </is>
      </c>
      <c r="U76" s="25" t="inlineStr">
        <is>
          <t>—</t>
        </is>
      </c>
      <c r="V76" s="25" t="inlineStr">
        <is>
          <t>44</t>
        </is>
      </c>
    </row>
    <row r="77" ht="22" customHeight="1">
      <c r="A77" s="25" t="inlineStr">
        <is>
          <t>pal_076</t>
        </is>
      </c>
      <c r="B77" s="25" t="inlineStr">
        <is>
          <t>No.073</t>
        </is>
      </c>
      <c r="C77" s="25" t="inlineStr">
        <is>
          <t>迅雷鸟</t>
        </is>
      </c>
      <c r="D77" s="25" t="inlineStr">
        <is>
          <t>风</t>
        </is>
      </c>
      <c r="E77" s="25" t="inlineStr">
        <is>
          <t>雷</t>
        </is>
      </c>
      <c r="F77" s="25" t="inlineStr">
        <is>
          <t>白银</t>
        </is>
      </c>
      <c r="G77" s="25" t="inlineStr">
        <is>
          <t>大型</t>
        </is>
      </c>
      <c r="H77" s="25" t="inlineStr">
        <is>
          <t>控制</t>
        </is>
      </c>
      <c r="I77" s="26">
        <f>IFERROR(VLOOKUP($A77,'02_怪物模板_好读版'!$A:$S,15,FALSE),0)+IFERROR(VLOOKUP($A77,'02_怪物模板_好读版'!$A:$S,16,FALSE),0)</f>
        <v/>
      </c>
      <c r="J77" s="26">
        <f>IFERROR(VLOOKUP($A77,'02_怪物模板_好读版'!$A:$Z,8,FALSE),70)</f>
        <v/>
      </c>
      <c r="K77" s="26">
        <f>IFERROR(VLOOKUP($A77,'02_怪物模板_好读版'!$A:$Z,9,FALSE),49)</f>
        <v/>
      </c>
      <c r="L77" s="26">
        <f>IFERROR(VLOOKUP($A77,'02_怪物模板_好读版'!$A:$Z,10,FALSE),0)</f>
        <v/>
      </c>
      <c r="M77" s="26">
        <f>IFERROR(VLOOKUP($A77,'02_怪物模板_好读版'!$A:$Z,11,FALSE),0)</f>
        <v/>
      </c>
      <c r="N77" s="26">
        <f>IFERROR(VLOOKUP($A77,'02_怪物模板_好读版'!$A:$Z,12,FALSE),3)</f>
        <v/>
      </c>
      <c r="O77" s="26">
        <f>IFERROR(VLOOKUP($A77,'02_怪物模板_好读版'!$A:$Z,13,FALSE),"REVIEW")</f>
        <v/>
      </c>
      <c r="P77" s="25" t="inlineStr">
        <is>
          <t>T2 长柄T</t>
        </is>
      </c>
      <c r="Q77" s="25" t="inlineStr">
        <is>
          <t>T形/5格</t>
        </is>
      </c>
      <c r="R77" s="25" t="inlineStr">
        <is>
          <t>牵制</t>
        </is>
      </c>
      <c r="S77" s="25" t="inlineStr">
        <is>
          <t>advHitBonus</t>
        </is>
      </c>
      <c r="T77" s="25" t="inlineStr">
        <is>
          <t>风、牵制、范围、机动</t>
        </is>
      </c>
      <c r="U77" s="25" t="inlineStr">
        <is>
          <t>—</t>
        </is>
      </c>
      <c r="V77" s="25" t="inlineStr">
        <is>
          <t>旧定位=牵制；控制补预算</t>
        </is>
      </c>
    </row>
    <row r="78" ht="22" customHeight="1">
      <c r="A78" s="25" t="inlineStr">
        <is>
          <t>pal_077</t>
        </is>
      </c>
      <c r="B78" s="25" t="inlineStr">
        <is>
          <t>No.074</t>
        </is>
      </c>
      <c r="C78" s="25" t="inlineStr">
        <is>
          <t>燧火鸟</t>
        </is>
      </c>
      <c r="D78" s="25" t="inlineStr">
        <is>
          <t>火</t>
        </is>
      </c>
      <c r="E78" s="25" t="inlineStr">
        <is>
          <t>44</t>
        </is>
      </c>
      <c r="F78" s="25" t="inlineStr">
        <is>
          <t>白银</t>
        </is>
      </c>
      <c r="G78" s="25" t="inlineStr">
        <is>
          <t>中型</t>
        </is>
      </c>
      <c r="H78" s="25" t="inlineStr">
        <is>
          <t>机动</t>
        </is>
      </c>
      <c r="I78" s="26">
        <f>IFERROR(VLOOKUP($A78,'02_怪物模板_好读版'!$A:$S,15,FALSE),0)+IFERROR(VLOOKUP($A78,'02_怪物模板_好读版'!$A:$S,16,FALSE),0)</f>
        <v/>
      </c>
      <c r="J78" s="26">
        <f>IFERROR(VLOOKUP($A78,'02_怪物模板_好读版'!$A:$Z,8,FALSE),35)</f>
        <v/>
      </c>
      <c r="K78" s="26">
        <f>IFERROR(VLOOKUP($A78,'02_怪物模板_好读版'!$A:$Z,9,FALSE),27)</f>
        <v/>
      </c>
      <c r="L78" s="26">
        <f>IFERROR(VLOOKUP($A78,'02_怪物模板_好读版'!$A:$Z,10,FALSE),0)</f>
        <v/>
      </c>
      <c r="M78" s="26">
        <f>IFERROR(VLOOKUP($A78,'02_怪物模板_好读版'!$A:$Z,11,FALSE),0)</f>
        <v/>
      </c>
      <c r="N78" s="26">
        <f>IFERROR(VLOOKUP($A78,'02_怪物模板_好读版'!$A:$Z,12,FALSE),4)</f>
        <v/>
      </c>
      <c r="O78" s="26">
        <f>IFERROR(VLOOKUP($A78,'02_怪物模板_好读版'!$A:$Z,13,FALSE),"REVIEW")</f>
        <v/>
      </c>
      <c r="P78" s="25" t="inlineStr">
        <is>
          <t>T2 长柄T</t>
        </is>
      </c>
      <c r="Q78" s="25" t="inlineStr">
        <is>
          <t>T形/5格</t>
        </is>
      </c>
      <c r="R78" s="25" t="inlineStr">
        <is>
          <t>牵制</t>
        </is>
      </c>
      <c r="S78" s="25" t="inlineStr">
        <is>
          <t>advHitBonus</t>
        </is>
      </c>
      <c r="T78" s="25" t="inlineStr">
        <is>
          <t>火、机动、灵活、泛用</t>
        </is>
      </c>
      <c r="U78" s="25" t="inlineStr">
        <is>
          <t>—</t>
        </is>
      </c>
      <c r="V78" s="25" t="inlineStr">
        <is>
          <t>44</t>
        </is>
      </c>
    </row>
    <row r="79" ht="22" customHeight="1">
      <c r="A79" s="25" t="inlineStr">
        <is>
          <t>pal_078</t>
        </is>
      </c>
      <c r="B79" s="25" t="inlineStr">
        <is>
          <t>No.075</t>
        </is>
      </c>
      <c r="C79" s="25" t="inlineStr">
        <is>
          <t>暗巫猫</t>
        </is>
      </c>
      <c r="D79" s="25" t="inlineStr">
        <is>
          <t>土</t>
        </is>
      </c>
      <c r="E79" s="25" t="inlineStr">
        <is>
          <t>暗</t>
        </is>
      </c>
      <c r="F79" s="25" t="inlineStr">
        <is>
          <t>白银</t>
        </is>
      </c>
      <c r="G79" s="25" t="inlineStr">
        <is>
          <t>小型</t>
        </is>
      </c>
      <c r="H79" s="25" t="inlineStr">
        <is>
          <t>治疗</t>
        </is>
      </c>
      <c r="I79" s="26">
        <f>IFERROR(VLOOKUP($A79,'02_怪物模板_好读版'!$A:$S,15,FALSE),0)+IFERROR(VLOOKUP($A79,'02_怪物模板_好读版'!$A:$S,16,FALSE),0)</f>
        <v/>
      </c>
      <c r="J79" s="26">
        <f>IFERROR(VLOOKUP($A79,'02_怪物模板_好读版'!$A:$Z,8,FALSE),25)</f>
        <v/>
      </c>
      <c r="K79" s="26">
        <f>IFERROR(VLOOKUP($A79,'02_怪物模板_好读版'!$A:$Z,9,FALSE),12)</f>
        <v/>
      </c>
      <c r="L79" s="26">
        <f>IFERROR(VLOOKUP($A79,'02_怪物模板_好读版'!$A:$Z,10,FALSE),0)</f>
        <v/>
      </c>
      <c r="M79" s="26">
        <f>IFERROR(VLOOKUP($A79,'02_怪物模板_好读版'!$A:$Z,11,FALSE),0)</f>
        <v/>
      </c>
      <c r="N79" s="26">
        <f>IFERROR(VLOOKUP($A79,'02_怪物模板_好读版'!$A:$Z,12,FALSE),3)</f>
        <v/>
      </c>
      <c r="O79" s="26">
        <f>IFERROR(VLOOKUP($A79,'02_怪物模板_好读版'!$A:$Z,13,FALSE),"REVIEW")</f>
        <v/>
      </c>
      <c r="P79" s="25" t="inlineStr">
        <is>
          <t>T1 标准前置T</t>
        </is>
      </c>
      <c r="Q79" s="25" t="inlineStr">
        <is>
          <t>T形/4格</t>
        </is>
      </c>
      <c r="R79" s="25" t="inlineStr">
        <is>
          <t>场地</t>
        </is>
      </c>
      <c r="S79" s="25" t="inlineStr">
        <is>
          <t>healAmpBonus</t>
        </is>
      </c>
      <c r="T79" s="25" t="inlineStr">
        <is>
          <t>土、治疗、后排、增益</t>
        </is>
      </c>
      <c r="U79" s="25" t="inlineStr">
        <is>
          <t>—</t>
        </is>
      </c>
      <c r="V79" s="25" t="inlineStr">
        <is>
          <t>治疗补预算</t>
        </is>
      </c>
    </row>
    <row r="80" ht="22" customHeight="1">
      <c r="A80" s="25" t="inlineStr">
        <is>
          <t>pal_079</t>
        </is>
      </c>
      <c r="B80" s="25" t="inlineStr">
        <is>
          <t>No.076</t>
        </is>
      </c>
      <c r="C80" s="25" t="inlineStr">
        <is>
          <t>焰巫狐</t>
        </is>
      </c>
      <c r="D80" s="25" t="inlineStr">
        <is>
          <t>火</t>
        </is>
      </c>
      <c r="E80" s="25" t="inlineStr">
        <is>
          <t>44</t>
        </is>
      </c>
      <c r="F80" s="25" t="inlineStr">
        <is>
          <t>白银</t>
        </is>
      </c>
      <c r="G80" s="25" t="inlineStr">
        <is>
          <t>中型</t>
        </is>
      </c>
      <c r="H80" s="25" t="inlineStr">
        <is>
          <t>输出</t>
        </is>
      </c>
      <c r="I80" s="26">
        <f>IFERROR(VLOOKUP($A80,'02_怪物模板_好读版'!$A:$S,15,FALSE),0)+IFERROR(VLOOKUP($A80,'02_怪物模板_好读版'!$A:$S,16,FALSE),0)</f>
        <v/>
      </c>
      <c r="J80" s="26">
        <f>IFERROR(VLOOKUP($A80,'02_怪物模板_好读版'!$A:$Z,8,FALSE),35)</f>
        <v/>
      </c>
      <c r="K80" s="26">
        <f>IFERROR(VLOOKUP($A80,'02_怪物模板_好读版'!$A:$Z,9,FALSE),3)</f>
        <v/>
      </c>
      <c r="L80" s="26">
        <f>IFERROR(VLOOKUP($A80,'02_怪物模板_好读版'!$A:$Z,10,FALSE),0)</f>
        <v/>
      </c>
      <c r="M80" s="26">
        <f>IFERROR(VLOOKUP($A80,'02_怪物模板_好读版'!$A:$Z,11,FALSE),0)</f>
        <v/>
      </c>
      <c r="N80" s="26">
        <f>IFERROR(VLOOKUP($A80,'02_怪物模板_好读版'!$A:$Z,12,FALSE),3)</f>
        <v/>
      </c>
      <c r="O80" s="26">
        <f>IFERROR(VLOOKUP($A80,'02_怪物模板_好读版'!$A:$Z,13,FALSE),"mech_grow_attack")</f>
        <v/>
      </c>
      <c r="P80" s="25" t="inlineStr">
        <is>
          <t>B1 横扫三格</t>
        </is>
      </c>
      <c r="Q80" s="25" t="inlineStr">
        <is>
          <t>扫击/3格</t>
        </is>
      </c>
      <c r="R80" s="25" t="inlineStr">
        <is>
          <t>输出</t>
        </is>
      </c>
      <c r="S80" s="25" t="inlineStr">
        <is>
          <t>castleReduce</t>
        </is>
      </c>
      <c r="T80" s="25" t="inlineStr">
        <is>
          <t>火、输出、爆发、前排</t>
        </is>
      </c>
      <c r="U80" s="25" t="inlineStr">
        <is>
          <t>—</t>
        </is>
      </c>
      <c r="V80" s="25" t="inlineStr">
        <is>
          <t>44</t>
        </is>
      </c>
    </row>
    <row r="81" ht="22" customHeight="1">
      <c r="A81" s="25" t="inlineStr">
        <is>
          <t>pal_080</t>
        </is>
      </c>
      <c r="B81" s="25" t="inlineStr">
        <is>
          <t>No.077</t>
        </is>
      </c>
      <c r="C81" s="25" t="inlineStr">
        <is>
          <t>踏春兔</t>
        </is>
      </c>
      <c r="D81" s="25" t="inlineStr">
        <is>
          <t>风</t>
        </is>
      </c>
      <c r="E81" s="25" t="inlineStr">
        <is>
          <t>草</t>
        </is>
      </c>
      <c r="F81" s="25" t="inlineStr">
        <is>
          <t>白银</t>
        </is>
      </c>
      <c r="G81" s="25" t="inlineStr">
        <is>
          <t>小型</t>
        </is>
      </c>
      <c r="H81" s="25" t="inlineStr">
        <is>
          <t>治疗</t>
        </is>
      </c>
      <c r="I81" s="26">
        <f>IFERROR(VLOOKUP($A81,'02_怪物模板_好读版'!$A:$S,15,FALSE),0)+IFERROR(VLOOKUP($A81,'02_怪物模板_好读版'!$A:$S,16,FALSE),0)</f>
        <v/>
      </c>
      <c r="J81" s="26">
        <f>IFERROR(VLOOKUP($A81,'02_怪物模板_好读版'!$A:$Z,8,FALSE),25)</f>
        <v/>
      </c>
      <c r="K81" s="26">
        <f>IFERROR(VLOOKUP($A81,'02_怪物模板_好读版'!$A:$Z,9,FALSE),12)</f>
        <v/>
      </c>
      <c r="L81" s="26">
        <f>IFERROR(VLOOKUP($A81,'02_怪物模板_好读版'!$A:$Z,10,FALSE),0)</f>
        <v/>
      </c>
      <c r="M81" s="26">
        <f>IFERROR(VLOOKUP($A81,'02_怪物模板_好读版'!$A:$Z,11,FALSE),0)</f>
        <v/>
      </c>
      <c r="N81" s="26">
        <f>IFERROR(VLOOKUP($A81,'02_怪物模板_好读版'!$A:$Z,12,FALSE),3)</f>
        <v/>
      </c>
      <c r="O81" s="26">
        <f>IFERROR(VLOOKUP($A81,'02_怪物模板_好读版'!$A:$Z,13,FALSE),"REVIEW")</f>
        <v/>
      </c>
      <c r="P81" s="25" t="inlineStr">
        <is>
          <t>T1 标准前置T</t>
        </is>
      </c>
      <c r="Q81" s="25" t="inlineStr">
        <is>
          <t>T形/4格</t>
        </is>
      </c>
      <c r="R81" s="25" t="inlineStr">
        <is>
          <t>场地</t>
        </is>
      </c>
      <c r="S81" s="25" t="inlineStr">
        <is>
          <t>healAmpBonus</t>
        </is>
      </c>
      <c r="T81" s="25" t="inlineStr">
        <is>
          <t>风、治疗、后排、增益</t>
        </is>
      </c>
      <c r="U81" s="25" t="inlineStr">
        <is>
          <t>—</t>
        </is>
      </c>
      <c r="V81" s="25" t="inlineStr">
        <is>
          <t>治疗补预算</t>
        </is>
      </c>
    </row>
    <row r="82" ht="22" customHeight="1">
      <c r="A82" s="25" t="inlineStr">
        <is>
          <t>pal_081</t>
        </is>
      </c>
      <c r="B82" s="25" t="inlineStr">
        <is>
          <t>No.078</t>
        </is>
      </c>
      <c r="C82" s="25" t="inlineStr">
        <is>
          <t>薇莉塔</t>
        </is>
      </c>
      <c r="D82" s="25" t="inlineStr">
        <is>
          <t>风</t>
        </is>
      </c>
      <c r="E82" s="25" t="inlineStr">
        <is>
          <t>草</t>
        </is>
      </c>
      <c r="F82" s="25" t="inlineStr">
        <is>
          <t>白银</t>
        </is>
      </c>
      <c r="G82" s="25" t="inlineStr">
        <is>
          <t>小型</t>
        </is>
      </c>
      <c r="H82" s="25" t="inlineStr">
        <is>
          <t>治疗</t>
        </is>
      </c>
      <c r="I82" s="26">
        <f>IFERROR(VLOOKUP($A82,'02_怪物模板_好读版'!$A:$S,15,FALSE),0)+IFERROR(VLOOKUP($A82,'02_怪物模板_好读版'!$A:$S,16,FALSE),0)</f>
        <v/>
      </c>
      <c r="J82" s="26">
        <f>IFERROR(VLOOKUP($A82,'02_怪物模板_好读版'!$A:$Z,8,FALSE),25)</f>
        <v/>
      </c>
      <c r="K82" s="26">
        <f>IFERROR(VLOOKUP($A82,'02_怪物模板_好读版'!$A:$Z,9,FALSE),12)</f>
        <v/>
      </c>
      <c r="L82" s="26">
        <f>IFERROR(VLOOKUP($A82,'02_怪物模板_好读版'!$A:$Z,10,FALSE),0)</f>
        <v/>
      </c>
      <c r="M82" s="26">
        <f>IFERROR(VLOOKUP($A82,'02_怪物模板_好读版'!$A:$Z,11,FALSE),0)</f>
        <v/>
      </c>
      <c r="N82" s="26">
        <f>IFERROR(VLOOKUP($A82,'02_怪物模板_好读版'!$A:$Z,12,FALSE),3)</f>
        <v/>
      </c>
      <c r="O82" s="26">
        <f>IFERROR(VLOOKUP($A82,'02_怪物模板_好读版'!$A:$Z,13,FALSE),"REVIEW")</f>
        <v/>
      </c>
      <c r="P82" s="25" t="inlineStr">
        <is>
          <t>T1 标准前置T</t>
        </is>
      </c>
      <c r="Q82" s="25" t="inlineStr">
        <is>
          <t>T形/4格</t>
        </is>
      </c>
      <c r="R82" s="25" t="inlineStr">
        <is>
          <t>场地</t>
        </is>
      </c>
      <c r="S82" s="25" t="inlineStr">
        <is>
          <t>healAmpBonus</t>
        </is>
      </c>
      <c r="T82" s="25" t="inlineStr">
        <is>
          <t>风、治疗、后排、增益</t>
        </is>
      </c>
      <c r="U82" s="25" t="inlineStr">
        <is>
          <t>—</t>
        </is>
      </c>
      <c r="V82" s="25" t="inlineStr">
        <is>
          <t>治疗补预算</t>
        </is>
      </c>
    </row>
    <row r="83" ht="22" customHeight="1">
      <c r="A83" s="25" t="inlineStr">
        <is>
          <t>pal_082</t>
        </is>
      </c>
      <c r="B83" s="25" t="inlineStr">
        <is>
          <t>No.079</t>
        </is>
      </c>
      <c r="C83" s="25" t="inlineStr">
        <is>
          <t>绸笠蛾</t>
        </is>
      </c>
      <c r="D83" s="25" t="inlineStr">
        <is>
          <t>水</t>
        </is>
      </c>
      <c r="E83" s="25" t="inlineStr">
        <is>
          <t>冰</t>
        </is>
      </c>
      <c r="F83" s="25" t="inlineStr">
        <is>
          <t>白银</t>
        </is>
      </c>
      <c r="G83" s="25" t="inlineStr">
        <is>
          <t>小型</t>
        </is>
      </c>
      <c r="H83" s="25" t="inlineStr">
        <is>
          <t>治疗</t>
        </is>
      </c>
      <c r="I83" s="26">
        <f>IFERROR(VLOOKUP($A83,'02_怪物模板_好读版'!$A:$S,15,FALSE),0)+IFERROR(VLOOKUP($A83,'02_怪物模板_好读版'!$A:$S,16,FALSE),0)</f>
        <v/>
      </c>
      <c r="J83" s="26">
        <f>IFERROR(VLOOKUP($A83,'02_怪物模板_好读版'!$A:$Z,8,FALSE),25)</f>
        <v/>
      </c>
      <c r="K83" s="26">
        <f>IFERROR(VLOOKUP($A83,'02_怪物模板_好读版'!$A:$Z,9,FALSE),12)</f>
        <v/>
      </c>
      <c r="L83" s="26">
        <f>IFERROR(VLOOKUP($A83,'02_怪物模板_好读版'!$A:$Z,10,FALSE),0)</f>
        <v/>
      </c>
      <c r="M83" s="26">
        <f>IFERROR(VLOOKUP($A83,'02_怪物模板_好读版'!$A:$Z,11,FALSE),0)</f>
        <v/>
      </c>
      <c r="N83" s="26">
        <f>IFERROR(VLOOKUP($A83,'02_怪物模板_好读版'!$A:$Z,12,FALSE),3)</f>
        <v/>
      </c>
      <c r="O83" s="26">
        <f>IFERROR(VLOOKUP($A83,'02_怪物模板_好读版'!$A:$Z,13,FALSE),"REVIEW")</f>
        <v/>
      </c>
      <c r="P83" s="25" t="inlineStr">
        <is>
          <t>T1 标准前置T</t>
        </is>
      </c>
      <c r="Q83" s="25" t="inlineStr">
        <is>
          <t>T形/4格</t>
        </is>
      </c>
      <c r="R83" s="25" t="inlineStr">
        <is>
          <t>场地</t>
        </is>
      </c>
      <c r="S83" s="25" t="inlineStr">
        <is>
          <t>healAmpBonus</t>
        </is>
      </c>
      <c r="T83" s="25" t="inlineStr">
        <is>
          <t>水、治疗、后排、增益</t>
        </is>
      </c>
      <c r="U83" s="25" t="inlineStr">
        <is>
          <t>—</t>
        </is>
      </c>
      <c r="V83" s="25" t="inlineStr">
        <is>
          <t>治疗补预算</t>
        </is>
      </c>
    </row>
    <row r="84" ht="22" customHeight="1">
      <c r="A84" s="25" t="inlineStr">
        <is>
          <t>pal_083</t>
        </is>
      </c>
      <c r="B84" s="25" t="inlineStr">
        <is>
          <t>No.080</t>
        </is>
      </c>
      <c r="C84" s="25" t="inlineStr">
        <is>
          <t>精灵龙</t>
        </is>
      </c>
      <c r="D84" s="25" t="inlineStr">
        <is>
          <t>风</t>
        </is>
      </c>
      <c r="E84" s="25" t="inlineStr">
        <is>
          <t>龙</t>
        </is>
      </c>
      <c r="F84" s="25" t="inlineStr">
        <is>
          <t>白银</t>
        </is>
      </c>
      <c r="G84" s="25" t="inlineStr">
        <is>
          <t>中型</t>
        </is>
      </c>
      <c r="H84" s="25" t="inlineStr">
        <is>
          <t>召唤</t>
        </is>
      </c>
      <c r="I84" s="26">
        <f>IFERROR(VLOOKUP($A84,'02_怪物模板_好读版'!$A:$S,15,FALSE),0)+IFERROR(VLOOKUP($A84,'02_怪物模板_好读版'!$A:$S,16,FALSE),0)</f>
        <v/>
      </c>
      <c r="J84" s="26">
        <f>IFERROR(VLOOKUP($A84,'02_怪物模板_好读版'!$A:$Z,8,FALSE),35)</f>
        <v/>
      </c>
      <c r="K84" s="26">
        <f>IFERROR(VLOOKUP($A84,'02_怪物模板_好读版'!$A:$Z,9,FALSE),26)</f>
        <v/>
      </c>
      <c r="L84" s="26">
        <f>IFERROR(VLOOKUP($A84,'02_怪物模板_好读版'!$A:$Z,10,FALSE),0)</f>
        <v/>
      </c>
      <c r="M84" s="26">
        <f>IFERROR(VLOOKUP($A84,'02_怪物模板_好读版'!$A:$Z,11,FALSE),0)</f>
        <v/>
      </c>
      <c r="N84" s="26">
        <f>IFERROR(VLOOKUP($A84,'02_怪物模板_好读版'!$A:$Z,12,FALSE),3)</f>
        <v/>
      </c>
      <c r="O84" s="26">
        <f>IFERROR(VLOOKUP($A84,'02_怪物模板_好读版'!$A:$Z,13,FALSE),"mech_summon")</f>
        <v/>
      </c>
      <c r="P84" s="25" t="inlineStr">
        <is>
          <t>A1 单点刺</t>
        </is>
      </c>
      <c r="Q84" s="25" t="inlineStr">
        <is>
          <t>直线/1格</t>
        </is>
      </c>
      <c r="R84" s="25" t="inlineStr">
        <is>
          <t>召唤</t>
        </is>
      </c>
      <c r="S84" s="25" t="inlineStr">
        <is>
          <t>summonFromCell</t>
        </is>
      </c>
      <c r="T84" s="25" t="inlineStr">
        <is>
          <t>风、召唤、成长、核心</t>
        </is>
      </c>
      <c r="U84" s="25" t="inlineStr">
        <is>
          <t>是</t>
        </is>
      </c>
      <c r="V84" s="25" t="inlineStr">
        <is>
          <t>召唤补预算</t>
        </is>
      </c>
    </row>
    <row r="85" ht="22" customHeight="1">
      <c r="A85" s="25" t="inlineStr">
        <is>
          <t>pal_084</t>
        </is>
      </c>
      <c r="B85" s="25" t="inlineStr">
        <is>
          <t>No.080B</t>
        </is>
      </c>
      <c r="C85" s="25" t="inlineStr">
        <is>
          <t>水灵龙</t>
        </is>
      </c>
      <c r="D85" s="25" t="inlineStr">
        <is>
          <t>水</t>
        </is>
      </c>
      <c r="E85" s="25" t="inlineStr">
        <is>
          <t>龙、水</t>
        </is>
      </c>
      <c r="F85" s="25" t="inlineStr">
        <is>
          <t>白银</t>
        </is>
      </c>
      <c r="G85" s="25" t="inlineStr">
        <is>
          <t>中型</t>
        </is>
      </c>
      <c r="H85" s="25" t="inlineStr">
        <is>
          <t>治疗</t>
        </is>
      </c>
      <c r="I85" s="26">
        <f>IFERROR(VLOOKUP($A85,'02_怪物模板_好读版'!$A:$S,15,FALSE),0)+IFERROR(VLOOKUP($A85,'02_怪物模板_好读版'!$A:$S,16,FALSE),0)</f>
        <v/>
      </c>
      <c r="J85" s="26">
        <f>IFERROR(VLOOKUP($A85,'02_怪物模板_好读版'!$A:$Z,8,FALSE),40)</f>
        <v/>
      </c>
      <c r="K85" s="26">
        <f>IFERROR(VLOOKUP($A85,'02_怪物模板_好读版'!$A:$Z,9,FALSE),27)</f>
        <v/>
      </c>
      <c r="L85" s="26">
        <f>IFERROR(VLOOKUP($A85,'02_怪物模板_好读版'!$A:$Z,10,FALSE),0)</f>
        <v/>
      </c>
      <c r="M85" s="26">
        <f>IFERROR(VLOOKUP($A85,'02_怪物模板_好读版'!$A:$Z,11,FALSE),0)</f>
        <v/>
      </c>
      <c r="N85" s="26">
        <f>IFERROR(VLOOKUP($A85,'02_怪物模板_好读版'!$A:$Z,12,FALSE),3)</f>
        <v/>
      </c>
      <c r="O85" s="26">
        <f>IFERROR(VLOOKUP($A85,'02_怪物模板_好读版'!$A:$Z,13,FALSE),"REVIEW")</f>
        <v/>
      </c>
      <c r="P85" s="25" t="inlineStr">
        <is>
          <t>T1 标准前置T</t>
        </is>
      </c>
      <c r="Q85" s="25" t="inlineStr">
        <is>
          <t>T形/4格</t>
        </is>
      </c>
      <c r="R85" s="25" t="inlineStr">
        <is>
          <t>场地</t>
        </is>
      </c>
      <c r="S85" s="25" t="inlineStr">
        <is>
          <t>healAmpBonus</t>
        </is>
      </c>
      <c r="T85" s="25" t="inlineStr">
        <is>
          <t>水、治疗、后排、增益</t>
        </is>
      </c>
      <c r="U85" s="25" t="inlineStr">
        <is>
          <t>—</t>
        </is>
      </c>
      <c r="V85" s="25" t="inlineStr">
        <is>
          <t>治疗补预算</t>
        </is>
      </c>
    </row>
    <row r="86" ht="22" customHeight="1">
      <c r="A86" s="25" t="inlineStr">
        <is>
          <t>pal_085</t>
        </is>
      </c>
      <c r="B86" s="25" t="inlineStr">
        <is>
          <t>No.081</t>
        </is>
      </c>
      <c r="C86" s="25" t="inlineStr">
        <is>
          <t>水灵儿</t>
        </is>
      </c>
      <c r="D86" s="25" t="inlineStr">
        <is>
          <t>水</t>
        </is>
      </c>
      <c r="E86" s="25" t="inlineStr">
        <is>
          <t>44</t>
        </is>
      </c>
      <c r="F86" s="25" t="inlineStr">
        <is>
          <t>白银</t>
        </is>
      </c>
      <c r="G86" s="25" t="inlineStr">
        <is>
          <t>小型</t>
        </is>
      </c>
      <c r="H86" s="25" t="inlineStr">
        <is>
          <t>治疗</t>
        </is>
      </c>
      <c r="I86" s="26">
        <f>IFERROR(VLOOKUP($A86,'02_怪物模板_好读版'!$A:$S,15,FALSE),0)+IFERROR(VLOOKUP($A86,'02_怪物模板_好读版'!$A:$S,16,FALSE),0)</f>
        <v/>
      </c>
      <c r="J86" s="26">
        <f>IFERROR(VLOOKUP($A86,'02_怪物模板_好读版'!$A:$Z,8,FALSE),25)</f>
        <v/>
      </c>
      <c r="K86" s="26">
        <f>IFERROR(VLOOKUP($A86,'02_怪物模板_好读版'!$A:$Z,9,FALSE),12)</f>
        <v/>
      </c>
      <c r="L86" s="26">
        <f>IFERROR(VLOOKUP($A86,'02_怪物模板_好读版'!$A:$Z,10,FALSE),0)</f>
        <v/>
      </c>
      <c r="M86" s="26">
        <f>IFERROR(VLOOKUP($A86,'02_怪物模板_好读版'!$A:$Z,11,FALSE),0)</f>
        <v/>
      </c>
      <c r="N86" s="26">
        <f>IFERROR(VLOOKUP($A86,'02_怪物模板_好读版'!$A:$Z,12,FALSE),3)</f>
        <v/>
      </c>
      <c r="O86" s="26">
        <f>IFERROR(VLOOKUP($A86,'02_怪物模板_好读版'!$A:$Z,13,FALSE),"REVIEW")</f>
        <v/>
      </c>
      <c r="P86" s="25" t="inlineStr">
        <is>
          <t>T1 标准前置T</t>
        </is>
      </c>
      <c r="Q86" s="25" t="inlineStr">
        <is>
          <t>T形/4格</t>
        </is>
      </c>
      <c r="R86" s="25" t="inlineStr">
        <is>
          <t>场地</t>
        </is>
      </c>
      <c r="S86" s="25" t="inlineStr">
        <is>
          <t>healAmpBonus</t>
        </is>
      </c>
      <c r="T86" s="25" t="inlineStr">
        <is>
          <t>水、治疗、后排、增益</t>
        </is>
      </c>
      <c r="U86" s="25" t="inlineStr">
        <is>
          <t>—</t>
        </is>
      </c>
      <c r="V86" s="25" t="inlineStr">
        <is>
          <t>治疗补预算</t>
        </is>
      </c>
    </row>
    <row r="87" ht="22" customHeight="1">
      <c r="A87" s="25" t="inlineStr">
        <is>
          <t>pal_086</t>
        </is>
      </c>
      <c r="B87" s="25" t="inlineStr">
        <is>
          <t>No.081B</t>
        </is>
      </c>
      <c r="C87" s="25" t="inlineStr">
        <is>
          <t>火灵儿</t>
        </is>
      </c>
      <c r="D87" s="25" t="inlineStr">
        <is>
          <t>火</t>
        </is>
      </c>
      <c r="E87" s="25" t="inlineStr">
        <is>
          <t>44</t>
        </is>
      </c>
      <c r="F87" s="25" t="inlineStr">
        <is>
          <t>白银</t>
        </is>
      </c>
      <c r="G87" s="25" t="inlineStr">
        <is>
          <t>小型</t>
        </is>
      </c>
      <c r="H87" s="25" t="inlineStr">
        <is>
          <t>输出</t>
        </is>
      </c>
      <c r="I87" s="26">
        <f>IFERROR(VLOOKUP($A87,'02_怪物模板_好读版'!$A:$S,15,FALSE),0)+IFERROR(VLOOKUP($A87,'02_怪物模板_好读版'!$A:$S,16,FALSE),0)</f>
        <v/>
      </c>
      <c r="J87" s="26">
        <f>IFERROR(VLOOKUP($A87,'02_怪物模板_好读版'!$A:$Z,8,FALSE),30)</f>
        <v/>
      </c>
      <c r="K87" s="26">
        <f>IFERROR(VLOOKUP($A87,'02_怪物模板_好读版'!$A:$Z,9,FALSE),13)</f>
        <v/>
      </c>
      <c r="L87" s="26">
        <f>IFERROR(VLOOKUP($A87,'02_怪物模板_好读版'!$A:$Z,10,FALSE),0)</f>
        <v/>
      </c>
      <c r="M87" s="26">
        <f>IFERROR(VLOOKUP($A87,'02_怪物模板_好读版'!$A:$Z,11,FALSE),0)</f>
        <v/>
      </c>
      <c r="N87" s="26">
        <f>IFERROR(VLOOKUP($A87,'02_怪物模板_好读版'!$A:$Z,12,FALSE),3)</f>
        <v/>
      </c>
      <c r="O87" s="26">
        <f>IFERROR(VLOOKUP($A87,'02_怪物模板_好读版'!$A:$Z,13,FALSE),"REVIEW")</f>
        <v/>
      </c>
      <c r="P87" s="25" t="inlineStr">
        <is>
          <t>B1 横扫三格</t>
        </is>
      </c>
      <c r="Q87" s="25" t="inlineStr">
        <is>
          <t>扫击/3格</t>
        </is>
      </c>
      <c r="R87" s="25" t="inlineStr">
        <is>
          <t>输出</t>
        </is>
      </c>
      <c r="S87" s="25" t="inlineStr">
        <is>
          <t>castleReduce</t>
        </is>
      </c>
      <c r="T87" s="25" t="inlineStr">
        <is>
          <t>火、输出、爆发、前排</t>
        </is>
      </c>
      <c r="U87" s="25" t="inlineStr">
        <is>
          <t>—</t>
        </is>
      </c>
      <c r="V87" s="25" t="inlineStr">
        <is>
          <t>44</t>
        </is>
      </c>
    </row>
    <row r="88" ht="22" customHeight="1">
      <c r="A88" s="25" t="inlineStr">
        <is>
          <t>pal_087</t>
        </is>
      </c>
      <c r="B88" s="25" t="inlineStr">
        <is>
          <t>No.082</t>
        </is>
      </c>
      <c r="C88" s="25" t="inlineStr">
        <is>
          <t>碧海龙</t>
        </is>
      </c>
      <c r="D88" s="25" t="inlineStr">
        <is>
          <t>水</t>
        </is>
      </c>
      <c r="E88" s="25" t="inlineStr">
        <is>
          <t>水、龙</t>
        </is>
      </c>
      <c r="F88" s="25" t="inlineStr">
        <is>
          <t>白银</t>
        </is>
      </c>
      <c r="G88" s="25" t="inlineStr">
        <is>
          <t>中型</t>
        </is>
      </c>
      <c r="H88" s="25" t="inlineStr">
        <is>
          <t>治疗</t>
        </is>
      </c>
      <c r="I88" s="26">
        <f>IFERROR(VLOOKUP($A88,'02_怪物模板_好读版'!$A:$S,15,FALSE),0)+IFERROR(VLOOKUP($A88,'02_怪物模板_好读版'!$A:$S,16,FALSE),0)</f>
        <v/>
      </c>
      <c r="J88" s="26">
        <f>IFERROR(VLOOKUP($A88,'02_怪物模板_好读版'!$A:$Z,8,FALSE),40)</f>
        <v/>
      </c>
      <c r="K88" s="26">
        <f>IFERROR(VLOOKUP($A88,'02_怪物模板_好读版'!$A:$Z,9,FALSE),27)</f>
        <v/>
      </c>
      <c r="L88" s="26">
        <f>IFERROR(VLOOKUP($A88,'02_怪物模板_好读版'!$A:$Z,10,FALSE),0)</f>
        <v/>
      </c>
      <c r="M88" s="26">
        <f>IFERROR(VLOOKUP($A88,'02_怪物模板_好读版'!$A:$Z,11,FALSE),0)</f>
        <v/>
      </c>
      <c r="N88" s="26">
        <f>IFERROR(VLOOKUP($A88,'02_怪物模板_好读版'!$A:$Z,12,FALSE),3)</f>
        <v/>
      </c>
      <c r="O88" s="26">
        <f>IFERROR(VLOOKUP($A88,'02_怪物模板_好读版'!$A:$Z,13,FALSE),"REVIEW")</f>
        <v/>
      </c>
      <c r="P88" s="25" t="inlineStr">
        <is>
          <t>T1 标准前置T</t>
        </is>
      </c>
      <c r="Q88" s="25" t="inlineStr">
        <is>
          <t>T形/4格</t>
        </is>
      </c>
      <c r="R88" s="25" t="inlineStr">
        <is>
          <t>场地</t>
        </is>
      </c>
      <c r="S88" s="25" t="inlineStr">
        <is>
          <t>healAmpBonus</t>
        </is>
      </c>
      <c r="T88" s="25" t="inlineStr">
        <is>
          <t>水、治疗、后排、增益</t>
        </is>
      </c>
      <c r="U88" s="25" t="inlineStr">
        <is>
          <t>—</t>
        </is>
      </c>
      <c r="V88" s="25" t="inlineStr">
        <is>
          <t>治疗补预算</t>
        </is>
      </c>
    </row>
    <row r="89" ht="22" customHeight="1">
      <c r="A89" s="25" t="inlineStr">
        <is>
          <t>pal_088</t>
        </is>
      </c>
      <c r="B89" s="25" t="inlineStr">
        <is>
          <t>No.083</t>
        </is>
      </c>
      <c r="C89" s="25" t="inlineStr">
        <is>
          <t>冰棘兽</t>
        </is>
      </c>
      <c r="D89" s="25" t="inlineStr">
        <is>
          <t>水</t>
        </is>
      </c>
      <c r="E89" s="25" t="inlineStr">
        <is>
          <t>冰</t>
        </is>
      </c>
      <c r="F89" s="25" t="inlineStr">
        <is>
          <t>白银</t>
        </is>
      </c>
      <c r="G89" s="25" t="inlineStr">
        <is>
          <t>中型</t>
        </is>
      </c>
      <c r="H89" s="25" t="inlineStr">
        <is>
          <t>坦克</t>
        </is>
      </c>
      <c r="I89" s="26">
        <f>IFERROR(VLOOKUP($A89,'02_怪物模板_好读版'!$A:$S,15,FALSE),0)+IFERROR(VLOOKUP($A89,'02_怪物模板_好读版'!$A:$S,16,FALSE),0)</f>
        <v/>
      </c>
      <c r="J89" s="26">
        <f>IFERROR(VLOOKUP($A89,'02_怪物模板_好读版'!$A:$Z,8,FALSE),15)</f>
        <v/>
      </c>
      <c r="K89" s="26">
        <f>IFERROR(VLOOKUP($A89,'02_怪物模板_好读版'!$A:$Z,9,FALSE),2)</f>
        <v/>
      </c>
      <c r="L89" s="26">
        <f>IFERROR(VLOOKUP($A89,'02_怪物模板_好读版'!$A:$Z,10,FALSE),0)</f>
        <v/>
      </c>
      <c r="M89" s="26">
        <f>IFERROR(VLOOKUP($A89,'02_怪物模板_好读版'!$A:$Z,11,FALSE),6)</f>
        <v/>
      </c>
      <c r="N89" s="26">
        <f>IFERROR(VLOOKUP($A89,'02_怪物模板_好读版'!$A:$Z,12,FALSE),3)</f>
        <v/>
      </c>
      <c r="O89" s="26">
        <f>IFERROR(VLOOKUP($A89,'02_怪物模板_好读版'!$A:$Z,13,FALSE),"mech_opening_shield")</f>
        <v/>
      </c>
      <c r="P89" s="25" t="inlineStr">
        <is>
          <t>B1 横扫三格</t>
        </is>
      </c>
      <c r="Q89" s="25" t="inlineStr">
        <is>
          <t>扫击/3格</t>
        </is>
      </c>
      <c r="R89" s="25" t="inlineStr">
        <is>
          <t>阻挡</t>
        </is>
      </c>
      <c r="S89" s="25" t="inlineStr">
        <is>
          <t>castleReduce</t>
        </is>
      </c>
      <c r="T89" s="25" t="inlineStr">
        <is>
          <t>水、防御、前排、阻挡</t>
        </is>
      </c>
      <c r="U89" s="25" t="inlineStr">
        <is>
          <t>—</t>
        </is>
      </c>
      <c r="V89" s="25" t="inlineStr">
        <is>
          <t>旧定位=防御</t>
        </is>
      </c>
    </row>
    <row r="90" ht="22" customHeight="1">
      <c r="A90" s="25" t="inlineStr">
        <is>
          <t>pal_089</t>
        </is>
      </c>
      <c r="B90" s="25" t="inlineStr">
        <is>
          <t>No.084</t>
        </is>
      </c>
      <c r="C90" s="25" t="inlineStr">
        <is>
          <t>狱焰王</t>
        </is>
      </c>
      <c r="D90" s="25" t="inlineStr">
        <is>
          <t>火</t>
        </is>
      </c>
      <c r="E90" s="25" t="inlineStr">
        <is>
          <t>44</t>
        </is>
      </c>
      <c r="F90" s="25" t="inlineStr">
        <is>
          <t>白银</t>
        </is>
      </c>
      <c r="G90" s="25" t="inlineStr">
        <is>
          <t>大型</t>
        </is>
      </c>
      <c r="H90" s="25" t="inlineStr">
        <is>
          <t>输出</t>
        </is>
      </c>
      <c r="I90" s="26">
        <f>IFERROR(VLOOKUP($A90,'02_怪物模板_好读版'!$A:$S,15,FALSE),0)+IFERROR(VLOOKUP($A90,'02_怪物模板_好读版'!$A:$S,16,FALSE),0)</f>
        <v/>
      </c>
      <c r="J90" s="26">
        <f>IFERROR(VLOOKUP($A90,'02_怪物模板_好读版'!$A:$Z,8,FALSE),40)</f>
        <v/>
      </c>
      <c r="K90" s="26">
        <f>IFERROR(VLOOKUP($A90,'02_怪物模板_好读版'!$A:$Z,9,FALSE),5)</f>
        <v/>
      </c>
      <c r="L90" s="26">
        <f>IFERROR(VLOOKUP($A90,'02_怪物模板_好读版'!$A:$Z,10,FALSE),0)</f>
        <v/>
      </c>
      <c r="M90" s="26">
        <f>IFERROR(VLOOKUP($A90,'02_怪物模板_好读版'!$A:$Z,11,FALSE),10)</f>
        <v/>
      </c>
      <c r="N90" s="26">
        <f>IFERROR(VLOOKUP($A90,'02_怪物模板_好读版'!$A:$Z,12,FALSE),4)</f>
        <v/>
      </c>
      <c r="O90" s="26">
        <f>IFERROR(VLOOKUP($A90,'02_怪物模板_好读版'!$A:$Z,13,FALSE),"mech_multi_hit,mech_armor_break")</f>
        <v/>
      </c>
      <c r="P90" s="25" t="inlineStr">
        <is>
          <t>B1 横扫三格</t>
        </is>
      </c>
      <c r="Q90" s="25" t="inlineStr">
        <is>
          <t>扫击/3格</t>
        </is>
      </c>
      <c r="R90" s="25" t="inlineStr">
        <is>
          <t>输出</t>
        </is>
      </c>
      <c r="S90" s="25" t="inlineStr">
        <is>
          <t>castleReduce</t>
        </is>
      </c>
      <c r="T90" s="25" t="inlineStr">
        <is>
          <t>火、输出、爆发、前排</t>
        </is>
      </c>
      <c r="U90" s="25" t="inlineStr">
        <is>
          <t>—</t>
        </is>
      </c>
      <c r="V90" s="25" t="inlineStr">
        <is>
          <t>44</t>
        </is>
      </c>
    </row>
    <row r="91" ht="22" customHeight="1">
      <c r="A91" s="25" t="inlineStr">
        <is>
          <t>pal_090</t>
        </is>
      </c>
      <c r="B91" s="25" t="inlineStr">
        <is>
          <t>No.084B</t>
        </is>
      </c>
      <c r="C91" s="25" t="inlineStr">
        <is>
          <t>狱阎王</t>
        </is>
      </c>
      <c r="D91" s="25" t="inlineStr">
        <is>
          <t>火</t>
        </is>
      </c>
      <c r="E91" s="25" t="inlineStr">
        <is>
          <t>火、暗</t>
        </is>
      </c>
      <c r="F91" s="25" t="inlineStr">
        <is>
          <t>白银</t>
        </is>
      </c>
      <c r="G91" s="25" t="inlineStr">
        <is>
          <t>大型</t>
        </is>
      </c>
      <c r="H91" s="25" t="inlineStr">
        <is>
          <t>输出</t>
        </is>
      </c>
      <c r="I91" s="26">
        <f>IFERROR(VLOOKUP($A91,'02_怪物模板_好读版'!$A:$S,15,FALSE),0)+IFERROR(VLOOKUP($A91,'02_怪物模板_好读版'!$A:$S,16,FALSE),0)</f>
        <v/>
      </c>
      <c r="J91" s="26">
        <f>IFERROR(VLOOKUP($A91,'02_怪物模板_好读版'!$A:$Z,8,FALSE),70)</f>
        <v/>
      </c>
      <c r="K91" s="26">
        <f>IFERROR(VLOOKUP($A91,'02_怪物模板_好读版'!$A:$Z,9,FALSE),5)</f>
        <v/>
      </c>
      <c r="L91" s="26">
        <f>IFERROR(VLOOKUP($A91,'02_怪物模板_好读版'!$A:$Z,10,FALSE),10)</f>
        <v/>
      </c>
      <c r="M91" s="26">
        <f>IFERROR(VLOOKUP($A91,'02_怪物模板_好读版'!$A:$Z,11,FALSE),10)</f>
        <v/>
      </c>
      <c r="N91" s="26">
        <f>IFERROR(VLOOKUP($A91,'02_怪物模板_好读版'!$A:$Z,12,FALSE),5)</f>
        <v/>
      </c>
      <c r="O91" s="26">
        <f>IFERROR(VLOOKUP($A91,'02_怪物模板_好读版'!$A:$Z,13,FALSE),"mech_damage_cap,mech_summon,mech_aura")</f>
        <v/>
      </c>
      <c r="P91" s="25" t="inlineStr">
        <is>
          <t>B1 横扫三格</t>
        </is>
      </c>
      <c r="Q91" s="25" t="inlineStr">
        <is>
          <t>扫击/3格</t>
        </is>
      </c>
      <c r="R91" s="25" t="inlineStr">
        <is>
          <t>输出</t>
        </is>
      </c>
      <c r="S91" s="25" t="inlineStr">
        <is>
          <t>castleReduce</t>
        </is>
      </c>
      <c r="T91" s="25" t="inlineStr">
        <is>
          <t>火、输出、爆发、前排</t>
        </is>
      </c>
      <c r="U91" s="25" t="inlineStr">
        <is>
          <t>—</t>
        </is>
      </c>
      <c r="V91" s="25" t="inlineStr">
        <is>
          <t>44</t>
        </is>
      </c>
    </row>
    <row r="92" ht="22" customHeight="1">
      <c r="A92" s="25" t="inlineStr">
        <is>
          <t>pal_091</t>
        </is>
      </c>
      <c r="B92" s="25" t="inlineStr">
        <is>
          <t>No.085</t>
        </is>
      </c>
      <c r="C92" s="25" t="inlineStr">
        <is>
          <t>佩克龙</t>
        </is>
      </c>
      <c r="D92" s="25" t="inlineStr">
        <is>
          <t>水</t>
        </is>
      </c>
      <c r="E92" s="25" t="inlineStr">
        <is>
          <t>龙、水</t>
        </is>
      </c>
      <c r="F92" s="25" t="inlineStr">
        <is>
          <t>白银</t>
        </is>
      </c>
      <c r="G92" s="25" t="inlineStr">
        <is>
          <t>大型</t>
        </is>
      </c>
      <c r="H92" s="25" t="inlineStr">
        <is>
          <t>坦克</t>
        </is>
      </c>
      <c r="I92" s="26">
        <f>IFERROR(VLOOKUP($A92,'02_怪物模板_好读版'!$A:$S,15,FALSE),0)+IFERROR(VLOOKUP($A92,'02_怪物模板_好读版'!$A:$S,16,FALSE),0)</f>
        <v/>
      </c>
      <c r="J92" s="26">
        <f>IFERROR(VLOOKUP($A92,'02_怪物模板_好读版'!$A:$Z,8,FALSE),35)</f>
        <v/>
      </c>
      <c r="K92" s="26">
        <f>IFERROR(VLOOKUP($A92,'02_怪物模板_好读版'!$A:$Z,9,FALSE),2)</f>
        <v/>
      </c>
      <c r="L92" s="26">
        <f>IFERROR(VLOOKUP($A92,'02_怪物模板_好读版'!$A:$Z,10,FALSE),0)</f>
        <v/>
      </c>
      <c r="M92" s="26">
        <f>IFERROR(VLOOKUP($A92,'02_怪物模板_好读版'!$A:$Z,11,FALSE),6)</f>
        <v/>
      </c>
      <c r="N92" s="26">
        <f>IFERROR(VLOOKUP($A92,'02_怪物模板_好读版'!$A:$Z,12,FALSE),2)</f>
        <v/>
      </c>
      <c r="O92" s="26">
        <f>IFERROR(VLOOKUP($A92,'02_怪物模板_好读版'!$A:$Z,13,FALSE),"mech_revive")</f>
        <v/>
      </c>
      <c r="P92" s="25" t="inlineStr">
        <is>
          <t>B1 横扫三格</t>
        </is>
      </c>
      <c r="Q92" s="25" t="inlineStr">
        <is>
          <t>扫击/3格</t>
        </is>
      </c>
      <c r="R92" s="25" t="inlineStr">
        <is>
          <t>阻挡</t>
        </is>
      </c>
      <c r="S92" s="25" t="inlineStr">
        <is>
          <t>castleReduce</t>
        </is>
      </c>
      <c r="T92" s="25" t="inlineStr">
        <is>
          <t>水、防御、前排、阻挡</t>
        </is>
      </c>
      <c r="U92" s="25" t="inlineStr">
        <is>
          <t>—</t>
        </is>
      </c>
      <c r="V92" s="25" t="inlineStr">
        <is>
          <t>旧定位=防御</t>
        </is>
      </c>
    </row>
    <row r="93" ht="22" customHeight="1">
      <c r="A93" s="25" t="inlineStr">
        <is>
          <t>pal_092</t>
        </is>
      </c>
      <c r="B93" s="25" t="inlineStr">
        <is>
          <t>No.085B</t>
        </is>
      </c>
      <c r="C93" s="25" t="inlineStr">
        <is>
          <t>派克龙</t>
        </is>
      </c>
      <c r="D93" s="25" t="inlineStr">
        <is>
          <t>风</t>
        </is>
      </c>
      <c r="E93" s="25" t="inlineStr">
        <is>
          <t>龙、雷</t>
        </is>
      </c>
      <c r="F93" s="25" t="inlineStr">
        <is>
          <t>白银</t>
        </is>
      </c>
      <c r="G93" s="25" t="inlineStr">
        <is>
          <t>中型</t>
        </is>
      </c>
      <c r="H93" s="25" t="inlineStr">
        <is>
          <t>控制</t>
        </is>
      </c>
      <c r="I93" s="26">
        <f>IFERROR(VLOOKUP($A93,'02_怪物模板_好读版'!$A:$S,15,FALSE),0)+IFERROR(VLOOKUP($A93,'02_怪物模板_好读版'!$A:$S,16,FALSE),0)</f>
        <v/>
      </c>
      <c r="J93" s="26">
        <f>IFERROR(VLOOKUP($A93,'02_怪物模板_好读版'!$A:$Z,8,FALSE),35)</f>
        <v/>
      </c>
      <c r="K93" s="26">
        <f>IFERROR(VLOOKUP($A93,'02_怪物模板_好读版'!$A:$Z,9,FALSE),27)</f>
        <v/>
      </c>
      <c r="L93" s="26">
        <f>IFERROR(VLOOKUP($A93,'02_怪物模板_好读版'!$A:$Z,10,FALSE),0)</f>
        <v/>
      </c>
      <c r="M93" s="26">
        <f>IFERROR(VLOOKUP($A93,'02_怪物模板_好读版'!$A:$Z,11,FALSE),0)</f>
        <v/>
      </c>
      <c r="N93" s="26">
        <f>IFERROR(VLOOKUP($A93,'02_怪物模板_好读版'!$A:$Z,12,FALSE),4)</f>
        <v/>
      </c>
      <c r="O93" s="26">
        <f>IFERROR(VLOOKUP($A93,'02_怪物模板_好读版'!$A:$Z,13,FALSE),"REVIEW")</f>
        <v/>
      </c>
      <c r="P93" s="25" t="inlineStr">
        <is>
          <t>T2 长柄T</t>
        </is>
      </c>
      <c r="Q93" s="25" t="inlineStr">
        <is>
          <t>T形/5格</t>
        </is>
      </c>
      <c r="R93" s="25" t="inlineStr">
        <is>
          <t>牵制</t>
        </is>
      </c>
      <c r="S93" s="25" t="inlineStr">
        <is>
          <t>advHitBonus</t>
        </is>
      </c>
      <c r="T93" s="25" t="inlineStr">
        <is>
          <t>风、牵制、范围、机动</t>
        </is>
      </c>
      <c r="U93" s="25" t="inlineStr">
        <is>
          <t>—</t>
        </is>
      </c>
      <c r="V93" s="25" t="inlineStr">
        <is>
          <t>旧定位=牵制；控制补预算</t>
        </is>
      </c>
    </row>
    <row r="94" ht="22" customHeight="1">
      <c r="A94" s="25" t="inlineStr">
        <is>
          <t>pal_093</t>
        </is>
      </c>
      <c r="B94" s="25" t="inlineStr">
        <is>
          <t>No.086</t>
        </is>
      </c>
      <c r="C94" s="25" t="inlineStr">
        <is>
          <t>连理龙</t>
        </is>
      </c>
      <c r="D94" s="25" t="inlineStr">
        <is>
          <t>风</t>
        </is>
      </c>
      <c r="E94" s="25" t="inlineStr">
        <is>
          <t>草</t>
        </is>
      </c>
      <c r="F94" s="25" t="inlineStr">
        <is>
          <t>白银</t>
        </is>
      </c>
      <c r="G94" s="25" t="inlineStr">
        <is>
          <t>中型</t>
        </is>
      </c>
      <c r="H94" s="25" t="inlineStr">
        <is>
          <t>召唤</t>
        </is>
      </c>
      <c r="I94" s="26">
        <f>IFERROR(VLOOKUP($A94,'02_怪物模板_好读版'!$A:$S,15,FALSE),0)+IFERROR(VLOOKUP($A94,'02_怪物模板_好读版'!$A:$S,16,FALSE),0)</f>
        <v/>
      </c>
      <c r="J94" s="26">
        <f>IFERROR(VLOOKUP($A94,'02_怪物模板_好读版'!$A:$Z,8,FALSE),35)</f>
        <v/>
      </c>
      <c r="K94" s="26">
        <f>IFERROR(VLOOKUP($A94,'02_怪物模板_好读版'!$A:$Z,9,FALSE),26)</f>
        <v/>
      </c>
      <c r="L94" s="26">
        <f>IFERROR(VLOOKUP($A94,'02_怪物模板_好读版'!$A:$Z,10,FALSE),0)</f>
        <v/>
      </c>
      <c r="M94" s="26">
        <f>IFERROR(VLOOKUP($A94,'02_怪物模板_好读版'!$A:$Z,11,FALSE),0)</f>
        <v/>
      </c>
      <c r="N94" s="26">
        <f>IFERROR(VLOOKUP($A94,'02_怪物模板_好读版'!$A:$Z,12,FALSE),3)</f>
        <v/>
      </c>
      <c r="O94" s="26">
        <f>IFERROR(VLOOKUP($A94,'02_怪物模板_好读版'!$A:$Z,13,FALSE),"mech_summon")</f>
        <v/>
      </c>
      <c r="P94" s="25" t="inlineStr">
        <is>
          <t>A1 单点刺</t>
        </is>
      </c>
      <c r="Q94" s="25" t="inlineStr">
        <is>
          <t>直线/1格</t>
        </is>
      </c>
      <c r="R94" s="25" t="inlineStr">
        <is>
          <t>召唤</t>
        </is>
      </c>
      <c r="S94" s="25" t="inlineStr">
        <is>
          <t>summonFromCell</t>
        </is>
      </c>
      <c r="T94" s="25" t="inlineStr">
        <is>
          <t>风、召唤、成长、核心</t>
        </is>
      </c>
      <c r="U94" s="25" t="inlineStr">
        <is>
          <t>是</t>
        </is>
      </c>
      <c r="V94" s="25" t="inlineStr">
        <is>
          <t>召唤补预算</t>
        </is>
      </c>
    </row>
    <row r="95" ht="22" customHeight="1">
      <c r="A95" s="25" t="inlineStr">
        <is>
          <t>pal_094</t>
        </is>
      </c>
      <c r="B95" s="25" t="inlineStr">
        <is>
          <t>No.086B</t>
        </is>
      </c>
      <c r="C95" s="25" t="inlineStr">
        <is>
          <t>海誓龙</t>
        </is>
      </c>
      <c r="D95" s="25" t="inlineStr">
        <is>
          <t>水</t>
        </is>
      </c>
      <c r="E95" s="25" t="inlineStr">
        <is>
          <t>草、水</t>
        </is>
      </c>
      <c r="F95" s="25" t="inlineStr">
        <is>
          <t>白银</t>
        </is>
      </c>
      <c r="G95" s="25" t="inlineStr">
        <is>
          <t>中型</t>
        </is>
      </c>
      <c r="H95" s="25" t="inlineStr">
        <is>
          <t>治疗</t>
        </is>
      </c>
      <c r="I95" s="26">
        <f>IFERROR(VLOOKUP($A95,'02_怪物模板_好读版'!$A:$S,15,FALSE),0)+IFERROR(VLOOKUP($A95,'02_怪物模板_好读版'!$A:$S,16,FALSE),0)</f>
        <v/>
      </c>
      <c r="J95" s="26">
        <f>IFERROR(VLOOKUP($A95,'02_怪物模板_好读版'!$A:$Z,8,FALSE),40)</f>
        <v/>
      </c>
      <c r="K95" s="26">
        <f>IFERROR(VLOOKUP($A95,'02_怪物模板_好读版'!$A:$Z,9,FALSE),27)</f>
        <v/>
      </c>
      <c r="L95" s="26">
        <f>IFERROR(VLOOKUP($A95,'02_怪物模板_好读版'!$A:$Z,10,FALSE),0)</f>
        <v/>
      </c>
      <c r="M95" s="26">
        <f>IFERROR(VLOOKUP($A95,'02_怪物模板_好读版'!$A:$Z,11,FALSE),0)</f>
        <v/>
      </c>
      <c r="N95" s="26">
        <f>IFERROR(VLOOKUP($A95,'02_怪物模板_好读版'!$A:$Z,12,FALSE),3)</f>
        <v/>
      </c>
      <c r="O95" s="26">
        <f>IFERROR(VLOOKUP($A95,'02_怪物模板_好读版'!$A:$Z,13,FALSE),"REVIEW")</f>
        <v/>
      </c>
      <c r="P95" s="25" t="inlineStr">
        <is>
          <t>T1 标准前置T</t>
        </is>
      </c>
      <c r="Q95" s="25" t="inlineStr">
        <is>
          <t>T形/4格</t>
        </is>
      </c>
      <c r="R95" s="25" t="inlineStr">
        <is>
          <t>场地</t>
        </is>
      </c>
      <c r="S95" s="25" t="inlineStr">
        <is>
          <t>healAmpBonus</t>
        </is>
      </c>
      <c r="T95" s="25" t="inlineStr">
        <is>
          <t>水、治疗、后排、增益</t>
        </is>
      </c>
      <c r="U95" s="25" t="inlineStr">
        <is>
          <t>—</t>
        </is>
      </c>
      <c r="V95" s="25" t="inlineStr">
        <is>
          <t>治疗补预算</t>
        </is>
      </c>
    </row>
    <row r="96" ht="22" customHeight="1">
      <c r="A96" s="25" t="inlineStr">
        <is>
          <t>pal_095</t>
        </is>
      </c>
      <c r="B96" s="25" t="inlineStr">
        <is>
          <t>No.087</t>
        </is>
      </c>
      <c r="C96" s="25" t="inlineStr">
        <is>
          <t>花丽娜</t>
        </is>
      </c>
      <c r="D96" s="25" t="inlineStr">
        <is>
          <t>风</t>
        </is>
      </c>
      <c r="E96" s="25" t="inlineStr">
        <is>
          <t>草</t>
        </is>
      </c>
      <c r="F96" s="25" t="inlineStr">
        <is>
          <t>白银</t>
        </is>
      </c>
      <c r="G96" s="25" t="inlineStr">
        <is>
          <t>小型</t>
        </is>
      </c>
      <c r="H96" s="25" t="inlineStr">
        <is>
          <t>治疗</t>
        </is>
      </c>
      <c r="I96" s="26">
        <f>IFERROR(VLOOKUP($A96,'02_怪物模板_好读版'!$A:$S,15,FALSE),0)+IFERROR(VLOOKUP($A96,'02_怪物模板_好读版'!$A:$S,16,FALSE),0)</f>
        <v/>
      </c>
      <c r="J96" s="26">
        <f>IFERROR(VLOOKUP($A96,'02_怪物模板_好读版'!$A:$Z,8,FALSE),25)</f>
        <v/>
      </c>
      <c r="K96" s="26">
        <f>IFERROR(VLOOKUP($A96,'02_怪物模板_好读版'!$A:$Z,9,FALSE),12)</f>
        <v/>
      </c>
      <c r="L96" s="26">
        <f>IFERROR(VLOOKUP($A96,'02_怪物模板_好读版'!$A:$Z,10,FALSE),0)</f>
        <v/>
      </c>
      <c r="M96" s="26">
        <f>IFERROR(VLOOKUP($A96,'02_怪物模板_好读版'!$A:$Z,11,FALSE),0)</f>
        <v/>
      </c>
      <c r="N96" s="26">
        <f>IFERROR(VLOOKUP($A96,'02_怪物模板_好读版'!$A:$Z,12,FALSE),3)</f>
        <v/>
      </c>
      <c r="O96" s="26">
        <f>IFERROR(VLOOKUP($A96,'02_怪物模板_好读版'!$A:$Z,13,FALSE),"REVIEW")</f>
        <v/>
      </c>
      <c r="P96" s="25" t="inlineStr">
        <is>
          <t>T1 标准前置T</t>
        </is>
      </c>
      <c r="Q96" s="25" t="inlineStr">
        <is>
          <t>T形/4格</t>
        </is>
      </c>
      <c r="R96" s="25" t="inlineStr">
        <is>
          <t>场地</t>
        </is>
      </c>
      <c r="S96" s="25" t="inlineStr">
        <is>
          <t>healAmpBonus</t>
        </is>
      </c>
      <c r="T96" s="25" t="inlineStr">
        <is>
          <t>风、治疗、后排、增益</t>
        </is>
      </c>
      <c r="U96" s="25" t="inlineStr">
        <is>
          <t>—</t>
        </is>
      </c>
      <c r="V96" s="25" t="inlineStr">
        <is>
          <t>治疗补预算</t>
        </is>
      </c>
    </row>
    <row r="97" ht="22" customHeight="1">
      <c r="A97" s="25" t="inlineStr">
        <is>
          <t>pal_096</t>
        </is>
      </c>
      <c r="B97" s="25" t="inlineStr">
        <is>
          <t>No.088</t>
        </is>
      </c>
      <c r="C97" s="25" t="inlineStr">
        <is>
          <t>熔岩兽</t>
        </is>
      </c>
      <c r="D97" s="25" t="inlineStr">
        <is>
          <t>火</t>
        </is>
      </c>
      <c r="E97" s="25" t="inlineStr">
        <is>
          <t>火、地</t>
        </is>
      </c>
      <c r="F97" s="25" t="inlineStr">
        <is>
          <t>白银</t>
        </is>
      </c>
      <c r="G97" s="25" t="inlineStr">
        <is>
          <t>大型</t>
        </is>
      </c>
      <c r="H97" s="25" t="inlineStr">
        <is>
          <t>坦克</t>
        </is>
      </c>
      <c r="I97" s="26">
        <f>IFERROR(VLOOKUP($A97,'02_怪物模板_好读版'!$A:$S,15,FALSE),0)+IFERROR(VLOOKUP($A97,'02_怪物模板_好读版'!$A:$S,16,FALSE),0)</f>
        <v/>
      </c>
      <c r="J97" s="26">
        <f>IFERROR(VLOOKUP($A97,'02_怪物模板_好读版'!$A:$Z,8,FALSE),50)</f>
        <v/>
      </c>
      <c r="K97" s="26">
        <f>IFERROR(VLOOKUP($A97,'02_怪物模板_好读版'!$A:$Z,9,FALSE),35)</f>
        <v/>
      </c>
      <c r="L97" s="26">
        <f>IFERROR(VLOOKUP($A97,'02_怪物模板_好读版'!$A:$Z,10,FALSE),0)</f>
        <v/>
      </c>
      <c r="M97" s="26">
        <f>IFERROR(VLOOKUP($A97,'02_怪物模板_好读版'!$A:$Z,11,FALSE),15)</f>
        <v/>
      </c>
      <c r="N97" s="26">
        <f>IFERROR(VLOOKUP($A97,'02_怪物模板_好读版'!$A:$Z,12,FALSE),2)</f>
        <v/>
      </c>
      <c r="O97" s="26">
        <f>IFERROR(VLOOKUP($A97,'02_怪物模板_好读版'!$A:$Z,13,FALSE),"REVIEW")</f>
        <v/>
      </c>
      <c r="P97" s="25" t="inlineStr">
        <is>
          <t>B1 横扫三格</t>
        </is>
      </c>
      <c r="Q97" s="25" t="inlineStr">
        <is>
          <t>扫击/3格</t>
        </is>
      </c>
      <c r="R97" s="25" t="inlineStr">
        <is>
          <t>阻挡</t>
        </is>
      </c>
      <c r="S97" s="25" t="inlineStr">
        <is>
          <t>castleReduce</t>
        </is>
      </c>
      <c r="T97" s="25" t="inlineStr">
        <is>
          <t>火、防御、前排、阻挡</t>
        </is>
      </c>
      <c r="U97" s="25" t="inlineStr">
        <is>
          <t>—</t>
        </is>
      </c>
      <c r="V97" s="25" t="inlineStr">
        <is>
          <t>旧定位=防御</t>
        </is>
      </c>
    </row>
    <row r="98" ht="22" customHeight="1">
      <c r="A98" s="25" t="inlineStr">
        <is>
          <t>pal_097</t>
        </is>
      </c>
      <c r="B98" s="25" t="inlineStr">
        <is>
          <t>No.088B</t>
        </is>
      </c>
      <c r="C98" s="25" t="inlineStr">
        <is>
          <t>寒霜兽</t>
        </is>
      </c>
      <c r="D98" s="25" t="inlineStr">
        <is>
          <t>水</t>
        </is>
      </c>
      <c r="E98" s="25" t="inlineStr">
        <is>
          <t>冰、地</t>
        </is>
      </c>
      <c r="F98" s="25" t="inlineStr">
        <is>
          <t>白银</t>
        </is>
      </c>
      <c r="G98" s="25" t="inlineStr">
        <is>
          <t>大型</t>
        </is>
      </c>
      <c r="H98" s="25" t="inlineStr">
        <is>
          <t>坦克</t>
        </is>
      </c>
      <c r="I98" s="26">
        <f>IFERROR(VLOOKUP($A98,'02_怪物模板_好读版'!$A:$S,15,FALSE),0)+IFERROR(VLOOKUP($A98,'02_怪物模板_好读版'!$A:$S,16,FALSE),0)</f>
        <v/>
      </c>
      <c r="J98" s="26">
        <f>IFERROR(VLOOKUP($A98,'02_怪物模板_好读版'!$A:$Z,8,FALSE),40)</f>
        <v/>
      </c>
      <c r="K98" s="26">
        <f>IFERROR(VLOOKUP($A98,'02_怪物模板_好读版'!$A:$Z,9,FALSE),3)</f>
        <v/>
      </c>
      <c r="L98" s="26">
        <f>IFERROR(VLOOKUP($A98,'02_怪物模板_好读版'!$A:$Z,10,FALSE),0)</f>
        <v/>
      </c>
      <c r="M98" s="26">
        <f>IFERROR(VLOOKUP($A98,'02_怪物模板_好读版'!$A:$Z,11,FALSE),6)</f>
        <v/>
      </c>
      <c r="N98" s="26">
        <f>IFERROR(VLOOKUP($A98,'02_怪物模板_好读版'!$A:$Z,12,FALSE),3)</f>
        <v/>
      </c>
      <c r="O98" s="26">
        <f>IFERROR(VLOOKUP($A98,'02_怪物模板_好读版'!$A:$Z,13,FALSE),"mech_damage_cap")</f>
        <v/>
      </c>
      <c r="P98" s="25" t="inlineStr">
        <is>
          <t>B1 横扫三格</t>
        </is>
      </c>
      <c r="Q98" s="25" t="inlineStr">
        <is>
          <t>扫击/3格</t>
        </is>
      </c>
      <c r="R98" s="25" t="inlineStr">
        <is>
          <t>阻挡</t>
        </is>
      </c>
      <c r="S98" s="25" t="inlineStr">
        <is>
          <t>castleReduce</t>
        </is>
      </c>
      <c r="T98" s="25" t="inlineStr">
        <is>
          <t>水、防御、前排、阻挡</t>
        </is>
      </c>
      <c r="U98" s="25" t="inlineStr">
        <is>
          <t>—</t>
        </is>
      </c>
      <c r="V98" s="25" t="inlineStr">
        <is>
          <t>旧定位=防御</t>
        </is>
      </c>
    </row>
    <row r="99" ht="22" customHeight="1">
      <c r="A99" s="25" t="inlineStr">
        <is>
          <t>pal_098</t>
        </is>
      </c>
      <c r="B99" s="25" t="inlineStr">
        <is>
          <t>No.089</t>
        </is>
      </c>
      <c r="C99" s="25" t="inlineStr">
        <is>
          <t>君王美露帕</t>
        </is>
      </c>
      <c r="D99" s="25" t="inlineStr">
        <is>
          <t>风</t>
        </is>
      </c>
      <c r="E99" s="25" t="inlineStr">
        <is>
          <t>44</t>
        </is>
      </c>
      <c r="F99" s="25" t="inlineStr">
        <is>
          <t>白银</t>
        </is>
      </c>
      <c r="G99" s="25" t="inlineStr">
        <is>
          <t>中型</t>
        </is>
      </c>
      <c r="H99" s="25" t="inlineStr">
        <is>
          <t>经济</t>
        </is>
      </c>
      <c r="I99" s="26">
        <f>IFERROR(VLOOKUP($A99,'02_怪物模板_好读版'!$A:$S,15,FALSE),0)+IFERROR(VLOOKUP($A99,'02_怪物模板_好读版'!$A:$S,16,FALSE),0)</f>
        <v/>
      </c>
      <c r="J99" s="26">
        <f>IFERROR(VLOOKUP($A99,'02_怪物模板_好读版'!$A:$Z,8,FALSE),35)</f>
        <v/>
      </c>
      <c r="K99" s="26">
        <f>IFERROR(VLOOKUP($A99,'02_怪物模板_好读版'!$A:$Z,9,FALSE),26)</f>
        <v/>
      </c>
      <c r="L99" s="26">
        <f>IFERROR(VLOOKUP($A99,'02_怪物模板_好读版'!$A:$Z,10,FALSE),0)</f>
        <v/>
      </c>
      <c r="M99" s="26">
        <f>IFERROR(VLOOKUP($A99,'02_怪物模板_好读版'!$A:$Z,11,FALSE),0)</f>
        <v/>
      </c>
      <c r="N99" s="26">
        <f>IFERROR(VLOOKUP($A99,'02_怪物模板_好读版'!$A:$Z,12,FALSE),3)</f>
        <v/>
      </c>
      <c r="O99" s="26">
        <f>IFERROR(VLOOKUP($A99,'02_怪物模板_好读版'!$A:$Z,13,FALSE),"mech_aura")</f>
        <v/>
      </c>
      <c r="P99" s="25" t="inlineStr">
        <is>
          <t>A1 单点刺</t>
        </is>
      </c>
      <c r="Q99" s="25" t="inlineStr">
        <is>
          <t>直线/1格</t>
        </is>
      </c>
      <c r="R99" s="25" t="inlineStr">
        <is>
          <t>召唤</t>
        </is>
      </c>
      <c r="S99" s="25" t="inlineStr">
        <is>
          <t>buffAllSummons</t>
        </is>
      </c>
      <c r="T99" s="25" t="inlineStr">
        <is>
          <t>风、经济、召唤、发育</t>
        </is>
      </c>
      <c r="U99" s="25" t="inlineStr">
        <is>
          <t>是</t>
        </is>
      </c>
      <c r="V99" s="25" t="inlineStr">
        <is>
          <t>经济补预算</t>
        </is>
      </c>
    </row>
    <row r="100" ht="22" customHeight="1">
      <c r="A100" s="25" t="inlineStr">
        <is>
          <t>pal_099</t>
        </is>
      </c>
      <c r="B100" s="25" t="inlineStr">
        <is>
          <t>No.089B</t>
        </is>
      </c>
      <c r="C100" s="25" t="inlineStr">
        <is>
          <t>冰帝美露帕</t>
        </is>
      </c>
      <c r="D100" s="25" t="inlineStr">
        <is>
          <t>水</t>
        </is>
      </c>
      <c r="E100" s="25" t="inlineStr">
        <is>
          <t>冰</t>
        </is>
      </c>
      <c r="F100" s="25" t="inlineStr">
        <is>
          <t>白银</t>
        </is>
      </c>
      <c r="G100" s="25" t="inlineStr">
        <is>
          <t>小型</t>
        </is>
      </c>
      <c r="H100" s="25" t="inlineStr">
        <is>
          <t>坦克</t>
        </is>
      </c>
      <c r="I100" s="26">
        <f>IFERROR(VLOOKUP($A100,'02_怪物模板_好读版'!$A:$S,15,FALSE),0)+IFERROR(VLOOKUP($A100,'02_怪物模板_好读版'!$A:$S,16,FALSE),0)</f>
        <v/>
      </c>
      <c r="J100" s="26">
        <f>IFERROR(VLOOKUP($A100,'02_怪物模板_好读版'!$A:$Z,8,FALSE),15)</f>
        <v/>
      </c>
      <c r="K100" s="26">
        <f>IFERROR(VLOOKUP($A100,'02_怪物模板_好读版'!$A:$Z,9,FALSE),8)</f>
        <v/>
      </c>
      <c r="L100" s="26">
        <f>IFERROR(VLOOKUP($A100,'02_怪物模板_好读版'!$A:$Z,10,FALSE),0)</f>
        <v/>
      </c>
      <c r="M100" s="26">
        <f>IFERROR(VLOOKUP($A100,'02_怪物模板_好读版'!$A:$Z,11,FALSE),6)</f>
        <v/>
      </c>
      <c r="N100" s="26">
        <f>IFERROR(VLOOKUP($A100,'02_怪物模板_好读版'!$A:$Z,12,FALSE),3)</f>
        <v/>
      </c>
      <c r="O100" s="26">
        <f>IFERROR(VLOOKUP($A100,'02_怪物模板_好读版'!$A:$Z,13,FALSE),"REVIEW")</f>
        <v/>
      </c>
      <c r="P100" s="25" t="inlineStr">
        <is>
          <t>B1 横扫三格</t>
        </is>
      </c>
      <c r="Q100" s="25" t="inlineStr">
        <is>
          <t>扫击/3格</t>
        </is>
      </c>
      <c r="R100" s="25" t="inlineStr">
        <is>
          <t>阻挡</t>
        </is>
      </c>
      <c r="S100" s="25" t="inlineStr">
        <is>
          <t>castleReduce</t>
        </is>
      </c>
      <c r="T100" s="25" t="inlineStr">
        <is>
          <t>水、防御、前排、阻挡</t>
        </is>
      </c>
      <c r="U100" s="25" t="inlineStr">
        <is>
          <t>—</t>
        </is>
      </c>
      <c r="V100" s="25" t="inlineStr">
        <is>
          <t>旧定位=防御</t>
        </is>
      </c>
    </row>
    <row r="101" ht="22" customHeight="1">
      <c r="A101" s="25" t="inlineStr">
        <is>
          <t>pal_100</t>
        </is>
      </c>
      <c r="B101" s="25" t="inlineStr">
        <is>
          <t>No.090</t>
        </is>
      </c>
      <c r="C101" s="25" t="inlineStr">
        <is>
          <t>森猛犸</t>
        </is>
      </c>
      <c r="D101" s="25" t="inlineStr">
        <is>
          <t>风</t>
        </is>
      </c>
      <c r="E101" s="25" t="inlineStr">
        <is>
          <t>草</t>
        </is>
      </c>
      <c r="F101" s="25" t="inlineStr">
        <is>
          <t>白银</t>
        </is>
      </c>
      <c r="G101" s="25" t="inlineStr">
        <is>
          <t>大型</t>
        </is>
      </c>
      <c r="H101" s="25" t="inlineStr">
        <is>
          <t>坦克</t>
        </is>
      </c>
      <c r="I101" s="26">
        <f>IFERROR(VLOOKUP($A101,'02_怪物模板_好读版'!$A:$S,15,FALSE),0)+IFERROR(VLOOKUP($A101,'02_怪物模板_好读版'!$A:$S,16,FALSE),0)</f>
        <v/>
      </c>
      <c r="J101" s="26">
        <f>IFERROR(VLOOKUP($A101,'02_怪物模板_好读版'!$A:$Z,8,FALSE),50)</f>
        <v/>
      </c>
      <c r="K101" s="26">
        <f>IFERROR(VLOOKUP($A101,'02_怪物模板_好读版'!$A:$Z,9,FALSE),35)</f>
        <v/>
      </c>
      <c r="L101" s="26">
        <f>IFERROR(VLOOKUP($A101,'02_怪物模板_好读版'!$A:$Z,10,FALSE),0)</f>
        <v/>
      </c>
      <c r="M101" s="26">
        <f>IFERROR(VLOOKUP($A101,'02_怪物模板_好读版'!$A:$Z,11,FALSE),15)</f>
        <v/>
      </c>
      <c r="N101" s="26">
        <f>IFERROR(VLOOKUP($A101,'02_怪物模板_好读版'!$A:$Z,12,FALSE),2)</f>
        <v/>
      </c>
      <c r="O101" s="26">
        <f>IFERROR(VLOOKUP($A101,'02_怪物模板_好读版'!$A:$Z,13,FALSE),"REVIEW")</f>
        <v/>
      </c>
      <c r="P101" s="25" t="inlineStr">
        <is>
          <t>B1 横扫三格</t>
        </is>
      </c>
      <c r="Q101" s="25" t="inlineStr">
        <is>
          <t>扫击/3格</t>
        </is>
      </c>
      <c r="R101" s="25" t="inlineStr">
        <is>
          <t>阻挡</t>
        </is>
      </c>
      <c r="S101" s="25" t="inlineStr">
        <is>
          <t>castleReduce</t>
        </is>
      </c>
      <c r="T101" s="25" t="inlineStr">
        <is>
          <t>风、防御、前排、阻挡</t>
        </is>
      </c>
      <c r="U101" s="25" t="inlineStr">
        <is>
          <t>—</t>
        </is>
      </c>
      <c r="V101" s="25" t="inlineStr">
        <is>
          <t>旧定位=防御</t>
        </is>
      </c>
    </row>
    <row r="102" ht="22" customHeight="1">
      <c r="A102" s="25" t="inlineStr">
        <is>
          <t>pal_101</t>
        </is>
      </c>
      <c r="B102" s="25" t="inlineStr">
        <is>
          <t>No.090B</t>
        </is>
      </c>
      <c r="C102" s="25" t="inlineStr">
        <is>
          <t>雪猛犸</t>
        </is>
      </c>
      <c r="D102" s="25" t="inlineStr">
        <is>
          <t>水</t>
        </is>
      </c>
      <c r="E102" s="25" t="inlineStr">
        <is>
          <t>冰</t>
        </is>
      </c>
      <c r="F102" s="25" t="inlineStr">
        <is>
          <t>白银</t>
        </is>
      </c>
      <c r="G102" s="25" t="inlineStr">
        <is>
          <t>大型</t>
        </is>
      </c>
      <c r="H102" s="25" t="inlineStr">
        <is>
          <t>坦克</t>
        </is>
      </c>
      <c r="I102" s="26">
        <f>IFERROR(VLOOKUP($A102,'02_怪物模板_好读版'!$A:$S,15,FALSE),0)+IFERROR(VLOOKUP($A102,'02_怪物模板_好读版'!$A:$S,16,FALSE),0)</f>
        <v/>
      </c>
      <c r="J102" s="26">
        <f>IFERROR(VLOOKUP($A102,'02_怪物模板_好读版'!$A:$Z,8,FALSE),35)</f>
        <v/>
      </c>
      <c r="K102" s="26">
        <f>IFERROR(VLOOKUP($A102,'02_怪物模板_好读版'!$A:$Z,9,FALSE),4)</f>
        <v/>
      </c>
      <c r="L102" s="26">
        <f>IFERROR(VLOOKUP($A102,'02_怪物模板_好读版'!$A:$Z,10,FALSE),0)</f>
        <v/>
      </c>
      <c r="M102" s="26">
        <f>IFERROR(VLOOKUP($A102,'02_怪物模板_好读版'!$A:$Z,11,FALSE),15)</f>
        <v/>
      </c>
      <c r="N102" s="26">
        <f>IFERROR(VLOOKUP($A102,'02_怪物模板_好读版'!$A:$Z,12,FALSE),4)</f>
        <v/>
      </c>
      <c r="O102" s="26">
        <f>IFERROR(VLOOKUP($A102,'02_怪物模板_好读版'!$A:$Z,13,FALSE),"mech_shield_regen,mech_pierce_shield")</f>
        <v/>
      </c>
      <c r="P102" s="25" t="inlineStr">
        <is>
          <t>B1 横扫三格</t>
        </is>
      </c>
      <c r="Q102" s="25" t="inlineStr">
        <is>
          <t>扫击/3格</t>
        </is>
      </c>
      <c r="R102" s="25" t="inlineStr">
        <is>
          <t>阻挡</t>
        </is>
      </c>
      <c r="S102" s="25" t="inlineStr">
        <is>
          <t>castleReduce</t>
        </is>
      </c>
      <c r="T102" s="25" t="inlineStr">
        <is>
          <t>水、防御、前排、阻挡</t>
        </is>
      </c>
      <c r="U102" s="25" t="inlineStr">
        <is>
          <t>—</t>
        </is>
      </c>
      <c r="V102" s="25" t="inlineStr">
        <is>
          <t>旧定位=防御</t>
        </is>
      </c>
    </row>
    <row r="103" ht="22" customHeight="1">
      <c r="A103" s="25" t="inlineStr">
        <is>
          <t>pal_102</t>
        </is>
      </c>
      <c r="B103" s="25" t="inlineStr">
        <is>
          <t>No.091</t>
        </is>
      </c>
      <c r="C103" s="25" t="inlineStr">
        <is>
          <t>白绒雪怪</t>
        </is>
      </c>
      <c r="D103" s="25" t="inlineStr">
        <is>
          <t>水</t>
        </is>
      </c>
      <c r="E103" s="25" t="inlineStr">
        <is>
          <t>冰</t>
        </is>
      </c>
      <c r="F103" s="25" t="inlineStr">
        <is>
          <t>白银</t>
        </is>
      </c>
      <c r="G103" s="25" t="inlineStr">
        <is>
          <t>小型</t>
        </is>
      </c>
      <c r="H103" s="25" t="inlineStr">
        <is>
          <t>坦克</t>
        </is>
      </c>
      <c r="I103" s="26">
        <f>IFERROR(VLOOKUP($A103,'02_怪物模板_好读版'!$A:$S,15,FALSE),0)+IFERROR(VLOOKUP($A103,'02_怪物模板_好读版'!$A:$S,16,FALSE),0)</f>
        <v/>
      </c>
      <c r="J103" s="26">
        <f>IFERROR(VLOOKUP($A103,'02_怪物模板_好读版'!$A:$Z,8,FALSE),15)</f>
        <v/>
      </c>
      <c r="K103" s="26">
        <f>IFERROR(VLOOKUP($A103,'02_怪物模板_好读版'!$A:$Z,9,FALSE),8)</f>
        <v/>
      </c>
      <c r="L103" s="26">
        <f>IFERROR(VLOOKUP($A103,'02_怪物模板_好读版'!$A:$Z,10,FALSE),0)</f>
        <v/>
      </c>
      <c r="M103" s="26">
        <f>IFERROR(VLOOKUP($A103,'02_怪物模板_好读版'!$A:$Z,11,FALSE),6)</f>
        <v/>
      </c>
      <c r="N103" s="26">
        <f>IFERROR(VLOOKUP($A103,'02_怪物模板_好读版'!$A:$Z,12,FALSE),3)</f>
        <v/>
      </c>
      <c r="O103" s="26">
        <f>IFERROR(VLOOKUP($A103,'02_怪物模板_好读版'!$A:$Z,13,FALSE),"REVIEW")</f>
        <v/>
      </c>
      <c r="P103" s="25" t="inlineStr">
        <is>
          <t>B1 横扫三格</t>
        </is>
      </c>
      <c r="Q103" s="25" t="inlineStr">
        <is>
          <t>扫击/3格</t>
        </is>
      </c>
      <c r="R103" s="25" t="inlineStr">
        <is>
          <t>阻挡</t>
        </is>
      </c>
      <c r="S103" s="25" t="inlineStr">
        <is>
          <t>castleReduce</t>
        </is>
      </c>
      <c r="T103" s="25" t="inlineStr">
        <is>
          <t>水、防御、前排、阻挡</t>
        </is>
      </c>
      <c r="U103" s="25" t="inlineStr">
        <is>
          <t>—</t>
        </is>
      </c>
      <c r="V103" s="25" t="inlineStr">
        <is>
          <t>旧定位=防御</t>
        </is>
      </c>
    </row>
    <row r="104" ht="22" customHeight="1">
      <c r="A104" s="25" t="inlineStr">
        <is>
          <t>pal_103</t>
        </is>
      </c>
      <c r="B104" s="25" t="inlineStr">
        <is>
          <t>No.091B</t>
        </is>
      </c>
      <c r="C104" s="25" t="inlineStr">
        <is>
          <t>绿苔绒怪</t>
        </is>
      </c>
      <c r="D104" s="25" t="inlineStr">
        <is>
          <t>风</t>
        </is>
      </c>
      <c r="E104" s="25" t="inlineStr">
        <is>
          <t>草</t>
        </is>
      </c>
      <c r="F104" s="25" t="inlineStr">
        <is>
          <t>白银</t>
        </is>
      </c>
      <c r="G104" s="25" t="inlineStr">
        <is>
          <t>小型</t>
        </is>
      </c>
      <c r="H104" s="25" t="inlineStr">
        <is>
          <t>坦克</t>
        </is>
      </c>
      <c r="I104" s="26">
        <f>IFERROR(VLOOKUP($A104,'02_怪物模板_好读版'!$A:$S,15,FALSE),0)+IFERROR(VLOOKUP($A104,'02_怪物模板_好读版'!$A:$S,16,FALSE),0)</f>
        <v/>
      </c>
      <c r="J104" s="26">
        <f>IFERROR(VLOOKUP($A104,'02_怪物模板_好读版'!$A:$Z,8,FALSE),15)</f>
        <v/>
      </c>
      <c r="K104" s="26">
        <f>IFERROR(VLOOKUP($A104,'02_怪物模板_好读版'!$A:$Z,9,FALSE),8)</f>
        <v/>
      </c>
      <c r="L104" s="26">
        <f>IFERROR(VLOOKUP($A104,'02_怪物模板_好读版'!$A:$Z,10,FALSE),0)</f>
        <v/>
      </c>
      <c r="M104" s="26">
        <f>IFERROR(VLOOKUP($A104,'02_怪物模板_好读版'!$A:$Z,11,FALSE),6)</f>
        <v/>
      </c>
      <c r="N104" s="26">
        <f>IFERROR(VLOOKUP($A104,'02_怪物模板_好读版'!$A:$Z,12,FALSE),3)</f>
        <v/>
      </c>
      <c r="O104" s="26">
        <f>IFERROR(VLOOKUP($A104,'02_怪物模板_好读版'!$A:$Z,13,FALSE),"REVIEW")</f>
        <v/>
      </c>
      <c r="P104" s="25" t="inlineStr">
        <is>
          <t>B1 横扫三格</t>
        </is>
      </c>
      <c r="Q104" s="25" t="inlineStr">
        <is>
          <t>扫击/3格</t>
        </is>
      </c>
      <c r="R104" s="25" t="inlineStr">
        <is>
          <t>阻挡</t>
        </is>
      </c>
      <c r="S104" s="25" t="inlineStr">
        <is>
          <t>castleReduce</t>
        </is>
      </c>
      <c r="T104" s="25" t="inlineStr">
        <is>
          <t>风、防御、前排、阻挡</t>
        </is>
      </c>
      <c r="U104" s="25" t="inlineStr">
        <is>
          <t>—</t>
        </is>
      </c>
      <c r="V104" s="25" t="inlineStr">
        <is>
          <t>旧定位=防御</t>
        </is>
      </c>
    </row>
    <row r="105" ht="22" customHeight="1">
      <c r="A105" s="25" t="inlineStr">
        <is>
          <t>pal_104</t>
        </is>
      </c>
      <c r="B105" s="25" t="inlineStr">
        <is>
          <t>No.092</t>
        </is>
      </c>
      <c r="C105" s="25" t="inlineStr">
        <is>
          <t>铠格力斯</t>
        </is>
      </c>
      <c r="D105" s="25" t="inlineStr">
        <is>
          <t>土</t>
        </is>
      </c>
      <c r="E105" s="25" t="inlineStr">
        <is>
          <t>地、草</t>
        </is>
      </c>
      <c r="F105" s="25" t="inlineStr">
        <is>
          <t>白银</t>
        </is>
      </c>
      <c r="G105" s="25" t="inlineStr">
        <is>
          <t>小型</t>
        </is>
      </c>
      <c r="H105" s="25" t="inlineStr">
        <is>
          <t>坦克</t>
        </is>
      </c>
      <c r="I105" s="26">
        <f>IFERROR(VLOOKUP($A105,'02_怪物模板_好读版'!$A:$S,15,FALSE),0)+IFERROR(VLOOKUP($A105,'02_怪物模板_好读版'!$A:$S,16,FALSE),0)</f>
        <v/>
      </c>
      <c r="J105" s="26">
        <f>IFERROR(VLOOKUP($A105,'02_怪物模板_好读版'!$A:$Z,8,FALSE),15)</f>
        <v/>
      </c>
      <c r="K105" s="26">
        <f>IFERROR(VLOOKUP($A105,'02_怪物模板_好读版'!$A:$Z,9,FALSE),8)</f>
        <v/>
      </c>
      <c r="L105" s="26">
        <f>IFERROR(VLOOKUP($A105,'02_怪物模板_好读版'!$A:$Z,10,FALSE),0)</f>
        <v/>
      </c>
      <c r="M105" s="26">
        <f>IFERROR(VLOOKUP($A105,'02_怪物模板_好读版'!$A:$Z,11,FALSE),6)</f>
        <v/>
      </c>
      <c r="N105" s="26">
        <f>IFERROR(VLOOKUP($A105,'02_怪物模板_好读版'!$A:$Z,12,FALSE),3)</f>
        <v/>
      </c>
      <c r="O105" s="26">
        <f>IFERROR(VLOOKUP($A105,'02_怪物模板_好读版'!$A:$Z,13,FALSE),"REVIEW")</f>
        <v/>
      </c>
      <c r="P105" s="25" t="inlineStr">
        <is>
          <t>B1 横扫三格</t>
        </is>
      </c>
      <c r="Q105" s="25" t="inlineStr">
        <is>
          <t>扫击/3格</t>
        </is>
      </c>
      <c r="R105" s="25" t="inlineStr">
        <is>
          <t>阻挡</t>
        </is>
      </c>
      <c r="S105" s="25" t="inlineStr">
        <is>
          <t>castleReduce</t>
        </is>
      </c>
      <c r="T105" s="25" t="inlineStr">
        <is>
          <t>土、防御、前排、阻挡</t>
        </is>
      </c>
      <c r="U105" s="25" t="inlineStr">
        <is>
          <t>—</t>
        </is>
      </c>
      <c r="V105" s="25" t="inlineStr">
        <is>
          <t>旧定位=防御</t>
        </is>
      </c>
    </row>
    <row r="106" ht="22" customHeight="1">
      <c r="A106" s="25" t="inlineStr">
        <is>
          <t>pal_105</t>
        </is>
      </c>
      <c r="B106" s="25" t="inlineStr">
        <is>
          <t>No.093</t>
        </is>
      </c>
      <c r="C106" s="25" t="inlineStr">
        <is>
          <t>云海鹿</t>
        </is>
      </c>
      <c r="D106" s="25" t="inlineStr">
        <is>
          <t>风</t>
        </is>
      </c>
      <c r="E106" s="25" t="inlineStr">
        <is>
          <t>44</t>
        </is>
      </c>
      <c r="F106" s="25" t="inlineStr">
        <is>
          <t>白银</t>
        </is>
      </c>
      <c r="G106" s="25" t="inlineStr">
        <is>
          <t>小型</t>
        </is>
      </c>
      <c r="H106" s="25" t="inlineStr">
        <is>
          <t>机动</t>
        </is>
      </c>
      <c r="I106" s="26">
        <f>IFERROR(VLOOKUP($A106,'02_怪物模板_好读版'!$A:$S,15,FALSE),0)+IFERROR(VLOOKUP($A106,'02_怪物模板_好读版'!$A:$S,16,FALSE),0)</f>
        <v/>
      </c>
      <c r="J106" s="26">
        <f>IFERROR(VLOOKUP($A106,'02_怪物模板_好读版'!$A:$Z,8,FALSE),10)</f>
        <v/>
      </c>
      <c r="K106" s="26">
        <f>IFERROR(VLOOKUP($A106,'02_怪物模板_好读版'!$A:$Z,9,FALSE),17)</f>
        <v/>
      </c>
      <c r="L106" s="26">
        <f>IFERROR(VLOOKUP($A106,'02_怪物模板_好读版'!$A:$Z,10,FALSE),0)</f>
        <v/>
      </c>
      <c r="M106" s="26">
        <f>IFERROR(VLOOKUP($A106,'02_怪物模板_好读版'!$A:$Z,11,FALSE),0)</f>
        <v/>
      </c>
      <c r="N106" s="26">
        <f>IFERROR(VLOOKUP($A106,'02_怪物模板_好读版'!$A:$Z,12,FALSE),3)</f>
        <v/>
      </c>
      <c r="O106" s="26">
        <f>IFERROR(VLOOKUP($A106,'02_怪物模板_好读版'!$A:$Z,13,FALSE),"REVIEW")</f>
        <v/>
      </c>
      <c r="P106" s="25" t="inlineStr">
        <is>
          <t>T2 长柄T</t>
        </is>
      </c>
      <c r="Q106" s="25" t="inlineStr">
        <is>
          <t>T形/5格</t>
        </is>
      </c>
      <c r="R106" s="25" t="inlineStr">
        <is>
          <t>牵制</t>
        </is>
      </c>
      <c r="S106" s="25" t="inlineStr">
        <is>
          <t>advHitBonus</t>
        </is>
      </c>
      <c r="T106" s="25" t="inlineStr">
        <is>
          <t>风、机动、灵活、泛用</t>
        </is>
      </c>
      <c r="U106" s="25" t="inlineStr">
        <is>
          <t>—</t>
        </is>
      </c>
      <c r="V106" s="25" t="inlineStr">
        <is>
          <t>44</t>
        </is>
      </c>
    </row>
    <row r="107" ht="22" customHeight="1">
      <c r="A107" s="25" t="inlineStr">
        <is>
          <t>pal_106</t>
        </is>
      </c>
      <c r="B107" s="25" t="inlineStr">
        <is>
          <t>No.094</t>
        </is>
      </c>
      <c r="C107" s="25" t="inlineStr">
        <is>
          <t>夜幕魔蝠</t>
        </is>
      </c>
      <c r="D107" s="25" t="inlineStr">
        <is>
          <t>土</t>
        </is>
      </c>
      <c r="E107" s="25" t="inlineStr">
        <is>
          <t>暗</t>
        </is>
      </c>
      <c r="F107" s="25" t="inlineStr">
        <is>
          <t>白银</t>
        </is>
      </c>
      <c r="G107" s="25" t="inlineStr">
        <is>
          <t>大型</t>
        </is>
      </c>
      <c r="H107" s="25" t="inlineStr">
        <is>
          <t>坦克</t>
        </is>
      </c>
      <c r="I107" s="26">
        <f>IFERROR(VLOOKUP($A107,'02_怪物模板_好读版'!$A:$S,15,FALSE),0)+IFERROR(VLOOKUP($A107,'02_怪物模板_好读版'!$A:$S,16,FALSE),0)</f>
        <v/>
      </c>
      <c r="J107" s="26">
        <f>IFERROR(VLOOKUP($A107,'02_怪物模板_好读版'!$A:$Z,8,FALSE),35)</f>
        <v/>
      </c>
      <c r="K107" s="26">
        <f>IFERROR(VLOOKUP($A107,'02_怪物模板_好读版'!$A:$Z,9,FALSE),3)</f>
        <v/>
      </c>
      <c r="L107" s="26">
        <f>IFERROR(VLOOKUP($A107,'02_怪物模板_好读版'!$A:$Z,10,FALSE),0)</f>
        <v/>
      </c>
      <c r="M107" s="26">
        <f>IFERROR(VLOOKUP($A107,'02_怪物模板_好读版'!$A:$Z,11,FALSE),6)</f>
        <v/>
      </c>
      <c r="N107" s="26">
        <f>IFERROR(VLOOKUP($A107,'02_怪物模板_好读版'!$A:$Z,12,FALSE),3)</f>
        <v/>
      </c>
      <c r="O107" s="26">
        <f>IFERROR(VLOOKUP($A107,'02_怪物模板_好读版'!$A:$Z,13,FALSE),"mech_summon,mech_revive")</f>
        <v/>
      </c>
      <c r="P107" s="25" t="inlineStr">
        <is>
          <t>B1 横扫三格</t>
        </is>
      </c>
      <c r="Q107" s="25" t="inlineStr">
        <is>
          <t>扫击/3格</t>
        </is>
      </c>
      <c r="R107" s="25" t="inlineStr">
        <is>
          <t>阻挡</t>
        </is>
      </c>
      <c r="S107" s="25" t="inlineStr">
        <is>
          <t>castleReduce</t>
        </is>
      </c>
      <c r="T107" s="25" t="inlineStr">
        <is>
          <t>土、防御、前排、阻挡</t>
        </is>
      </c>
      <c r="U107" s="25" t="inlineStr">
        <is>
          <t>—</t>
        </is>
      </c>
      <c r="V107" s="25" t="inlineStr">
        <is>
          <t>旧定位=防御</t>
        </is>
      </c>
    </row>
    <row r="108" ht="22" customHeight="1">
      <c r="A108" s="25" t="inlineStr">
        <is>
          <t>pal_107</t>
        </is>
      </c>
      <c r="B108" s="25" t="inlineStr">
        <is>
          <t>No.095</t>
        </is>
      </c>
      <c r="C108" s="25" t="inlineStr">
        <is>
          <t>天羽龙</t>
        </is>
      </c>
      <c r="D108" s="25" t="inlineStr">
        <is>
          <t>风</t>
        </is>
      </c>
      <c r="E108" s="25" t="inlineStr">
        <is>
          <t>龙</t>
        </is>
      </c>
      <c r="F108" s="25" t="inlineStr">
        <is>
          <t>白银</t>
        </is>
      </c>
      <c r="G108" s="25" t="inlineStr">
        <is>
          <t>大型</t>
        </is>
      </c>
      <c r="H108" s="25" t="inlineStr">
        <is>
          <t>机动</t>
        </is>
      </c>
      <c r="I108" s="26">
        <f>IFERROR(VLOOKUP($A108,'02_怪物模板_好读版'!$A:$S,15,FALSE),0)+IFERROR(VLOOKUP($A108,'02_怪物模板_好读版'!$A:$S,16,FALSE),0)</f>
        <v/>
      </c>
      <c r="J108" s="26">
        <f>IFERROR(VLOOKUP($A108,'02_怪物模板_好读版'!$A:$Z,8,FALSE),70)</f>
        <v/>
      </c>
      <c r="K108" s="26">
        <f>IFERROR(VLOOKUP($A108,'02_怪物模板_好读版'!$A:$Z,9,FALSE),49)</f>
        <v/>
      </c>
      <c r="L108" s="26">
        <f>IFERROR(VLOOKUP($A108,'02_怪物模板_好读版'!$A:$Z,10,FALSE),0)</f>
        <v/>
      </c>
      <c r="M108" s="26">
        <f>IFERROR(VLOOKUP($A108,'02_怪物模板_好读版'!$A:$Z,11,FALSE),0)</f>
        <v/>
      </c>
      <c r="N108" s="26">
        <f>IFERROR(VLOOKUP($A108,'02_怪物模板_好读版'!$A:$Z,12,FALSE),3)</f>
        <v/>
      </c>
      <c r="O108" s="26">
        <f>IFERROR(VLOOKUP($A108,'02_怪物模板_好读版'!$A:$Z,13,FALSE),"REVIEW")</f>
        <v/>
      </c>
      <c r="P108" s="25" t="inlineStr">
        <is>
          <t>T2 长柄T</t>
        </is>
      </c>
      <c r="Q108" s="25" t="inlineStr">
        <is>
          <t>T形/5格</t>
        </is>
      </c>
      <c r="R108" s="25" t="inlineStr">
        <is>
          <t>牵制</t>
        </is>
      </c>
      <c r="S108" s="25" t="inlineStr">
        <is>
          <t>advHitBonus</t>
        </is>
      </c>
      <c r="T108" s="25" t="inlineStr">
        <is>
          <t>风、机动、灵活、泛用</t>
        </is>
      </c>
      <c r="U108" s="25" t="inlineStr">
        <is>
          <t>—</t>
        </is>
      </c>
      <c r="V108" s="25" t="inlineStr">
        <is>
          <t>44</t>
        </is>
      </c>
    </row>
    <row r="109" ht="22" customHeight="1">
      <c r="A109" s="25" t="inlineStr">
        <is>
          <t>pal_108</t>
        </is>
      </c>
      <c r="B109" s="25" t="inlineStr">
        <is>
          <t>No.096</t>
        </is>
      </c>
      <c r="C109" s="25" t="inlineStr">
        <is>
          <t>焰煌</t>
        </is>
      </c>
      <c r="D109" s="25" t="inlineStr">
        <is>
          <t>火</t>
        </is>
      </c>
      <c r="E109" s="25" t="inlineStr">
        <is>
          <t>44</t>
        </is>
      </c>
      <c r="F109" s="25" t="inlineStr">
        <is>
          <t>白银</t>
        </is>
      </c>
      <c r="G109" s="25" t="inlineStr">
        <is>
          <t>大型</t>
        </is>
      </c>
      <c r="H109" s="25" t="inlineStr">
        <is>
          <t>输出</t>
        </is>
      </c>
      <c r="I109" s="26">
        <f>IFERROR(VLOOKUP($A109,'02_怪物模板_好读版'!$A:$S,15,FALSE),0)+IFERROR(VLOOKUP($A109,'02_怪物模板_好读版'!$A:$S,16,FALSE),0)</f>
        <v/>
      </c>
      <c r="J109" s="26">
        <f>IFERROR(VLOOKUP($A109,'02_怪物模板_好读版'!$A:$Z,8,FALSE),60)</f>
        <v/>
      </c>
      <c r="K109" s="26">
        <f>IFERROR(VLOOKUP($A109,'02_怪物模板_好读版'!$A:$Z,9,FALSE),55)</f>
        <v/>
      </c>
      <c r="L109" s="26">
        <f>IFERROR(VLOOKUP($A109,'02_怪物模板_好读版'!$A:$Z,10,FALSE),0)</f>
        <v/>
      </c>
      <c r="M109" s="26">
        <f>IFERROR(VLOOKUP($A109,'02_怪物模板_好读版'!$A:$Z,11,FALSE),0)</f>
        <v/>
      </c>
      <c r="N109" s="26">
        <f>IFERROR(VLOOKUP($A109,'02_怪物模板_好读版'!$A:$Z,12,FALSE),3)</f>
        <v/>
      </c>
      <c r="O109" s="26">
        <f>IFERROR(VLOOKUP($A109,'02_怪物模板_好读版'!$A:$Z,13,FALSE),"REVIEW")</f>
        <v/>
      </c>
      <c r="P109" s="25" t="inlineStr">
        <is>
          <t>B1 横扫三格</t>
        </is>
      </c>
      <c r="Q109" s="25" t="inlineStr">
        <is>
          <t>扫击/3格</t>
        </is>
      </c>
      <c r="R109" s="25" t="inlineStr">
        <is>
          <t>输出</t>
        </is>
      </c>
      <c r="S109" s="25" t="inlineStr">
        <is>
          <t>castleReduce</t>
        </is>
      </c>
      <c r="T109" s="25" t="inlineStr">
        <is>
          <t>火、输出、爆发、前排</t>
        </is>
      </c>
      <c r="U109" s="25" t="inlineStr">
        <is>
          <t>—</t>
        </is>
      </c>
      <c r="V109" s="25" t="inlineStr">
        <is>
          <t>44</t>
        </is>
      </c>
    </row>
    <row r="110" ht="22" customHeight="1">
      <c r="A110" s="25" t="inlineStr">
        <is>
          <t>pal_109</t>
        </is>
      </c>
      <c r="B110" s="25" t="inlineStr">
        <is>
          <t>No.097</t>
        </is>
      </c>
      <c r="C110" s="25" t="inlineStr">
        <is>
          <t>雷冥鸟</t>
        </is>
      </c>
      <c r="D110" s="25" t="inlineStr">
        <is>
          <t>土</t>
        </is>
      </c>
      <c r="E110" s="25" t="inlineStr">
        <is>
          <t>暗</t>
        </is>
      </c>
      <c r="F110" s="25" t="inlineStr">
        <is>
          <t>白银</t>
        </is>
      </c>
      <c r="G110" s="25" t="inlineStr">
        <is>
          <t>小型</t>
        </is>
      </c>
      <c r="H110" s="25" t="inlineStr">
        <is>
          <t>机动</t>
        </is>
      </c>
      <c r="I110" s="26">
        <f>IFERROR(VLOOKUP($A110,'02_怪物模板_好读版'!$A:$S,15,FALSE),0)+IFERROR(VLOOKUP($A110,'02_怪物模板_好读版'!$A:$S,16,FALSE),0)</f>
        <v/>
      </c>
      <c r="J110" s="26">
        <f>IFERROR(VLOOKUP($A110,'02_怪物模板_好读版'!$A:$Z,8,FALSE),10)</f>
        <v/>
      </c>
      <c r="K110" s="26">
        <f>IFERROR(VLOOKUP($A110,'02_怪物模板_好读版'!$A:$Z,9,FALSE),17)</f>
        <v/>
      </c>
      <c r="L110" s="26">
        <f>IFERROR(VLOOKUP($A110,'02_怪物模板_好读版'!$A:$Z,10,FALSE),0)</f>
        <v/>
      </c>
      <c r="M110" s="26">
        <f>IFERROR(VLOOKUP($A110,'02_怪物模板_好读版'!$A:$Z,11,FALSE),0)</f>
        <v/>
      </c>
      <c r="N110" s="26">
        <f>IFERROR(VLOOKUP($A110,'02_怪物模板_好读版'!$A:$Z,12,FALSE),3)</f>
        <v/>
      </c>
      <c r="O110" s="26">
        <f>IFERROR(VLOOKUP($A110,'02_怪物模板_好读版'!$A:$Z,13,FALSE),"REVIEW")</f>
        <v/>
      </c>
      <c r="P110" s="25" t="inlineStr">
        <is>
          <t>T2 长柄T</t>
        </is>
      </c>
      <c r="Q110" s="25" t="inlineStr">
        <is>
          <t>T形/5格</t>
        </is>
      </c>
      <c r="R110" s="25" t="inlineStr">
        <is>
          <t>牵制</t>
        </is>
      </c>
      <c r="S110" s="25" t="inlineStr">
        <is>
          <t>advHitBonus</t>
        </is>
      </c>
      <c r="T110" s="25" t="inlineStr">
        <is>
          <t>土、机动、灵活、泛用</t>
        </is>
      </c>
      <c r="U110" s="25" t="inlineStr">
        <is>
          <t>—</t>
        </is>
      </c>
      <c r="V110" s="25" t="inlineStr">
        <is>
          <t>44</t>
        </is>
      </c>
    </row>
    <row r="111" ht="22" customHeight="1">
      <c r="A111" s="25" t="inlineStr">
        <is>
          <t>pal_110</t>
        </is>
      </c>
      <c r="B111" s="25" t="inlineStr">
        <is>
          <t>No.098</t>
        </is>
      </c>
      <c r="C111" s="25" t="inlineStr">
        <is>
          <t>魔渊龙</t>
        </is>
      </c>
      <c r="D111" s="25" t="inlineStr">
        <is>
          <t>土</t>
        </is>
      </c>
      <c r="E111" s="25" t="inlineStr">
        <is>
          <t>龙、暗</t>
        </is>
      </c>
      <c r="F111" s="25" t="inlineStr">
        <is>
          <t>白银</t>
        </is>
      </c>
      <c r="G111" s="25" t="inlineStr">
        <is>
          <t>大型</t>
        </is>
      </c>
      <c r="H111" s="25" t="inlineStr">
        <is>
          <t>坦克</t>
        </is>
      </c>
      <c r="I111" s="26">
        <f>IFERROR(VLOOKUP($A111,'02_怪物模板_好读版'!$A:$S,15,FALSE),0)+IFERROR(VLOOKUP($A111,'02_怪物模板_好读版'!$A:$S,16,FALSE),0)</f>
        <v/>
      </c>
      <c r="J111" s="26">
        <f>IFERROR(VLOOKUP($A111,'02_怪物模板_好读版'!$A:$Z,8,FALSE),50)</f>
        <v/>
      </c>
      <c r="K111" s="26">
        <f>IFERROR(VLOOKUP($A111,'02_怪物模板_好读版'!$A:$Z,9,FALSE),4)</f>
        <v/>
      </c>
      <c r="L111" s="26">
        <f>IFERROR(VLOOKUP($A111,'02_怪物模板_好读版'!$A:$Z,10,FALSE),6)</f>
        <v/>
      </c>
      <c r="M111" s="26">
        <f>IFERROR(VLOOKUP($A111,'02_怪物模板_好读版'!$A:$Z,11,FALSE),6)</f>
        <v/>
      </c>
      <c r="N111" s="26">
        <f>IFERROR(VLOOKUP($A111,'02_怪物模板_好读版'!$A:$Z,12,FALSE),4)</f>
        <v/>
      </c>
      <c r="O111" s="26">
        <f>IFERROR(VLOOKUP($A111,'02_怪物模板_好读版'!$A:$Z,13,FALSE),"mech_firm_threshold,mech_curse")</f>
        <v/>
      </c>
      <c r="P111" s="25" t="inlineStr">
        <is>
          <t>B1 横扫三格</t>
        </is>
      </c>
      <c r="Q111" s="25" t="inlineStr">
        <is>
          <t>扫击/3格</t>
        </is>
      </c>
      <c r="R111" s="25" t="inlineStr">
        <is>
          <t>阻挡</t>
        </is>
      </c>
      <c r="S111" s="25" t="inlineStr">
        <is>
          <t>castleReduce</t>
        </is>
      </c>
      <c r="T111" s="25" t="inlineStr">
        <is>
          <t>土、防御、前排、阻挡</t>
        </is>
      </c>
      <c r="U111" s="25" t="inlineStr">
        <is>
          <t>—</t>
        </is>
      </c>
      <c r="V111" s="25" t="inlineStr">
        <is>
          <t>旧定位=防御</t>
        </is>
      </c>
    </row>
    <row r="112" ht="22" customHeight="1">
      <c r="A112" s="25" t="inlineStr">
        <is>
          <t>pal_111</t>
        </is>
      </c>
      <c r="B112" s="25" t="inlineStr">
        <is>
          <t>No.099</t>
        </is>
      </c>
      <c r="C112" s="25" t="inlineStr">
        <is>
          <t>冥铠蝎</t>
        </is>
      </c>
      <c r="D112" s="25" t="inlineStr">
        <is>
          <t>土</t>
        </is>
      </c>
      <c r="E112" s="25" t="inlineStr">
        <is>
          <t>暗、地</t>
        </is>
      </c>
      <c r="F112" s="25" t="inlineStr">
        <is>
          <t>黄金</t>
        </is>
      </c>
      <c r="G112" s="25" t="inlineStr">
        <is>
          <t>小型</t>
        </is>
      </c>
      <c r="H112" s="25" t="inlineStr">
        <is>
          <t>坦克</t>
        </is>
      </c>
      <c r="I112" s="26">
        <f>IFERROR(VLOOKUP($A112,'02_怪物模板_好读版'!$A:$S,15,FALSE),0)+IFERROR(VLOOKUP($A112,'02_怪物模板_好读版'!$A:$S,16,FALSE),0)</f>
        <v/>
      </c>
      <c r="J112" s="26">
        <f>IFERROR(VLOOKUP($A112,'02_怪物模板_好读版'!$A:$Z,8,FALSE),20)</f>
        <v/>
      </c>
      <c r="K112" s="26">
        <f>IFERROR(VLOOKUP($A112,'02_怪物模板_好读版'!$A:$Z,9,FALSE),17)</f>
        <v/>
      </c>
      <c r="L112" s="26">
        <f>IFERROR(VLOOKUP($A112,'02_怪物模板_好读版'!$A:$Z,10,FALSE),0)</f>
        <v/>
      </c>
      <c r="M112" s="26">
        <f>IFERROR(VLOOKUP($A112,'02_怪物模板_好读版'!$A:$Z,11,FALSE),10)</f>
        <v/>
      </c>
      <c r="N112" s="26">
        <f>IFERROR(VLOOKUP($A112,'02_怪物模板_好读版'!$A:$Z,12,FALSE),3)</f>
        <v/>
      </c>
      <c r="O112" s="26">
        <f>IFERROR(VLOOKUP($A112,'02_怪物模板_好读版'!$A:$Z,13,FALSE),"REVIEW")</f>
        <v/>
      </c>
      <c r="P112" s="25" t="inlineStr">
        <is>
          <t>T1 标准前置T</t>
        </is>
      </c>
      <c r="Q112" s="25" t="inlineStr">
        <is>
          <t>T形/4格</t>
        </is>
      </c>
      <c r="R112" s="25" t="inlineStr">
        <is>
          <t>阻挡</t>
        </is>
      </c>
      <c r="S112" s="25" t="inlineStr">
        <is>
          <t>castleReduce</t>
        </is>
      </c>
      <c r="T112" s="25" t="inlineStr">
        <is>
          <t>土、防御、前排、阻挡</t>
        </is>
      </c>
      <c r="U112" s="25" t="inlineStr">
        <is>
          <t>—</t>
        </is>
      </c>
      <c r="V112" s="25" t="inlineStr">
        <is>
          <t>旧定位=防御</t>
        </is>
      </c>
    </row>
    <row r="113" ht="22" customHeight="1">
      <c r="A113" s="25" t="inlineStr">
        <is>
          <t>pal_112</t>
        </is>
      </c>
      <c r="B113" s="25" t="inlineStr">
        <is>
          <t>No.100</t>
        </is>
      </c>
      <c r="C113" s="25" t="inlineStr">
        <is>
          <t>阿努比斯</t>
        </is>
      </c>
      <c r="D113" s="25" t="inlineStr">
        <is>
          <t>土</t>
        </is>
      </c>
      <c r="E113" s="25" t="inlineStr">
        <is>
          <t>地</t>
        </is>
      </c>
      <c r="F113" s="25" t="inlineStr">
        <is>
          <t>黄金</t>
        </is>
      </c>
      <c r="G113" s="25" t="inlineStr">
        <is>
          <t>小型</t>
        </is>
      </c>
      <c r="H113" s="25" t="inlineStr">
        <is>
          <t>输出</t>
        </is>
      </c>
      <c r="I113" s="26">
        <f>IFERROR(VLOOKUP($A113,'02_怪物模板_好读版'!$A:$S,15,FALSE),0)+IFERROR(VLOOKUP($A113,'02_怪物模板_好读版'!$A:$S,16,FALSE),0)</f>
        <v/>
      </c>
      <c r="J113" s="26">
        <f>IFERROR(VLOOKUP($A113,'02_怪物模板_好读版'!$A:$Z,8,FALSE),50)</f>
        <v/>
      </c>
      <c r="K113" s="26">
        <f>IFERROR(VLOOKUP($A113,'02_怪物模板_好读版'!$A:$Z,9,FALSE),21)</f>
        <v/>
      </c>
      <c r="L113" s="26">
        <f>IFERROR(VLOOKUP($A113,'02_怪物模板_好读版'!$A:$Z,10,FALSE),0)</f>
        <v/>
      </c>
      <c r="M113" s="26">
        <f>IFERROR(VLOOKUP($A113,'02_怪物模板_好读版'!$A:$Z,11,FALSE),0)</f>
        <v/>
      </c>
      <c r="N113" s="26">
        <f>IFERROR(VLOOKUP($A113,'02_怪物模板_好读版'!$A:$Z,12,FALSE),3)</f>
        <v/>
      </c>
      <c r="O113" s="26">
        <f>IFERROR(VLOOKUP($A113,'02_怪物模板_好读版'!$A:$Z,13,FALSE),"REVIEW")</f>
        <v/>
      </c>
      <c r="P113" s="25" t="inlineStr">
        <is>
          <t>B3 前二横扫</t>
        </is>
      </c>
      <c r="Q113" s="25" t="inlineStr">
        <is>
          <t>扫击/3格</t>
        </is>
      </c>
      <c r="R113" s="25" t="inlineStr">
        <is>
          <t>输出</t>
        </is>
      </c>
      <c r="S113" s="25" t="inlineStr">
        <is>
          <t>spaceExplosionBonus</t>
        </is>
      </c>
      <c r="T113" s="25" t="inlineStr">
        <is>
          <t>土、输出、爆发、前排</t>
        </is>
      </c>
      <c r="U113" s="25" t="inlineStr">
        <is>
          <t>—</t>
        </is>
      </c>
      <c r="V113" s="25" t="inlineStr">
        <is>
          <t>44</t>
        </is>
      </c>
    </row>
    <row r="114" ht="22" customHeight="1">
      <c r="A114" s="25" t="inlineStr">
        <is>
          <t>pal_113</t>
        </is>
      </c>
      <c r="B114" s="25" t="inlineStr">
        <is>
          <t>No.101</t>
        </is>
      </c>
      <c r="C114" s="25" t="inlineStr">
        <is>
          <t>覆海龙</t>
        </is>
      </c>
      <c r="D114" s="25" t="inlineStr">
        <is>
          <t>水</t>
        </is>
      </c>
      <c r="E114" s="25" t="inlineStr">
        <is>
          <t>龙、水</t>
        </is>
      </c>
      <c r="F114" s="25" t="inlineStr">
        <is>
          <t>黄金</t>
        </is>
      </c>
      <c r="G114" s="25" t="inlineStr">
        <is>
          <t>中型</t>
        </is>
      </c>
      <c r="H114" s="25" t="inlineStr">
        <is>
          <t>治疗</t>
        </is>
      </c>
      <c r="I114" s="26">
        <f>IFERROR(VLOOKUP($A114,'02_怪物模板_好读版'!$A:$S,15,FALSE),0)+IFERROR(VLOOKUP($A114,'02_怪物模板_好读版'!$A:$S,16,FALSE),0)</f>
        <v/>
      </c>
      <c r="J114" s="26">
        <f>IFERROR(VLOOKUP($A114,'02_怪物模板_好读版'!$A:$Z,8,FALSE),50)</f>
        <v/>
      </c>
      <c r="K114" s="26">
        <f>IFERROR(VLOOKUP($A114,'02_怪物模板_好读版'!$A:$Z,9,FALSE),53)</f>
        <v/>
      </c>
      <c r="L114" s="26">
        <f>IFERROR(VLOOKUP($A114,'02_怪物模板_好读版'!$A:$Z,10,FALSE),0)</f>
        <v/>
      </c>
      <c r="M114" s="26">
        <f>IFERROR(VLOOKUP($A114,'02_怪物模板_好读版'!$A:$Z,11,FALSE),0)</f>
        <v/>
      </c>
      <c r="N114" s="26">
        <f>IFERROR(VLOOKUP($A114,'02_怪物模板_好读版'!$A:$Z,12,FALSE),3)</f>
        <v/>
      </c>
      <c r="O114" s="26">
        <f>IFERROR(VLOOKUP($A114,'02_怪物模板_好读版'!$A:$Z,13,FALSE),"REVIEW")</f>
        <v/>
      </c>
      <c r="P114" s="25" t="inlineStr">
        <is>
          <t>T1 标准前置T</t>
        </is>
      </c>
      <c r="Q114" s="25" t="inlineStr">
        <is>
          <t>T形/4格</t>
        </is>
      </c>
      <c r="R114" s="25" t="inlineStr">
        <is>
          <t>场地</t>
        </is>
      </c>
      <c r="S114" s="25" t="inlineStr">
        <is>
          <t>healAmpBonus</t>
        </is>
      </c>
      <c r="T114" s="25" t="inlineStr">
        <is>
          <t>水、治疗、后排、增益</t>
        </is>
      </c>
      <c r="U114" s="25" t="inlineStr">
        <is>
          <t>—</t>
        </is>
      </c>
      <c r="V114" s="25" t="inlineStr">
        <is>
          <t>治疗补预算</t>
        </is>
      </c>
    </row>
    <row r="115" ht="22" customHeight="1">
      <c r="A115" s="25" t="inlineStr">
        <is>
          <t>pal_114</t>
        </is>
      </c>
      <c r="B115" s="25" t="inlineStr">
        <is>
          <t>No.101B</t>
        </is>
      </c>
      <c r="C115" s="25" t="inlineStr">
        <is>
          <t>腾炎龙</t>
        </is>
      </c>
      <c r="D115" s="25" t="inlineStr">
        <is>
          <t>火</t>
        </is>
      </c>
      <c r="E115" s="25" t="inlineStr">
        <is>
          <t>龙、火</t>
        </is>
      </c>
      <c r="F115" s="25" t="inlineStr">
        <is>
          <t>黄金</t>
        </is>
      </c>
      <c r="G115" s="25" t="inlineStr">
        <is>
          <t>大型</t>
        </is>
      </c>
      <c r="H115" s="25" t="inlineStr">
        <is>
          <t>输出</t>
        </is>
      </c>
      <c r="I115" s="26">
        <f>IFERROR(VLOOKUP($A115,'02_怪物模板_好读版'!$A:$S,15,FALSE),0)+IFERROR(VLOOKUP($A115,'02_怪物模板_好读版'!$A:$S,16,FALSE),0)</f>
        <v/>
      </c>
      <c r="J115" s="26">
        <f>IFERROR(VLOOKUP($A115,'02_怪物模板_好读版'!$A:$Z,8,FALSE),60)</f>
        <v/>
      </c>
      <c r="K115" s="26">
        <f>IFERROR(VLOOKUP($A115,'02_怪物模板_好读版'!$A:$Z,9,FALSE),101)</f>
        <v/>
      </c>
      <c r="L115" s="26">
        <f>IFERROR(VLOOKUP($A115,'02_怪物模板_好读版'!$A:$Z,10,FALSE),0)</f>
        <v/>
      </c>
      <c r="M115" s="26">
        <f>IFERROR(VLOOKUP($A115,'02_怪物模板_好读版'!$A:$Z,11,FALSE),0)</f>
        <v/>
      </c>
      <c r="N115" s="26">
        <f>IFERROR(VLOOKUP($A115,'02_怪物模板_好读版'!$A:$Z,12,FALSE),3)</f>
        <v/>
      </c>
      <c r="O115" s="26">
        <f>IFERROR(VLOOKUP($A115,'02_怪物模板_好读版'!$A:$Z,13,FALSE),"REVIEW")</f>
        <v/>
      </c>
      <c r="P115" s="25" t="inlineStr">
        <is>
          <t>B3 前二横扫</t>
        </is>
      </c>
      <c r="Q115" s="25" t="inlineStr">
        <is>
          <t>扫击/3格</t>
        </is>
      </c>
      <c r="R115" s="25" t="inlineStr">
        <is>
          <t>输出</t>
        </is>
      </c>
      <c r="S115" s="25" t="inlineStr">
        <is>
          <t>spaceExplosionBonus</t>
        </is>
      </c>
      <c r="T115" s="25" t="inlineStr">
        <is>
          <t>火、输出、爆发、前排</t>
        </is>
      </c>
      <c r="U115" s="25" t="inlineStr">
        <is>
          <t>—</t>
        </is>
      </c>
      <c r="V115" s="25" t="inlineStr">
        <is>
          <t>44</t>
        </is>
      </c>
    </row>
    <row r="116" ht="22" customHeight="1">
      <c r="A116" s="25" t="inlineStr">
        <is>
          <t>pal_115</t>
        </is>
      </c>
      <c r="B116" s="25" t="inlineStr">
        <is>
          <t>No.102</t>
        </is>
      </c>
      <c r="C116" s="25" t="inlineStr">
        <is>
          <t>朱雀</t>
        </is>
      </c>
      <c r="D116" s="25" t="inlineStr">
        <is>
          <t>火</t>
        </is>
      </c>
      <c r="E116" s="25" t="inlineStr">
        <is>
          <t>44</t>
        </is>
      </c>
      <c r="F116" s="25" t="inlineStr">
        <is>
          <t>黄金</t>
        </is>
      </c>
      <c r="G116" s="25" t="inlineStr">
        <is>
          <t>小型</t>
        </is>
      </c>
      <c r="H116" s="25" t="inlineStr">
        <is>
          <t>机动</t>
        </is>
      </c>
      <c r="I116" s="26">
        <f>IFERROR(VLOOKUP($A116,'02_怪物模板_好读版'!$A:$S,15,FALSE),0)+IFERROR(VLOOKUP($A116,'02_怪物模板_好读版'!$A:$S,16,FALSE),0)</f>
        <v/>
      </c>
      <c r="J116" s="26">
        <f>IFERROR(VLOOKUP($A116,'02_怪物模板_好读版'!$A:$Z,8,FALSE),25)</f>
        <v/>
      </c>
      <c r="K116" s="26">
        <f>IFERROR(VLOOKUP($A116,'02_怪物模板_好读版'!$A:$Z,9,FALSE),26)</f>
        <v/>
      </c>
      <c r="L116" s="26">
        <f>IFERROR(VLOOKUP($A116,'02_怪物模板_好读版'!$A:$Z,10,FALSE),0)</f>
        <v/>
      </c>
      <c r="M116" s="26">
        <f>IFERROR(VLOOKUP($A116,'02_怪物模板_好读版'!$A:$Z,11,FALSE),0)</f>
        <v/>
      </c>
      <c r="N116" s="26">
        <f>IFERROR(VLOOKUP($A116,'02_怪物模板_好读版'!$A:$Z,12,FALSE),5)</f>
        <v/>
      </c>
      <c r="O116" s="26">
        <f>IFERROR(VLOOKUP($A116,'02_怪物模板_好读版'!$A:$Z,13,FALSE),"REVIEW")</f>
        <v/>
      </c>
      <c r="P116" s="25" t="inlineStr">
        <is>
          <t>C1 前方2×2</t>
        </is>
      </c>
      <c r="Q116" s="25" t="inlineStr">
        <is>
          <t>方形/4格</t>
        </is>
      </c>
      <c r="R116" s="25" t="inlineStr">
        <is>
          <t>牵制</t>
        </is>
      </c>
      <c r="S116" s="25" t="inlineStr">
        <is>
          <t>advHitBonus</t>
        </is>
      </c>
      <c r="T116" s="25" t="inlineStr">
        <is>
          <t>火、机动、灵活、泛用</t>
        </is>
      </c>
      <c r="U116" s="25" t="inlineStr">
        <is>
          <t>—</t>
        </is>
      </c>
      <c r="V116" s="25" t="inlineStr">
        <is>
          <t>44</t>
        </is>
      </c>
    </row>
    <row r="117" ht="22" customHeight="1">
      <c r="A117" s="25" t="inlineStr">
        <is>
          <t>pal_116</t>
        </is>
      </c>
      <c r="B117" s="25" t="inlineStr">
        <is>
          <t>No.102B</t>
        </is>
      </c>
      <c r="C117" s="25" t="inlineStr">
        <is>
          <t>清雀</t>
        </is>
      </c>
      <c r="D117" s="25" t="inlineStr">
        <is>
          <t>水</t>
        </is>
      </c>
      <c r="E117" s="25" t="inlineStr">
        <is>
          <t>44</t>
        </is>
      </c>
      <c r="F117" s="25" t="inlineStr">
        <is>
          <t>黄金</t>
        </is>
      </c>
      <c r="G117" s="25" t="inlineStr">
        <is>
          <t>小型</t>
        </is>
      </c>
      <c r="H117" s="25" t="inlineStr">
        <is>
          <t>治疗</t>
        </is>
      </c>
      <c r="I117" s="26">
        <f>IFERROR(VLOOKUP($A117,'02_怪物模板_好读版'!$A:$S,15,FALSE),0)+IFERROR(VLOOKUP($A117,'02_怪物模板_好读版'!$A:$S,16,FALSE),0)</f>
        <v/>
      </c>
      <c r="J117" s="26">
        <f>IFERROR(VLOOKUP($A117,'02_怪物模板_好读版'!$A:$Z,8,FALSE),50)</f>
        <v/>
      </c>
      <c r="K117" s="26">
        <f>IFERROR(VLOOKUP($A117,'02_怪物模板_好读版'!$A:$Z,9,FALSE),21)</f>
        <v/>
      </c>
      <c r="L117" s="26">
        <f>IFERROR(VLOOKUP($A117,'02_怪物模板_好读版'!$A:$Z,10,FALSE),0)</f>
        <v/>
      </c>
      <c r="M117" s="26">
        <f>IFERROR(VLOOKUP($A117,'02_怪物模板_好读版'!$A:$Z,11,FALSE),0)</f>
        <v/>
      </c>
      <c r="N117" s="26">
        <f>IFERROR(VLOOKUP($A117,'02_怪物模板_好读版'!$A:$Z,12,FALSE),3)</f>
        <v/>
      </c>
      <c r="O117" s="26">
        <f>IFERROR(VLOOKUP($A117,'02_怪物模板_好读版'!$A:$Z,13,FALSE),"REVIEW")</f>
        <v/>
      </c>
      <c r="P117" s="25" t="inlineStr">
        <is>
          <t>T1 标准前置T</t>
        </is>
      </c>
      <c r="Q117" s="25" t="inlineStr">
        <is>
          <t>T形/4格</t>
        </is>
      </c>
      <c r="R117" s="25" t="inlineStr">
        <is>
          <t>场地</t>
        </is>
      </c>
      <c r="S117" s="25" t="inlineStr">
        <is>
          <t>healAmpBonus</t>
        </is>
      </c>
      <c r="T117" s="25" t="inlineStr">
        <is>
          <t>水、治疗、后排、增益</t>
        </is>
      </c>
      <c r="U117" s="25" t="inlineStr">
        <is>
          <t>—</t>
        </is>
      </c>
      <c r="V117" s="25" t="inlineStr">
        <is>
          <t>治疗补预算</t>
        </is>
      </c>
    </row>
    <row r="118" ht="22" customHeight="1">
      <c r="A118" s="25" t="inlineStr">
        <is>
          <t>pal_117</t>
        </is>
      </c>
      <c r="B118" s="25" t="inlineStr">
        <is>
          <t>No.103</t>
        </is>
      </c>
      <c r="C118" s="25" t="inlineStr">
        <is>
          <t>暴电熊</t>
        </is>
      </c>
      <c r="D118" s="25" t="inlineStr">
        <is>
          <t>风</t>
        </is>
      </c>
      <c r="E118" s="25" t="inlineStr">
        <is>
          <t>雷</t>
        </is>
      </c>
      <c r="F118" s="25" t="inlineStr">
        <is>
          <t>黄金</t>
        </is>
      </c>
      <c r="G118" s="25" t="inlineStr">
        <is>
          <t>小型</t>
        </is>
      </c>
      <c r="H118" s="25" t="inlineStr">
        <is>
          <t>控制</t>
        </is>
      </c>
      <c r="I118" s="26">
        <f>IFERROR(VLOOKUP($A118,'02_怪物模板_好读版'!$A:$S,15,FALSE),0)+IFERROR(VLOOKUP($A118,'02_怪物模板_好读版'!$A:$S,16,FALSE),0)</f>
        <v/>
      </c>
      <c r="J118" s="26">
        <f>IFERROR(VLOOKUP($A118,'02_怪物模板_好读版'!$A:$Z,8,FALSE),30)</f>
        <v/>
      </c>
      <c r="K118" s="26">
        <f>IFERROR(VLOOKUP($A118,'02_怪物模板_好读版'!$A:$Z,9,FALSE),26)</f>
        <v/>
      </c>
      <c r="L118" s="26">
        <f>IFERROR(VLOOKUP($A118,'02_怪物模板_好读版'!$A:$Z,10,FALSE),0)</f>
        <v/>
      </c>
      <c r="M118" s="26">
        <f>IFERROR(VLOOKUP($A118,'02_怪物模板_好读版'!$A:$Z,11,FALSE),0)</f>
        <v/>
      </c>
      <c r="N118" s="26">
        <f>IFERROR(VLOOKUP($A118,'02_怪物模板_好读版'!$A:$Z,12,FALSE),4)</f>
        <v/>
      </c>
      <c r="O118" s="26">
        <f>IFERROR(VLOOKUP($A118,'02_怪物模板_好读版'!$A:$Z,13,FALSE),"REVIEW")</f>
        <v/>
      </c>
      <c r="P118" s="25" t="inlineStr">
        <is>
          <t>C1 前方2×2</t>
        </is>
      </c>
      <c r="Q118" s="25" t="inlineStr">
        <is>
          <t>方形/4格</t>
        </is>
      </c>
      <c r="R118" s="25" t="inlineStr">
        <is>
          <t>牵制</t>
        </is>
      </c>
      <c r="S118" s="25" t="inlineStr">
        <is>
          <t>advHitBonus</t>
        </is>
      </c>
      <c r="T118" s="25" t="inlineStr">
        <is>
          <t>风、牵制、范围、机动</t>
        </is>
      </c>
      <c r="U118" s="25" t="inlineStr">
        <is>
          <t>—</t>
        </is>
      </c>
      <c r="V118" s="25" t="inlineStr">
        <is>
          <t>旧定位=牵制；控制补预算</t>
        </is>
      </c>
    </row>
    <row r="119" ht="22" customHeight="1">
      <c r="A119" s="25" t="inlineStr">
        <is>
          <t>pal_118</t>
        </is>
      </c>
      <c r="B119" s="25" t="inlineStr">
        <is>
          <t>No.104</t>
        </is>
      </c>
      <c r="C119" s="25" t="inlineStr">
        <is>
          <t>百合女王</t>
        </is>
      </c>
      <c r="D119" s="25" t="inlineStr">
        <is>
          <t>风</t>
        </is>
      </c>
      <c r="E119" s="25" t="inlineStr">
        <is>
          <t>草</t>
        </is>
      </c>
      <c r="F119" s="25" t="inlineStr">
        <is>
          <t>黄金</t>
        </is>
      </c>
      <c r="G119" s="25" t="inlineStr">
        <is>
          <t>小型</t>
        </is>
      </c>
      <c r="H119" s="25" t="inlineStr">
        <is>
          <t>治疗</t>
        </is>
      </c>
      <c r="I119" s="26">
        <f>IFERROR(VLOOKUP($A119,'02_怪物模板_好读版'!$A:$S,15,FALSE),0)+IFERROR(VLOOKUP($A119,'02_怪物模板_好读版'!$A:$S,16,FALSE),0)</f>
        <v/>
      </c>
      <c r="J119" s="26">
        <f>IFERROR(VLOOKUP($A119,'02_怪物模板_好读版'!$A:$Z,8,FALSE),50)</f>
        <v/>
      </c>
      <c r="K119" s="26">
        <f>IFERROR(VLOOKUP($A119,'02_怪物模板_好读版'!$A:$Z,9,FALSE),21)</f>
        <v/>
      </c>
      <c r="L119" s="26">
        <f>IFERROR(VLOOKUP($A119,'02_怪物模板_好读版'!$A:$Z,10,FALSE),0)</f>
        <v/>
      </c>
      <c r="M119" s="26">
        <f>IFERROR(VLOOKUP($A119,'02_怪物模板_好读版'!$A:$Z,11,FALSE),0)</f>
        <v/>
      </c>
      <c r="N119" s="26">
        <f>IFERROR(VLOOKUP($A119,'02_怪物模板_好读版'!$A:$Z,12,FALSE),3)</f>
        <v/>
      </c>
      <c r="O119" s="26">
        <f>IFERROR(VLOOKUP($A119,'02_怪物模板_好读版'!$A:$Z,13,FALSE),"REVIEW")</f>
        <v/>
      </c>
      <c r="P119" s="25" t="inlineStr">
        <is>
          <t>T1 标准前置T</t>
        </is>
      </c>
      <c r="Q119" s="25" t="inlineStr">
        <is>
          <t>T形/4格</t>
        </is>
      </c>
      <c r="R119" s="25" t="inlineStr">
        <is>
          <t>场地</t>
        </is>
      </c>
      <c r="S119" s="25" t="inlineStr">
        <is>
          <t>healAmpBonus</t>
        </is>
      </c>
      <c r="T119" s="25" t="inlineStr">
        <is>
          <t>风、治疗、后排、增益</t>
        </is>
      </c>
      <c r="U119" s="25" t="inlineStr">
        <is>
          <t>—</t>
        </is>
      </c>
      <c r="V119" s="25" t="inlineStr">
        <is>
          <t>治疗补预算</t>
        </is>
      </c>
    </row>
    <row r="120" ht="22" customHeight="1">
      <c r="A120" s="25" t="inlineStr">
        <is>
          <t>pal_119</t>
        </is>
      </c>
      <c r="B120" s="25" t="inlineStr">
        <is>
          <t>No.104B</t>
        </is>
      </c>
      <c r="C120" s="25" t="inlineStr">
        <is>
          <t>黑月女王</t>
        </is>
      </c>
      <c r="D120" s="25" t="inlineStr">
        <is>
          <t>土</t>
        </is>
      </c>
      <c r="E120" s="25" t="inlineStr">
        <is>
          <t>暗</t>
        </is>
      </c>
      <c r="F120" s="25" t="inlineStr">
        <is>
          <t>黄金</t>
        </is>
      </c>
      <c r="G120" s="25" t="inlineStr">
        <is>
          <t>小型</t>
        </is>
      </c>
      <c r="H120" s="25" t="inlineStr">
        <is>
          <t>治疗</t>
        </is>
      </c>
      <c r="I120" s="26">
        <f>IFERROR(VLOOKUP($A120,'02_怪物模板_好读版'!$A:$S,15,FALSE),0)+IFERROR(VLOOKUP($A120,'02_怪物模板_好读版'!$A:$S,16,FALSE),0)</f>
        <v/>
      </c>
      <c r="J120" s="26">
        <f>IFERROR(VLOOKUP($A120,'02_怪物模板_好读版'!$A:$Z,8,FALSE),50)</f>
        <v/>
      </c>
      <c r="K120" s="26">
        <f>IFERROR(VLOOKUP($A120,'02_怪物模板_好读版'!$A:$Z,9,FALSE),21)</f>
        <v/>
      </c>
      <c r="L120" s="26">
        <f>IFERROR(VLOOKUP($A120,'02_怪物模板_好读版'!$A:$Z,10,FALSE),0)</f>
        <v/>
      </c>
      <c r="M120" s="26">
        <f>IFERROR(VLOOKUP($A120,'02_怪物模板_好读版'!$A:$Z,11,FALSE),0)</f>
        <v/>
      </c>
      <c r="N120" s="26">
        <f>IFERROR(VLOOKUP($A120,'02_怪物模板_好读版'!$A:$Z,12,FALSE),3)</f>
        <v/>
      </c>
      <c r="O120" s="26">
        <f>IFERROR(VLOOKUP($A120,'02_怪物模板_好读版'!$A:$Z,13,FALSE),"REVIEW")</f>
        <v/>
      </c>
      <c r="P120" s="25" t="inlineStr">
        <is>
          <t>T1 标准前置T</t>
        </is>
      </c>
      <c r="Q120" s="25" t="inlineStr">
        <is>
          <t>T形/4格</t>
        </is>
      </c>
      <c r="R120" s="25" t="inlineStr">
        <is>
          <t>场地</t>
        </is>
      </c>
      <c r="S120" s="25" t="inlineStr">
        <is>
          <t>healAmpBonus</t>
        </is>
      </c>
      <c r="T120" s="25" t="inlineStr">
        <is>
          <t>土、治疗、后排、增益</t>
        </is>
      </c>
      <c r="U120" s="25" t="inlineStr">
        <is>
          <t>—</t>
        </is>
      </c>
      <c r="V120" s="25" t="inlineStr">
        <is>
          <t>治疗补预算</t>
        </is>
      </c>
    </row>
    <row r="121" ht="22" customHeight="1">
      <c r="A121" s="25" t="inlineStr">
        <is>
          <t>pal_120</t>
        </is>
      </c>
      <c r="B121" s="25" t="inlineStr">
        <is>
          <t>No.105</t>
        </is>
      </c>
      <c r="C121" s="25" t="inlineStr">
        <is>
          <t>荷鲁斯</t>
        </is>
      </c>
      <c r="D121" s="25" t="inlineStr">
        <is>
          <t>火</t>
        </is>
      </c>
      <c r="E121" s="25" t="inlineStr">
        <is>
          <t>44</t>
        </is>
      </c>
      <c r="F121" s="25" t="inlineStr">
        <is>
          <t>黄金</t>
        </is>
      </c>
      <c r="G121" s="25" t="inlineStr">
        <is>
          <t>小型</t>
        </is>
      </c>
      <c r="H121" s="25" t="inlineStr">
        <is>
          <t>机动</t>
        </is>
      </c>
      <c r="I121" s="26">
        <f>IFERROR(VLOOKUP($A121,'02_怪物模板_好读版'!$A:$S,15,FALSE),0)+IFERROR(VLOOKUP($A121,'02_怪物模板_好读版'!$A:$S,16,FALSE),0)</f>
        <v/>
      </c>
      <c r="J121" s="26">
        <f>IFERROR(VLOOKUP($A121,'02_怪物模板_好读版'!$A:$Z,8,FALSE),25)</f>
        <v/>
      </c>
      <c r="K121" s="26">
        <f>IFERROR(VLOOKUP($A121,'02_怪物模板_好读版'!$A:$Z,9,FALSE),26)</f>
        <v/>
      </c>
      <c r="L121" s="26">
        <f>IFERROR(VLOOKUP($A121,'02_怪物模板_好读版'!$A:$Z,10,FALSE),0)</f>
        <v/>
      </c>
      <c r="M121" s="26">
        <f>IFERROR(VLOOKUP($A121,'02_怪物模板_好读版'!$A:$Z,11,FALSE),0)</f>
        <v/>
      </c>
      <c r="N121" s="26">
        <f>IFERROR(VLOOKUP($A121,'02_怪物模板_好读版'!$A:$Z,12,FALSE),5)</f>
        <v/>
      </c>
      <c r="O121" s="26">
        <f>IFERROR(VLOOKUP($A121,'02_怪物模板_好读版'!$A:$Z,13,FALSE),"REVIEW")</f>
        <v/>
      </c>
      <c r="P121" s="25" t="inlineStr">
        <is>
          <t>C1 前方2×2</t>
        </is>
      </c>
      <c r="Q121" s="25" t="inlineStr">
        <is>
          <t>方形/4格</t>
        </is>
      </c>
      <c r="R121" s="25" t="inlineStr">
        <is>
          <t>牵制</t>
        </is>
      </c>
      <c r="S121" s="25" t="inlineStr">
        <is>
          <t>advHitBonus</t>
        </is>
      </c>
      <c r="T121" s="25" t="inlineStr">
        <is>
          <t>火、机动、灵活、泛用</t>
        </is>
      </c>
      <c r="U121" s="25" t="inlineStr">
        <is>
          <t>—</t>
        </is>
      </c>
      <c r="V121" s="25" t="inlineStr">
        <is>
          <t>44</t>
        </is>
      </c>
    </row>
    <row r="122" ht="22" customHeight="1">
      <c r="A122" s="25" t="inlineStr">
        <is>
          <t>pal_121</t>
        </is>
      </c>
      <c r="B122" s="25" t="inlineStr">
        <is>
          <t>No.106</t>
        </is>
      </c>
      <c r="C122" s="25" t="inlineStr">
        <is>
          <t>波鲁杰克斯</t>
        </is>
      </c>
      <c r="D122" s="25" t="inlineStr">
        <is>
          <t>风</t>
        </is>
      </c>
      <c r="E122" s="25" t="inlineStr">
        <is>
          <t>龙、雷</t>
        </is>
      </c>
      <c r="F122" s="25" t="inlineStr">
        <is>
          <t>黄金</t>
        </is>
      </c>
      <c r="G122" s="25" t="inlineStr">
        <is>
          <t>中型</t>
        </is>
      </c>
      <c r="H122" s="25" t="inlineStr">
        <is>
          <t>控制</t>
        </is>
      </c>
      <c r="I122" s="26">
        <f>IFERROR(VLOOKUP($A122,'02_怪物模板_好读版'!$A:$S,15,FALSE),0)+IFERROR(VLOOKUP($A122,'02_怪物模板_好读版'!$A:$S,16,FALSE),0)</f>
        <v/>
      </c>
      <c r="J122" s="26">
        <f>IFERROR(VLOOKUP($A122,'02_怪物模板_好读版'!$A:$Z,8,FALSE),60)</f>
        <v/>
      </c>
      <c r="K122" s="26">
        <f>IFERROR(VLOOKUP($A122,'02_怪物模板_好读版'!$A:$Z,9,FALSE),48)</f>
        <v/>
      </c>
      <c r="L122" s="26">
        <f>IFERROR(VLOOKUP($A122,'02_怪物模板_好读版'!$A:$Z,10,FALSE),0)</f>
        <v/>
      </c>
      <c r="M122" s="26">
        <f>IFERROR(VLOOKUP($A122,'02_怪物模板_好读版'!$A:$Z,11,FALSE),0)</f>
        <v/>
      </c>
      <c r="N122" s="26">
        <f>IFERROR(VLOOKUP($A122,'02_怪物模板_好读版'!$A:$Z,12,FALSE),4)</f>
        <v/>
      </c>
      <c r="O122" s="26">
        <f>IFERROR(VLOOKUP($A122,'02_怪物模板_好读版'!$A:$Z,13,FALSE),"REVIEW")</f>
        <v/>
      </c>
      <c r="P122" s="25" t="inlineStr">
        <is>
          <t>C1 前方2×2</t>
        </is>
      </c>
      <c r="Q122" s="25" t="inlineStr">
        <is>
          <t>方形/4格</t>
        </is>
      </c>
      <c r="R122" s="25" t="inlineStr">
        <is>
          <t>牵制</t>
        </is>
      </c>
      <c r="S122" s="25" t="inlineStr">
        <is>
          <t>advHitBonus</t>
        </is>
      </c>
      <c r="T122" s="25" t="inlineStr">
        <is>
          <t>风、牵制、范围、机动</t>
        </is>
      </c>
      <c r="U122" s="25" t="inlineStr">
        <is>
          <t>—</t>
        </is>
      </c>
      <c r="V122" s="25" t="inlineStr">
        <is>
          <t>旧定位=牵制；控制补预算</t>
        </is>
      </c>
    </row>
    <row r="123" ht="22" customHeight="1">
      <c r="A123" s="25" t="inlineStr">
        <is>
          <t>pal_122</t>
        </is>
      </c>
      <c r="B123" s="25" t="inlineStr">
        <is>
          <t>No.107</t>
        </is>
      </c>
      <c r="C123" s="25" t="inlineStr">
        <is>
          <t>异构格里芬</t>
        </is>
      </c>
      <c r="D123" s="25" t="inlineStr">
        <is>
          <t>土</t>
        </is>
      </c>
      <c r="E123" s="25" t="inlineStr">
        <is>
          <t>暗</t>
        </is>
      </c>
      <c r="F123" s="25" t="inlineStr">
        <is>
          <t>黄金</t>
        </is>
      </c>
      <c r="G123" s="25" t="inlineStr">
        <is>
          <t>小型</t>
        </is>
      </c>
      <c r="H123" s="25" t="inlineStr">
        <is>
          <t>机动</t>
        </is>
      </c>
      <c r="I123" s="26">
        <f>IFERROR(VLOOKUP($A123,'02_怪物模板_好读版'!$A:$S,15,FALSE),0)+IFERROR(VLOOKUP($A123,'02_怪物模板_好读版'!$A:$S,16,FALSE),0)</f>
        <v/>
      </c>
      <c r="J123" s="26">
        <f>IFERROR(VLOOKUP($A123,'02_怪物模板_好读版'!$A:$Z,8,FALSE),25)</f>
        <v/>
      </c>
      <c r="K123" s="26">
        <f>IFERROR(VLOOKUP($A123,'02_怪物模板_好读版'!$A:$Z,9,FALSE),26)</f>
        <v/>
      </c>
      <c r="L123" s="26">
        <f>IFERROR(VLOOKUP($A123,'02_怪物模板_好读版'!$A:$Z,10,FALSE),0)</f>
        <v/>
      </c>
      <c r="M123" s="26">
        <f>IFERROR(VLOOKUP($A123,'02_怪物模板_好读版'!$A:$Z,11,FALSE),0)</f>
        <v/>
      </c>
      <c r="N123" s="26">
        <f>IFERROR(VLOOKUP($A123,'02_怪物模板_好读版'!$A:$Z,12,FALSE),5)</f>
        <v/>
      </c>
      <c r="O123" s="26">
        <f>IFERROR(VLOOKUP($A123,'02_怪物模板_好读版'!$A:$Z,13,FALSE),"REVIEW")</f>
        <v/>
      </c>
      <c r="P123" s="25" t="inlineStr">
        <is>
          <t>C1 前方2×2</t>
        </is>
      </c>
      <c r="Q123" s="25" t="inlineStr">
        <is>
          <t>方形/4格</t>
        </is>
      </c>
      <c r="R123" s="25" t="inlineStr">
        <is>
          <t>牵制</t>
        </is>
      </c>
      <c r="S123" s="25" t="inlineStr">
        <is>
          <t>advHitBonus</t>
        </is>
      </c>
      <c r="T123" s="25" t="inlineStr">
        <is>
          <t>土、机动、灵活、泛用</t>
        </is>
      </c>
      <c r="U123" s="25" t="inlineStr">
        <is>
          <t>—</t>
        </is>
      </c>
      <c r="V123" s="25" t="inlineStr">
        <is>
          <t>44</t>
        </is>
      </c>
    </row>
    <row r="124" ht="22" customHeight="1">
      <c r="A124" s="25" t="inlineStr">
        <is>
          <t>pal_123</t>
        </is>
      </c>
      <c r="B124" s="25" t="inlineStr">
        <is>
          <t>No.108</t>
        </is>
      </c>
      <c r="C124" s="25" t="inlineStr">
        <is>
          <t>圣光骑士</t>
        </is>
      </c>
      <c r="D124" s="25" t="inlineStr">
        <is>
          <t>风</t>
        </is>
      </c>
      <c r="E124" s="25" t="inlineStr">
        <is>
          <t>44</t>
        </is>
      </c>
      <c r="F124" s="25" t="inlineStr">
        <is>
          <t>黄金</t>
        </is>
      </c>
      <c r="G124" s="25" t="inlineStr">
        <is>
          <t>大型</t>
        </is>
      </c>
      <c r="H124" s="25" t="inlineStr">
        <is>
          <t>坦克</t>
        </is>
      </c>
      <c r="I124" s="26">
        <f>IFERROR(VLOOKUP($A124,'02_怪物模板_好读版'!$A:$S,15,FALSE),0)+IFERROR(VLOOKUP($A124,'02_怪物模板_好读版'!$A:$S,16,FALSE),0)</f>
        <v/>
      </c>
      <c r="J124" s="26">
        <f>IFERROR(VLOOKUP($A124,'02_怪物模板_好读版'!$A:$Z,8,FALSE),70)</f>
        <v/>
      </c>
      <c r="K124" s="26">
        <f>IFERROR(VLOOKUP($A124,'02_怪物模板_好读版'!$A:$Z,9,FALSE),67)</f>
        <v/>
      </c>
      <c r="L124" s="26">
        <f>IFERROR(VLOOKUP($A124,'02_怪物模板_好读版'!$A:$Z,10,FALSE),0)</f>
        <v/>
      </c>
      <c r="M124" s="26">
        <f>IFERROR(VLOOKUP($A124,'02_怪物模板_好读版'!$A:$Z,11,FALSE),20)</f>
        <v/>
      </c>
      <c r="N124" s="26">
        <f>IFERROR(VLOOKUP($A124,'02_怪物模板_好读版'!$A:$Z,12,FALSE),3)</f>
        <v/>
      </c>
      <c r="O124" s="26">
        <f>IFERROR(VLOOKUP($A124,'02_怪物模板_好读版'!$A:$Z,13,FALSE),"REVIEW")</f>
        <v/>
      </c>
      <c r="P124" s="25" t="inlineStr">
        <is>
          <t>T1 标准前置T</t>
        </is>
      </c>
      <c r="Q124" s="25" t="inlineStr">
        <is>
          <t>T形/4格</t>
        </is>
      </c>
      <c r="R124" s="25" t="inlineStr">
        <is>
          <t>阻挡</t>
        </is>
      </c>
      <c r="S124" s="25" t="inlineStr">
        <is>
          <t>castleReduce</t>
        </is>
      </c>
      <c r="T124" s="25" t="inlineStr">
        <is>
          <t>风、防御、前排、阻挡</t>
        </is>
      </c>
      <c r="U124" s="25" t="inlineStr">
        <is>
          <t>—</t>
        </is>
      </c>
      <c r="V124" s="25" t="inlineStr">
        <is>
          <t>旧定位=防御</t>
        </is>
      </c>
    </row>
    <row r="125" ht="22" customHeight="1">
      <c r="A125" s="25" t="inlineStr">
        <is>
          <t>pal_124</t>
        </is>
      </c>
      <c r="B125" s="25" t="inlineStr">
        <is>
          <t>No.109</t>
        </is>
      </c>
      <c r="C125" s="25" t="inlineStr">
        <is>
          <t>混沌骑士</t>
        </is>
      </c>
      <c r="D125" s="25" t="inlineStr">
        <is>
          <t>土</t>
        </is>
      </c>
      <c r="E125" s="25" t="inlineStr">
        <is>
          <t>暗</t>
        </is>
      </c>
      <c r="F125" s="25" t="inlineStr">
        <is>
          <t>黄金</t>
        </is>
      </c>
      <c r="G125" s="25" t="inlineStr">
        <is>
          <t>大型</t>
        </is>
      </c>
      <c r="H125" s="25" t="inlineStr">
        <is>
          <t>坦克</t>
        </is>
      </c>
      <c r="I125" s="26">
        <f>IFERROR(VLOOKUP($A125,'02_怪物模板_好读版'!$A:$S,15,FALSE),0)+IFERROR(VLOOKUP($A125,'02_怪物模板_好读版'!$A:$S,16,FALSE),0)</f>
        <v/>
      </c>
      <c r="J125" s="26">
        <f>IFERROR(VLOOKUP($A125,'02_怪物模板_好读版'!$A:$Z,8,FALSE),60)</f>
        <v/>
      </c>
      <c r="K125" s="26">
        <f>IFERROR(VLOOKUP($A125,'02_怪物模板_好读版'!$A:$Z,9,FALSE),5)</f>
        <v/>
      </c>
      <c r="L125" s="26">
        <f>IFERROR(VLOOKUP($A125,'02_怪物模板_好读版'!$A:$Z,10,FALSE),6)</f>
        <v/>
      </c>
      <c r="M125" s="26">
        <f>IFERROR(VLOOKUP($A125,'02_怪物模板_好读版'!$A:$Z,11,FALSE),15)</f>
        <v/>
      </c>
      <c r="N125" s="26">
        <f>IFERROR(VLOOKUP($A125,'02_怪物模板_好读版'!$A:$Z,12,FALSE),5)</f>
        <v/>
      </c>
      <c r="O125" s="26">
        <f>IFERROR(VLOOKUP($A125,'02_怪物模板_好读版'!$A:$Z,13,FALSE),"mech_zone_pressure,mech_revive,mech_break_castle")</f>
        <v/>
      </c>
      <c r="P125" s="25" t="inlineStr">
        <is>
          <t>T1 标准前置T</t>
        </is>
      </c>
      <c r="Q125" s="25" t="inlineStr">
        <is>
          <t>T形/4格</t>
        </is>
      </c>
      <c r="R125" s="25" t="inlineStr">
        <is>
          <t>阻挡</t>
        </is>
      </c>
      <c r="S125" s="25" t="inlineStr">
        <is>
          <t>castleReduce</t>
        </is>
      </c>
      <c r="T125" s="25" t="inlineStr">
        <is>
          <t>土、防御、前排、阻挡</t>
        </is>
      </c>
      <c r="U125" s="25" t="inlineStr">
        <is>
          <t>—</t>
        </is>
      </c>
      <c r="V125" s="25" t="inlineStr">
        <is>
          <t>旧定位=防御</t>
        </is>
      </c>
    </row>
    <row r="126" ht="22" customHeight="1">
      <c r="A126" s="25" t="inlineStr">
        <is>
          <t>pal_125</t>
        </is>
      </c>
      <c r="B126" s="25" t="inlineStr">
        <is>
          <t>No.110</t>
        </is>
      </c>
      <c r="C126" s="25" t="inlineStr">
        <is>
          <t>唤冬兽</t>
        </is>
      </c>
      <c r="D126" s="25" t="inlineStr">
        <is>
          <t>水</t>
        </is>
      </c>
      <c r="E126" s="25" t="inlineStr">
        <is>
          <t>冰</t>
        </is>
      </c>
      <c r="F126" s="25" t="inlineStr">
        <is>
          <t>黄金</t>
        </is>
      </c>
      <c r="G126" s="25" t="inlineStr">
        <is>
          <t>中型</t>
        </is>
      </c>
      <c r="H126" s="25" t="inlineStr">
        <is>
          <t>控制</t>
        </is>
      </c>
      <c r="I126" s="26">
        <f>IFERROR(VLOOKUP($A126,'02_怪物模板_好读版'!$A:$S,15,FALSE),0)+IFERROR(VLOOKUP($A126,'02_怪物模板_好读版'!$A:$S,16,FALSE),0)</f>
        <v/>
      </c>
      <c r="J126" s="26">
        <f>IFERROR(VLOOKUP($A126,'02_怪物模板_好读版'!$A:$Z,8,FALSE),60)</f>
        <v/>
      </c>
      <c r="K126" s="26">
        <f>IFERROR(VLOOKUP($A126,'02_怪物模板_好读版'!$A:$Z,9,FALSE),48)</f>
        <v/>
      </c>
      <c r="L126" s="26">
        <f>IFERROR(VLOOKUP($A126,'02_怪物模板_好读版'!$A:$Z,10,FALSE),0)</f>
        <v/>
      </c>
      <c r="M126" s="26">
        <f>IFERROR(VLOOKUP($A126,'02_怪物模板_好读版'!$A:$Z,11,FALSE),0)</f>
        <v/>
      </c>
      <c r="N126" s="26">
        <f>IFERROR(VLOOKUP($A126,'02_怪物模板_好读版'!$A:$Z,12,FALSE),4)</f>
        <v/>
      </c>
      <c r="O126" s="26">
        <f>IFERROR(VLOOKUP($A126,'02_怪物模板_好读版'!$A:$Z,13,FALSE),"REVIEW")</f>
        <v/>
      </c>
      <c r="P126" s="25" t="inlineStr">
        <is>
          <t>C1 前方2×2</t>
        </is>
      </c>
      <c r="Q126" s="25" t="inlineStr">
        <is>
          <t>方形/4格</t>
        </is>
      </c>
      <c r="R126" s="25" t="inlineStr">
        <is>
          <t>牵制</t>
        </is>
      </c>
      <c r="S126" s="25" t="inlineStr">
        <is>
          <t>advHitBonus</t>
        </is>
      </c>
      <c r="T126" s="25" t="inlineStr">
        <is>
          <t>水、牵制、范围、机动</t>
        </is>
      </c>
      <c r="U126" s="25" t="inlineStr">
        <is>
          <t>—</t>
        </is>
      </c>
      <c r="V126" s="25" t="inlineStr">
        <is>
          <t>旧定位=牵制；控制补预算</t>
        </is>
      </c>
    </row>
    <row r="127" ht="22" customHeight="1">
      <c r="A127" s="25" t="inlineStr">
        <is>
          <t>pal_126</t>
        </is>
      </c>
      <c r="B127" s="25" t="inlineStr">
        <is>
          <t>No.110B</t>
        </is>
      </c>
      <c r="C127" s="25" t="inlineStr">
        <is>
          <t>唤夜兽</t>
        </is>
      </c>
      <c r="D127" s="25" t="inlineStr">
        <is>
          <t>土</t>
        </is>
      </c>
      <c r="E127" s="25" t="inlineStr">
        <is>
          <t>暗</t>
        </is>
      </c>
      <c r="F127" s="25" t="inlineStr">
        <is>
          <t>黄金</t>
        </is>
      </c>
      <c r="G127" s="25" t="inlineStr">
        <is>
          <t>中型</t>
        </is>
      </c>
      <c r="H127" s="25" t="inlineStr">
        <is>
          <t>控制</t>
        </is>
      </c>
      <c r="I127" s="26">
        <f>IFERROR(VLOOKUP($A127,'02_怪物模板_好读版'!$A:$S,15,FALSE),0)+IFERROR(VLOOKUP($A127,'02_怪物模板_好读版'!$A:$S,16,FALSE),0)</f>
        <v/>
      </c>
      <c r="J127" s="26">
        <f>IFERROR(VLOOKUP($A127,'02_怪物模板_好读版'!$A:$Z,8,FALSE),60)</f>
        <v/>
      </c>
      <c r="K127" s="26">
        <f>IFERROR(VLOOKUP($A127,'02_怪物模板_好读版'!$A:$Z,9,FALSE),48)</f>
        <v/>
      </c>
      <c r="L127" s="26">
        <f>IFERROR(VLOOKUP($A127,'02_怪物模板_好读版'!$A:$Z,10,FALSE),0)</f>
        <v/>
      </c>
      <c r="M127" s="26">
        <f>IFERROR(VLOOKUP($A127,'02_怪物模板_好读版'!$A:$Z,11,FALSE),0)</f>
        <v/>
      </c>
      <c r="N127" s="26">
        <f>IFERROR(VLOOKUP($A127,'02_怪物模板_好读版'!$A:$Z,12,FALSE),4)</f>
        <v/>
      </c>
      <c r="O127" s="26">
        <f>IFERROR(VLOOKUP($A127,'02_怪物模板_好读版'!$A:$Z,13,FALSE),"REVIEW")</f>
        <v/>
      </c>
      <c r="P127" s="25" t="inlineStr">
        <is>
          <t>T1 标准前置T</t>
        </is>
      </c>
      <c r="Q127" s="25" t="inlineStr">
        <is>
          <t>T形/4格</t>
        </is>
      </c>
      <c r="R127" s="25" t="inlineStr">
        <is>
          <t>牵制</t>
        </is>
      </c>
      <c r="S127" s="25" t="inlineStr">
        <is>
          <t>healAmpBonus</t>
        </is>
      </c>
      <c r="T127" s="25" t="inlineStr">
        <is>
          <t>土、牵制、范围、机动</t>
        </is>
      </c>
      <c r="U127" s="25" t="inlineStr">
        <is>
          <t>—</t>
        </is>
      </c>
      <c r="V127" s="25" t="inlineStr">
        <is>
          <t>旧定位=牵制；控制补预算</t>
        </is>
      </c>
    </row>
    <row r="128" ht="22" customHeight="1">
      <c r="A128" s="25" t="inlineStr">
        <is>
          <t>pal_127</t>
        </is>
      </c>
      <c r="B128" s="25" t="inlineStr">
        <is>
          <t>No.111</t>
        </is>
      </c>
      <c r="C128" s="25" t="inlineStr">
        <is>
          <t>空涡龙</t>
        </is>
      </c>
      <c r="D128" s="25" t="inlineStr">
        <is>
          <t>风</t>
        </is>
      </c>
      <c r="E128" s="25" t="inlineStr">
        <is>
          <t>龙</t>
        </is>
      </c>
      <c r="F128" s="25" t="inlineStr">
        <is>
          <t>黄金</t>
        </is>
      </c>
      <c r="G128" s="25" t="inlineStr">
        <is>
          <t>中型</t>
        </is>
      </c>
      <c r="H128" s="25" t="inlineStr">
        <is>
          <t>机动</t>
        </is>
      </c>
      <c r="I128" s="26">
        <f>IFERROR(VLOOKUP($A128,'02_怪物模板_好读版'!$A:$S,15,FALSE),0)+IFERROR(VLOOKUP($A128,'02_怪物模板_好读版'!$A:$S,16,FALSE),0)</f>
        <v/>
      </c>
      <c r="J128" s="26">
        <f>IFERROR(VLOOKUP($A128,'02_怪物模板_好读版'!$A:$Z,8,FALSE),50)</f>
        <v/>
      </c>
      <c r="K128" s="26">
        <f>IFERROR(VLOOKUP($A128,'02_怪物模板_好读版'!$A:$Z,9,FALSE),53)</f>
        <v/>
      </c>
      <c r="L128" s="26">
        <f>IFERROR(VLOOKUP($A128,'02_怪物模板_好读版'!$A:$Z,10,FALSE),0)</f>
        <v/>
      </c>
      <c r="M128" s="26">
        <f>IFERROR(VLOOKUP($A128,'02_怪物模板_好读版'!$A:$Z,11,FALSE),0)</f>
        <v/>
      </c>
      <c r="N128" s="26">
        <f>IFERROR(VLOOKUP($A128,'02_怪物模板_好读版'!$A:$Z,12,FALSE),3)</f>
        <v/>
      </c>
      <c r="O128" s="26">
        <f>IFERROR(VLOOKUP($A128,'02_怪物模板_好读版'!$A:$Z,13,FALSE),"REVIEW")</f>
        <v/>
      </c>
      <c r="P128" s="25" t="inlineStr">
        <is>
          <t>C1 前方2×2</t>
        </is>
      </c>
      <c r="Q128" s="25" t="inlineStr">
        <is>
          <t>方形/4格</t>
        </is>
      </c>
      <c r="R128" s="25" t="inlineStr">
        <is>
          <t>牵制</t>
        </is>
      </c>
      <c r="S128" s="25" t="inlineStr">
        <is>
          <t>advHitBonus</t>
        </is>
      </c>
      <c r="T128" s="25" t="inlineStr">
        <is>
          <t>风、机动、灵活、泛用</t>
        </is>
      </c>
      <c r="U128" s="25" t="inlineStr">
        <is>
          <t>—</t>
        </is>
      </c>
      <c r="V128" s="25" t="inlineStr">
        <is>
          <t>44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0" customWidth="1" min="5" max="5"/>
    <col width="8" customWidth="1" min="7" max="7"/>
    <col width="12" customWidth="1" min="12" max="12"/>
    <col width="18" customWidth="1" min="14" max="14"/>
    <col width="22" customWidth="1" min="16" max="16"/>
    <col width="14" customWidth="1" min="17" max="17"/>
    <col width="26" customWidth="1" min="18" max="18"/>
    <col width="16" customWidth="1" min="19" max="19"/>
  </cols>
  <sheetData>
    <row r="1" ht="28" customHeight="1">
      <c r="A1" s="23" t="inlineStr">
        <is>
          <t>宠物ID</t>
        </is>
      </c>
      <c r="B1" s="23" t="inlineStr">
        <is>
          <t>名称(自动)</t>
        </is>
      </c>
      <c r="C1" s="23" t="inlineStr">
        <is>
          <t>元素(自动)</t>
        </is>
      </c>
      <c r="D1" s="23" t="inlineStr">
        <is>
          <t>体型(自动)</t>
        </is>
      </c>
      <c r="E1" s="23" t="inlineStr">
        <is>
          <t>宠物定位(自动)</t>
        </is>
      </c>
      <c r="F1" s="23" t="inlineStr">
        <is>
          <t>阶段</t>
        </is>
      </c>
      <c r="G1" s="23" t="inlineStr">
        <is>
          <t>敌方定位</t>
        </is>
      </c>
      <c r="H1" s="23" t="inlineStr">
        <is>
          <t>HP</t>
        </is>
      </c>
      <c r="I1" s="23" t="inlineStr">
        <is>
          <t>攻</t>
        </is>
      </c>
      <c r="J1" s="23" t="inlineStr">
        <is>
          <t>防</t>
        </is>
      </c>
      <c r="K1" s="23" t="inlineStr">
        <is>
          <t>盾</t>
        </is>
      </c>
      <c r="L1" s="23" t="inlineStr">
        <is>
          <t>行动</t>
        </is>
      </c>
      <c r="M1" s="23" t="inlineStr">
        <is>
          <t>机制ID</t>
        </is>
      </c>
      <c r="N1" s="23" t="inlineStr">
        <is>
          <t>机制参数</t>
        </is>
      </c>
      <c r="O1" s="23" t="inlineStr">
        <is>
          <t>面板分</t>
        </is>
      </c>
      <c r="P1" s="23" t="inlineStr">
        <is>
          <t>机制分</t>
        </is>
      </c>
      <c r="Q1" s="23" t="inlineStr">
        <is>
          <t>克制</t>
        </is>
      </c>
      <c r="R1" s="23" t="inlineStr">
        <is>
          <t>推荐日</t>
        </is>
      </c>
      <c r="S1" s="23" t="inlineStr">
        <is>
          <t>备注</t>
        </is>
      </c>
    </row>
    <row r="2" ht="22" customHeight="1">
      <c r="A2" s="25" t="inlineStr">
        <is>
          <t>pal_001</t>
        </is>
      </c>
      <c r="B2" s="26">
        <f>IFERROR(VLOOKUP($A2,'01_宠物主表_好读版'!$A:$Z,3,FALSE),"")</f>
        <v/>
      </c>
      <c r="C2" s="26">
        <f>IFERROR(VLOOKUP($A2,'01_宠物主表_好读版'!$A:$Z,4,FALSE),"")</f>
        <v/>
      </c>
      <c r="D2" s="26">
        <f>IFERROR(VLOOKUP($A2,'01_宠物主表_好读版'!$A:$Z,7,FALSE),"")</f>
        <v/>
      </c>
      <c r="E2" s="26">
        <f>IFERROR(VLOOKUP($A2,'01_宠物主表_好读版'!$A:$Z,8,FALSE),"")</f>
        <v/>
      </c>
      <c r="F2" s="25" t="inlineStr">
        <is>
          <t>教学</t>
        </is>
      </c>
      <c r="G2" s="25" t="inlineStr">
        <is>
          <t>小怪</t>
        </is>
      </c>
      <c r="H2" s="25" t="n">
        <v>6</v>
      </c>
      <c r="I2" s="25" t="n">
        <v>1</v>
      </c>
      <c r="J2" s="25" t="n">
        <v>0</v>
      </c>
      <c r="K2" s="25" t="n">
        <v>0</v>
      </c>
      <c r="L2" s="25" t="n">
        <v>3</v>
      </c>
      <c r="M2" s="25" t="inlineStr">
        <is>
          <t>none</t>
        </is>
      </c>
      <c r="N2" s="25" t="inlineStr">
        <is>
          <t>44</t>
        </is>
      </c>
      <c r="O2" s="25" t="n">
        <v>24</v>
      </c>
      <c r="P2" s="25" t="n">
        <v>0</v>
      </c>
      <c r="Q2" s="25" t="inlineStr">
        <is>
          <t>44</t>
        </is>
      </c>
      <c r="R2" s="25" t="inlineStr">
        <is>
          <t>44</t>
        </is>
      </c>
      <c r="S2" s="25" t="inlineStr">
        <is>
          <t>44</t>
        </is>
      </c>
    </row>
    <row r="3" ht="22" customHeight="1">
      <c r="A3" s="25" t="inlineStr">
        <is>
          <t>pal_042</t>
        </is>
      </c>
      <c r="B3" s="26">
        <f>IFERROR(VLOOKUP($A3,'01_宠物主表_好读版'!$A:$Z,3,FALSE),"")</f>
        <v/>
      </c>
      <c r="C3" s="26">
        <f>IFERROR(VLOOKUP($A3,'01_宠物主表_好读版'!$A:$Z,4,FALSE),"")</f>
        <v/>
      </c>
      <c r="D3" s="26">
        <f>IFERROR(VLOOKUP($A3,'01_宠物主表_好读版'!$A:$Z,7,FALSE),"")</f>
        <v/>
      </c>
      <c r="E3" s="26">
        <f>IFERROR(VLOOKUP($A3,'01_宠物主表_好读版'!$A:$Z,8,FALSE),"")</f>
        <v/>
      </c>
      <c r="F3" s="25" t="inlineStr">
        <is>
          <t>中期</t>
        </is>
      </c>
      <c r="G3" s="25" t="inlineStr">
        <is>
          <t>小怪</t>
        </is>
      </c>
      <c r="H3" s="25" t="n">
        <v>10</v>
      </c>
      <c r="I3" s="25" t="n">
        <v>2</v>
      </c>
      <c r="J3" s="25" t="n">
        <v>0</v>
      </c>
      <c r="K3" s="25" t="n">
        <v>0</v>
      </c>
      <c r="L3" s="25" t="n">
        <v>3</v>
      </c>
      <c r="M3" s="25" t="inlineStr">
        <is>
          <t>mech_self_destruct</t>
        </is>
      </c>
      <c r="N3" s="25" t="inlineStr">
        <is>
          <t>44</t>
        </is>
      </c>
      <c r="O3" s="25" t="n">
        <v>31</v>
      </c>
      <c r="P3" s="25" t="n">
        <v>16</v>
      </c>
      <c r="Q3" s="25" t="inlineStr">
        <is>
          <t>44</t>
        </is>
      </c>
      <c r="R3" s="25" t="inlineStr">
        <is>
          <t>44</t>
        </is>
      </c>
      <c r="S3" s="25" t="inlineStr">
        <is>
          <t>44</t>
        </is>
      </c>
    </row>
    <row r="4" ht="22" customHeight="1">
      <c r="A4" s="25" t="inlineStr">
        <is>
          <t>pal_006</t>
        </is>
      </c>
      <c r="B4" s="26">
        <f>IFERROR(VLOOKUP($A4,'01_宠物主表_好读版'!$A:$Z,3,FALSE),"")</f>
        <v/>
      </c>
      <c r="C4" s="26">
        <f>IFERROR(VLOOKUP($A4,'01_宠物主表_好读版'!$A:$Z,4,FALSE),"")</f>
        <v/>
      </c>
      <c r="D4" s="26">
        <f>IFERROR(VLOOKUP($A4,'01_宠物主表_好读版'!$A:$Z,7,FALSE),"")</f>
        <v/>
      </c>
      <c r="E4" s="26">
        <f>IFERROR(VLOOKUP($A4,'01_宠物主表_好读版'!$A:$Z,8,FALSE),"")</f>
        <v/>
      </c>
      <c r="F4" s="25" t="inlineStr">
        <is>
          <t>中期</t>
        </is>
      </c>
      <c r="G4" s="25" t="inlineStr">
        <is>
          <t>小怪</t>
        </is>
      </c>
      <c r="H4" s="25" t="n">
        <v>10</v>
      </c>
      <c r="I4" s="25" t="n">
        <v>2</v>
      </c>
      <c r="J4" s="25" t="n">
        <v>0</v>
      </c>
      <c r="K4" s="25" t="n">
        <v>0</v>
      </c>
      <c r="L4" s="25" t="n">
        <v>3</v>
      </c>
      <c r="M4" s="25" t="inlineStr">
        <is>
          <t>mech_poison</t>
        </is>
      </c>
      <c r="N4" s="25" t="inlineStr">
        <is>
          <t>44</t>
        </is>
      </c>
      <c r="O4" s="25" t="n">
        <v>31</v>
      </c>
      <c r="P4" s="25" t="n">
        <v>16</v>
      </c>
      <c r="Q4" s="25" t="inlineStr">
        <is>
          <t>44</t>
        </is>
      </c>
      <c r="R4" s="25" t="inlineStr">
        <is>
          <t>44</t>
        </is>
      </c>
      <c r="S4" s="25" t="inlineStr">
        <is>
          <t>44</t>
        </is>
      </c>
    </row>
    <row r="5" ht="22" customHeight="1">
      <c r="A5" s="25" t="inlineStr">
        <is>
          <t>pal_003</t>
        </is>
      </c>
      <c r="B5" s="26">
        <f>IFERROR(VLOOKUP($A5,'01_宠物主表_好读版'!$A:$Z,3,FALSE),"")</f>
        <v/>
      </c>
      <c r="C5" s="26">
        <f>IFERROR(VLOOKUP($A5,'01_宠物主表_好读版'!$A:$Z,4,FALSE),"")</f>
        <v/>
      </c>
      <c r="D5" s="26">
        <f>IFERROR(VLOOKUP($A5,'01_宠物主表_好读版'!$A:$Z,7,FALSE),"")</f>
        <v/>
      </c>
      <c r="E5" s="26">
        <f>IFERROR(VLOOKUP($A5,'01_宠物主表_好读版'!$A:$Z,8,FALSE),"")</f>
        <v/>
      </c>
      <c r="F5" s="25" t="inlineStr">
        <is>
          <t>中期</t>
        </is>
      </c>
      <c r="G5" s="25" t="inlineStr">
        <is>
          <t>小怪</t>
        </is>
      </c>
      <c r="H5" s="25" t="n">
        <v>10</v>
      </c>
      <c r="I5" s="25" t="n">
        <v>3</v>
      </c>
      <c r="J5" s="25" t="n">
        <v>0</v>
      </c>
      <c r="K5" s="25" t="n">
        <v>0</v>
      </c>
      <c r="L5" s="25" t="n">
        <v>3</v>
      </c>
      <c r="M5" s="25" t="inlineStr">
        <is>
          <t>mech_weaken</t>
        </is>
      </c>
      <c r="N5" s="25" t="inlineStr">
        <is>
          <t>44</t>
        </is>
      </c>
      <c r="O5" s="25" t="n">
        <v>34</v>
      </c>
      <c r="P5" s="25" t="n">
        <v>16</v>
      </c>
      <c r="Q5" s="25" t="inlineStr">
        <is>
          <t>44</t>
        </is>
      </c>
      <c r="R5" s="25" t="inlineStr">
        <is>
          <t>44</t>
        </is>
      </c>
      <c r="S5" s="25" t="inlineStr">
        <is>
          <t>44</t>
        </is>
      </c>
    </row>
    <row r="6" ht="22" customHeight="1">
      <c r="A6" s="25" t="inlineStr">
        <is>
          <t>pal_022</t>
        </is>
      </c>
      <c r="B6" s="26">
        <f>IFERROR(VLOOKUP($A6,'01_宠物主表_好读版'!$A:$Z,3,FALSE),"")</f>
        <v/>
      </c>
      <c r="C6" s="26">
        <f>IFERROR(VLOOKUP($A6,'01_宠物主表_好读版'!$A:$Z,4,FALSE),"")</f>
        <v/>
      </c>
      <c r="D6" s="26">
        <f>IFERROR(VLOOKUP($A6,'01_宠物主表_好读版'!$A:$Z,7,FALSE),"")</f>
        <v/>
      </c>
      <c r="E6" s="26">
        <f>IFERROR(VLOOKUP($A6,'01_宠物主表_好读版'!$A:$Z,8,FALSE),"")</f>
        <v/>
      </c>
      <c r="F6" s="25" t="inlineStr">
        <is>
          <t>教学</t>
        </is>
      </c>
      <c r="G6" s="25" t="inlineStr">
        <is>
          <t>肉盾</t>
        </is>
      </c>
      <c r="H6" s="25" t="n">
        <v>25</v>
      </c>
      <c r="I6" s="25" t="n">
        <v>1</v>
      </c>
      <c r="J6" s="25" t="n">
        <v>0</v>
      </c>
      <c r="K6" s="25" t="n">
        <v>0</v>
      </c>
      <c r="L6" s="25" t="n">
        <v>2</v>
      </c>
      <c r="M6" s="25" t="inlineStr">
        <is>
          <t>none</t>
        </is>
      </c>
      <c r="N6" s="25" t="inlineStr">
        <is>
          <t>44</t>
        </is>
      </c>
      <c r="O6" s="25" t="n">
        <v>38</v>
      </c>
      <c r="P6" s="25" t="n">
        <v>0</v>
      </c>
      <c r="Q6" s="25" t="inlineStr">
        <is>
          <t>44</t>
        </is>
      </c>
      <c r="R6" s="25" t="inlineStr">
        <is>
          <t>44</t>
        </is>
      </c>
      <c r="S6" s="25" t="inlineStr">
        <is>
          <t>44</t>
        </is>
      </c>
    </row>
    <row r="7" ht="22" customHeight="1">
      <c r="A7" s="25" t="inlineStr">
        <is>
          <t>pal_017</t>
        </is>
      </c>
      <c r="B7" s="26">
        <f>IFERROR(VLOOKUP($A7,'01_宠物主表_好读版'!$A:$Z,3,FALSE),"")</f>
        <v/>
      </c>
      <c r="C7" s="26">
        <f>IFERROR(VLOOKUP($A7,'01_宠物主表_好读版'!$A:$Z,4,FALSE),"")</f>
        <v/>
      </c>
      <c r="D7" s="26">
        <f>IFERROR(VLOOKUP($A7,'01_宠物主表_好读版'!$A:$Z,7,FALSE),"")</f>
        <v/>
      </c>
      <c r="E7" s="26">
        <f>IFERROR(VLOOKUP($A7,'01_宠物主表_好读版'!$A:$Z,8,FALSE),"")</f>
        <v/>
      </c>
      <c r="F7" s="25" t="inlineStr">
        <is>
          <t>后期</t>
        </is>
      </c>
      <c r="G7" s="25" t="inlineStr">
        <is>
          <t>肉盾</t>
        </is>
      </c>
      <c r="H7" s="25" t="n">
        <v>40</v>
      </c>
      <c r="I7" s="25" t="n">
        <v>3</v>
      </c>
      <c r="J7" s="25" t="n">
        <v>0</v>
      </c>
      <c r="K7" s="25" t="n">
        <v>0</v>
      </c>
      <c r="L7" s="25" t="n">
        <v>2</v>
      </c>
      <c r="M7" s="25" t="inlineStr">
        <is>
          <t>mech_firm_threshold</t>
        </is>
      </c>
      <c r="N7" s="25" t="inlineStr">
        <is>
          <t>44</t>
        </is>
      </c>
      <c r="O7" s="25" t="n">
        <v>59</v>
      </c>
      <c r="P7" s="25" t="n">
        <v>32</v>
      </c>
      <c r="Q7" s="25" t="inlineStr">
        <is>
          <t>44</t>
        </is>
      </c>
      <c r="R7" s="25" t="inlineStr">
        <is>
          <t>44</t>
        </is>
      </c>
      <c r="S7" s="25" t="inlineStr">
        <is>
          <t>44</t>
        </is>
      </c>
    </row>
    <row r="8" ht="22" customHeight="1">
      <c r="A8" s="25" t="inlineStr">
        <is>
          <t>pal_091</t>
        </is>
      </c>
      <c r="B8" s="26">
        <f>IFERROR(VLOOKUP($A8,'01_宠物主表_好读版'!$A:$Z,3,FALSE),"")</f>
        <v/>
      </c>
      <c r="C8" s="26">
        <f>IFERROR(VLOOKUP($A8,'01_宠物主表_好读版'!$A:$Z,4,FALSE),"")</f>
        <v/>
      </c>
      <c r="D8" s="26">
        <f>IFERROR(VLOOKUP($A8,'01_宠物主表_好读版'!$A:$Z,7,FALSE),"")</f>
        <v/>
      </c>
      <c r="E8" s="26">
        <f>IFERROR(VLOOKUP($A8,'01_宠物主表_好读版'!$A:$Z,8,FALSE),"")</f>
        <v/>
      </c>
      <c r="F8" s="25" t="inlineStr">
        <is>
          <t>后期</t>
        </is>
      </c>
      <c r="G8" s="25" t="inlineStr">
        <is>
          <t>肉盾</t>
        </is>
      </c>
      <c r="H8" s="25" t="n">
        <v>35</v>
      </c>
      <c r="I8" s="25" t="n">
        <v>2</v>
      </c>
      <c r="J8" s="25" t="n">
        <v>0</v>
      </c>
      <c r="K8" s="25" t="n">
        <v>6</v>
      </c>
      <c r="L8" s="25" t="n">
        <v>2</v>
      </c>
      <c r="M8" s="25" t="inlineStr">
        <is>
          <t>mech_revive</t>
        </is>
      </c>
      <c r="N8" s="25" t="inlineStr">
        <is>
          <t>44</t>
        </is>
      </c>
      <c r="O8" s="25" t="n">
        <v>81</v>
      </c>
      <c r="P8" s="25" t="n">
        <v>40</v>
      </c>
      <c r="Q8" s="25" t="inlineStr">
        <is>
          <t>44</t>
        </is>
      </c>
      <c r="R8" s="25" t="inlineStr">
        <is>
          <t>44</t>
        </is>
      </c>
      <c r="S8" s="25" t="inlineStr">
        <is>
          <t>44</t>
        </is>
      </c>
    </row>
    <row r="9" ht="22" customHeight="1">
      <c r="A9" s="25" t="inlineStr">
        <is>
          <t>pal_005</t>
        </is>
      </c>
      <c r="B9" s="26">
        <f>IFERROR(VLOOKUP($A9,'01_宠物主表_好读版'!$A:$Z,3,FALSE),"")</f>
        <v/>
      </c>
      <c r="C9" s="26">
        <f>IFERROR(VLOOKUP($A9,'01_宠物主表_好读版'!$A:$Z,4,FALSE),"")</f>
        <v/>
      </c>
      <c r="D9" s="26">
        <f>IFERROR(VLOOKUP($A9,'01_宠物主表_好读版'!$A:$Z,7,FALSE),"")</f>
        <v/>
      </c>
      <c r="E9" s="26">
        <f>IFERROR(VLOOKUP($A9,'01_宠物主表_好读版'!$A:$Z,8,FALSE),"")</f>
        <v/>
      </c>
      <c r="F9" s="25" t="inlineStr">
        <is>
          <t>前期</t>
        </is>
      </c>
      <c r="G9" s="25" t="inlineStr">
        <is>
          <t>护盾怪</t>
        </is>
      </c>
      <c r="H9" s="25" t="n">
        <v>10</v>
      </c>
      <c r="I9" s="25" t="n">
        <v>2</v>
      </c>
      <c r="J9" s="25" t="n">
        <v>0</v>
      </c>
      <c r="K9" s="25" t="n">
        <v>6</v>
      </c>
      <c r="L9" s="25" t="n">
        <v>3</v>
      </c>
      <c r="M9" s="25" t="inlineStr">
        <is>
          <t>mech_shielded_fragile</t>
        </is>
      </c>
      <c r="N9" s="25" t="inlineStr">
        <is>
          <t>44</t>
        </is>
      </c>
      <c r="O9" s="25" t="n">
        <v>61</v>
      </c>
      <c r="P9" s="25" t="n">
        <v>32</v>
      </c>
      <c r="Q9" s="25" t="inlineStr">
        <is>
          <t>44</t>
        </is>
      </c>
      <c r="R9" s="25" t="inlineStr">
        <is>
          <t>44</t>
        </is>
      </c>
      <c r="S9" s="25" t="inlineStr">
        <is>
          <t>44</t>
        </is>
      </c>
    </row>
    <row r="10" ht="22" customHeight="1">
      <c r="A10" s="25" t="inlineStr">
        <is>
          <t>pal_088</t>
        </is>
      </c>
      <c r="B10" s="26">
        <f>IFERROR(VLOOKUP($A10,'01_宠物主表_好读版'!$A:$Z,3,FALSE),"")</f>
        <v/>
      </c>
      <c r="C10" s="26">
        <f>IFERROR(VLOOKUP($A10,'01_宠物主表_好读版'!$A:$Z,4,FALSE),"")</f>
        <v/>
      </c>
      <c r="D10" s="26">
        <f>IFERROR(VLOOKUP($A10,'01_宠物主表_好读版'!$A:$Z,7,FALSE),"")</f>
        <v/>
      </c>
      <c r="E10" s="26">
        <f>IFERROR(VLOOKUP($A10,'01_宠物主表_好读版'!$A:$Z,8,FALSE),"")</f>
        <v/>
      </c>
      <c r="F10" s="25" t="inlineStr">
        <is>
          <t>前期</t>
        </is>
      </c>
      <c r="G10" s="25" t="inlineStr">
        <is>
          <t>护盾怪</t>
        </is>
      </c>
      <c r="H10" s="25" t="n">
        <v>15</v>
      </c>
      <c r="I10" s="25" t="n">
        <v>2</v>
      </c>
      <c r="J10" s="25" t="n">
        <v>0</v>
      </c>
      <c r="K10" s="25" t="n">
        <v>6</v>
      </c>
      <c r="L10" s="25" t="n">
        <v>3</v>
      </c>
      <c r="M10" s="25" t="inlineStr">
        <is>
          <t>mech_opening_shield</t>
        </is>
      </c>
      <c r="N10" s="25" t="inlineStr">
        <is>
          <t>44</t>
        </is>
      </c>
      <c r="O10" s="25" t="n">
        <v>66</v>
      </c>
      <c r="P10" s="25" t="n">
        <v>16</v>
      </c>
      <c r="Q10" s="25" t="inlineStr">
        <is>
          <t>44</t>
        </is>
      </c>
      <c r="R10" s="25" t="inlineStr">
        <is>
          <t>44</t>
        </is>
      </c>
      <c r="S10" s="25" t="inlineStr">
        <is>
          <t>44</t>
        </is>
      </c>
    </row>
    <row r="11" ht="22" customHeight="1">
      <c r="A11" s="25" t="inlineStr">
        <is>
          <t>pal_023</t>
        </is>
      </c>
      <c r="B11" s="26">
        <f>IFERROR(VLOOKUP($A11,'01_宠物主表_好读版'!$A:$Z,3,FALSE),"")</f>
        <v/>
      </c>
      <c r="C11" s="26">
        <f>IFERROR(VLOOKUP($A11,'01_宠物主表_好读版'!$A:$Z,4,FALSE),"")</f>
        <v/>
      </c>
      <c r="D11" s="26">
        <f>IFERROR(VLOOKUP($A11,'01_宠物主表_好读版'!$A:$Z,7,FALSE),"")</f>
        <v/>
      </c>
      <c r="E11" s="26">
        <f>IFERROR(VLOOKUP($A11,'01_宠物主表_好读版'!$A:$Z,8,FALSE),"")</f>
        <v/>
      </c>
      <c r="F11" s="25" t="inlineStr">
        <is>
          <t>中期</t>
        </is>
      </c>
      <c r="G11" s="25" t="inlineStr">
        <is>
          <t>护盾怪</t>
        </is>
      </c>
      <c r="H11" s="25" t="n">
        <v>25</v>
      </c>
      <c r="I11" s="25" t="n">
        <v>2</v>
      </c>
      <c r="J11" s="25" t="n">
        <v>0</v>
      </c>
      <c r="K11" s="25" t="n">
        <v>6</v>
      </c>
      <c r="L11" s="25" t="n">
        <v>3</v>
      </c>
      <c r="M11" s="25" t="inlineStr">
        <is>
          <t>mech_shield_regen</t>
        </is>
      </c>
      <c r="N11" s="25" t="inlineStr">
        <is>
          <t>44</t>
        </is>
      </c>
      <c r="O11" s="25" t="n">
        <v>76</v>
      </c>
      <c r="P11" s="25" t="n">
        <v>24</v>
      </c>
      <c r="Q11" s="25" t="inlineStr">
        <is>
          <t>44</t>
        </is>
      </c>
      <c r="R11" s="25" t="inlineStr">
        <is>
          <t>44</t>
        </is>
      </c>
      <c r="S11" s="25" t="inlineStr">
        <is>
          <t>44</t>
        </is>
      </c>
    </row>
    <row r="12" ht="22" customHeight="1">
      <c r="A12" s="25" t="inlineStr">
        <is>
          <t>pal_032</t>
        </is>
      </c>
      <c r="B12" s="26">
        <f>IFERROR(VLOOKUP($A12,'01_宠物主表_好读版'!$A:$Z,3,FALSE),"")</f>
        <v/>
      </c>
      <c r="C12" s="26">
        <f>IFERROR(VLOOKUP($A12,'01_宠物主表_好读版'!$A:$Z,4,FALSE),"")</f>
        <v/>
      </c>
      <c r="D12" s="26">
        <f>IFERROR(VLOOKUP($A12,'01_宠物主表_好读版'!$A:$Z,7,FALSE),"")</f>
        <v/>
      </c>
      <c r="E12" s="26">
        <f>IFERROR(VLOOKUP($A12,'01_宠物主表_好读版'!$A:$Z,8,FALSE),"")</f>
        <v/>
      </c>
      <c r="F12" s="25" t="inlineStr">
        <is>
          <t>前中期</t>
        </is>
      </c>
      <c r="G12" s="25" t="inlineStr">
        <is>
          <t>限伤怪</t>
        </is>
      </c>
      <c r="H12" s="25" t="n">
        <v>30</v>
      </c>
      <c r="I12" s="25" t="n">
        <v>3</v>
      </c>
      <c r="J12" s="25" t="n">
        <v>0</v>
      </c>
      <c r="K12" s="25" t="n">
        <v>0</v>
      </c>
      <c r="L12" s="25" t="n">
        <v>3</v>
      </c>
      <c r="M12" s="25" t="inlineStr">
        <is>
          <t>mech_damage_cap</t>
        </is>
      </c>
      <c r="N12" s="25" t="inlineStr">
        <is>
          <t>44</t>
        </is>
      </c>
      <c r="O12" s="25" t="n">
        <v>54</v>
      </c>
      <c r="P12" s="25" t="n">
        <v>40</v>
      </c>
      <c r="Q12" s="25" t="inlineStr">
        <is>
          <t>44</t>
        </is>
      </c>
      <c r="R12" s="25" t="inlineStr">
        <is>
          <t>44</t>
        </is>
      </c>
      <c r="S12" s="25" t="inlineStr">
        <is>
          <t>44</t>
        </is>
      </c>
    </row>
    <row r="13" ht="22" customHeight="1">
      <c r="A13" s="25" t="inlineStr">
        <is>
          <t>pal_097</t>
        </is>
      </c>
      <c r="B13" s="26">
        <f>IFERROR(VLOOKUP($A13,'01_宠物主表_好读版'!$A:$Z,3,FALSE),"")</f>
        <v/>
      </c>
      <c r="C13" s="26">
        <f>IFERROR(VLOOKUP($A13,'01_宠物主表_好读版'!$A:$Z,4,FALSE),"")</f>
        <v/>
      </c>
      <c r="D13" s="26">
        <f>IFERROR(VLOOKUP($A13,'01_宠物主表_好读版'!$A:$Z,7,FALSE),"")</f>
        <v/>
      </c>
      <c r="E13" s="26">
        <f>IFERROR(VLOOKUP($A13,'01_宠物主表_好读版'!$A:$Z,8,FALSE),"")</f>
        <v/>
      </c>
      <c r="F13" s="25" t="inlineStr">
        <is>
          <t>后期</t>
        </is>
      </c>
      <c r="G13" s="25" t="inlineStr">
        <is>
          <t>限伤怪</t>
        </is>
      </c>
      <c r="H13" s="25" t="n">
        <v>40</v>
      </c>
      <c r="I13" s="25" t="n">
        <v>3</v>
      </c>
      <c r="J13" s="25" t="n">
        <v>0</v>
      </c>
      <c r="K13" s="25" t="n">
        <v>6</v>
      </c>
      <c r="L13" s="25" t="n">
        <v>3</v>
      </c>
      <c r="M13" s="25" t="inlineStr">
        <is>
          <t>mech_damage_cap</t>
        </is>
      </c>
      <c r="N13" s="25" t="inlineStr">
        <is>
          <t>44</t>
        </is>
      </c>
      <c r="O13" s="25" t="n">
        <v>94</v>
      </c>
      <c r="P13" s="25" t="n">
        <v>40</v>
      </c>
      <c r="Q13" s="25" t="inlineStr">
        <is>
          <t>44</t>
        </is>
      </c>
      <c r="R13" s="25" t="inlineStr">
        <is>
          <t>44</t>
        </is>
      </c>
      <c r="S13" s="25" t="inlineStr">
        <is>
          <t>44</t>
        </is>
      </c>
    </row>
    <row r="14" ht="22" customHeight="1">
      <c r="A14" s="25" t="inlineStr">
        <is>
          <t>pal_002</t>
        </is>
      </c>
      <c r="B14" s="26">
        <f>IFERROR(VLOOKUP($A14,'01_宠物主表_好读版'!$A:$Z,3,FALSE),"")</f>
        <v/>
      </c>
      <c r="C14" s="26">
        <f>IFERROR(VLOOKUP($A14,'01_宠物主表_好读版'!$A:$Z,4,FALSE),"")</f>
        <v/>
      </c>
      <c r="D14" s="26">
        <f>IFERROR(VLOOKUP($A14,'01_宠物主表_好读版'!$A:$Z,7,FALSE),"")</f>
        <v/>
      </c>
      <c r="E14" s="26">
        <f>IFERROR(VLOOKUP($A14,'01_宠物主表_好读版'!$A:$Z,8,FALSE),"")</f>
        <v/>
      </c>
      <c r="F14" s="25" t="inlineStr">
        <is>
          <t>前中期</t>
        </is>
      </c>
      <c r="G14" s="25" t="inlineStr">
        <is>
          <t>首伤怪</t>
        </is>
      </c>
      <c r="H14" s="25" t="n">
        <v>20</v>
      </c>
      <c r="I14" s="25" t="n">
        <v>3</v>
      </c>
      <c r="J14" s="25" t="n">
        <v>0</v>
      </c>
      <c r="K14" s="25" t="n">
        <v>0</v>
      </c>
      <c r="L14" s="25" t="n">
        <v>3</v>
      </c>
      <c r="M14" s="25" t="inlineStr">
        <is>
          <t>mech_first_hit_block</t>
        </is>
      </c>
      <c r="N14" s="25" t="inlineStr">
        <is>
          <t>44</t>
        </is>
      </c>
      <c r="O14" s="25" t="n">
        <v>44</v>
      </c>
      <c r="P14" s="25" t="n">
        <v>24</v>
      </c>
      <c r="Q14" s="25" t="inlineStr">
        <is>
          <t>44</t>
        </is>
      </c>
      <c r="R14" s="25" t="inlineStr">
        <is>
          <t>44</t>
        </is>
      </c>
      <c r="S14" s="25" t="inlineStr">
        <is>
          <t>44</t>
        </is>
      </c>
    </row>
    <row r="15" ht="22" customHeight="1">
      <c r="A15" s="25" t="inlineStr">
        <is>
          <t>pal_009</t>
        </is>
      </c>
      <c r="B15" s="26">
        <f>IFERROR(VLOOKUP($A15,'01_宠物主表_好读版'!$A:$Z,3,FALSE),"")</f>
        <v/>
      </c>
      <c r="C15" s="26">
        <f>IFERROR(VLOOKUP($A15,'01_宠物主表_好读版'!$A:$Z,4,FALSE),"")</f>
        <v/>
      </c>
      <c r="D15" s="26">
        <f>IFERROR(VLOOKUP($A15,'01_宠物主表_好读版'!$A:$Z,7,FALSE),"")</f>
        <v/>
      </c>
      <c r="E15" s="26">
        <f>IFERROR(VLOOKUP($A15,'01_宠物主表_好读版'!$A:$Z,8,FALSE),"")</f>
        <v/>
      </c>
      <c r="F15" s="25" t="inlineStr">
        <is>
          <t>中后期</t>
        </is>
      </c>
      <c r="G15" s="25" t="inlineStr">
        <is>
          <t>首伤怪</t>
        </is>
      </c>
      <c r="H15" s="25" t="n">
        <v>25</v>
      </c>
      <c r="I15" s="25" t="n">
        <v>3</v>
      </c>
      <c r="J15" s="25" t="n">
        <v>0</v>
      </c>
      <c r="K15" s="25" t="n">
        <v>6</v>
      </c>
      <c r="L15" s="25" t="n">
        <v>3</v>
      </c>
      <c r="M15" s="25" t="inlineStr">
        <is>
          <t>mech_first_hit_block</t>
        </is>
      </c>
      <c r="N15" s="25" t="inlineStr">
        <is>
          <t>44</t>
        </is>
      </c>
      <c r="O15" s="25" t="n">
        <v>79</v>
      </c>
      <c r="P15" s="25" t="n">
        <v>24</v>
      </c>
      <c r="Q15" s="25" t="inlineStr">
        <is>
          <t>44</t>
        </is>
      </c>
      <c r="R15" s="25" t="inlineStr">
        <is>
          <t>44</t>
        </is>
      </c>
      <c r="S15" s="25" t="inlineStr">
        <is>
          <t>44</t>
        </is>
      </c>
    </row>
    <row r="16" ht="22" customHeight="1">
      <c r="A16" s="25" t="inlineStr">
        <is>
          <t>pal_040</t>
        </is>
      </c>
      <c r="B16" s="26">
        <f>IFERROR(VLOOKUP($A16,'01_宠物主表_好读版'!$A:$Z,3,FALSE),"")</f>
        <v/>
      </c>
      <c r="C16" s="26">
        <f>IFERROR(VLOOKUP($A16,'01_宠物主表_好读版'!$A:$Z,4,FALSE),"")</f>
        <v/>
      </c>
      <c r="D16" s="26">
        <f>IFERROR(VLOOKUP($A16,'01_宠物主表_好读版'!$A:$Z,7,FALSE),"")</f>
        <v/>
      </c>
      <c r="E16" s="26">
        <f>IFERROR(VLOOKUP($A16,'01_宠物主表_好读版'!$A:$Z,8,FALSE),"")</f>
        <v/>
      </c>
      <c r="F16" s="25" t="inlineStr">
        <is>
          <t>前中期</t>
        </is>
      </c>
      <c r="G16" s="25" t="inlineStr">
        <is>
          <t>反击怪</t>
        </is>
      </c>
      <c r="H16" s="25" t="n">
        <v>25</v>
      </c>
      <c r="I16" s="25" t="n">
        <v>4</v>
      </c>
      <c r="J16" s="25" t="n">
        <v>0</v>
      </c>
      <c r="K16" s="25" t="n">
        <v>0</v>
      </c>
      <c r="L16" s="25" t="n">
        <v>3</v>
      </c>
      <c r="M16" s="25" t="inlineStr">
        <is>
          <t>mech_counter</t>
        </is>
      </c>
      <c r="N16" s="25" t="inlineStr">
        <is>
          <t>44</t>
        </is>
      </c>
      <c r="O16" s="25" t="n">
        <v>52</v>
      </c>
      <c r="P16" s="25" t="n">
        <v>24</v>
      </c>
      <c r="Q16" s="25" t="inlineStr">
        <is>
          <t>44</t>
        </is>
      </c>
      <c r="R16" s="25" t="inlineStr">
        <is>
          <t>44</t>
        </is>
      </c>
      <c r="S16" s="25" t="inlineStr">
        <is>
          <t>44</t>
        </is>
      </c>
    </row>
    <row r="17" ht="22" customHeight="1">
      <c r="A17" s="25" t="inlineStr">
        <is>
          <t>pal_046</t>
        </is>
      </c>
      <c r="B17" s="26">
        <f>IFERROR(VLOOKUP($A17,'01_宠物主表_好读版'!$A:$Z,3,FALSE),"")</f>
        <v/>
      </c>
      <c r="C17" s="26">
        <f>IFERROR(VLOOKUP($A17,'01_宠物主表_好读版'!$A:$Z,4,FALSE),"")</f>
        <v/>
      </c>
      <c r="D17" s="26">
        <f>IFERROR(VLOOKUP($A17,'01_宠物主表_好读版'!$A:$Z,7,FALSE),"")</f>
        <v/>
      </c>
      <c r="E17" s="26">
        <f>IFERROR(VLOOKUP($A17,'01_宠物主表_好读版'!$A:$Z,8,FALSE),"")</f>
        <v/>
      </c>
      <c r="F17" s="25" t="inlineStr">
        <is>
          <t>中后期</t>
        </is>
      </c>
      <c r="G17" s="25" t="inlineStr">
        <is>
          <t>反击怪</t>
        </is>
      </c>
      <c r="H17" s="25" t="n">
        <v>30</v>
      </c>
      <c r="I17" s="25" t="n">
        <v>4</v>
      </c>
      <c r="J17" s="25" t="n">
        <v>0</v>
      </c>
      <c r="K17" s="25" t="n">
        <v>6</v>
      </c>
      <c r="L17" s="25" t="n">
        <v>3</v>
      </c>
      <c r="M17" s="25" t="inlineStr">
        <is>
          <t>mech_counter</t>
        </is>
      </c>
      <c r="N17" s="25" t="inlineStr">
        <is>
          <t>44</t>
        </is>
      </c>
      <c r="O17" s="25" t="n">
        <v>87</v>
      </c>
      <c r="P17" s="25" t="n">
        <v>24</v>
      </c>
      <c r="Q17" s="25" t="inlineStr">
        <is>
          <t>44</t>
        </is>
      </c>
      <c r="R17" s="25" t="inlineStr">
        <is>
          <t>44</t>
        </is>
      </c>
      <c r="S17" s="25" t="inlineStr">
        <is>
          <t>44</t>
        </is>
      </c>
    </row>
    <row r="18" ht="22" customHeight="1">
      <c r="A18" s="25" t="inlineStr">
        <is>
          <t>pal_061</t>
        </is>
      </c>
      <c r="B18" s="26">
        <f>IFERROR(VLOOKUP($A18,'01_宠物主表_好读版'!$A:$Z,3,FALSE),"")</f>
        <v/>
      </c>
      <c r="C18" s="26">
        <f>IFERROR(VLOOKUP($A18,'01_宠物主表_好读版'!$A:$Z,4,FALSE),"")</f>
        <v/>
      </c>
      <c r="D18" s="26">
        <f>IFERROR(VLOOKUP($A18,'01_宠物主表_好读版'!$A:$Z,7,FALSE),"")</f>
        <v/>
      </c>
      <c r="E18" s="26">
        <f>IFERROR(VLOOKUP($A18,'01_宠物主表_好读版'!$A:$Z,8,FALSE),"")</f>
        <v/>
      </c>
      <c r="F18" s="25" t="inlineStr">
        <is>
          <t>前中期</t>
        </is>
      </c>
      <c r="G18" s="25" t="inlineStr">
        <is>
          <t>成长怪</t>
        </is>
      </c>
      <c r="H18" s="25" t="n">
        <v>25</v>
      </c>
      <c r="I18" s="25" t="n">
        <v>2</v>
      </c>
      <c r="J18" s="25" t="n">
        <v>0</v>
      </c>
      <c r="K18" s="25" t="n">
        <v>0</v>
      </c>
      <c r="L18" s="25" t="n">
        <v>3</v>
      </c>
      <c r="M18" s="25" t="inlineStr">
        <is>
          <t>mech_grow_attack</t>
        </is>
      </c>
      <c r="N18" s="25" t="inlineStr">
        <is>
          <t>44</t>
        </is>
      </c>
      <c r="O18" s="25" t="n">
        <v>46</v>
      </c>
      <c r="P18" s="25" t="n">
        <v>24</v>
      </c>
      <c r="Q18" s="25" t="inlineStr">
        <is>
          <t>44</t>
        </is>
      </c>
      <c r="R18" s="25" t="inlineStr">
        <is>
          <t>44</t>
        </is>
      </c>
      <c r="S18" s="25" t="inlineStr">
        <is>
          <t>44</t>
        </is>
      </c>
    </row>
    <row r="19" ht="22" customHeight="1">
      <c r="A19" s="25" t="inlineStr">
        <is>
          <t>pal_079</t>
        </is>
      </c>
      <c r="B19" s="26">
        <f>IFERROR(VLOOKUP($A19,'01_宠物主表_好读版'!$A:$Z,3,FALSE),"")</f>
        <v/>
      </c>
      <c r="C19" s="26">
        <f>IFERROR(VLOOKUP($A19,'01_宠物主表_好读版'!$A:$Z,4,FALSE),"")</f>
        <v/>
      </c>
      <c r="D19" s="26">
        <f>IFERROR(VLOOKUP($A19,'01_宠物主表_好读版'!$A:$Z,7,FALSE),"")</f>
        <v/>
      </c>
      <c r="E19" s="26">
        <f>IFERROR(VLOOKUP($A19,'01_宠物主表_好读版'!$A:$Z,8,FALSE),"")</f>
        <v/>
      </c>
      <c r="F19" s="25" t="inlineStr">
        <is>
          <t>中期</t>
        </is>
      </c>
      <c r="G19" s="25" t="inlineStr">
        <is>
          <t>成长怪</t>
        </is>
      </c>
      <c r="H19" s="25" t="n">
        <v>35</v>
      </c>
      <c r="I19" s="25" t="n">
        <v>3</v>
      </c>
      <c r="J19" s="25" t="n">
        <v>0</v>
      </c>
      <c r="K19" s="25" t="n">
        <v>0</v>
      </c>
      <c r="L19" s="25" t="n">
        <v>3</v>
      </c>
      <c r="M19" s="25" t="inlineStr">
        <is>
          <t>mech_grow_attack</t>
        </is>
      </c>
      <c r="N19" s="25" t="inlineStr">
        <is>
          <t>44</t>
        </is>
      </c>
      <c r="O19" s="25" t="n">
        <v>59</v>
      </c>
      <c r="P19" s="25" t="n">
        <v>24</v>
      </c>
      <c r="Q19" s="25" t="inlineStr">
        <is>
          <t>44</t>
        </is>
      </c>
      <c r="R19" s="25" t="inlineStr">
        <is>
          <t>44</t>
        </is>
      </c>
      <c r="S19" s="25" t="inlineStr">
        <is>
          <t>44</t>
        </is>
      </c>
    </row>
    <row r="20" ht="22" customHeight="1">
      <c r="A20" s="25" t="inlineStr">
        <is>
          <t>pal_031</t>
        </is>
      </c>
      <c r="B20" s="26">
        <f>IFERROR(VLOOKUP($A20,'01_宠物主表_好读版'!$A:$Z,3,FALSE),"")</f>
        <v/>
      </c>
      <c r="C20" s="26">
        <f>IFERROR(VLOOKUP($A20,'01_宠物主表_好读版'!$A:$Z,4,FALSE),"")</f>
        <v/>
      </c>
      <c r="D20" s="26">
        <f>IFERROR(VLOOKUP($A20,'01_宠物主表_好读版'!$A:$Z,7,FALSE),"")</f>
        <v/>
      </c>
      <c r="E20" s="26">
        <f>IFERROR(VLOOKUP($A20,'01_宠物主表_好读版'!$A:$Z,8,FALSE),"")</f>
        <v/>
      </c>
      <c r="F20" s="25" t="inlineStr">
        <is>
          <t>前中期</t>
        </is>
      </c>
      <c r="G20" s="25" t="inlineStr">
        <is>
          <t>成长怪</t>
        </is>
      </c>
      <c r="H20" s="25" t="n">
        <v>25</v>
      </c>
      <c r="I20" s="25" t="n">
        <v>2</v>
      </c>
      <c r="J20" s="25" t="n">
        <v>0</v>
      </c>
      <c r="K20" s="25" t="n">
        <v>6</v>
      </c>
      <c r="L20" s="25" t="n">
        <v>3</v>
      </c>
      <c r="M20" s="25" t="inlineStr">
        <is>
          <t>mech_grow_shield</t>
        </is>
      </c>
      <c r="N20" s="25" t="inlineStr">
        <is>
          <t>44</t>
        </is>
      </c>
      <c r="O20" s="25" t="n">
        <v>76</v>
      </c>
      <c r="P20" s="25" t="n">
        <v>24</v>
      </c>
      <c r="Q20" s="25" t="inlineStr">
        <is>
          <t>44</t>
        </is>
      </c>
      <c r="R20" s="25" t="inlineStr">
        <is>
          <t>44</t>
        </is>
      </c>
      <c r="S20" s="25" t="inlineStr">
        <is>
          <t>44</t>
        </is>
      </c>
    </row>
    <row r="21" ht="22" customHeight="1">
      <c r="A21" s="25" t="inlineStr">
        <is>
          <t>pal_019</t>
        </is>
      </c>
      <c r="B21" s="26">
        <f>IFERROR(VLOOKUP($A21,'01_宠物主表_好读版'!$A:$Z,3,FALSE),"")</f>
        <v/>
      </c>
      <c r="C21" s="26">
        <f>IFERROR(VLOOKUP($A21,'01_宠物主表_好读版'!$A:$Z,4,FALSE),"")</f>
        <v/>
      </c>
      <c r="D21" s="26">
        <f>IFERROR(VLOOKUP($A21,'01_宠物主表_好读版'!$A:$Z,7,FALSE),"")</f>
        <v/>
      </c>
      <c r="E21" s="26">
        <f>IFERROR(VLOOKUP($A21,'01_宠物主表_好读版'!$A:$Z,8,FALSE),"")</f>
        <v/>
      </c>
      <c r="F21" s="25" t="inlineStr">
        <is>
          <t>中后期</t>
        </is>
      </c>
      <c r="G21" s="25" t="inlineStr">
        <is>
          <t>成长怪</t>
        </is>
      </c>
      <c r="H21" s="25" t="n">
        <v>30</v>
      </c>
      <c r="I21" s="25" t="n">
        <v>3</v>
      </c>
      <c r="J21" s="25" t="n">
        <v>0</v>
      </c>
      <c r="K21" s="25" t="n">
        <v>10</v>
      </c>
      <c r="L21" s="25" t="n">
        <v>3</v>
      </c>
      <c r="M21" s="25" t="inlineStr">
        <is>
          <t>mech_grow_shield</t>
        </is>
      </c>
      <c r="N21" s="25" t="inlineStr">
        <is>
          <t>44</t>
        </is>
      </c>
      <c r="O21" s="25" t="n">
        <v>104</v>
      </c>
      <c r="P21" s="25" t="n">
        <v>24</v>
      </c>
      <c r="Q21" s="25" t="inlineStr">
        <is>
          <t>44</t>
        </is>
      </c>
      <c r="R21" s="25" t="inlineStr">
        <is>
          <t>44</t>
        </is>
      </c>
      <c r="S21" s="25" t="inlineStr">
        <is>
          <t>44</t>
        </is>
      </c>
    </row>
    <row r="22" ht="22" customHeight="1">
      <c r="A22" s="25" t="inlineStr">
        <is>
          <t>pal_067</t>
        </is>
      </c>
      <c r="B22" s="26">
        <f>IFERROR(VLOOKUP($A22,'01_宠物主表_好读版'!$A:$Z,3,FALSE),"")</f>
        <v/>
      </c>
      <c r="C22" s="26">
        <f>IFERROR(VLOOKUP($A22,'01_宠物主表_好读版'!$A:$Z,4,FALSE),"")</f>
        <v/>
      </c>
      <c r="D22" s="26">
        <f>IFERROR(VLOOKUP($A22,'01_宠物主表_好读版'!$A:$Z,7,FALSE),"")</f>
        <v/>
      </c>
      <c r="E22" s="26">
        <f>IFERROR(VLOOKUP($A22,'01_宠物主表_好读版'!$A:$Z,8,FALSE),"")</f>
        <v/>
      </c>
      <c r="F22" s="25" t="inlineStr">
        <is>
          <t>前期</t>
        </is>
      </c>
      <c r="G22" s="25" t="inlineStr">
        <is>
          <t>召唤怪</t>
        </is>
      </c>
      <c r="H22" s="25" t="n">
        <v>20</v>
      </c>
      <c r="I22" s="25" t="n">
        <v>1</v>
      </c>
      <c r="J22" s="25" t="n">
        <v>0</v>
      </c>
      <c r="K22" s="25" t="n">
        <v>0</v>
      </c>
      <c r="L22" s="25" t="n">
        <v>3</v>
      </c>
      <c r="M22" s="25" t="inlineStr">
        <is>
          <t>mech_summon</t>
        </is>
      </c>
      <c r="N22" s="25" t="inlineStr">
        <is>
          <t>44</t>
        </is>
      </c>
      <c r="O22" s="25" t="n">
        <v>38</v>
      </c>
      <c r="P22" s="25" t="n">
        <v>32</v>
      </c>
      <c r="Q22" s="25" t="inlineStr">
        <is>
          <t>44</t>
        </is>
      </c>
      <c r="R22" s="25" t="inlineStr">
        <is>
          <t>44</t>
        </is>
      </c>
      <c r="S22" s="25" t="inlineStr">
        <is>
          <t>44</t>
        </is>
      </c>
    </row>
    <row r="23" ht="22" customHeight="1">
      <c r="A23" s="25" t="inlineStr">
        <is>
          <t>pal_055</t>
        </is>
      </c>
      <c r="B23" s="26">
        <f>IFERROR(VLOOKUP($A23,'01_宠物主表_好读版'!$A:$Z,3,FALSE),"")</f>
        <v/>
      </c>
      <c r="C23" s="26">
        <f>IFERROR(VLOOKUP($A23,'01_宠物主表_好读版'!$A:$Z,4,FALSE),"")</f>
        <v/>
      </c>
      <c r="D23" s="26">
        <f>IFERROR(VLOOKUP($A23,'01_宠物主表_好读版'!$A:$Z,7,FALSE),"")</f>
        <v/>
      </c>
      <c r="E23" s="26">
        <f>IFERROR(VLOOKUP($A23,'01_宠物主表_好读版'!$A:$Z,8,FALSE),"")</f>
        <v/>
      </c>
      <c r="F23" s="25" t="inlineStr">
        <is>
          <t>中期</t>
        </is>
      </c>
      <c r="G23" s="25" t="inlineStr">
        <is>
          <t>召唤怪</t>
        </is>
      </c>
      <c r="H23" s="25" t="n">
        <v>30</v>
      </c>
      <c r="I23" s="25" t="n">
        <v>2</v>
      </c>
      <c r="J23" s="25" t="n">
        <v>0</v>
      </c>
      <c r="K23" s="25" t="n">
        <v>6</v>
      </c>
      <c r="L23" s="25" t="n">
        <v>3</v>
      </c>
      <c r="M23" s="25" t="inlineStr">
        <is>
          <t>mech_summon</t>
        </is>
      </c>
      <c r="N23" s="25" t="inlineStr">
        <is>
          <t>44</t>
        </is>
      </c>
      <c r="O23" s="25" t="n">
        <v>81</v>
      </c>
      <c r="P23" s="25" t="n">
        <v>32</v>
      </c>
      <c r="Q23" s="25" t="inlineStr">
        <is>
          <t>44</t>
        </is>
      </c>
      <c r="R23" s="25" t="inlineStr">
        <is>
          <t>44</t>
        </is>
      </c>
      <c r="S23" s="25" t="inlineStr">
        <is>
          <t>44</t>
        </is>
      </c>
    </row>
    <row r="24" ht="22" customHeight="1">
      <c r="A24" s="25" t="inlineStr">
        <is>
          <t>pal_106</t>
        </is>
      </c>
      <c r="B24" s="26">
        <f>IFERROR(VLOOKUP($A24,'01_宠物主表_好读版'!$A:$Z,3,FALSE),"")</f>
        <v/>
      </c>
      <c r="C24" s="26">
        <f>IFERROR(VLOOKUP($A24,'01_宠物主表_好读版'!$A:$Z,4,FALSE),"")</f>
        <v/>
      </c>
      <c r="D24" s="26">
        <f>IFERROR(VLOOKUP($A24,'01_宠物主表_好读版'!$A:$Z,7,FALSE),"")</f>
        <v/>
      </c>
      <c r="E24" s="26">
        <f>IFERROR(VLOOKUP($A24,'01_宠物主表_好读版'!$A:$Z,8,FALSE),"")</f>
        <v/>
      </c>
      <c r="F24" s="25" t="inlineStr">
        <is>
          <t>后期</t>
        </is>
      </c>
      <c r="G24" s="25" t="inlineStr">
        <is>
          <t>召唤怪</t>
        </is>
      </c>
      <c r="H24" s="25" t="n">
        <v>35</v>
      </c>
      <c r="I24" s="25" t="n">
        <v>3</v>
      </c>
      <c r="J24" s="25" t="n">
        <v>0</v>
      </c>
      <c r="K24" s="25" t="n">
        <v>6</v>
      </c>
      <c r="L24" s="25" t="n">
        <v>3</v>
      </c>
      <c r="M24" s="25" t="inlineStr">
        <is>
          <t>mech_summon,mech_revive</t>
        </is>
      </c>
      <c r="N24" s="25" t="inlineStr">
        <is>
          <t>44</t>
        </is>
      </c>
      <c r="O24" s="25" t="n">
        <v>89</v>
      </c>
      <c r="P24" s="25" t="n">
        <v>72</v>
      </c>
      <c r="Q24" s="25" t="inlineStr">
        <is>
          <t>44</t>
        </is>
      </c>
      <c r="R24" s="25" t="inlineStr">
        <is>
          <t>44</t>
        </is>
      </c>
      <c r="S24" s="25" t="inlineStr">
        <is>
          <t>44</t>
        </is>
      </c>
    </row>
    <row r="25" ht="22" customHeight="1">
      <c r="A25" s="25" t="inlineStr">
        <is>
          <t>pal_072</t>
        </is>
      </c>
      <c r="B25" s="26">
        <f>IFERROR(VLOOKUP($A25,'01_宠物主表_好读版'!$A:$Z,3,FALSE),"")</f>
        <v/>
      </c>
      <c r="C25" s="26">
        <f>IFERROR(VLOOKUP($A25,'01_宠物主表_好读版'!$A:$Z,4,FALSE),"")</f>
        <v/>
      </c>
      <c r="D25" s="26">
        <f>IFERROR(VLOOKUP($A25,'01_宠物主表_好读版'!$A:$Z,7,FALSE),"")</f>
        <v/>
      </c>
      <c r="E25" s="26">
        <f>IFERROR(VLOOKUP($A25,'01_宠物主表_好读版'!$A:$Z,8,FALSE),"")</f>
        <v/>
      </c>
      <c r="F25" s="25" t="inlineStr">
        <is>
          <t>中期</t>
        </is>
      </c>
      <c r="G25" s="25" t="inlineStr">
        <is>
          <t>光环怪</t>
        </is>
      </c>
      <c r="H25" s="25" t="n">
        <v>20</v>
      </c>
      <c r="I25" s="25" t="n">
        <v>2</v>
      </c>
      <c r="J25" s="25" t="n">
        <v>0</v>
      </c>
      <c r="K25" s="25" t="n">
        <v>0</v>
      </c>
      <c r="L25" s="25" t="n">
        <v>3</v>
      </c>
      <c r="M25" s="25" t="inlineStr">
        <is>
          <t>mech_aura</t>
        </is>
      </c>
      <c r="N25" s="25" t="inlineStr">
        <is>
          <t>44</t>
        </is>
      </c>
      <c r="O25" s="25" t="n">
        <v>41</v>
      </c>
      <c r="P25" s="25" t="n">
        <v>32</v>
      </c>
      <c r="Q25" s="25" t="inlineStr">
        <is>
          <t>44</t>
        </is>
      </c>
      <c r="R25" s="25" t="inlineStr">
        <is>
          <t>44</t>
        </is>
      </c>
      <c r="S25" s="25" t="inlineStr">
        <is>
          <t>44</t>
        </is>
      </c>
    </row>
    <row r="26" ht="22" customHeight="1">
      <c r="A26" s="25" t="inlineStr">
        <is>
          <t>pal_029</t>
        </is>
      </c>
      <c r="B26" s="26">
        <f>IFERROR(VLOOKUP($A26,'01_宠物主表_好读版'!$A:$Z,3,FALSE),"")</f>
        <v/>
      </c>
      <c r="C26" s="26">
        <f>IFERROR(VLOOKUP($A26,'01_宠物主表_好读版'!$A:$Z,4,FALSE),"")</f>
        <v/>
      </c>
      <c r="D26" s="26">
        <f>IFERROR(VLOOKUP($A26,'01_宠物主表_好读版'!$A:$Z,7,FALSE),"")</f>
        <v/>
      </c>
      <c r="E26" s="26">
        <f>IFERROR(VLOOKUP($A26,'01_宠物主表_好读版'!$A:$Z,8,FALSE),"")</f>
        <v/>
      </c>
      <c r="F26" s="25" t="inlineStr">
        <is>
          <t>后期</t>
        </is>
      </c>
      <c r="G26" s="25" t="inlineStr">
        <is>
          <t>光环怪</t>
        </is>
      </c>
      <c r="H26" s="25" t="n">
        <v>25</v>
      </c>
      <c r="I26" s="25" t="n">
        <v>2</v>
      </c>
      <c r="J26" s="25" t="n">
        <v>0</v>
      </c>
      <c r="K26" s="25" t="n">
        <v>6</v>
      </c>
      <c r="L26" s="25" t="n">
        <v>3</v>
      </c>
      <c r="M26" s="25" t="inlineStr">
        <is>
          <t>mech_aura,mech_curse</t>
        </is>
      </c>
      <c r="N26" s="25" t="inlineStr">
        <is>
          <t>44</t>
        </is>
      </c>
      <c r="O26" s="25" t="n">
        <v>76</v>
      </c>
      <c r="P26" s="25" t="n">
        <v>56</v>
      </c>
      <c r="Q26" s="25" t="inlineStr">
        <is>
          <t>44</t>
        </is>
      </c>
      <c r="R26" s="25" t="inlineStr">
        <is>
          <t>44</t>
        </is>
      </c>
      <c r="S26" s="25" t="inlineStr">
        <is>
          <t>44</t>
        </is>
      </c>
    </row>
    <row r="27" ht="22" customHeight="1">
      <c r="A27" s="25" t="inlineStr">
        <is>
          <t>pal_068</t>
        </is>
      </c>
      <c r="B27" s="26">
        <f>IFERROR(VLOOKUP($A27,'01_宠物主表_好读版'!$A:$Z,3,FALSE),"")</f>
        <v/>
      </c>
      <c r="C27" s="26">
        <f>IFERROR(VLOOKUP($A27,'01_宠物主表_好读版'!$A:$Z,4,FALSE),"")</f>
        <v/>
      </c>
      <c r="D27" s="26">
        <f>IFERROR(VLOOKUP($A27,'01_宠物主表_好读版'!$A:$Z,7,FALSE),"")</f>
        <v/>
      </c>
      <c r="E27" s="26">
        <f>IFERROR(VLOOKUP($A27,'01_宠物主表_好读版'!$A:$Z,8,FALSE),"")</f>
        <v/>
      </c>
      <c r="F27" s="25" t="inlineStr">
        <is>
          <t>中期</t>
        </is>
      </c>
      <c r="G27" s="25" t="inlineStr">
        <is>
          <t>城堡怪</t>
        </is>
      </c>
      <c r="H27" s="25" t="n">
        <v>25</v>
      </c>
      <c r="I27" s="25" t="n">
        <v>3</v>
      </c>
      <c r="J27" s="25" t="n">
        <v>0</v>
      </c>
      <c r="K27" s="25" t="n">
        <v>0</v>
      </c>
      <c r="L27" s="25" t="n">
        <v>2</v>
      </c>
      <c r="M27" s="25" t="inlineStr">
        <is>
          <t>mech_break_castle</t>
        </is>
      </c>
      <c r="N27" s="25" t="inlineStr">
        <is>
          <t>44</t>
        </is>
      </c>
      <c r="O27" s="25" t="n">
        <v>44</v>
      </c>
      <c r="P27" s="25" t="n">
        <v>32</v>
      </c>
      <c r="Q27" s="25" t="inlineStr">
        <is>
          <t>44</t>
        </is>
      </c>
      <c r="R27" s="25" t="inlineStr">
        <is>
          <t>44</t>
        </is>
      </c>
      <c r="S27" s="25" t="inlineStr">
        <is>
          <t>44</t>
        </is>
      </c>
    </row>
    <row r="28" ht="22" customHeight="1">
      <c r="A28" s="25" t="inlineStr">
        <is>
          <t>pal_073</t>
        </is>
      </c>
      <c r="B28" s="26">
        <f>IFERROR(VLOOKUP($A28,'01_宠物主表_好读版'!$A:$Z,3,FALSE),"")</f>
        <v/>
      </c>
      <c r="C28" s="26">
        <f>IFERROR(VLOOKUP($A28,'01_宠物主表_好读版'!$A:$Z,4,FALSE),"")</f>
        <v/>
      </c>
      <c r="D28" s="26">
        <f>IFERROR(VLOOKUP($A28,'01_宠物主表_好读版'!$A:$Z,7,FALSE),"")</f>
        <v/>
      </c>
      <c r="E28" s="26">
        <f>IFERROR(VLOOKUP($A28,'01_宠物主表_好读版'!$A:$Z,8,FALSE),"")</f>
        <v/>
      </c>
      <c r="F28" s="25" t="inlineStr">
        <is>
          <t>中后期</t>
        </is>
      </c>
      <c r="G28" s="25" t="inlineStr">
        <is>
          <t>城堡怪</t>
        </is>
      </c>
      <c r="H28" s="25" t="n">
        <v>30</v>
      </c>
      <c r="I28" s="25" t="n">
        <v>4</v>
      </c>
      <c r="J28" s="25" t="n">
        <v>0</v>
      </c>
      <c r="K28" s="25" t="n">
        <v>0</v>
      </c>
      <c r="L28" s="25" t="n">
        <v>3</v>
      </c>
      <c r="M28" s="25" t="inlineStr">
        <is>
          <t>mech_break_castle,mech_multi_hit</t>
        </is>
      </c>
      <c r="N28" s="25" t="inlineStr">
        <is>
          <t>44</t>
        </is>
      </c>
      <c r="O28" s="25" t="n">
        <v>57</v>
      </c>
      <c r="P28" s="25" t="n">
        <v>56</v>
      </c>
      <c r="Q28" s="25" t="inlineStr">
        <is>
          <t>44</t>
        </is>
      </c>
      <c r="R28" s="25" t="inlineStr">
        <is>
          <t>44</t>
        </is>
      </c>
      <c r="S28" s="25" t="inlineStr">
        <is>
          <t>44</t>
        </is>
      </c>
    </row>
    <row r="29" ht="22" customHeight="1">
      <c r="A29" s="25" t="inlineStr">
        <is>
          <t>pal_014</t>
        </is>
      </c>
      <c r="B29" s="26">
        <f>IFERROR(VLOOKUP($A29,'01_宠物主表_好读版'!$A:$Z,3,FALSE),"")</f>
        <v/>
      </c>
      <c r="C29" s="26">
        <f>IFERROR(VLOOKUP($A29,'01_宠物主表_好读版'!$A:$Z,4,FALSE),"")</f>
        <v/>
      </c>
      <c r="D29" s="26">
        <f>IFERROR(VLOOKUP($A29,'01_宠物主表_好读版'!$A:$Z,7,FALSE),"")</f>
        <v/>
      </c>
      <c r="E29" s="26">
        <f>IFERROR(VLOOKUP($A29,'01_宠物主表_好读版'!$A:$Z,8,FALSE),"")</f>
        <v/>
      </c>
      <c r="F29" s="25" t="inlineStr">
        <is>
          <t>前中期</t>
        </is>
      </c>
      <c r="G29" s="25" t="inlineStr">
        <is>
          <t>偷奖励怪</t>
        </is>
      </c>
      <c r="H29" s="25" t="n">
        <v>15</v>
      </c>
      <c r="I29" s="25" t="n">
        <v>2</v>
      </c>
      <c r="J29" s="25" t="n">
        <v>0</v>
      </c>
      <c r="K29" s="25" t="n">
        <v>0</v>
      </c>
      <c r="L29" s="25" t="n">
        <v>4</v>
      </c>
      <c r="M29" s="25" t="inlineStr">
        <is>
          <t>mech_steal_reward</t>
        </is>
      </c>
      <c r="N29" s="25" t="inlineStr">
        <is>
          <t>44</t>
        </is>
      </c>
      <c r="O29" s="25" t="n">
        <v>41</v>
      </c>
      <c r="P29" s="25" t="n">
        <v>24</v>
      </c>
      <c r="Q29" s="25" t="inlineStr">
        <is>
          <t>44</t>
        </is>
      </c>
      <c r="R29" s="25" t="inlineStr">
        <is>
          <t>44</t>
        </is>
      </c>
      <c r="S29" s="25" t="inlineStr">
        <is>
          <t>44</t>
        </is>
      </c>
    </row>
    <row r="30" ht="22" customHeight="1">
      <c r="A30" s="25" t="inlineStr">
        <is>
          <t>pal_026</t>
        </is>
      </c>
      <c r="B30" s="26">
        <f>IFERROR(VLOOKUP($A30,'01_宠物主表_好读版'!$A:$Z,3,FALSE),"")</f>
        <v/>
      </c>
      <c r="C30" s="26">
        <f>IFERROR(VLOOKUP($A30,'01_宠物主表_好读版'!$A:$Z,4,FALSE),"")</f>
        <v/>
      </c>
      <c r="D30" s="26">
        <f>IFERROR(VLOOKUP($A30,'01_宠物主表_好读版'!$A:$Z,7,FALSE),"")</f>
        <v/>
      </c>
      <c r="E30" s="26">
        <f>IFERROR(VLOOKUP($A30,'01_宠物主表_好读版'!$A:$Z,8,FALSE),"")</f>
        <v/>
      </c>
      <c r="F30" s="25" t="inlineStr">
        <is>
          <t>后期</t>
        </is>
      </c>
      <c r="G30" s="25" t="inlineStr">
        <is>
          <t>偷奖励怪</t>
        </is>
      </c>
      <c r="H30" s="25" t="n">
        <v>20</v>
      </c>
      <c r="I30" s="25" t="n">
        <v>3</v>
      </c>
      <c r="J30" s="25" t="n">
        <v>0</v>
      </c>
      <c r="K30" s="25" t="n">
        <v>6</v>
      </c>
      <c r="L30" s="25" t="n">
        <v>4</v>
      </c>
      <c r="M30" s="25" t="inlineStr">
        <is>
          <t>mech_steal_reward,mech_pierce_shield</t>
        </is>
      </c>
      <c r="N30" s="25" t="inlineStr">
        <is>
          <t>44</t>
        </is>
      </c>
      <c r="O30" s="25" t="n">
        <v>79</v>
      </c>
      <c r="P30" s="25" t="n">
        <v>48</v>
      </c>
      <c r="Q30" s="25" t="inlineStr">
        <is>
          <t>44</t>
        </is>
      </c>
      <c r="R30" s="25" t="inlineStr">
        <is>
          <t>44</t>
        </is>
      </c>
      <c r="S30" s="25" t="inlineStr">
        <is>
          <t>44</t>
        </is>
      </c>
    </row>
    <row r="31" ht="22" customHeight="1">
      <c r="A31" s="25" t="inlineStr">
        <is>
          <t>pal_089</t>
        </is>
      </c>
      <c r="B31" s="26">
        <f>IFERROR(VLOOKUP($A31,'01_宠物主表_好读版'!$A:$Z,3,FALSE),"")</f>
        <v/>
      </c>
      <c r="C31" s="26">
        <f>IFERROR(VLOOKUP($A31,'01_宠物主表_好读版'!$A:$Z,4,FALSE),"")</f>
        <v/>
      </c>
      <c r="D31" s="26">
        <f>IFERROR(VLOOKUP($A31,'01_宠物主表_好读版'!$A:$Z,7,FALSE),"")</f>
        <v/>
      </c>
      <c r="E31" s="26">
        <f>IFERROR(VLOOKUP($A31,'01_宠物主表_好读版'!$A:$Z,8,FALSE),"")</f>
        <v/>
      </c>
      <c r="F31" s="25" t="inlineStr">
        <is>
          <t>中后期</t>
        </is>
      </c>
      <c r="G31" s="25" t="inlineStr">
        <is>
          <t>精英怪</t>
        </is>
      </c>
      <c r="H31" s="25" t="n">
        <v>40</v>
      </c>
      <c r="I31" s="25" t="n">
        <v>5</v>
      </c>
      <c r="J31" s="25" t="n">
        <v>0</v>
      </c>
      <c r="K31" s="25" t="n">
        <v>10</v>
      </c>
      <c r="L31" s="25" t="n">
        <v>4</v>
      </c>
      <c r="M31" s="25" t="inlineStr">
        <is>
          <t>mech_multi_hit,mech_armor_break</t>
        </is>
      </c>
      <c r="N31" s="25" t="inlineStr">
        <is>
          <t>44</t>
        </is>
      </c>
      <c r="O31" s="25" t="n">
        <v>125</v>
      </c>
      <c r="P31" s="25" t="n">
        <v>48</v>
      </c>
      <c r="Q31" s="25" t="inlineStr">
        <is>
          <t>44</t>
        </is>
      </c>
      <c r="R31" s="25" t="inlineStr">
        <is>
          <t>44</t>
        </is>
      </c>
      <c r="S31" s="25" t="inlineStr">
        <is>
          <t>44</t>
        </is>
      </c>
    </row>
    <row r="32" ht="22" customHeight="1">
      <c r="A32" s="25" t="inlineStr">
        <is>
          <t>pal_101</t>
        </is>
      </c>
      <c r="B32" s="26">
        <f>IFERROR(VLOOKUP($A32,'01_宠物主表_好读版'!$A:$Z,3,FALSE),"")</f>
        <v/>
      </c>
      <c r="C32" s="26">
        <f>IFERROR(VLOOKUP($A32,'01_宠物主表_好读版'!$A:$Z,4,FALSE),"")</f>
        <v/>
      </c>
      <c r="D32" s="26">
        <f>IFERROR(VLOOKUP($A32,'01_宠物主表_好读版'!$A:$Z,7,FALSE),"")</f>
        <v/>
      </c>
      <c r="E32" s="26">
        <f>IFERROR(VLOOKUP($A32,'01_宠物主表_好读版'!$A:$Z,8,FALSE),"")</f>
        <v/>
      </c>
      <c r="F32" s="25" t="inlineStr">
        <is>
          <t>后期</t>
        </is>
      </c>
      <c r="G32" s="25" t="inlineStr">
        <is>
          <t>精英怪</t>
        </is>
      </c>
      <c r="H32" s="25" t="n">
        <v>35</v>
      </c>
      <c r="I32" s="25" t="n">
        <v>4</v>
      </c>
      <c r="J32" s="25" t="n">
        <v>0</v>
      </c>
      <c r="K32" s="25" t="n">
        <v>15</v>
      </c>
      <c r="L32" s="25" t="n">
        <v>4</v>
      </c>
      <c r="M32" s="25" t="inlineStr">
        <is>
          <t>mech_shield_regen,mech_pierce_shield</t>
        </is>
      </c>
      <c r="N32" s="25" t="inlineStr">
        <is>
          <t>44</t>
        </is>
      </c>
      <c r="O32" s="25" t="n">
        <v>142</v>
      </c>
      <c r="P32" s="25" t="n">
        <v>48</v>
      </c>
      <c r="Q32" s="25" t="inlineStr">
        <is>
          <t>44</t>
        </is>
      </c>
      <c r="R32" s="25" t="inlineStr">
        <is>
          <t>44</t>
        </is>
      </c>
      <c r="S32" s="25" t="inlineStr">
        <is>
          <t>44</t>
        </is>
      </c>
    </row>
    <row r="33" ht="22" customHeight="1">
      <c r="A33" s="25" t="inlineStr">
        <is>
          <t>pal_110</t>
        </is>
      </c>
      <c r="B33" s="26">
        <f>IFERROR(VLOOKUP($A33,'01_宠物主表_好读版'!$A:$Z,3,FALSE),"")</f>
        <v/>
      </c>
      <c r="C33" s="26">
        <f>IFERROR(VLOOKUP($A33,'01_宠物主表_好读版'!$A:$Z,4,FALSE),"")</f>
        <v/>
      </c>
      <c r="D33" s="26">
        <f>IFERROR(VLOOKUP($A33,'01_宠物主表_好读版'!$A:$Z,7,FALSE),"")</f>
        <v/>
      </c>
      <c r="E33" s="26">
        <f>IFERROR(VLOOKUP($A33,'01_宠物主表_好读版'!$A:$Z,8,FALSE),"")</f>
        <v/>
      </c>
      <c r="F33" s="25" t="inlineStr">
        <is>
          <t>后期</t>
        </is>
      </c>
      <c r="G33" s="25" t="inlineStr">
        <is>
          <t>精英怪</t>
        </is>
      </c>
      <c r="H33" s="25" t="n">
        <v>50</v>
      </c>
      <c r="I33" s="25" t="n">
        <v>4</v>
      </c>
      <c r="J33" s="25" t="n">
        <v>6</v>
      </c>
      <c r="K33" s="25" t="n">
        <v>6</v>
      </c>
      <c r="L33" s="25" t="n">
        <v>4</v>
      </c>
      <c r="M33" s="25" t="inlineStr">
        <is>
          <t>mech_firm_threshold,mech_curse</t>
        </is>
      </c>
      <c r="N33" s="25" t="inlineStr">
        <is>
          <t>44</t>
        </is>
      </c>
      <c r="O33" s="25" t="n">
        <v>130</v>
      </c>
      <c r="P33" s="25" t="n">
        <v>56</v>
      </c>
      <c r="Q33" s="25" t="inlineStr">
        <is>
          <t>44</t>
        </is>
      </c>
      <c r="R33" s="25" t="inlineStr">
        <is>
          <t>44</t>
        </is>
      </c>
      <c r="S33" s="25" t="inlineStr">
        <is>
          <t>44</t>
        </is>
      </c>
    </row>
    <row r="34" ht="22" customHeight="1">
      <c r="A34" s="25" t="inlineStr">
        <is>
          <t>pal_124</t>
        </is>
      </c>
      <c r="B34" s="26">
        <f>IFERROR(VLOOKUP($A34,'01_宠物主表_好读版'!$A:$Z,3,FALSE),"")</f>
        <v/>
      </c>
      <c r="C34" s="26">
        <f>IFERROR(VLOOKUP($A34,'01_宠物主表_好读版'!$A:$Z,4,FALSE),"")</f>
        <v/>
      </c>
      <c r="D34" s="26">
        <f>IFERROR(VLOOKUP($A34,'01_宠物主表_好读版'!$A:$Z,7,FALSE),"")</f>
        <v/>
      </c>
      <c r="E34" s="26">
        <f>IFERROR(VLOOKUP($A34,'01_宠物主表_好读版'!$A:$Z,8,FALSE),"")</f>
        <v/>
      </c>
      <c r="F34" s="25" t="inlineStr">
        <is>
          <t>终局</t>
        </is>
      </c>
      <c r="G34" s="25" t="inlineStr">
        <is>
          <t>Boss</t>
        </is>
      </c>
      <c r="H34" s="25" t="n">
        <v>60</v>
      </c>
      <c r="I34" s="25" t="n">
        <v>5</v>
      </c>
      <c r="J34" s="25" t="n">
        <v>6</v>
      </c>
      <c r="K34" s="25" t="n">
        <v>15</v>
      </c>
      <c r="L34" s="25" t="n">
        <v>5</v>
      </c>
      <c r="M34" s="25" t="inlineStr">
        <is>
          <t>mech_zone_pressure,mech_revive,mech_break_castle</t>
        </is>
      </c>
      <c r="N34" s="25" t="inlineStr">
        <is>
          <t>44</t>
        </is>
      </c>
      <c r="O34" s="25" t="n">
        <v>193</v>
      </c>
      <c r="P34" s="25" t="n">
        <v>104</v>
      </c>
      <c r="Q34" s="25" t="inlineStr">
        <is>
          <t>44</t>
        </is>
      </c>
      <c r="R34" s="25" t="inlineStr">
        <is>
          <t>44</t>
        </is>
      </c>
      <c r="S34" s="25" t="inlineStr">
        <is>
          <t>44</t>
        </is>
      </c>
    </row>
    <row r="35" ht="22" customHeight="1">
      <c r="A35" s="25" t="inlineStr">
        <is>
          <t>pal_090</t>
        </is>
      </c>
      <c r="B35" s="26">
        <f>IFERROR(VLOOKUP($A35,'01_宠物主表_好读版'!$A:$Z,3,FALSE),"")</f>
        <v/>
      </c>
      <c r="C35" s="26">
        <f>IFERROR(VLOOKUP($A35,'01_宠物主表_好读版'!$A:$Z,4,FALSE),"")</f>
        <v/>
      </c>
      <c r="D35" s="26">
        <f>IFERROR(VLOOKUP($A35,'01_宠物主表_好读版'!$A:$Z,7,FALSE),"")</f>
        <v/>
      </c>
      <c r="E35" s="26">
        <f>IFERROR(VLOOKUP($A35,'01_宠物主表_好读版'!$A:$Z,8,FALSE),"")</f>
        <v/>
      </c>
      <c r="F35" s="25" t="inlineStr">
        <is>
          <t>终局</t>
        </is>
      </c>
      <c r="G35" s="25" t="inlineStr">
        <is>
          <t>Boss</t>
        </is>
      </c>
      <c r="H35" s="25" t="n">
        <v>70</v>
      </c>
      <c r="I35" s="25" t="n">
        <v>5</v>
      </c>
      <c r="J35" s="25" t="n">
        <v>10</v>
      </c>
      <c r="K35" s="25" t="n">
        <v>10</v>
      </c>
      <c r="L35" s="25" t="n">
        <v>5</v>
      </c>
      <c r="M35" s="25" t="inlineStr">
        <is>
          <t>mech_damage_cap,mech_summon,mech_aura</t>
        </is>
      </c>
      <c r="N35" s="25" t="inlineStr">
        <is>
          <t>44</t>
        </is>
      </c>
      <c r="O35" s="25" t="n">
        <v>190</v>
      </c>
      <c r="P35" s="25" t="n">
        <v>104</v>
      </c>
      <c r="Q35" s="25" t="inlineStr">
        <is>
          <t>44</t>
        </is>
      </c>
      <c r="R35" s="25" t="inlineStr">
        <is>
          <t>44</t>
        </is>
      </c>
      <c r="S35" s="25" t="inlineStr">
        <is>
          <t>44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5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8" customWidth="1" min="3" max="3"/>
    <col width="8" customWidth="1" min="4" max="4"/>
    <col width="18" customWidth="1" min="5" max="5"/>
    <col width="18" customWidth="1" min="6" max="6"/>
    <col width="16" customWidth="1" min="7" max="7"/>
    <col width="34" customWidth="1" min="8" max="8"/>
    <col width="18" customWidth="1" min="9" max="9"/>
    <col width="18" customWidth="1" min="10" max="10"/>
    <col width="18" customWidth="1" min="11" max="11"/>
    <col width="45" customWidth="1" min="12" max="12"/>
  </cols>
  <sheetData>
    <row r="1" ht="28" customHeight="1">
      <c r="A1" s="14" t="inlineStr">
        <is>
          <t>波次ID</t>
        </is>
      </c>
      <c r="B1" s="15" t="inlineStr">
        <is>
          <t>天数</t>
        </is>
      </c>
      <c r="C1" s="14" t="inlineStr">
        <is>
          <t>时段</t>
        </is>
      </c>
      <c r="D1" s="15" t="inlineStr">
        <is>
          <t>回合</t>
        </is>
      </c>
      <c r="E1" s="14" t="inlineStr">
        <is>
          <t>宠物池-数量</t>
        </is>
      </c>
      <c r="F1" s="16" t="inlineStr">
        <is>
          <t>品质权重</t>
        </is>
      </c>
      <c r="G1" s="15" t="inlineStr">
        <is>
          <t>本行威胁(当前计算值)</t>
        </is>
      </c>
      <c r="H1" s="14" t="inlineStr">
        <is>
          <t>填写说明</t>
        </is>
      </c>
      <c r="I1" s="17" t="inlineStr">
        <is>
          <t>出怪数(当前计算值)</t>
        </is>
      </c>
      <c r="J1" s="17" t="inlineStr">
        <is>
          <t>品质期望倍率(当前计算值)</t>
        </is>
      </c>
      <c r="K1" s="17" t="inlineStr">
        <is>
          <t>候选池平均效果分(当前计算值)</t>
        </is>
      </c>
      <c r="L1" s="17" t="inlineStr">
        <is>
          <t>威胁计算说明</t>
        </is>
      </c>
    </row>
    <row r="2" ht="22" customHeight="1">
      <c r="A2" s="18" t="inlineStr">
        <is>
          <t>wave_d01_morning</t>
        </is>
      </c>
      <c r="B2" s="18" t="n">
        <v>1</v>
      </c>
      <c r="C2" s="18" t="inlineStr">
        <is>
          <t>上午</t>
        </is>
      </c>
      <c r="D2" s="18" t="n">
        <v>1</v>
      </c>
      <c r="E2" s="18" t="inlineStr">
        <is>
          <t>1,2,3,4,5-2</t>
        </is>
      </c>
      <c r="F2" s="18" t="inlineStr">
        <is>
          <t>90,10,0,0</t>
        </is>
      </c>
      <c r="G2" s="19" t="n">
        <v>98.7</v>
      </c>
      <c r="H2" s="20" t="inlineStr">
        <is>
          <t>池-数量；品质权重=青铜,白银,黄金,钻石</t>
        </is>
      </c>
      <c r="I2" s="21" t="n">
        <v>2</v>
      </c>
      <c r="J2" s="21" t="n">
        <v>1.05</v>
      </c>
      <c r="K2" s="21" t="n">
        <v>47</v>
      </c>
      <c r="L2" s="22" t="inlineStr">
        <is>
          <t>本行威胁=候选池平均效果分×出怪数×品质期望倍率；品质权重顺序=青铜,白银,黄金,钻石</t>
        </is>
      </c>
    </row>
    <row r="3" ht="22" customHeight="1">
      <c r="A3" s="18" t="inlineStr">
        <is>
          <t>wave_d01_morning</t>
        </is>
      </c>
      <c r="B3" s="18" t="n">
        <v>1</v>
      </c>
      <c r="C3" s="18" t="inlineStr">
        <is>
          <t>上午</t>
        </is>
      </c>
      <c r="D3" s="18" t="n">
        <v>2</v>
      </c>
      <c r="E3" s="18" t="inlineStr">
        <is>
          <t>1,2,3,4,5-3</t>
        </is>
      </c>
      <c r="F3" s="18" t="inlineStr">
        <is>
          <t>90,10,0,1</t>
        </is>
      </c>
      <c r="G3" s="19" t="n">
        <v>150.1</v>
      </c>
      <c r="H3" s="20" t="inlineStr">
        <is>
          <t>池-数量；品质权重=青铜,白银,黄金,钻石</t>
        </is>
      </c>
      <c r="I3" s="21" t="n">
        <v>3</v>
      </c>
      <c r="J3" s="21" t="n">
        <v>1.0644</v>
      </c>
      <c r="K3" s="21" t="n">
        <v>47</v>
      </c>
      <c r="L3" s="22" t="inlineStr">
        <is>
          <t>本行威胁=候选池平均效果分×出怪数×品质期望倍率；品质权重顺序=青铜,白银,黄金,钻石</t>
        </is>
      </c>
    </row>
    <row r="4" ht="22" customHeight="1">
      <c r="A4" s="18" t="inlineStr">
        <is>
          <t>wave_d01_morning</t>
        </is>
      </c>
      <c r="B4" s="18" t="n">
        <v>1</v>
      </c>
      <c r="C4" s="18" t="inlineStr">
        <is>
          <t>上午</t>
        </is>
      </c>
      <c r="D4" s="18" t="n">
        <v>3</v>
      </c>
      <c r="E4" s="18" t="inlineStr">
        <is>
          <t>1,2,3,4,5-4</t>
        </is>
      </c>
      <c r="F4" s="18" t="inlineStr">
        <is>
          <t>90,10,0,2</t>
        </is>
      </c>
      <c r="G4" s="19" t="n">
        <v>202.7</v>
      </c>
      <c r="H4" s="20" t="inlineStr">
        <is>
          <t>池-数量；品质权重=青铜,白银,黄金,钻石</t>
        </is>
      </c>
      <c r="I4" s="21" t="n">
        <v>4</v>
      </c>
      <c r="J4" s="21" t="n">
        <v>1.0784</v>
      </c>
      <c r="K4" s="21" t="n">
        <v>47</v>
      </c>
      <c r="L4" s="22" t="inlineStr">
        <is>
          <t>本行威胁=候选池平均效果分×出怪数×品质期望倍率；品质权重顺序=青铜,白银,黄金,钻石</t>
        </is>
      </c>
    </row>
    <row r="5" ht="22" customHeight="1">
      <c r="A5" s="18" t="inlineStr">
        <is>
          <t>wave_d01_morning</t>
        </is>
      </c>
      <c r="B5" s="18" t="n">
        <v>1</v>
      </c>
      <c r="C5" s="18" t="inlineStr">
        <is>
          <t>上午</t>
        </is>
      </c>
      <c r="D5" s="18" t="n">
        <v>4</v>
      </c>
      <c r="E5" s="18" t="inlineStr">
        <is>
          <t>1,2,3,4,5-5</t>
        </is>
      </c>
      <c r="F5" s="18" t="inlineStr">
        <is>
          <t>90,10,0,3</t>
        </is>
      </c>
      <c r="G5" s="19" t="n">
        <v>256.7</v>
      </c>
      <c r="H5" s="20" t="inlineStr">
        <is>
          <t>池-数量；品质权重=青铜,白银,黄金,钻石</t>
        </is>
      </c>
      <c r="I5" s="21" t="n">
        <v>5</v>
      </c>
      <c r="J5" s="21" t="n">
        <v>1.0922</v>
      </c>
      <c r="K5" s="21" t="n">
        <v>47</v>
      </c>
      <c r="L5" s="22" t="inlineStr">
        <is>
          <t>本行威胁=候选池平均效果分×出怪数×品质期望倍率；品质权重顺序=青铜,白银,黄金,钻石</t>
        </is>
      </c>
    </row>
    <row r="6" ht="22" customHeight="1">
      <c r="A6" s="18" t="inlineStr">
        <is>
          <t>wave_d01_morning</t>
        </is>
      </c>
      <c r="B6" s="18" t="n">
        <v>1</v>
      </c>
      <c r="C6" s="18" t="inlineStr">
        <is>
          <t>上午</t>
        </is>
      </c>
      <c r="D6" s="18" t="n">
        <v>5</v>
      </c>
      <c r="E6" s="18" t="inlineStr">
        <is>
          <t>1,2,3,4,5-6</t>
        </is>
      </c>
      <c r="F6" s="18" t="inlineStr">
        <is>
          <t>90,10,0,4</t>
        </is>
      </c>
      <c r="G6" s="19" t="n">
        <v>311.8</v>
      </c>
      <c r="H6" s="20" t="inlineStr">
        <is>
          <t>池-数量；品质权重=青铜,白银,黄金,钻石</t>
        </is>
      </c>
      <c r="I6" s="21" t="n">
        <v>6</v>
      </c>
      <c r="J6" s="21" t="n">
        <v>1.1058</v>
      </c>
      <c r="K6" s="21" t="n">
        <v>47</v>
      </c>
      <c r="L6" s="22" t="inlineStr">
        <is>
          <t>本行威胁=候选池平均效果分×出怪数×品质期望倍率；品质权重顺序=青铜,白银,黄金,钻石</t>
        </is>
      </c>
    </row>
    <row r="7" ht="22" customHeight="1">
      <c r="A7" s="18" t="inlineStr">
        <is>
          <t>wave_d01_afternoon</t>
        </is>
      </c>
      <c r="B7" s="18" t="n">
        <v>1</v>
      </c>
      <c r="C7" s="18" t="inlineStr">
        <is>
          <t>下午</t>
        </is>
      </c>
      <c r="D7" s="18" t="n">
        <v>1</v>
      </c>
      <c r="E7" s="18" t="inlineStr">
        <is>
          <t>1,2,3,4,5-2</t>
        </is>
      </c>
      <c r="F7" s="18" t="inlineStr">
        <is>
          <t>90,10,0,0</t>
        </is>
      </c>
      <c r="G7" s="19" t="n">
        <v>98.7</v>
      </c>
      <c r="H7" s="20" t="inlineStr">
        <is>
          <t>池-数量；品质权重=青铜,白银,黄金,钻石</t>
        </is>
      </c>
      <c r="I7" s="21" t="n">
        <v>2</v>
      </c>
      <c r="J7" s="21" t="n">
        <v>1.05</v>
      </c>
      <c r="K7" s="21" t="n">
        <v>47</v>
      </c>
      <c r="L7" s="22" t="inlineStr">
        <is>
          <t>本行威胁=候选池平均效果分×出怪数×品质期望倍率；品质权重顺序=青铜,白银,黄金,钻石</t>
        </is>
      </c>
    </row>
    <row r="8" ht="22" customHeight="1">
      <c r="A8" s="18" t="inlineStr">
        <is>
          <t>wave_d01_afternoon</t>
        </is>
      </c>
      <c r="B8" s="18" t="n">
        <v>1</v>
      </c>
      <c r="C8" s="18" t="inlineStr">
        <is>
          <t>下午</t>
        </is>
      </c>
      <c r="D8" s="18" t="n">
        <v>2</v>
      </c>
      <c r="E8" s="18" t="inlineStr">
        <is>
          <t>1,2,3,4,5-3</t>
        </is>
      </c>
      <c r="F8" s="18" t="inlineStr">
        <is>
          <t>90,10,0,1</t>
        </is>
      </c>
      <c r="G8" s="19" t="n">
        <v>150.1</v>
      </c>
      <c r="H8" s="20" t="inlineStr">
        <is>
          <t>池-数量；品质权重=青铜,白银,黄金,钻石</t>
        </is>
      </c>
      <c r="I8" s="21" t="n">
        <v>3</v>
      </c>
      <c r="J8" s="21" t="n">
        <v>1.0644</v>
      </c>
      <c r="K8" s="21" t="n">
        <v>47</v>
      </c>
      <c r="L8" s="22" t="inlineStr">
        <is>
          <t>本行威胁=候选池平均效果分×出怪数×品质期望倍率；品质权重顺序=青铜,白银,黄金,钻石</t>
        </is>
      </c>
    </row>
    <row r="9" ht="22" customHeight="1">
      <c r="A9" s="18" t="inlineStr">
        <is>
          <t>wave_d01_afternoon</t>
        </is>
      </c>
      <c r="B9" s="18" t="n">
        <v>1</v>
      </c>
      <c r="C9" s="18" t="inlineStr">
        <is>
          <t>下午</t>
        </is>
      </c>
      <c r="D9" s="18" t="n">
        <v>3</v>
      </c>
      <c r="E9" s="18" t="inlineStr">
        <is>
          <t>1,2,3,4,5-4</t>
        </is>
      </c>
      <c r="F9" s="18" t="inlineStr">
        <is>
          <t>90,10,0,2</t>
        </is>
      </c>
      <c r="G9" s="19" t="n">
        <v>202.7</v>
      </c>
      <c r="H9" s="20" t="inlineStr">
        <is>
          <t>池-数量；品质权重=青铜,白银,黄金,钻石</t>
        </is>
      </c>
      <c r="I9" s="21" t="n">
        <v>4</v>
      </c>
      <c r="J9" s="21" t="n">
        <v>1.0784</v>
      </c>
      <c r="K9" s="21" t="n">
        <v>47</v>
      </c>
      <c r="L9" s="22" t="inlineStr">
        <is>
          <t>本行威胁=候选池平均效果分×出怪数×品质期望倍率；品质权重顺序=青铜,白银,黄金,钻石</t>
        </is>
      </c>
    </row>
    <row r="10" ht="22" customHeight="1">
      <c r="A10" s="18" t="inlineStr">
        <is>
          <t>wave_d01_afternoon</t>
        </is>
      </c>
      <c r="B10" s="18" t="n">
        <v>1</v>
      </c>
      <c r="C10" s="18" t="inlineStr">
        <is>
          <t>下午</t>
        </is>
      </c>
      <c r="D10" s="18" t="n">
        <v>4</v>
      </c>
      <c r="E10" s="18" t="inlineStr">
        <is>
          <t>1,2,3,4,5-5</t>
        </is>
      </c>
      <c r="F10" s="18" t="inlineStr">
        <is>
          <t>90,10,0,3</t>
        </is>
      </c>
      <c r="G10" s="19" t="n">
        <v>256.7</v>
      </c>
      <c r="H10" s="20" t="inlineStr">
        <is>
          <t>池-数量；品质权重=青铜,白银,黄金,钻石</t>
        </is>
      </c>
      <c r="I10" s="21" t="n">
        <v>5</v>
      </c>
      <c r="J10" s="21" t="n">
        <v>1.0922</v>
      </c>
      <c r="K10" s="21" t="n">
        <v>47</v>
      </c>
      <c r="L10" s="22" t="inlineStr">
        <is>
          <t>本行威胁=候选池平均效果分×出怪数×品质期望倍率；品质权重顺序=青铜,白银,黄金,钻石</t>
        </is>
      </c>
    </row>
    <row r="11" ht="22" customHeight="1">
      <c r="A11" s="18" t="inlineStr">
        <is>
          <t>wave_d01_afternoon</t>
        </is>
      </c>
      <c r="B11" s="18" t="n">
        <v>1</v>
      </c>
      <c r="C11" s="18" t="inlineStr">
        <is>
          <t>下午</t>
        </is>
      </c>
      <c r="D11" s="18" t="n">
        <v>5</v>
      </c>
      <c r="E11" s="18" t="inlineStr">
        <is>
          <t>1,2,3,4,5-6</t>
        </is>
      </c>
      <c r="F11" s="18" t="inlineStr">
        <is>
          <t>90,10,0,4</t>
        </is>
      </c>
      <c r="G11" s="19" t="n">
        <v>311.8</v>
      </c>
      <c r="H11" s="20" t="inlineStr">
        <is>
          <t>池-数量；品质权重=青铜,白银,黄金,钻石</t>
        </is>
      </c>
      <c r="I11" s="21" t="n">
        <v>6</v>
      </c>
      <c r="J11" s="21" t="n">
        <v>1.1058</v>
      </c>
      <c r="K11" s="21" t="n">
        <v>47</v>
      </c>
      <c r="L11" s="22" t="inlineStr">
        <is>
          <t>本行威胁=候选池平均效果分×出怪数×品质期望倍率；品质权重顺序=青铜,白银,黄金,钻石</t>
        </is>
      </c>
    </row>
    <row r="12" ht="22" customHeight="1">
      <c r="A12" s="18" t="inlineStr">
        <is>
          <t>wave_d02_morning</t>
        </is>
      </c>
      <c r="B12" s="18" t="n">
        <v>2</v>
      </c>
      <c r="C12" s="18" t="inlineStr">
        <is>
          <t>上午</t>
        </is>
      </c>
      <c r="D12" s="18" t="n">
        <v>1</v>
      </c>
      <c r="E12" s="18" t="inlineStr">
        <is>
          <t>1,2,3,4,5-2</t>
        </is>
      </c>
      <c r="F12" s="18" t="inlineStr">
        <is>
          <t>90,10,0,0</t>
        </is>
      </c>
      <c r="G12" s="19" t="n">
        <v>98.7</v>
      </c>
      <c r="H12" s="20" t="inlineStr">
        <is>
          <t>池-数量；品质权重=青铜,白银,黄金,钻石</t>
        </is>
      </c>
      <c r="I12" s="21" t="n">
        <v>2</v>
      </c>
      <c r="J12" s="21" t="n">
        <v>1.05</v>
      </c>
      <c r="K12" s="21" t="n">
        <v>47</v>
      </c>
      <c r="L12" s="22" t="inlineStr">
        <is>
          <t>本行威胁=候选池平均效果分×出怪数×品质期望倍率；品质权重顺序=青铜,白银,黄金,钻石</t>
        </is>
      </c>
    </row>
    <row r="13" ht="22" customHeight="1">
      <c r="A13" s="18" t="inlineStr">
        <is>
          <t>wave_d02_morning</t>
        </is>
      </c>
      <c r="B13" s="18" t="n">
        <v>2</v>
      </c>
      <c r="C13" s="18" t="inlineStr">
        <is>
          <t>上午</t>
        </is>
      </c>
      <c r="D13" s="18" t="n">
        <v>2</v>
      </c>
      <c r="E13" s="18" t="inlineStr">
        <is>
          <t>1,2,3,4,5-3</t>
        </is>
      </c>
      <c r="F13" s="18" t="inlineStr">
        <is>
          <t>90,10,0,1</t>
        </is>
      </c>
      <c r="G13" s="19" t="n">
        <v>150.1</v>
      </c>
      <c r="H13" s="20" t="inlineStr">
        <is>
          <t>池-数量；品质权重=青铜,白银,黄金,钻石</t>
        </is>
      </c>
      <c r="I13" s="21" t="n">
        <v>3</v>
      </c>
      <c r="J13" s="21" t="n">
        <v>1.0644</v>
      </c>
      <c r="K13" s="21" t="n">
        <v>47</v>
      </c>
      <c r="L13" s="22" t="inlineStr">
        <is>
          <t>本行威胁=候选池平均效果分×出怪数×品质期望倍率；品质权重顺序=青铜,白银,黄金,钻石</t>
        </is>
      </c>
    </row>
    <row r="14" ht="22" customHeight="1">
      <c r="A14" s="18" t="inlineStr">
        <is>
          <t>wave_d02_morning</t>
        </is>
      </c>
      <c r="B14" s="18" t="n">
        <v>2</v>
      </c>
      <c r="C14" s="18" t="inlineStr">
        <is>
          <t>上午</t>
        </is>
      </c>
      <c r="D14" s="18" t="n">
        <v>3</v>
      </c>
      <c r="E14" s="18" t="inlineStr">
        <is>
          <t>1,2,3,4,5-4</t>
        </is>
      </c>
      <c r="F14" s="18" t="inlineStr">
        <is>
          <t>90,10,0,2</t>
        </is>
      </c>
      <c r="G14" s="19" t="n">
        <v>202.7</v>
      </c>
      <c r="H14" s="20" t="inlineStr">
        <is>
          <t>池-数量；品质权重=青铜,白银,黄金,钻石</t>
        </is>
      </c>
      <c r="I14" s="21" t="n">
        <v>4</v>
      </c>
      <c r="J14" s="21" t="n">
        <v>1.0784</v>
      </c>
      <c r="K14" s="21" t="n">
        <v>47</v>
      </c>
      <c r="L14" s="22" t="inlineStr">
        <is>
          <t>本行威胁=候选池平均效果分×出怪数×品质期望倍率；品质权重顺序=青铜,白银,黄金,钻石</t>
        </is>
      </c>
    </row>
    <row r="15" ht="22" customHeight="1">
      <c r="A15" s="18" t="inlineStr">
        <is>
          <t>wave_d02_morning</t>
        </is>
      </c>
      <c r="B15" s="18" t="n">
        <v>2</v>
      </c>
      <c r="C15" s="18" t="inlineStr">
        <is>
          <t>上午</t>
        </is>
      </c>
      <c r="D15" s="18" t="n">
        <v>4</v>
      </c>
      <c r="E15" s="18" t="inlineStr">
        <is>
          <t>1,2,3,4,5-5</t>
        </is>
      </c>
      <c r="F15" s="18" t="inlineStr">
        <is>
          <t>90,10,0,3</t>
        </is>
      </c>
      <c r="G15" s="19" t="n">
        <v>256.7</v>
      </c>
      <c r="H15" s="20" t="inlineStr">
        <is>
          <t>池-数量；品质权重=青铜,白银,黄金,钻石</t>
        </is>
      </c>
      <c r="I15" s="21" t="n">
        <v>5</v>
      </c>
      <c r="J15" s="21" t="n">
        <v>1.0922</v>
      </c>
      <c r="K15" s="21" t="n">
        <v>47</v>
      </c>
      <c r="L15" s="22" t="inlineStr">
        <is>
          <t>本行威胁=候选池平均效果分×出怪数×品质期望倍率；品质权重顺序=青铜,白银,黄金,钻石</t>
        </is>
      </c>
    </row>
    <row r="16" ht="22" customHeight="1">
      <c r="A16" s="18" t="inlineStr">
        <is>
          <t>wave_d02_morning</t>
        </is>
      </c>
      <c r="B16" s="18" t="n">
        <v>2</v>
      </c>
      <c r="C16" s="18" t="inlineStr">
        <is>
          <t>上午</t>
        </is>
      </c>
      <c r="D16" s="18" t="n">
        <v>5</v>
      </c>
      <c r="E16" s="18" t="inlineStr">
        <is>
          <t>1,2,3,4,5-6</t>
        </is>
      </c>
      <c r="F16" s="18" t="inlineStr">
        <is>
          <t>90,10,0,4</t>
        </is>
      </c>
      <c r="G16" s="19" t="n">
        <v>311.8</v>
      </c>
      <c r="H16" s="20" t="inlineStr">
        <is>
          <t>池-数量；品质权重=青铜,白银,黄金,钻石</t>
        </is>
      </c>
      <c r="I16" s="21" t="n">
        <v>6</v>
      </c>
      <c r="J16" s="21" t="n">
        <v>1.1058</v>
      </c>
      <c r="K16" s="21" t="n">
        <v>47</v>
      </c>
      <c r="L16" s="22" t="inlineStr">
        <is>
          <t>本行威胁=候选池平均效果分×出怪数×品质期望倍率；品质权重顺序=青铜,白银,黄金,钻石</t>
        </is>
      </c>
    </row>
    <row r="17" ht="22" customHeight="1">
      <c r="A17" s="18" t="inlineStr">
        <is>
          <t>wave_d02_afternoon</t>
        </is>
      </c>
      <c r="B17" s="18" t="n">
        <v>2</v>
      </c>
      <c r="C17" s="18" t="inlineStr">
        <is>
          <t>下午</t>
        </is>
      </c>
      <c r="D17" s="18" t="n">
        <v>1</v>
      </c>
      <c r="E17" s="18" t="inlineStr">
        <is>
          <t>1,2,3,4,5-2</t>
        </is>
      </c>
      <c r="F17" s="18" t="inlineStr">
        <is>
          <t>90,10,0,0</t>
        </is>
      </c>
      <c r="G17" s="19" t="n">
        <v>98.7</v>
      </c>
      <c r="H17" s="20" t="inlineStr">
        <is>
          <t>池-数量；品质权重=青铜,白银,黄金,钻石</t>
        </is>
      </c>
      <c r="I17" s="21" t="n">
        <v>2</v>
      </c>
      <c r="J17" s="21" t="n">
        <v>1.05</v>
      </c>
      <c r="K17" s="21" t="n">
        <v>47</v>
      </c>
      <c r="L17" s="22" t="inlineStr">
        <is>
          <t>本行威胁=候选池平均效果分×出怪数×品质期望倍率；品质权重顺序=青铜,白银,黄金,钻石</t>
        </is>
      </c>
    </row>
    <row r="18" ht="22" customHeight="1">
      <c r="A18" s="18" t="inlineStr">
        <is>
          <t>wave_d02_afternoon</t>
        </is>
      </c>
      <c r="B18" s="18" t="n">
        <v>2</v>
      </c>
      <c r="C18" s="18" t="inlineStr">
        <is>
          <t>下午</t>
        </is>
      </c>
      <c r="D18" s="18" t="n">
        <v>2</v>
      </c>
      <c r="E18" s="18" t="inlineStr">
        <is>
          <t>1,2,3,4,5-3</t>
        </is>
      </c>
      <c r="F18" s="18" t="inlineStr">
        <is>
          <t>90,10,0,1</t>
        </is>
      </c>
      <c r="G18" s="19" t="n">
        <v>150.1</v>
      </c>
      <c r="H18" s="20" t="inlineStr">
        <is>
          <t>池-数量；品质权重=青铜,白银,黄金,钻石</t>
        </is>
      </c>
      <c r="I18" s="21" t="n">
        <v>3</v>
      </c>
      <c r="J18" s="21" t="n">
        <v>1.0644</v>
      </c>
      <c r="K18" s="21" t="n">
        <v>47</v>
      </c>
      <c r="L18" s="22" t="inlineStr">
        <is>
          <t>本行威胁=候选池平均效果分×出怪数×品质期望倍率；品质权重顺序=青铜,白银,黄金,钻石</t>
        </is>
      </c>
    </row>
    <row r="19" ht="22" customHeight="1">
      <c r="A19" s="18" t="inlineStr">
        <is>
          <t>wave_d02_afternoon</t>
        </is>
      </c>
      <c r="B19" s="18" t="n">
        <v>2</v>
      </c>
      <c r="C19" s="18" t="inlineStr">
        <is>
          <t>下午</t>
        </is>
      </c>
      <c r="D19" s="18" t="n">
        <v>2</v>
      </c>
      <c r="E19" s="18" t="inlineStr">
        <is>
          <t>1,2,3,4,5-3</t>
        </is>
      </c>
      <c r="F19" s="18" t="inlineStr">
        <is>
          <t>90,10,0,1</t>
        </is>
      </c>
      <c r="G19" s="19" t="n">
        <v>150.1</v>
      </c>
      <c r="H19" s="20" t="inlineStr">
        <is>
          <t>池-数量；品质权重=青铜,白银,黄金,钻石</t>
        </is>
      </c>
      <c r="I19" s="21" t="n">
        <v>3</v>
      </c>
      <c r="J19" s="21" t="n">
        <v>1.0644</v>
      </c>
      <c r="K19" s="21" t="n">
        <v>47</v>
      </c>
      <c r="L19" s="22" t="inlineStr">
        <is>
          <t>本行威胁=候选池平均效果分×出怪数×品质期望倍率；品质权重顺序=青铜,白银,黄金,钻石</t>
        </is>
      </c>
    </row>
    <row r="20" ht="22" customHeight="1">
      <c r="A20" s="18" t="inlineStr">
        <is>
          <t>wave_d02_afternoon</t>
        </is>
      </c>
      <c r="B20" s="18" t="n">
        <v>2</v>
      </c>
      <c r="C20" s="18" t="inlineStr">
        <is>
          <t>下午</t>
        </is>
      </c>
      <c r="D20" s="18" t="n">
        <v>3</v>
      </c>
      <c r="E20" s="18" t="inlineStr">
        <is>
          <t>1,2,3,4,5-4</t>
        </is>
      </c>
      <c r="F20" s="18" t="inlineStr">
        <is>
          <t>90,10,0,2</t>
        </is>
      </c>
      <c r="G20" s="19" t="n">
        <v>202.7</v>
      </c>
      <c r="H20" s="20" t="inlineStr">
        <is>
          <t>池-数量；品质权重=青铜,白银,黄金,钻石</t>
        </is>
      </c>
      <c r="I20" s="21" t="n">
        <v>4</v>
      </c>
      <c r="J20" s="21" t="n">
        <v>1.0784</v>
      </c>
      <c r="K20" s="21" t="n">
        <v>47</v>
      </c>
      <c r="L20" s="22" t="inlineStr">
        <is>
          <t>本行威胁=候选池平均效果分×出怪数×品质期望倍率；品质权重顺序=青铜,白银,黄金,钻石</t>
        </is>
      </c>
    </row>
    <row r="21" ht="22" customHeight="1">
      <c r="A21" s="18" t="inlineStr">
        <is>
          <t>wave_d02_afternoon</t>
        </is>
      </c>
      <c r="B21" s="18" t="n">
        <v>2</v>
      </c>
      <c r="C21" s="18" t="inlineStr">
        <is>
          <t>下午</t>
        </is>
      </c>
      <c r="D21" s="18" t="n">
        <v>4</v>
      </c>
      <c r="E21" s="18" t="inlineStr">
        <is>
          <t>1,2,3,4,5-5</t>
        </is>
      </c>
      <c r="F21" s="18" t="inlineStr">
        <is>
          <t>90,10,0,3</t>
        </is>
      </c>
      <c r="G21" s="19" t="n">
        <v>256.7</v>
      </c>
      <c r="H21" s="20" t="inlineStr">
        <is>
          <t>池-数量；品质权重=青铜,白银,黄金,钻石</t>
        </is>
      </c>
      <c r="I21" s="21" t="n">
        <v>5</v>
      </c>
      <c r="J21" s="21" t="n">
        <v>1.0922</v>
      </c>
      <c r="K21" s="21" t="n">
        <v>47</v>
      </c>
      <c r="L21" s="22" t="inlineStr">
        <is>
          <t>本行威胁=候选池平均效果分×出怪数×品质期望倍率；品质权重顺序=青铜,白银,黄金,钻石</t>
        </is>
      </c>
    </row>
    <row r="22" ht="22" customHeight="1">
      <c r="A22" s="18" t="inlineStr">
        <is>
          <t>wave_d02_afternoon</t>
        </is>
      </c>
      <c r="B22" s="18" t="n">
        <v>2</v>
      </c>
      <c r="C22" s="18" t="inlineStr">
        <is>
          <t>下午</t>
        </is>
      </c>
      <c r="D22" s="18" t="n">
        <v>5</v>
      </c>
      <c r="E22" s="18" t="inlineStr">
        <is>
          <t>1,2,3,4,5-6</t>
        </is>
      </c>
      <c r="F22" s="18" t="inlineStr">
        <is>
          <t>90,10,0,4</t>
        </is>
      </c>
      <c r="G22" s="19" t="n">
        <v>311.8</v>
      </c>
      <c r="H22" s="20" t="inlineStr">
        <is>
          <t>池-数量；品质权重=青铜,白银,黄金,钻石</t>
        </is>
      </c>
      <c r="I22" s="21" t="n">
        <v>6</v>
      </c>
      <c r="J22" s="21" t="n">
        <v>1.1058</v>
      </c>
      <c r="K22" s="21" t="n">
        <v>47</v>
      </c>
      <c r="L22" s="22" t="inlineStr">
        <is>
          <t>本行威胁=候选池平均效果分×出怪数×品质期望倍率；品质权重顺序=青铜,白银,黄金,钻石</t>
        </is>
      </c>
    </row>
    <row r="23" ht="22" customHeight="1">
      <c r="A23" s="18" t="inlineStr">
        <is>
          <t>wave_d03_morning</t>
        </is>
      </c>
      <c r="B23" s="18" t="n">
        <v>3</v>
      </c>
      <c r="C23" s="18" t="inlineStr">
        <is>
          <t>上午</t>
        </is>
      </c>
      <c r="D23" s="18" t="n">
        <v>1</v>
      </c>
      <c r="E23" s="18" t="inlineStr">
        <is>
          <t>1,2,3,4,5-2</t>
        </is>
      </c>
      <c r="F23" s="18" t="inlineStr">
        <is>
          <t>90,10,0,0</t>
        </is>
      </c>
      <c r="G23" s="19" t="n">
        <v>98.7</v>
      </c>
      <c r="H23" s="20" t="inlineStr">
        <is>
          <t>池-数量；品质权重=青铜,白银,黄金,钻石</t>
        </is>
      </c>
      <c r="I23" s="21" t="n">
        <v>2</v>
      </c>
      <c r="J23" s="21" t="n">
        <v>1.05</v>
      </c>
      <c r="K23" s="21" t="n">
        <v>47</v>
      </c>
      <c r="L23" s="22" t="inlineStr">
        <is>
          <t>本行威胁=候选池平均效果分×出怪数×品质期望倍率；品质权重顺序=青铜,白银,黄金,钻石</t>
        </is>
      </c>
    </row>
    <row r="24" ht="22" customHeight="1">
      <c r="A24" s="18" t="inlineStr">
        <is>
          <t>wave_d03_morning</t>
        </is>
      </c>
      <c r="B24" s="18" t="n">
        <v>3</v>
      </c>
      <c r="C24" s="18" t="inlineStr">
        <is>
          <t>上午</t>
        </is>
      </c>
      <c r="D24" s="18" t="n">
        <v>2</v>
      </c>
      <c r="E24" s="18" t="inlineStr">
        <is>
          <t>1,2,3,4,5-3</t>
        </is>
      </c>
      <c r="F24" s="18" t="inlineStr">
        <is>
          <t>90,10,0,1</t>
        </is>
      </c>
      <c r="G24" s="19" t="n">
        <v>150.1</v>
      </c>
      <c r="H24" s="20" t="inlineStr">
        <is>
          <t>池-数量；品质权重=青铜,白银,黄金,钻石</t>
        </is>
      </c>
      <c r="I24" s="21" t="n">
        <v>3</v>
      </c>
      <c r="J24" s="21" t="n">
        <v>1.0644</v>
      </c>
      <c r="K24" s="21" t="n">
        <v>47</v>
      </c>
      <c r="L24" s="22" t="inlineStr">
        <is>
          <t>本行威胁=候选池平均效果分×出怪数×品质期望倍率；品质权重顺序=青铜,白银,黄金,钻石</t>
        </is>
      </c>
    </row>
    <row r="25" ht="22" customHeight="1">
      <c r="A25" s="18" t="inlineStr">
        <is>
          <t>wave_d03_morning</t>
        </is>
      </c>
      <c r="B25" s="18" t="n">
        <v>3</v>
      </c>
      <c r="C25" s="18" t="inlineStr">
        <is>
          <t>上午</t>
        </is>
      </c>
      <c r="D25" s="18" t="n">
        <v>3</v>
      </c>
      <c r="E25" s="18" t="inlineStr">
        <is>
          <t>1,2,3,4,5-4</t>
        </is>
      </c>
      <c r="F25" s="18" t="inlineStr">
        <is>
          <t>90,10,0,2</t>
        </is>
      </c>
      <c r="G25" s="19" t="n">
        <v>202.7</v>
      </c>
      <c r="H25" s="20" t="inlineStr">
        <is>
          <t>池-数量；品质权重=青铜,白银,黄金,钻石</t>
        </is>
      </c>
      <c r="I25" s="21" t="n">
        <v>4</v>
      </c>
      <c r="J25" s="21" t="n">
        <v>1.0784</v>
      </c>
      <c r="K25" s="21" t="n">
        <v>47</v>
      </c>
      <c r="L25" s="22" t="inlineStr">
        <is>
          <t>本行威胁=候选池平均效果分×出怪数×品质期望倍率；品质权重顺序=青铜,白银,黄金,钻石</t>
        </is>
      </c>
    </row>
    <row r="26" ht="22" customHeight="1">
      <c r="A26" s="18" t="inlineStr">
        <is>
          <t>wave_d03_morning</t>
        </is>
      </c>
      <c r="B26" s="18" t="n">
        <v>3</v>
      </c>
      <c r="C26" s="18" t="inlineStr">
        <is>
          <t>上午</t>
        </is>
      </c>
      <c r="D26" s="18" t="n">
        <v>4</v>
      </c>
      <c r="E26" s="18" t="inlineStr">
        <is>
          <t>1,2,3,4,5-5</t>
        </is>
      </c>
      <c r="F26" s="18" t="inlineStr">
        <is>
          <t>90,10,0,3</t>
        </is>
      </c>
      <c r="G26" s="19" t="n">
        <v>256.7</v>
      </c>
      <c r="H26" s="20" t="inlineStr">
        <is>
          <t>池-数量；品质权重=青铜,白银,黄金,钻石</t>
        </is>
      </c>
      <c r="I26" s="21" t="n">
        <v>5</v>
      </c>
      <c r="J26" s="21" t="n">
        <v>1.0922</v>
      </c>
      <c r="K26" s="21" t="n">
        <v>47</v>
      </c>
      <c r="L26" s="22" t="inlineStr">
        <is>
          <t>本行威胁=候选池平均效果分×出怪数×品质期望倍率；品质权重顺序=青铜,白银,黄金,钻石</t>
        </is>
      </c>
    </row>
    <row r="27" ht="22" customHeight="1">
      <c r="A27" s="18" t="inlineStr">
        <is>
          <t>wave_d03_morning</t>
        </is>
      </c>
      <c r="B27" s="18" t="n">
        <v>3</v>
      </c>
      <c r="C27" s="18" t="inlineStr">
        <is>
          <t>上午</t>
        </is>
      </c>
      <c r="D27" s="18" t="n">
        <v>5</v>
      </c>
      <c r="E27" s="18" t="inlineStr">
        <is>
          <t>1,2,3,4,5-6</t>
        </is>
      </c>
      <c r="F27" s="18" t="inlineStr">
        <is>
          <t>90,10,0,4</t>
        </is>
      </c>
      <c r="G27" s="19" t="n">
        <v>311.8</v>
      </c>
      <c r="H27" s="20" t="inlineStr">
        <is>
          <t>池-数量；品质权重=青铜,白银,黄金,钻石</t>
        </is>
      </c>
      <c r="I27" s="21" t="n">
        <v>6</v>
      </c>
      <c r="J27" s="21" t="n">
        <v>1.1058</v>
      </c>
      <c r="K27" s="21" t="n">
        <v>47</v>
      </c>
      <c r="L27" s="22" t="inlineStr">
        <is>
          <t>本行威胁=候选池平均效果分×出怪数×品质期望倍率；品质权重顺序=青铜,白银,黄金,钻石</t>
        </is>
      </c>
    </row>
    <row r="28" ht="22" customHeight="1">
      <c r="A28" s="18" t="inlineStr">
        <is>
          <t>wave_d03_afternoon</t>
        </is>
      </c>
      <c r="B28" s="18" t="n">
        <v>3</v>
      </c>
      <c r="C28" s="18" t="inlineStr">
        <is>
          <t>下午</t>
        </is>
      </c>
      <c r="D28" s="18" t="n">
        <v>1</v>
      </c>
      <c r="E28" s="18" t="inlineStr">
        <is>
          <t>1,2,3,4,5-2</t>
        </is>
      </c>
      <c r="F28" s="18" t="inlineStr">
        <is>
          <t>90,10,0,0</t>
        </is>
      </c>
      <c r="G28" s="19" t="n">
        <v>98.7</v>
      </c>
      <c r="H28" s="20" t="inlineStr">
        <is>
          <t>池-数量；品质权重=青铜,白银,黄金,钻石</t>
        </is>
      </c>
      <c r="I28" s="21" t="n">
        <v>2</v>
      </c>
      <c r="J28" s="21" t="n">
        <v>1.05</v>
      </c>
      <c r="K28" s="21" t="n">
        <v>47</v>
      </c>
      <c r="L28" s="22" t="inlineStr">
        <is>
          <t>本行威胁=候选池平均效果分×出怪数×品质期望倍率；品质权重顺序=青铜,白银,黄金,钻石</t>
        </is>
      </c>
    </row>
    <row r="29" ht="22" customHeight="1">
      <c r="A29" s="18" t="inlineStr">
        <is>
          <t>wave_d03_afternoon</t>
        </is>
      </c>
      <c r="B29" s="18" t="n">
        <v>3</v>
      </c>
      <c r="C29" s="18" t="inlineStr">
        <is>
          <t>下午</t>
        </is>
      </c>
      <c r="D29" s="18" t="n">
        <v>2</v>
      </c>
      <c r="E29" s="18" t="inlineStr">
        <is>
          <t>1,2,3,4,5-3</t>
        </is>
      </c>
      <c r="F29" s="18" t="inlineStr">
        <is>
          <t>90,10,0,1</t>
        </is>
      </c>
      <c r="G29" s="19" t="n">
        <v>150.1</v>
      </c>
      <c r="H29" s="20" t="inlineStr">
        <is>
          <t>池-数量；品质权重=青铜,白银,黄金,钻石</t>
        </is>
      </c>
      <c r="I29" s="21" t="n">
        <v>3</v>
      </c>
      <c r="J29" s="21" t="n">
        <v>1.0644</v>
      </c>
      <c r="K29" s="21" t="n">
        <v>47</v>
      </c>
      <c r="L29" s="22" t="inlineStr">
        <is>
          <t>本行威胁=候选池平均效果分×出怪数×品质期望倍率；品质权重顺序=青铜,白银,黄金,钻石</t>
        </is>
      </c>
    </row>
    <row r="30" ht="22" customHeight="1">
      <c r="A30" s="18" t="inlineStr">
        <is>
          <t>wave_d03_afternoon</t>
        </is>
      </c>
      <c r="B30" s="18" t="n">
        <v>3</v>
      </c>
      <c r="C30" s="18" t="inlineStr">
        <is>
          <t>下午</t>
        </is>
      </c>
      <c r="D30" s="18" t="n">
        <v>3</v>
      </c>
      <c r="E30" s="18" t="inlineStr">
        <is>
          <t>1,2,3,4,5-4</t>
        </is>
      </c>
      <c r="F30" s="18" t="inlineStr">
        <is>
          <t>90,10,0,2</t>
        </is>
      </c>
      <c r="G30" s="19" t="n">
        <v>202.7</v>
      </c>
      <c r="H30" s="20" t="inlineStr">
        <is>
          <t>池-数量；品质权重=青铜,白银,黄金,钻石</t>
        </is>
      </c>
      <c r="I30" s="21" t="n">
        <v>4</v>
      </c>
      <c r="J30" s="21" t="n">
        <v>1.0784</v>
      </c>
      <c r="K30" s="21" t="n">
        <v>47</v>
      </c>
      <c r="L30" s="22" t="inlineStr">
        <is>
          <t>本行威胁=候选池平均效果分×出怪数×品质期望倍率；品质权重顺序=青铜,白银,黄金,钻石</t>
        </is>
      </c>
    </row>
    <row r="31" ht="22" customHeight="1">
      <c r="A31" s="18" t="inlineStr">
        <is>
          <t>wave_d03_afternoon</t>
        </is>
      </c>
      <c r="B31" s="18" t="n">
        <v>3</v>
      </c>
      <c r="C31" s="18" t="inlineStr">
        <is>
          <t>下午</t>
        </is>
      </c>
      <c r="D31" s="18" t="n">
        <v>4</v>
      </c>
      <c r="E31" s="18" t="inlineStr">
        <is>
          <t>1,2,3,4,5-5</t>
        </is>
      </c>
      <c r="F31" s="18" t="inlineStr">
        <is>
          <t>90,10,0,3</t>
        </is>
      </c>
      <c r="G31" s="19" t="n">
        <v>256.7</v>
      </c>
      <c r="H31" s="20" t="inlineStr">
        <is>
          <t>池-数量；品质权重=青铜,白银,黄金,钻石</t>
        </is>
      </c>
      <c r="I31" s="21" t="n">
        <v>5</v>
      </c>
      <c r="J31" s="21" t="n">
        <v>1.0922</v>
      </c>
      <c r="K31" s="21" t="n">
        <v>47</v>
      </c>
      <c r="L31" s="22" t="inlineStr">
        <is>
          <t>本行威胁=候选池平均效果分×出怪数×品质期望倍率；品质权重顺序=青铜,白银,黄金,钻石</t>
        </is>
      </c>
    </row>
    <row r="32" ht="22" customHeight="1">
      <c r="A32" s="18" t="inlineStr">
        <is>
          <t>wave_d03_afternoon</t>
        </is>
      </c>
      <c r="B32" s="18" t="n">
        <v>3</v>
      </c>
      <c r="C32" s="18" t="inlineStr">
        <is>
          <t>下午</t>
        </is>
      </c>
      <c r="D32" s="18" t="n">
        <v>5</v>
      </c>
      <c r="E32" s="18" t="inlineStr">
        <is>
          <t>1,2,3,4,5-6</t>
        </is>
      </c>
      <c r="F32" s="18" t="inlineStr">
        <is>
          <t>90,10,0,4</t>
        </is>
      </c>
      <c r="G32" s="19" t="n">
        <v>311.8</v>
      </c>
      <c r="H32" s="20" t="inlineStr">
        <is>
          <t>池-数量；品质权重=青铜,白银,黄金,钻石</t>
        </is>
      </c>
      <c r="I32" s="21" t="n">
        <v>6</v>
      </c>
      <c r="J32" s="21" t="n">
        <v>1.1058</v>
      </c>
      <c r="K32" s="21" t="n">
        <v>47</v>
      </c>
      <c r="L32" s="22" t="inlineStr">
        <is>
          <t>本行威胁=候选池平均效果分×出怪数×品质期望倍率；品质权重顺序=青铜,白银,黄金,钻石</t>
        </is>
      </c>
    </row>
    <row r="33" ht="22" customHeight="1">
      <c r="A33" s="18" t="inlineStr">
        <is>
          <t>wave_d04_morning</t>
        </is>
      </c>
      <c r="B33" s="18" t="n">
        <v>4</v>
      </c>
      <c r="C33" s="18" t="inlineStr">
        <is>
          <t>上午</t>
        </is>
      </c>
      <c r="D33" s="18" t="n">
        <v>1</v>
      </c>
      <c r="E33" s="18" t="inlineStr">
        <is>
          <t>1,2,3,4,5-2</t>
        </is>
      </c>
      <c r="F33" s="18" t="inlineStr">
        <is>
          <t>90,10,0,0</t>
        </is>
      </c>
      <c r="G33" s="19" t="n">
        <v>98.7</v>
      </c>
      <c r="H33" s="20" t="inlineStr">
        <is>
          <t>池-数量；品质权重=青铜,白银,黄金,钻石</t>
        </is>
      </c>
      <c r="I33" s="21" t="n">
        <v>2</v>
      </c>
      <c r="J33" s="21" t="n">
        <v>1.05</v>
      </c>
      <c r="K33" s="21" t="n">
        <v>47</v>
      </c>
      <c r="L33" s="22" t="inlineStr">
        <is>
          <t>本行威胁=候选池平均效果分×出怪数×品质期望倍率；品质权重顺序=青铜,白银,黄金,钻石</t>
        </is>
      </c>
    </row>
    <row r="34" ht="22" customHeight="1">
      <c r="A34" s="18" t="inlineStr">
        <is>
          <t>wave_d04_morning</t>
        </is>
      </c>
      <c r="B34" s="18" t="n">
        <v>4</v>
      </c>
      <c r="C34" s="18" t="inlineStr">
        <is>
          <t>上午</t>
        </is>
      </c>
      <c r="D34" s="18" t="n">
        <v>2</v>
      </c>
      <c r="E34" s="18" t="inlineStr">
        <is>
          <t>1,2,3,4,5-3</t>
        </is>
      </c>
      <c r="F34" s="18" t="inlineStr">
        <is>
          <t>90,10,0,1</t>
        </is>
      </c>
      <c r="G34" s="19" t="n">
        <v>150.1</v>
      </c>
      <c r="H34" s="20" t="inlineStr">
        <is>
          <t>池-数量；品质权重=青铜,白银,黄金,钻石</t>
        </is>
      </c>
      <c r="I34" s="21" t="n">
        <v>3</v>
      </c>
      <c r="J34" s="21" t="n">
        <v>1.0644</v>
      </c>
      <c r="K34" s="21" t="n">
        <v>47</v>
      </c>
      <c r="L34" s="22" t="inlineStr">
        <is>
          <t>本行威胁=候选池平均效果分×出怪数×品质期望倍率；品质权重顺序=青铜,白银,黄金,钻石</t>
        </is>
      </c>
    </row>
    <row r="35" ht="22" customHeight="1">
      <c r="A35" s="18" t="inlineStr">
        <is>
          <t>wave_d04_morning</t>
        </is>
      </c>
      <c r="B35" s="18" t="n">
        <v>4</v>
      </c>
      <c r="C35" s="18" t="inlineStr">
        <is>
          <t>上午</t>
        </is>
      </c>
      <c r="D35" s="18" t="n">
        <v>3</v>
      </c>
      <c r="E35" s="18" t="inlineStr">
        <is>
          <t>1,2,3,4,5-4</t>
        </is>
      </c>
      <c r="F35" s="18" t="inlineStr">
        <is>
          <t>90,10,0,2</t>
        </is>
      </c>
      <c r="G35" s="19" t="n">
        <v>202.7</v>
      </c>
      <c r="H35" s="20" t="inlineStr">
        <is>
          <t>池-数量；品质权重=青铜,白银,黄金,钻石</t>
        </is>
      </c>
      <c r="I35" s="21" t="n">
        <v>4</v>
      </c>
      <c r="J35" s="21" t="n">
        <v>1.0784</v>
      </c>
      <c r="K35" s="21" t="n">
        <v>47</v>
      </c>
      <c r="L35" s="22" t="inlineStr">
        <is>
          <t>本行威胁=候选池平均效果分×出怪数×品质期望倍率；品质权重顺序=青铜,白银,黄金,钻石</t>
        </is>
      </c>
    </row>
    <row r="36" ht="22" customHeight="1">
      <c r="A36" s="18" t="inlineStr">
        <is>
          <t>wave_d04_morning</t>
        </is>
      </c>
      <c r="B36" s="18" t="n">
        <v>4</v>
      </c>
      <c r="C36" s="18" t="inlineStr">
        <is>
          <t>上午</t>
        </is>
      </c>
      <c r="D36" s="18" t="n">
        <v>4</v>
      </c>
      <c r="E36" s="18" t="inlineStr">
        <is>
          <t>1,2,3,4,5-5</t>
        </is>
      </c>
      <c r="F36" s="18" t="inlineStr">
        <is>
          <t>90,10,0,3</t>
        </is>
      </c>
      <c r="G36" s="19" t="n">
        <v>256.7</v>
      </c>
      <c r="H36" s="20" t="inlineStr">
        <is>
          <t>池-数量；品质权重=青铜,白银,黄金,钻石</t>
        </is>
      </c>
      <c r="I36" s="21" t="n">
        <v>5</v>
      </c>
      <c r="J36" s="21" t="n">
        <v>1.0922</v>
      </c>
      <c r="K36" s="21" t="n">
        <v>47</v>
      </c>
      <c r="L36" s="22" t="inlineStr">
        <is>
          <t>本行威胁=候选池平均效果分×出怪数×品质期望倍率；品质权重顺序=青铜,白银,黄金,钻石</t>
        </is>
      </c>
    </row>
    <row r="37" ht="22" customHeight="1">
      <c r="A37" s="18" t="inlineStr">
        <is>
          <t>wave_d04_morning</t>
        </is>
      </c>
      <c r="B37" s="18" t="n">
        <v>4</v>
      </c>
      <c r="C37" s="18" t="inlineStr">
        <is>
          <t>上午</t>
        </is>
      </c>
      <c r="D37" s="18" t="n">
        <v>5</v>
      </c>
      <c r="E37" s="18" t="inlineStr">
        <is>
          <t>1,2,3,4,5-6</t>
        </is>
      </c>
      <c r="F37" s="18" t="inlineStr">
        <is>
          <t>90,10,0,4</t>
        </is>
      </c>
      <c r="G37" s="19" t="n">
        <v>311.8</v>
      </c>
      <c r="H37" s="20" t="inlineStr">
        <is>
          <t>池-数量；品质权重=青铜,白银,黄金,钻石</t>
        </is>
      </c>
      <c r="I37" s="21" t="n">
        <v>6</v>
      </c>
      <c r="J37" s="21" t="n">
        <v>1.1058</v>
      </c>
      <c r="K37" s="21" t="n">
        <v>47</v>
      </c>
      <c r="L37" s="22" t="inlineStr">
        <is>
          <t>本行威胁=候选池平均效果分×出怪数×品质期望倍率；品质权重顺序=青铜,白银,黄金,钻石</t>
        </is>
      </c>
    </row>
    <row r="38" ht="22" customHeight="1">
      <c r="A38" s="18" t="inlineStr">
        <is>
          <t>wave_d04_afternoon</t>
        </is>
      </c>
      <c r="B38" s="18" t="n">
        <v>4</v>
      </c>
      <c r="C38" s="18" t="inlineStr">
        <is>
          <t>下午</t>
        </is>
      </c>
      <c r="D38" s="18" t="n">
        <v>1</v>
      </c>
      <c r="E38" s="18" t="inlineStr">
        <is>
          <t>1,2,3,4,5-2</t>
        </is>
      </c>
      <c r="F38" s="18" t="inlineStr">
        <is>
          <t>90,10,0,0</t>
        </is>
      </c>
      <c r="G38" s="19" t="n">
        <v>98.7</v>
      </c>
      <c r="H38" s="20" t="inlineStr">
        <is>
          <t>池-数量；品质权重=青铜,白银,黄金,钻石</t>
        </is>
      </c>
      <c r="I38" s="21" t="n">
        <v>2</v>
      </c>
      <c r="J38" s="21" t="n">
        <v>1.05</v>
      </c>
      <c r="K38" s="21" t="n">
        <v>47</v>
      </c>
      <c r="L38" s="22" t="inlineStr">
        <is>
          <t>本行威胁=候选池平均效果分×出怪数×品质期望倍率；品质权重顺序=青铜,白银,黄金,钻石</t>
        </is>
      </c>
    </row>
    <row r="39" ht="22" customHeight="1">
      <c r="A39" s="18" t="inlineStr">
        <is>
          <t>wave_d04_afternoon</t>
        </is>
      </c>
      <c r="B39" s="18" t="n">
        <v>4</v>
      </c>
      <c r="C39" s="18" t="inlineStr">
        <is>
          <t>下午</t>
        </is>
      </c>
      <c r="D39" s="18" t="n">
        <v>2</v>
      </c>
      <c r="E39" s="18" t="inlineStr">
        <is>
          <t>1,2,3,4,5-3</t>
        </is>
      </c>
      <c r="F39" s="18" t="inlineStr">
        <is>
          <t>90,10,0,1</t>
        </is>
      </c>
      <c r="G39" s="19" t="n">
        <v>150.1</v>
      </c>
      <c r="H39" s="20" t="inlineStr">
        <is>
          <t>池-数量；品质权重=青铜,白银,黄金,钻石</t>
        </is>
      </c>
      <c r="I39" s="21" t="n">
        <v>3</v>
      </c>
      <c r="J39" s="21" t="n">
        <v>1.0644</v>
      </c>
      <c r="K39" s="21" t="n">
        <v>47</v>
      </c>
      <c r="L39" s="22" t="inlineStr">
        <is>
          <t>本行威胁=候选池平均效果分×出怪数×品质期望倍率；品质权重顺序=青铜,白银,黄金,钻石</t>
        </is>
      </c>
    </row>
    <row r="40" ht="22" customHeight="1">
      <c r="A40" s="18" t="inlineStr">
        <is>
          <t>wave_d04_afternoon</t>
        </is>
      </c>
      <c r="B40" s="18" t="n">
        <v>4</v>
      </c>
      <c r="C40" s="18" t="inlineStr">
        <is>
          <t>下午</t>
        </is>
      </c>
      <c r="D40" s="18" t="n">
        <v>2</v>
      </c>
      <c r="E40" s="18" t="inlineStr">
        <is>
          <t>1,2,3,4,5-3</t>
        </is>
      </c>
      <c r="F40" s="18" t="inlineStr">
        <is>
          <t>90,10,0,1</t>
        </is>
      </c>
      <c r="G40" s="19" t="n">
        <v>150.1</v>
      </c>
      <c r="H40" s="20" t="inlineStr">
        <is>
          <t>池-数量；品质权重=青铜,白银,黄金,钻石</t>
        </is>
      </c>
      <c r="I40" s="21" t="n">
        <v>3</v>
      </c>
      <c r="J40" s="21" t="n">
        <v>1.0644</v>
      </c>
      <c r="K40" s="21" t="n">
        <v>47</v>
      </c>
      <c r="L40" s="22" t="inlineStr">
        <is>
          <t>本行威胁=候选池平均效果分×出怪数×品质期望倍率；品质权重顺序=青铜,白银,黄金,钻石</t>
        </is>
      </c>
    </row>
    <row r="41" ht="22" customHeight="1">
      <c r="A41" s="18" t="inlineStr">
        <is>
          <t>wave_d04_afternoon</t>
        </is>
      </c>
      <c r="B41" s="18" t="n">
        <v>4</v>
      </c>
      <c r="C41" s="18" t="inlineStr">
        <is>
          <t>下午</t>
        </is>
      </c>
      <c r="D41" s="18" t="n">
        <v>3</v>
      </c>
      <c r="E41" s="18" t="inlineStr">
        <is>
          <t>1,2,3,4,5-4</t>
        </is>
      </c>
      <c r="F41" s="18" t="inlineStr">
        <is>
          <t>90,10,0,2</t>
        </is>
      </c>
      <c r="G41" s="19" t="n">
        <v>202.7</v>
      </c>
      <c r="H41" s="20" t="inlineStr">
        <is>
          <t>池-数量；品质权重=青铜,白银,黄金,钻石</t>
        </is>
      </c>
      <c r="I41" s="21" t="n">
        <v>4</v>
      </c>
      <c r="J41" s="21" t="n">
        <v>1.0784</v>
      </c>
      <c r="K41" s="21" t="n">
        <v>47</v>
      </c>
      <c r="L41" s="22" t="inlineStr">
        <is>
          <t>本行威胁=候选池平均效果分×出怪数×品质期望倍率；品质权重顺序=青铜,白银,黄金,钻石</t>
        </is>
      </c>
    </row>
    <row r="42" ht="22" customHeight="1">
      <c r="A42" s="18" t="inlineStr">
        <is>
          <t>wave_d04_afternoon</t>
        </is>
      </c>
      <c r="B42" s="18" t="n">
        <v>4</v>
      </c>
      <c r="C42" s="18" t="inlineStr">
        <is>
          <t>下午</t>
        </is>
      </c>
      <c r="D42" s="18" t="n">
        <v>4</v>
      </c>
      <c r="E42" s="18" t="inlineStr">
        <is>
          <t>1,2,3,4,5-5</t>
        </is>
      </c>
      <c r="F42" s="18" t="inlineStr">
        <is>
          <t>90,10,0,3</t>
        </is>
      </c>
      <c r="G42" s="19" t="n">
        <v>256.7</v>
      </c>
      <c r="H42" s="20" t="inlineStr">
        <is>
          <t>池-数量；品质权重=青铜,白银,黄金,钻石</t>
        </is>
      </c>
      <c r="I42" s="21" t="n">
        <v>5</v>
      </c>
      <c r="J42" s="21" t="n">
        <v>1.0922</v>
      </c>
      <c r="K42" s="21" t="n">
        <v>47</v>
      </c>
      <c r="L42" s="22" t="inlineStr">
        <is>
          <t>本行威胁=候选池平均效果分×出怪数×品质期望倍率；品质权重顺序=青铜,白银,黄金,钻石</t>
        </is>
      </c>
    </row>
    <row r="43" ht="22" customHeight="1">
      <c r="A43" s="18" t="inlineStr">
        <is>
          <t>wave_d04_afternoon</t>
        </is>
      </c>
      <c r="B43" s="18" t="n">
        <v>4</v>
      </c>
      <c r="C43" s="18" t="inlineStr">
        <is>
          <t>下午</t>
        </is>
      </c>
      <c r="D43" s="18" t="n">
        <v>5</v>
      </c>
      <c r="E43" s="18" t="inlineStr">
        <is>
          <t>1,2,3,4,5-6</t>
        </is>
      </c>
      <c r="F43" s="18" t="inlineStr">
        <is>
          <t>90,10,0,4</t>
        </is>
      </c>
      <c r="G43" s="19" t="n">
        <v>311.8</v>
      </c>
      <c r="H43" s="20" t="inlineStr">
        <is>
          <t>池-数量；品质权重=青铜,白银,黄金,钻石</t>
        </is>
      </c>
      <c r="I43" s="21" t="n">
        <v>6</v>
      </c>
      <c r="J43" s="21" t="n">
        <v>1.1058</v>
      </c>
      <c r="K43" s="21" t="n">
        <v>47</v>
      </c>
      <c r="L43" s="22" t="inlineStr">
        <is>
          <t>本行威胁=候选池平均效果分×出怪数×品质期望倍率；品质权重顺序=青铜,白银,黄金,钻石</t>
        </is>
      </c>
    </row>
    <row r="44" ht="22" customHeight="1">
      <c r="A44" s="18" t="inlineStr">
        <is>
          <t>wave_d05_morning</t>
        </is>
      </c>
      <c r="B44" s="18" t="n">
        <v>5</v>
      </c>
      <c r="C44" s="18" t="inlineStr">
        <is>
          <t>上午</t>
        </is>
      </c>
      <c r="D44" s="18" t="n">
        <v>1</v>
      </c>
      <c r="E44" s="18" t="inlineStr">
        <is>
          <t>1,2,3,4,5-2</t>
        </is>
      </c>
      <c r="F44" s="18" t="inlineStr">
        <is>
          <t>90,10,0,0</t>
        </is>
      </c>
      <c r="G44" s="19" t="n">
        <v>98.7</v>
      </c>
      <c r="H44" s="20" t="inlineStr">
        <is>
          <t>池-数量；品质权重=青铜,白银,黄金,钻石</t>
        </is>
      </c>
      <c r="I44" s="21" t="n">
        <v>2</v>
      </c>
      <c r="J44" s="21" t="n">
        <v>1.05</v>
      </c>
      <c r="K44" s="21" t="n">
        <v>47</v>
      </c>
      <c r="L44" s="22" t="inlineStr">
        <is>
          <t>本行威胁=候选池平均效果分×出怪数×品质期望倍率；品质权重顺序=青铜,白银,黄金,钻石</t>
        </is>
      </c>
    </row>
    <row r="45" ht="22" customHeight="1">
      <c r="A45" s="18" t="inlineStr">
        <is>
          <t>wave_d05_morning</t>
        </is>
      </c>
      <c r="B45" s="18" t="n">
        <v>5</v>
      </c>
      <c r="C45" s="18" t="inlineStr">
        <is>
          <t>上午</t>
        </is>
      </c>
      <c r="D45" s="18" t="n">
        <v>2</v>
      </c>
      <c r="E45" s="18" t="inlineStr">
        <is>
          <t>1,2,3,4,5-3</t>
        </is>
      </c>
      <c r="F45" s="18" t="inlineStr">
        <is>
          <t>90,10,0,1</t>
        </is>
      </c>
      <c r="G45" s="19" t="n">
        <v>150.1</v>
      </c>
      <c r="H45" s="20" t="inlineStr">
        <is>
          <t>池-数量；品质权重=青铜,白银,黄金,钻石</t>
        </is>
      </c>
      <c r="I45" s="21" t="n">
        <v>3</v>
      </c>
      <c r="J45" s="21" t="n">
        <v>1.0644</v>
      </c>
      <c r="K45" s="21" t="n">
        <v>47</v>
      </c>
      <c r="L45" s="22" t="inlineStr">
        <is>
          <t>本行威胁=候选池平均效果分×出怪数×品质期望倍率；品质权重顺序=青铜,白银,黄金,钻石</t>
        </is>
      </c>
    </row>
    <row r="46" ht="22" customHeight="1">
      <c r="A46" s="18" t="inlineStr">
        <is>
          <t>wave_d05_morning</t>
        </is>
      </c>
      <c r="B46" s="18" t="n">
        <v>5</v>
      </c>
      <c r="C46" s="18" t="inlineStr">
        <is>
          <t>上午</t>
        </is>
      </c>
      <c r="D46" s="18" t="n">
        <v>3</v>
      </c>
      <c r="E46" s="18" t="inlineStr">
        <is>
          <t>1,2,3,4,5-4</t>
        </is>
      </c>
      <c r="F46" s="18" t="inlineStr">
        <is>
          <t>90,10,0,2</t>
        </is>
      </c>
      <c r="G46" s="19" t="n">
        <v>202.7</v>
      </c>
      <c r="H46" s="20" t="inlineStr">
        <is>
          <t>池-数量；品质权重=青铜,白银,黄金,钻石</t>
        </is>
      </c>
      <c r="I46" s="21" t="n">
        <v>4</v>
      </c>
      <c r="J46" s="21" t="n">
        <v>1.0784</v>
      </c>
      <c r="K46" s="21" t="n">
        <v>47</v>
      </c>
      <c r="L46" s="22" t="inlineStr">
        <is>
          <t>本行威胁=候选池平均效果分×出怪数×品质期望倍率；品质权重顺序=青铜,白银,黄金,钻石</t>
        </is>
      </c>
    </row>
    <row r="47" ht="22" customHeight="1">
      <c r="A47" s="18" t="inlineStr">
        <is>
          <t>wave_d05_morning</t>
        </is>
      </c>
      <c r="B47" s="18" t="n">
        <v>5</v>
      </c>
      <c r="C47" s="18" t="inlineStr">
        <is>
          <t>上午</t>
        </is>
      </c>
      <c r="D47" s="18" t="n">
        <v>4</v>
      </c>
      <c r="E47" s="18" t="inlineStr">
        <is>
          <t>1,2,3,4,5-5</t>
        </is>
      </c>
      <c r="F47" s="18" t="inlineStr">
        <is>
          <t>90,10,0,3</t>
        </is>
      </c>
      <c r="G47" s="19" t="n">
        <v>256.7</v>
      </c>
      <c r="H47" s="20" t="inlineStr">
        <is>
          <t>池-数量；品质权重=青铜,白银,黄金,钻石</t>
        </is>
      </c>
      <c r="I47" s="21" t="n">
        <v>5</v>
      </c>
      <c r="J47" s="21" t="n">
        <v>1.0922</v>
      </c>
      <c r="K47" s="21" t="n">
        <v>47</v>
      </c>
      <c r="L47" s="22" t="inlineStr">
        <is>
          <t>本行威胁=候选池平均效果分×出怪数×品质期望倍率；品质权重顺序=青铜,白银,黄金,钻石</t>
        </is>
      </c>
    </row>
    <row r="48" ht="22" customHeight="1">
      <c r="A48" s="18" t="inlineStr">
        <is>
          <t>wave_d05_morning</t>
        </is>
      </c>
      <c r="B48" s="18" t="n">
        <v>5</v>
      </c>
      <c r="C48" s="18" t="inlineStr">
        <is>
          <t>上午</t>
        </is>
      </c>
      <c r="D48" s="18" t="n">
        <v>4</v>
      </c>
      <c r="E48" s="18" t="inlineStr">
        <is>
          <t>1,2,3,4,5-5</t>
        </is>
      </c>
      <c r="F48" s="18" t="inlineStr">
        <is>
          <t>90,10,0,3</t>
        </is>
      </c>
      <c r="G48" s="19" t="n">
        <v>256.7</v>
      </c>
      <c r="H48" s="20" t="inlineStr">
        <is>
          <t>池-数量；品质权重=青铜,白银,黄金,钻石</t>
        </is>
      </c>
      <c r="I48" s="21" t="n">
        <v>5</v>
      </c>
      <c r="J48" s="21" t="n">
        <v>1.0922</v>
      </c>
      <c r="K48" s="21" t="n">
        <v>47</v>
      </c>
      <c r="L48" s="22" t="inlineStr">
        <is>
          <t>本行威胁=候选池平均效果分×出怪数×品质期望倍率；品质权重顺序=青铜,白银,黄金,钻石</t>
        </is>
      </c>
    </row>
    <row r="49" ht="22" customHeight="1">
      <c r="A49" s="18" t="inlineStr">
        <is>
          <t>wave_d05_morning</t>
        </is>
      </c>
      <c r="B49" s="18" t="n">
        <v>5</v>
      </c>
      <c r="C49" s="18" t="inlineStr">
        <is>
          <t>上午</t>
        </is>
      </c>
      <c r="D49" s="18" t="n">
        <v>5</v>
      </c>
      <c r="E49" s="18" t="inlineStr">
        <is>
          <t>1,2,3,4,5-6</t>
        </is>
      </c>
      <c r="F49" s="18" t="inlineStr">
        <is>
          <t>90,10,0,4</t>
        </is>
      </c>
      <c r="G49" s="19" t="n">
        <v>311.8</v>
      </c>
      <c r="H49" s="20" t="inlineStr">
        <is>
          <t>池-数量；品质权重=青铜,白银,黄金,钻石</t>
        </is>
      </c>
      <c r="I49" s="21" t="n">
        <v>6</v>
      </c>
      <c r="J49" s="21" t="n">
        <v>1.1058</v>
      </c>
      <c r="K49" s="21" t="n">
        <v>47</v>
      </c>
      <c r="L49" s="22" t="inlineStr">
        <is>
          <t>本行威胁=候选池平均效果分×出怪数×品质期望倍率；品质权重顺序=青铜,白银,黄金,钻石</t>
        </is>
      </c>
    </row>
    <row r="50" ht="22" customHeight="1">
      <c r="A50" s="18" t="inlineStr">
        <is>
          <t>wave_d05_morning</t>
        </is>
      </c>
      <c r="B50" s="18" t="n">
        <v>5</v>
      </c>
      <c r="C50" s="18" t="inlineStr">
        <is>
          <t>上午</t>
        </is>
      </c>
      <c r="D50" s="18" t="n">
        <v>5</v>
      </c>
      <c r="E50" s="18" t="inlineStr">
        <is>
          <t>1,2,3,4,5-6</t>
        </is>
      </c>
      <c r="F50" s="18" t="inlineStr">
        <is>
          <t>90,10,0,4</t>
        </is>
      </c>
      <c r="G50" s="19" t="n">
        <v>311.8</v>
      </c>
      <c r="H50" s="20" t="inlineStr">
        <is>
          <t>池-数量；品质权重=青铜,白银,黄金,钻石</t>
        </is>
      </c>
      <c r="I50" s="21" t="n">
        <v>6</v>
      </c>
      <c r="J50" s="21" t="n">
        <v>1.1058</v>
      </c>
      <c r="K50" s="21" t="n">
        <v>47</v>
      </c>
      <c r="L50" s="22" t="inlineStr">
        <is>
          <t>本行威胁=候选池平均效果分×出怪数×品质期望倍率；品质权重顺序=青铜,白银,黄金,钻石</t>
        </is>
      </c>
    </row>
    <row r="51" ht="22" customHeight="1">
      <c r="A51" s="18" t="inlineStr">
        <is>
          <t>wave_d05_afternoon</t>
        </is>
      </c>
      <c r="B51" s="18" t="n">
        <v>5</v>
      </c>
      <c r="C51" s="18" t="inlineStr">
        <is>
          <t>下午</t>
        </is>
      </c>
      <c r="D51" s="18" t="n">
        <v>1</v>
      </c>
      <c r="E51" s="18" t="inlineStr">
        <is>
          <t>1,2,3,4,5-2</t>
        </is>
      </c>
      <c r="F51" s="18" t="inlineStr">
        <is>
          <t>90,10,0,0</t>
        </is>
      </c>
      <c r="G51" s="19" t="n">
        <v>98.7</v>
      </c>
      <c r="H51" s="20" t="inlineStr">
        <is>
          <t>池-数量；品质权重=青铜,白银,黄金,钻石</t>
        </is>
      </c>
      <c r="I51" s="21" t="n">
        <v>2</v>
      </c>
      <c r="J51" s="21" t="n">
        <v>1.05</v>
      </c>
      <c r="K51" s="21" t="n">
        <v>47</v>
      </c>
      <c r="L51" s="22" t="inlineStr">
        <is>
          <t>本行威胁=候选池平均效果分×出怪数×品质期望倍率；品质权重顺序=青铜,白银,黄金,钻石</t>
        </is>
      </c>
    </row>
    <row r="52" ht="22" customHeight="1">
      <c r="A52" s="18" t="inlineStr">
        <is>
          <t>wave_d05_afternoon</t>
        </is>
      </c>
      <c r="B52" s="18" t="n">
        <v>5</v>
      </c>
      <c r="C52" s="18" t="inlineStr">
        <is>
          <t>下午</t>
        </is>
      </c>
      <c r="D52" s="18" t="n">
        <v>2</v>
      </c>
      <c r="E52" s="18" t="inlineStr">
        <is>
          <t>1,2,3,4,5-3</t>
        </is>
      </c>
      <c r="F52" s="18" t="inlineStr">
        <is>
          <t>90,10,0,1</t>
        </is>
      </c>
      <c r="G52" s="19" t="n">
        <v>150.1</v>
      </c>
      <c r="H52" s="20" t="inlineStr">
        <is>
          <t>池-数量；品质权重=青铜,白银,黄金,钻石</t>
        </is>
      </c>
      <c r="I52" s="21" t="n">
        <v>3</v>
      </c>
      <c r="J52" s="21" t="n">
        <v>1.0644</v>
      </c>
      <c r="K52" s="21" t="n">
        <v>47</v>
      </c>
      <c r="L52" s="22" t="inlineStr">
        <is>
          <t>本行威胁=候选池平均效果分×出怪数×品质期望倍率；品质权重顺序=青铜,白银,黄金,钻石</t>
        </is>
      </c>
    </row>
    <row r="53" ht="22" customHeight="1">
      <c r="A53" s="18" t="inlineStr">
        <is>
          <t>wave_d05_afternoon</t>
        </is>
      </c>
      <c r="B53" s="18" t="n">
        <v>5</v>
      </c>
      <c r="C53" s="18" t="inlineStr">
        <is>
          <t>下午</t>
        </is>
      </c>
      <c r="D53" s="18" t="n">
        <v>3</v>
      </c>
      <c r="E53" s="18" t="inlineStr">
        <is>
          <t>1,2,3,4,5-4</t>
        </is>
      </c>
      <c r="F53" s="18" t="inlineStr">
        <is>
          <t>90,10,0,2</t>
        </is>
      </c>
      <c r="G53" s="19" t="n">
        <v>202.7</v>
      </c>
      <c r="H53" s="20" t="inlineStr">
        <is>
          <t>池-数量；品质权重=青铜,白银,黄金,钻石</t>
        </is>
      </c>
      <c r="I53" s="21" t="n">
        <v>4</v>
      </c>
      <c r="J53" s="21" t="n">
        <v>1.0784</v>
      </c>
      <c r="K53" s="21" t="n">
        <v>47</v>
      </c>
      <c r="L53" s="22" t="inlineStr">
        <is>
          <t>本行威胁=候选池平均效果分×出怪数×品质期望倍率；品质权重顺序=青铜,白银,黄金,钻石</t>
        </is>
      </c>
    </row>
    <row r="54" ht="22" customHeight="1">
      <c r="A54" s="18" t="inlineStr">
        <is>
          <t>wave_d05_afternoon</t>
        </is>
      </c>
      <c r="B54" s="18" t="n">
        <v>5</v>
      </c>
      <c r="C54" s="18" t="inlineStr">
        <is>
          <t>下午</t>
        </is>
      </c>
      <c r="D54" s="18" t="n">
        <v>4</v>
      </c>
      <c r="E54" s="18" t="inlineStr">
        <is>
          <t>1,2,3,4,5-5</t>
        </is>
      </c>
      <c r="F54" s="18" t="inlineStr">
        <is>
          <t>90,10,0,3</t>
        </is>
      </c>
      <c r="G54" s="19" t="n">
        <v>256.7</v>
      </c>
      <c r="H54" s="20" t="inlineStr">
        <is>
          <t>池-数量；品质权重=青铜,白银,黄金,钻石</t>
        </is>
      </c>
      <c r="I54" s="21" t="n">
        <v>5</v>
      </c>
      <c r="J54" s="21" t="n">
        <v>1.0922</v>
      </c>
      <c r="K54" s="21" t="n">
        <v>47</v>
      </c>
      <c r="L54" s="22" t="inlineStr">
        <is>
          <t>本行威胁=候选池平均效果分×出怪数×品质期望倍率；品质权重顺序=青铜,白银,黄金,钻石</t>
        </is>
      </c>
    </row>
    <row r="55" ht="22" customHeight="1">
      <c r="A55" s="18" t="inlineStr">
        <is>
          <t>wave_d05_afternoon</t>
        </is>
      </c>
      <c r="B55" s="18" t="n">
        <v>5</v>
      </c>
      <c r="C55" s="18" t="inlineStr">
        <is>
          <t>下午</t>
        </is>
      </c>
      <c r="D55" s="18" t="n">
        <v>5</v>
      </c>
      <c r="E55" s="18" t="inlineStr">
        <is>
          <t>1,2,3,4,5-6</t>
        </is>
      </c>
      <c r="F55" s="18" t="inlineStr">
        <is>
          <t>90,10,0,4</t>
        </is>
      </c>
      <c r="G55" s="19" t="n">
        <v>311.8</v>
      </c>
      <c r="H55" s="20" t="inlineStr">
        <is>
          <t>池-数量；品质权重=青铜,白银,黄金,钻石</t>
        </is>
      </c>
      <c r="I55" s="21" t="n">
        <v>6</v>
      </c>
      <c r="J55" s="21" t="n">
        <v>1.1058</v>
      </c>
      <c r="K55" s="21" t="n">
        <v>47</v>
      </c>
      <c r="L55" s="22" t="inlineStr">
        <is>
          <t>本行威胁=候选池平均效果分×出怪数×品质期望倍率；品质权重顺序=青铜,白银,黄金,钻石</t>
        </is>
      </c>
    </row>
    <row r="56" ht="22" customHeight="1">
      <c r="A56" s="18" t="inlineStr">
        <is>
          <t>wave_d05_afternoon</t>
        </is>
      </c>
      <c r="B56" s="18" t="n">
        <v>5</v>
      </c>
      <c r="C56" s="18" t="inlineStr">
        <is>
          <t>下午</t>
        </is>
      </c>
      <c r="D56" s="18" t="n">
        <v>5</v>
      </c>
      <c r="E56" s="18" t="inlineStr">
        <is>
          <t>1,2,3,4,5-6</t>
        </is>
      </c>
      <c r="F56" s="18" t="inlineStr">
        <is>
          <t>90,10,0,4</t>
        </is>
      </c>
      <c r="G56" s="19" t="n">
        <v>311.8</v>
      </c>
      <c r="H56" s="20" t="inlineStr">
        <is>
          <t>池-数量；品质权重=青铜,白银,黄金,钻石</t>
        </is>
      </c>
      <c r="I56" s="21" t="n">
        <v>6</v>
      </c>
      <c r="J56" s="21" t="n">
        <v>1.1058</v>
      </c>
      <c r="K56" s="21" t="n">
        <v>47</v>
      </c>
      <c r="L56" s="22" t="inlineStr">
        <is>
          <t>本行威胁=候选池平均效果分×出怪数×品质期望倍率；品质权重顺序=青铜,白银,黄金,钻石</t>
        </is>
      </c>
    </row>
    <row r="57" ht="22" customHeight="1">
      <c r="A57" s="18" t="inlineStr">
        <is>
          <t>wave_d06_morning</t>
        </is>
      </c>
      <c r="B57" s="18" t="n">
        <v>6</v>
      </c>
      <c r="C57" s="18" t="inlineStr">
        <is>
          <t>上午</t>
        </is>
      </c>
      <c r="D57" s="18" t="n">
        <v>1</v>
      </c>
      <c r="E57" s="18" t="inlineStr">
        <is>
          <t>1,2,3,4,5-2</t>
        </is>
      </c>
      <c r="F57" s="18" t="inlineStr">
        <is>
          <t>90,10,0,0</t>
        </is>
      </c>
      <c r="G57" s="19" t="n">
        <v>98.7</v>
      </c>
      <c r="H57" s="20" t="inlineStr">
        <is>
          <t>池-数量；品质权重=青铜,白银,黄金,钻石</t>
        </is>
      </c>
      <c r="I57" s="21" t="n">
        <v>2</v>
      </c>
      <c r="J57" s="21" t="n">
        <v>1.05</v>
      </c>
      <c r="K57" s="21" t="n">
        <v>47</v>
      </c>
      <c r="L57" s="22" t="inlineStr">
        <is>
          <t>本行威胁=候选池平均效果分×出怪数×品质期望倍率；品质权重顺序=青铜,白银,黄金,钻石</t>
        </is>
      </c>
    </row>
    <row r="58" ht="22" customHeight="1">
      <c r="A58" s="18" t="inlineStr">
        <is>
          <t>wave_d06_morning</t>
        </is>
      </c>
      <c r="B58" s="18" t="n">
        <v>6</v>
      </c>
      <c r="C58" s="18" t="inlineStr">
        <is>
          <t>上午</t>
        </is>
      </c>
      <c r="D58" s="18" t="n">
        <v>1</v>
      </c>
      <c r="E58" s="18" t="inlineStr">
        <is>
          <t>1,2,3,4,5-2</t>
        </is>
      </c>
      <c r="F58" s="18" t="inlineStr">
        <is>
          <t>90,10,0,0</t>
        </is>
      </c>
      <c r="G58" s="19" t="n">
        <v>98.7</v>
      </c>
      <c r="H58" s="20" t="inlineStr">
        <is>
          <t>池-数量；品质权重=青铜,白银,黄金,钻石</t>
        </is>
      </c>
      <c r="I58" s="21" t="n">
        <v>2</v>
      </c>
      <c r="J58" s="21" t="n">
        <v>1.05</v>
      </c>
      <c r="K58" s="21" t="n">
        <v>47</v>
      </c>
      <c r="L58" s="22" t="inlineStr">
        <is>
          <t>本行威胁=候选池平均效果分×出怪数×品质期望倍率；品质权重顺序=青铜,白银,黄金,钻石</t>
        </is>
      </c>
    </row>
    <row r="59" ht="22" customHeight="1">
      <c r="A59" s="18" t="inlineStr">
        <is>
          <t>wave_d06_morning</t>
        </is>
      </c>
      <c r="B59" s="18" t="n">
        <v>6</v>
      </c>
      <c r="C59" s="18" t="inlineStr">
        <is>
          <t>上午</t>
        </is>
      </c>
      <c r="D59" s="18" t="n">
        <v>2</v>
      </c>
      <c r="E59" s="18" t="inlineStr">
        <is>
          <t>1,2,3,4,5-3</t>
        </is>
      </c>
      <c r="F59" s="18" t="inlineStr">
        <is>
          <t>90,10,0,1</t>
        </is>
      </c>
      <c r="G59" s="19" t="n">
        <v>150.1</v>
      </c>
      <c r="H59" s="20" t="inlineStr">
        <is>
          <t>池-数量；品质权重=青铜,白银,黄金,钻石</t>
        </is>
      </c>
      <c r="I59" s="21" t="n">
        <v>3</v>
      </c>
      <c r="J59" s="21" t="n">
        <v>1.0644</v>
      </c>
      <c r="K59" s="21" t="n">
        <v>47</v>
      </c>
      <c r="L59" s="22" t="inlineStr">
        <is>
          <t>本行威胁=候选池平均效果分×出怪数×品质期望倍率；品质权重顺序=青铜,白银,黄金,钻石</t>
        </is>
      </c>
    </row>
    <row r="60" ht="22" customHeight="1">
      <c r="A60" s="18" t="inlineStr">
        <is>
          <t>wave_d06_morning</t>
        </is>
      </c>
      <c r="B60" s="18" t="n">
        <v>6</v>
      </c>
      <c r="C60" s="18" t="inlineStr">
        <is>
          <t>上午</t>
        </is>
      </c>
      <c r="D60" s="18" t="n">
        <v>3</v>
      </c>
      <c r="E60" s="18" t="inlineStr">
        <is>
          <t>1,2,3,4,5-4</t>
        </is>
      </c>
      <c r="F60" s="18" t="inlineStr">
        <is>
          <t>90,10,0,2</t>
        </is>
      </c>
      <c r="G60" s="19" t="n">
        <v>202.7</v>
      </c>
      <c r="H60" s="20" t="inlineStr">
        <is>
          <t>池-数量；品质权重=青铜,白银,黄金,钻石</t>
        </is>
      </c>
      <c r="I60" s="21" t="n">
        <v>4</v>
      </c>
      <c r="J60" s="21" t="n">
        <v>1.0784</v>
      </c>
      <c r="K60" s="21" t="n">
        <v>47</v>
      </c>
      <c r="L60" s="22" t="inlineStr">
        <is>
          <t>本行威胁=候选池平均效果分×出怪数×品质期望倍率；品质权重顺序=青铜,白银,黄金,钻石</t>
        </is>
      </c>
    </row>
    <row r="61" ht="22" customHeight="1">
      <c r="A61" s="18" t="inlineStr">
        <is>
          <t>wave_d06_morning</t>
        </is>
      </c>
      <c r="B61" s="18" t="n">
        <v>6</v>
      </c>
      <c r="C61" s="18" t="inlineStr">
        <is>
          <t>上午</t>
        </is>
      </c>
      <c r="D61" s="18" t="n">
        <v>4</v>
      </c>
      <c r="E61" s="18" t="inlineStr">
        <is>
          <t>1,2,3,4,5-5</t>
        </is>
      </c>
      <c r="F61" s="18" t="inlineStr">
        <is>
          <t>90,10,0,3</t>
        </is>
      </c>
      <c r="G61" s="19" t="n">
        <v>256.7</v>
      </c>
      <c r="H61" s="20" t="inlineStr">
        <is>
          <t>池-数量；品质权重=青铜,白银,黄金,钻石</t>
        </is>
      </c>
      <c r="I61" s="21" t="n">
        <v>5</v>
      </c>
      <c r="J61" s="21" t="n">
        <v>1.0922</v>
      </c>
      <c r="K61" s="21" t="n">
        <v>47</v>
      </c>
      <c r="L61" s="22" t="inlineStr">
        <is>
          <t>本行威胁=候选池平均效果分×出怪数×品质期望倍率；品质权重顺序=青铜,白银,黄金,钻石</t>
        </is>
      </c>
    </row>
    <row r="62" ht="22" customHeight="1">
      <c r="A62" s="18" t="inlineStr">
        <is>
          <t>wave_d06_morning</t>
        </is>
      </c>
      <c r="B62" s="18" t="n">
        <v>6</v>
      </c>
      <c r="C62" s="18" t="inlineStr">
        <is>
          <t>上午</t>
        </is>
      </c>
      <c r="D62" s="18" t="n">
        <v>4</v>
      </c>
      <c r="E62" s="18" t="inlineStr">
        <is>
          <t>1,2,3,4,5-5</t>
        </is>
      </c>
      <c r="F62" s="18" t="inlineStr">
        <is>
          <t>90,10,0,3</t>
        </is>
      </c>
      <c r="G62" s="19" t="n">
        <v>256.7</v>
      </c>
      <c r="H62" s="20" t="inlineStr">
        <is>
          <t>池-数量；品质权重=青铜,白银,黄金,钻石</t>
        </is>
      </c>
      <c r="I62" s="21" t="n">
        <v>5</v>
      </c>
      <c r="J62" s="21" t="n">
        <v>1.0922</v>
      </c>
      <c r="K62" s="21" t="n">
        <v>47</v>
      </c>
      <c r="L62" s="22" t="inlineStr">
        <is>
          <t>本行威胁=候选池平均效果分×出怪数×品质期望倍率；品质权重顺序=青铜,白银,黄金,钻石</t>
        </is>
      </c>
    </row>
    <row r="63" ht="22" customHeight="1">
      <c r="A63" s="18" t="inlineStr">
        <is>
          <t>wave_d06_morning</t>
        </is>
      </c>
      <c r="B63" s="18" t="n">
        <v>6</v>
      </c>
      <c r="C63" s="18" t="inlineStr">
        <is>
          <t>上午</t>
        </is>
      </c>
      <c r="D63" s="18" t="n">
        <v>5</v>
      </c>
      <c r="E63" s="18" t="inlineStr">
        <is>
          <t>1,2,3,4,5-6</t>
        </is>
      </c>
      <c r="F63" s="18" t="inlineStr">
        <is>
          <t>90,10,0,4</t>
        </is>
      </c>
      <c r="G63" s="19" t="n">
        <v>311.8</v>
      </c>
      <c r="H63" s="20" t="inlineStr">
        <is>
          <t>池-数量；品质权重=青铜,白银,黄金,钻石</t>
        </is>
      </c>
      <c r="I63" s="21" t="n">
        <v>6</v>
      </c>
      <c r="J63" s="21" t="n">
        <v>1.1058</v>
      </c>
      <c r="K63" s="21" t="n">
        <v>47</v>
      </c>
      <c r="L63" s="22" t="inlineStr">
        <is>
          <t>本行威胁=候选池平均效果分×出怪数×品质期望倍率；品质权重顺序=青铜,白银,黄金,钻石</t>
        </is>
      </c>
    </row>
    <row r="64" ht="22" customHeight="1">
      <c r="A64" s="18" t="inlineStr">
        <is>
          <t>wave_d06_afternoon</t>
        </is>
      </c>
      <c r="B64" s="18" t="n">
        <v>6</v>
      </c>
      <c r="C64" s="18" t="inlineStr">
        <is>
          <t>下午</t>
        </is>
      </c>
      <c r="D64" s="18" t="n">
        <v>1</v>
      </c>
      <c r="E64" s="18" t="inlineStr">
        <is>
          <t>1,2,3,4,5-2</t>
        </is>
      </c>
      <c r="F64" s="18" t="inlineStr">
        <is>
          <t>90,10,0,0</t>
        </is>
      </c>
      <c r="G64" s="19" t="n">
        <v>98.7</v>
      </c>
      <c r="H64" s="20" t="inlineStr">
        <is>
          <t>池-数量；品质权重=青铜,白银,黄金,钻石</t>
        </is>
      </c>
      <c r="I64" s="21" t="n">
        <v>2</v>
      </c>
      <c r="J64" s="21" t="n">
        <v>1.05</v>
      </c>
      <c r="K64" s="21" t="n">
        <v>47</v>
      </c>
      <c r="L64" s="22" t="inlineStr">
        <is>
          <t>本行威胁=候选池平均效果分×出怪数×品质期望倍率；品质权重顺序=青铜,白银,黄金,钻石</t>
        </is>
      </c>
    </row>
    <row r="65" ht="22" customHeight="1">
      <c r="A65" s="18" t="inlineStr">
        <is>
          <t>wave_d06_afternoon</t>
        </is>
      </c>
      <c r="B65" s="18" t="n">
        <v>6</v>
      </c>
      <c r="C65" s="18" t="inlineStr">
        <is>
          <t>下午</t>
        </is>
      </c>
      <c r="D65" s="18" t="n">
        <v>2</v>
      </c>
      <c r="E65" s="18" t="inlineStr">
        <is>
          <t>1,2,3,4,5-3</t>
        </is>
      </c>
      <c r="F65" s="18" t="inlineStr">
        <is>
          <t>90,10,0,1</t>
        </is>
      </c>
      <c r="G65" s="19" t="n">
        <v>150.1</v>
      </c>
      <c r="H65" s="20" t="inlineStr">
        <is>
          <t>池-数量；品质权重=青铜,白银,黄金,钻石</t>
        </is>
      </c>
      <c r="I65" s="21" t="n">
        <v>3</v>
      </c>
      <c r="J65" s="21" t="n">
        <v>1.0644</v>
      </c>
      <c r="K65" s="21" t="n">
        <v>47</v>
      </c>
      <c r="L65" s="22" t="inlineStr">
        <is>
          <t>本行威胁=候选池平均效果分×出怪数×品质期望倍率；品质权重顺序=青铜,白银,黄金,钻石</t>
        </is>
      </c>
    </row>
    <row r="66" ht="22" customHeight="1">
      <c r="A66" s="18" t="inlineStr">
        <is>
          <t>wave_d06_afternoon</t>
        </is>
      </c>
      <c r="B66" s="18" t="n">
        <v>6</v>
      </c>
      <c r="C66" s="18" t="inlineStr">
        <is>
          <t>下午</t>
        </is>
      </c>
      <c r="D66" s="18" t="n">
        <v>3</v>
      </c>
      <c r="E66" s="18" t="inlineStr">
        <is>
          <t>1,2,3,4,5-4</t>
        </is>
      </c>
      <c r="F66" s="18" t="inlineStr">
        <is>
          <t>90,10,0,2</t>
        </is>
      </c>
      <c r="G66" s="19" t="n">
        <v>202.7</v>
      </c>
      <c r="H66" s="20" t="inlineStr">
        <is>
          <t>池-数量；品质权重=青铜,白银,黄金,钻石</t>
        </is>
      </c>
      <c r="I66" s="21" t="n">
        <v>4</v>
      </c>
      <c r="J66" s="21" t="n">
        <v>1.0784</v>
      </c>
      <c r="K66" s="21" t="n">
        <v>47</v>
      </c>
      <c r="L66" s="22" t="inlineStr">
        <is>
          <t>本行威胁=候选池平均效果分×出怪数×品质期望倍率；品质权重顺序=青铜,白银,黄金,钻石</t>
        </is>
      </c>
    </row>
    <row r="67" ht="22" customHeight="1">
      <c r="A67" s="18" t="inlineStr">
        <is>
          <t>wave_d06_afternoon</t>
        </is>
      </c>
      <c r="B67" s="18" t="n">
        <v>6</v>
      </c>
      <c r="C67" s="18" t="inlineStr">
        <is>
          <t>下午</t>
        </is>
      </c>
      <c r="D67" s="18" t="n">
        <v>3</v>
      </c>
      <c r="E67" s="18" t="inlineStr">
        <is>
          <t>1,2,3,4,5-4</t>
        </is>
      </c>
      <c r="F67" s="18" t="inlineStr">
        <is>
          <t>90,10,0,2</t>
        </is>
      </c>
      <c r="G67" s="19" t="n">
        <v>202.7</v>
      </c>
      <c r="H67" s="20" t="inlineStr">
        <is>
          <t>池-数量；品质权重=青铜,白银,黄金,钻石</t>
        </is>
      </c>
      <c r="I67" s="21" t="n">
        <v>4</v>
      </c>
      <c r="J67" s="21" t="n">
        <v>1.0784</v>
      </c>
      <c r="K67" s="21" t="n">
        <v>47</v>
      </c>
      <c r="L67" s="22" t="inlineStr">
        <is>
          <t>本行威胁=候选池平均效果分×出怪数×品质期望倍率；品质权重顺序=青铜,白银,黄金,钻石</t>
        </is>
      </c>
    </row>
    <row r="68" ht="22" customHeight="1">
      <c r="A68" s="18" t="inlineStr">
        <is>
          <t>wave_d06_afternoon</t>
        </is>
      </c>
      <c r="B68" s="18" t="n">
        <v>6</v>
      </c>
      <c r="C68" s="18" t="inlineStr">
        <is>
          <t>下午</t>
        </is>
      </c>
      <c r="D68" s="18" t="n">
        <v>4</v>
      </c>
      <c r="E68" s="18" t="inlineStr">
        <is>
          <t>1,2,3,4,5-5</t>
        </is>
      </c>
      <c r="F68" s="18" t="inlineStr">
        <is>
          <t>90,10,0,3</t>
        </is>
      </c>
      <c r="G68" s="19" t="n">
        <v>256.7</v>
      </c>
      <c r="H68" s="20" t="inlineStr">
        <is>
          <t>池-数量；品质权重=青铜,白银,黄金,钻石</t>
        </is>
      </c>
      <c r="I68" s="21" t="n">
        <v>5</v>
      </c>
      <c r="J68" s="21" t="n">
        <v>1.0922</v>
      </c>
      <c r="K68" s="21" t="n">
        <v>47</v>
      </c>
      <c r="L68" s="22" t="inlineStr">
        <is>
          <t>本行威胁=候选池平均效果分×出怪数×品质期望倍率；品质权重顺序=青铜,白银,黄金,钻石</t>
        </is>
      </c>
    </row>
    <row r="69" ht="22" customHeight="1">
      <c r="A69" s="18" t="inlineStr">
        <is>
          <t>wave_d06_afternoon</t>
        </is>
      </c>
      <c r="B69" s="18" t="n">
        <v>6</v>
      </c>
      <c r="C69" s="18" t="inlineStr">
        <is>
          <t>下午</t>
        </is>
      </c>
      <c r="D69" s="18" t="n">
        <v>4</v>
      </c>
      <c r="E69" s="18" t="inlineStr">
        <is>
          <t>1,2,3,4,5-5</t>
        </is>
      </c>
      <c r="F69" s="18" t="inlineStr">
        <is>
          <t>90,10,0,3</t>
        </is>
      </c>
      <c r="G69" s="19" t="n">
        <v>256.7</v>
      </c>
      <c r="H69" s="20" t="inlineStr">
        <is>
          <t>池-数量；品质权重=青铜,白银,黄金,钻石</t>
        </is>
      </c>
      <c r="I69" s="21" t="n">
        <v>5</v>
      </c>
      <c r="J69" s="21" t="n">
        <v>1.0922</v>
      </c>
      <c r="K69" s="21" t="n">
        <v>47</v>
      </c>
      <c r="L69" s="22" t="inlineStr">
        <is>
          <t>本行威胁=候选池平均效果分×出怪数×品质期望倍率；品质权重顺序=青铜,白银,黄金,钻石</t>
        </is>
      </c>
    </row>
    <row r="70" ht="22" customHeight="1">
      <c r="A70" s="18" t="inlineStr">
        <is>
          <t>wave_d06_afternoon</t>
        </is>
      </c>
      <c r="B70" s="18" t="n">
        <v>6</v>
      </c>
      <c r="C70" s="18" t="inlineStr">
        <is>
          <t>下午</t>
        </is>
      </c>
      <c r="D70" s="18" t="n">
        <v>5</v>
      </c>
      <c r="E70" s="18" t="inlineStr">
        <is>
          <t>1,2,3,4,5-6</t>
        </is>
      </c>
      <c r="F70" s="18" t="inlineStr">
        <is>
          <t>90,10,0,4</t>
        </is>
      </c>
      <c r="G70" s="19" t="n">
        <v>311.8</v>
      </c>
      <c r="H70" s="20" t="inlineStr">
        <is>
          <t>池-数量；品质权重=青铜,白银,黄金,钻石</t>
        </is>
      </c>
      <c r="I70" s="21" t="n">
        <v>6</v>
      </c>
      <c r="J70" s="21" t="n">
        <v>1.1058</v>
      </c>
      <c r="K70" s="21" t="n">
        <v>47</v>
      </c>
      <c r="L70" s="22" t="inlineStr">
        <is>
          <t>本行威胁=候选池平均效果分×出怪数×品质期望倍率；品质权重顺序=青铜,白银,黄金,钻石</t>
        </is>
      </c>
    </row>
    <row r="71" ht="22" customHeight="1">
      <c r="A71" s="18" t="inlineStr">
        <is>
          <t>wave_d07_morning</t>
        </is>
      </c>
      <c r="B71" s="18" t="n">
        <v>7</v>
      </c>
      <c r="C71" s="18" t="inlineStr">
        <is>
          <t>上午</t>
        </is>
      </c>
      <c r="D71" s="18" t="n">
        <v>1</v>
      </c>
      <c r="E71" s="18" t="inlineStr">
        <is>
          <t>1,2,3,4,5-2</t>
        </is>
      </c>
      <c r="F71" s="18" t="inlineStr">
        <is>
          <t>90,10,0,0</t>
        </is>
      </c>
      <c r="G71" s="19" t="n">
        <v>98.7</v>
      </c>
      <c r="H71" s="20" t="inlineStr">
        <is>
          <t>池-数量；品质权重=青铜,白银,黄金,钻石</t>
        </is>
      </c>
      <c r="I71" s="21" t="n">
        <v>2</v>
      </c>
      <c r="J71" s="21" t="n">
        <v>1.05</v>
      </c>
      <c r="K71" s="21" t="n">
        <v>47</v>
      </c>
      <c r="L71" s="22" t="inlineStr">
        <is>
          <t>本行威胁=候选池平均效果分×出怪数×品质期望倍率；品质权重顺序=青铜,白银,黄金,钻石</t>
        </is>
      </c>
    </row>
    <row r="72" ht="22" customHeight="1">
      <c r="A72" s="18" t="inlineStr">
        <is>
          <t>wave_d07_morning</t>
        </is>
      </c>
      <c r="B72" s="18" t="n">
        <v>7</v>
      </c>
      <c r="C72" s="18" t="inlineStr">
        <is>
          <t>上午</t>
        </is>
      </c>
      <c r="D72" s="18" t="n">
        <v>2</v>
      </c>
      <c r="E72" s="18" t="inlineStr">
        <is>
          <t>1,2,3,4,5-3</t>
        </is>
      </c>
      <c r="F72" s="18" t="inlineStr">
        <is>
          <t>90,10,0,1</t>
        </is>
      </c>
      <c r="G72" s="19" t="n">
        <v>150.1</v>
      </c>
      <c r="H72" s="20" t="inlineStr">
        <is>
          <t>池-数量；品质权重=青铜,白银,黄金,钻石</t>
        </is>
      </c>
      <c r="I72" s="21" t="n">
        <v>3</v>
      </c>
      <c r="J72" s="21" t="n">
        <v>1.0644</v>
      </c>
      <c r="K72" s="21" t="n">
        <v>47</v>
      </c>
      <c r="L72" s="22" t="inlineStr">
        <is>
          <t>本行威胁=候选池平均效果分×出怪数×品质期望倍率；品质权重顺序=青铜,白银,黄金,钻石</t>
        </is>
      </c>
    </row>
    <row r="73" ht="22" customHeight="1">
      <c r="A73" s="18" t="inlineStr">
        <is>
          <t>wave_d07_morning</t>
        </is>
      </c>
      <c r="B73" s="18" t="n">
        <v>7</v>
      </c>
      <c r="C73" s="18" t="inlineStr">
        <is>
          <t>上午</t>
        </is>
      </c>
      <c r="D73" s="18" t="n">
        <v>3</v>
      </c>
      <c r="E73" s="18" t="inlineStr">
        <is>
          <t>1,2,3,4,5-4</t>
        </is>
      </c>
      <c r="F73" s="18" t="inlineStr">
        <is>
          <t>90,10,0,2</t>
        </is>
      </c>
      <c r="G73" s="19" t="n">
        <v>202.7</v>
      </c>
      <c r="H73" s="20" t="inlineStr">
        <is>
          <t>池-数量；品质权重=青铜,白银,黄金,钻石</t>
        </is>
      </c>
      <c r="I73" s="21" t="n">
        <v>4</v>
      </c>
      <c r="J73" s="21" t="n">
        <v>1.0784</v>
      </c>
      <c r="K73" s="21" t="n">
        <v>47</v>
      </c>
      <c r="L73" s="22" t="inlineStr">
        <is>
          <t>本行威胁=候选池平均效果分×出怪数×品质期望倍率；品质权重顺序=青铜,白银,黄金,钻石</t>
        </is>
      </c>
    </row>
    <row r="74" ht="22" customHeight="1">
      <c r="A74" s="18" t="inlineStr">
        <is>
          <t>wave_d07_morning</t>
        </is>
      </c>
      <c r="B74" s="18" t="n">
        <v>7</v>
      </c>
      <c r="C74" s="18" t="inlineStr">
        <is>
          <t>上午</t>
        </is>
      </c>
      <c r="D74" s="18" t="n">
        <v>4</v>
      </c>
      <c r="E74" s="18" t="inlineStr">
        <is>
          <t>1,2,3,4,5-5</t>
        </is>
      </c>
      <c r="F74" s="18" t="inlineStr">
        <is>
          <t>90,10,0,3</t>
        </is>
      </c>
      <c r="G74" s="19" t="n">
        <v>256.7</v>
      </c>
      <c r="H74" s="20" t="inlineStr">
        <is>
          <t>池-数量；品质权重=青铜,白银,黄金,钻石</t>
        </is>
      </c>
      <c r="I74" s="21" t="n">
        <v>5</v>
      </c>
      <c r="J74" s="21" t="n">
        <v>1.0922</v>
      </c>
      <c r="K74" s="21" t="n">
        <v>47</v>
      </c>
      <c r="L74" s="22" t="inlineStr">
        <is>
          <t>本行威胁=候选池平均效果分×出怪数×品质期望倍率；品质权重顺序=青铜,白银,黄金,钻石</t>
        </is>
      </c>
    </row>
    <row r="75" ht="22" customHeight="1">
      <c r="A75" s="18" t="inlineStr">
        <is>
          <t>wave_d07_morning</t>
        </is>
      </c>
      <c r="B75" s="18" t="n">
        <v>7</v>
      </c>
      <c r="C75" s="18" t="inlineStr">
        <is>
          <t>上午</t>
        </is>
      </c>
      <c r="D75" s="18" t="n">
        <v>4</v>
      </c>
      <c r="E75" s="18" t="inlineStr">
        <is>
          <t>1,2,3,4,5-5</t>
        </is>
      </c>
      <c r="F75" s="18" t="inlineStr">
        <is>
          <t>90,10,0,3</t>
        </is>
      </c>
      <c r="G75" s="19" t="n">
        <v>256.7</v>
      </c>
      <c r="H75" s="20" t="inlineStr">
        <is>
          <t>池-数量；品质权重=青铜,白银,黄金,钻石</t>
        </is>
      </c>
      <c r="I75" s="21" t="n">
        <v>5</v>
      </c>
      <c r="J75" s="21" t="n">
        <v>1.0922</v>
      </c>
      <c r="K75" s="21" t="n">
        <v>47</v>
      </c>
      <c r="L75" s="22" t="inlineStr">
        <is>
          <t>本行威胁=候选池平均效果分×出怪数×品质期望倍率；品质权重顺序=青铜,白银,黄金,钻石</t>
        </is>
      </c>
    </row>
    <row r="76" ht="22" customHeight="1">
      <c r="A76" s="18" t="inlineStr">
        <is>
          <t>wave_d07_morning</t>
        </is>
      </c>
      <c r="B76" s="18" t="n">
        <v>7</v>
      </c>
      <c r="C76" s="18" t="inlineStr">
        <is>
          <t>上午</t>
        </is>
      </c>
      <c r="D76" s="18" t="n">
        <v>5</v>
      </c>
      <c r="E76" s="18" t="inlineStr">
        <is>
          <t>1,2,3,4,5-6</t>
        </is>
      </c>
      <c r="F76" s="18" t="inlineStr">
        <is>
          <t>90,10,0,4</t>
        </is>
      </c>
      <c r="G76" s="19" t="n">
        <v>311.8</v>
      </c>
      <c r="H76" s="20" t="inlineStr">
        <is>
          <t>池-数量；品质权重=青铜,白银,黄金,钻石</t>
        </is>
      </c>
      <c r="I76" s="21" t="n">
        <v>6</v>
      </c>
      <c r="J76" s="21" t="n">
        <v>1.1058</v>
      </c>
      <c r="K76" s="21" t="n">
        <v>47</v>
      </c>
      <c r="L76" s="22" t="inlineStr">
        <is>
          <t>本行威胁=候选池平均效果分×出怪数×品质期望倍率；品质权重顺序=青铜,白银,黄金,钻石</t>
        </is>
      </c>
    </row>
    <row r="77" ht="22" customHeight="1">
      <c r="A77" s="18" t="inlineStr">
        <is>
          <t>wave_d07_afternoon</t>
        </is>
      </c>
      <c r="B77" s="18" t="n">
        <v>7</v>
      </c>
      <c r="C77" s="18" t="inlineStr">
        <is>
          <t>下午</t>
        </is>
      </c>
      <c r="D77" s="18" t="n">
        <v>1</v>
      </c>
      <c r="E77" s="18" t="inlineStr">
        <is>
          <t>1,2,3,4,5-2</t>
        </is>
      </c>
      <c r="F77" s="18" t="inlineStr">
        <is>
          <t>90,10,0,0</t>
        </is>
      </c>
      <c r="G77" s="19" t="n">
        <v>98.7</v>
      </c>
      <c r="H77" s="20" t="inlineStr">
        <is>
          <t>池-数量；品质权重=青铜,白银,黄金,钻石</t>
        </is>
      </c>
      <c r="I77" s="21" t="n">
        <v>2</v>
      </c>
      <c r="J77" s="21" t="n">
        <v>1.05</v>
      </c>
      <c r="K77" s="21" t="n">
        <v>47</v>
      </c>
      <c r="L77" s="22" t="inlineStr">
        <is>
          <t>本行威胁=候选池平均效果分×出怪数×品质期望倍率；品质权重顺序=青铜,白银,黄金,钻石</t>
        </is>
      </c>
    </row>
    <row r="78" ht="22" customHeight="1">
      <c r="A78" s="18" t="inlineStr">
        <is>
          <t>wave_d07_afternoon</t>
        </is>
      </c>
      <c r="B78" s="18" t="n">
        <v>7</v>
      </c>
      <c r="C78" s="18" t="inlineStr">
        <is>
          <t>下午</t>
        </is>
      </c>
      <c r="D78" s="18" t="n">
        <v>2</v>
      </c>
      <c r="E78" s="18" t="inlineStr">
        <is>
          <t>1,2,3,4,5-3</t>
        </is>
      </c>
      <c r="F78" s="18" t="inlineStr">
        <is>
          <t>90,10,0,1</t>
        </is>
      </c>
      <c r="G78" s="19" t="n">
        <v>150.1</v>
      </c>
      <c r="H78" s="20" t="inlineStr">
        <is>
          <t>池-数量；品质权重=青铜,白银,黄金,钻石</t>
        </is>
      </c>
      <c r="I78" s="21" t="n">
        <v>3</v>
      </c>
      <c r="J78" s="21" t="n">
        <v>1.0644</v>
      </c>
      <c r="K78" s="21" t="n">
        <v>47</v>
      </c>
      <c r="L78" s="22" t="inlineStr">
        <is>
          <t>本行威胁=候选池平均效果分×出怪数×品质期望倍率；品质权重顺序=青铜,白银,黄金,钻石</t>
        </is>
      </c>
    </row>
    <row r="79" ht="22" customHeight="1">
      <c r="A79" s="18" t="inlineStr">
        <is>
          <t>wave_d07_afternoon</t>
        </is>
      </c>
      <c r="B79" s="18" t="n">
        <v>7</v>
      </c>
      <c r="C79" s="18" t="inlineStr">
        <is>
          <t>下午</t>
        </is>
      </c>
      <c r="D79" s="18" t="n">
        <v>2</v>
      </c>
      <c r="E79" s="18" t="inlineStr">
        <is>
          <t>1,2,3,4,5-3</t>
        </is>
      </c>
      <c r="F79" s="18" t="inlineStr">
        <is>
          <t>90,10,0,1</t>
        </is>
      </c>
      <c r="G79" s="19" t="n">
        <v>150.1</v>
      </c>
      <c r="H79" s="20" t="inlineStr">
        <is>
          <t>池-数量；品质权重=青铜,白银,黄金,钻石</t>
        </is>
      </c>
      <c r="I79" s="21" t="n">
        <v>3</v>
      </c>
      <c r="J79" s="21" t="n">
        <v>1.0644</v>
      </c>
      <c r="K79" s="21" t="n">
        <v>47</v>
      </c>
      <c r="L79" s="22" t="inlineStr">
        <is>
          <t>本行威胁=候选池平均效果分×出怪数×品质期望倍率；品质权重顺序=青铜,白银,黄金,钻石</t>
        </is>
      </c>
    </row>
    <row r="80" ht="22" customHeight="1">
      <c r="A80" s="18" t="inlineStr">
        <is>
          <t>wave_d07_afternoon</t>
        </is>
      </c>
      <c r="B80" s="18" t="n">
        <v>7</v>
      </c>
      <c r="C80" s="18" t="inlineStr">
        <is>
          <t>下午</t>
        </is>
      </c>
      <c r="D80" s="18" t="n">
        <v>3</v>
      </c>
      <c r="E80" s="18" t="inlineStr">
        <is>
          <t>1,2,3,4,5-4</t>
        </is>
      </c>
      <c r="F80" s="18" t="inlineStr">
        <is>
          <t>90,10,0,2</t>
        </is>
      </c>
      <c r="G80" s="19" t="n">
        <v>202.7</v>
      </c>
      <c r="H80" s="20" t="inlineStr">
        <is>
          <t>池-数量；品质权重=青铜,白银,黄金,钻石</t>
        </is>
      </c>
      <c r="I80" s="21" t="n">
        <v>4</v>
      </c>
      <c r="J80" s="21" t="n">
        <v>1.0784</v>
      </c>
      <c r="K80" s="21" t="n">
        <v>47</v>
      </c>
      <c r="L80" s="22" t="inlineStr">
        <is>
          <t>本行威胁=候选池平均效果分×出怪数×品质期望倍率；品质权重顺序=青铜,白银,黄金,钻石</t>
        </is>
      </c>
    </row>
    <row r="81" ht="22" customHeight="1">
      <c r="A81" s="18" t="inlineStr">
        <is>
          <t>wave_d07_afternoon</t>
        </is>
      </c>
      <c r="B81" s="18" t="n">
        <v>7</v>
      </c>
      <c r="C81" s="18" t="inlineStr">
        <is>
          <t>下午</t>
        </is>
      </c>
      <c r="D81" s="18" t="n">
        <v>3</v>
      </c>
      <c r="E81" s="18" t="inlineStr">
        <is>
          <t>1,2,3,4,5-4</t>
        </is>
      </c>
      <c r="F81" s="18" t="inlineStr">
        <is>
          <t>90,10,0,2</t>
        </is>
      </c>
      <c r="G81" s="19" t="n">
        <v>202.7</v>
      </c>
      <c r="H81" s="20" t="inlineStr">
        <is>
          <t>池-数量；品质权重=青铜,白银,黄金,钻石</t>
        </is>
      </c>
      <c r="I81" s="21" t="n">
        <v>4</v>
      </c>
      <c r="J81" s="21" t="n">
        <v>1.0784</v>
      </c>
      <c r="K81" s="21" t="n">
        <v>47</v>
      </c>
      <c r="L81" s="22" t="inlineStr">
        <is>
          <t>本行威胁=候选池平均效果分×出怪数×品质期望倍率；品质权重顺序=青铜,白银,黄金,钻石</t>
        </is>
      </c>
    </row>
    <row r="82" ht="22" customHeight="1">
      <c r="A82" s="18" t="inlineStr">
        <is>
          <t>wave_d07_afternoon</t>
        </is>
      </c>
      <c r="B82" s="18" t="n">
        <v>7</v>
      </c>
      <c r="C82" s="18" t="inlineStr">
        <is>
          <t>下午</t>
        </is>
      </c>
      <c r="D82" s="18" t="n">
        <v>4</v>
      </c>
      <c r="E82" s="18" t="inlineStr">
        <is>
          <t>1,2,3,4,5-5</t>
        </is>
      </c>
      <c r="F82" s="18" t="inlineStr">
        <is>
          <t>90,10,0,3</t>
        </is>
      </c>
      <c r="G82" s="19" t="n">
        <v>256.7</v>
      </c>
      <c r="H82" s="20" t="inlineStr">
        <is>
          <t>池-数量；品质权重=青铜,白银,黄金,钻石</t>
        </is>
      </c>
      <c r="I82" s="21" t="n">
        <v>5</v>
      </c>
      <c r="J82" s="21" t="n">
        <v>1.0922</v>
      </c>
      <c r="K82" s="21" t="n">
        <v>47</v>
      </c>
      <c r="L82" s="22" t="inlineStr">
        <is>
          <t>本行威胁=候选池平均效果分×出怪数×品质期望倍率；品质权重顺序=青铜,白银,黄金,钻石</t>
        </is>
      </c>
    </row>
    <row r="83" ht="22" customHeight="1">
      <c r="A83" s="18" t="inlineStr">
        <is>
          <t>wave_d07_afternoon</t>
        </is>
      </c>
      <c r="B83" s="18" t="n">
        <v>7</v>
      </c>
      <c r="C83" s="18" t="inlineStr">
        <is>
          <t>下午</t>
        </is>
      </c>
      <c r="D83" s="18" t="n">
        <v>4</v>
      </c>
      <c r="E83" s="18" t="inlineStr">
        <is>
          <t>1,2,3,4,5-5</t>
        </is>
      </c>
      <c r="F83" s="18" t="inlineStr">
        <is>
          <t>90,10,0,3</t>
        </is>
      </c>
      <c r="G83" s="19" t="n">
        <v>256.7</v>
      </c>
      <c r="H83" s="20" t="inlineStr">
        <is>
          <t>池-数量；品质权重=青铜,白银,黄金,钻石</t>
        </is>
      </c>
      <c r="I83" s="21" t="n">
        <v>5</v>
      </c>
      <c r="J83" s="21" t="n">
        <v>1.0922</v>
      </c>
      <c r="K83" s="21" t="n">
        <v>47</v>
      </c>
      <c r="L83" s="22" t="inlineStr">
        <is>
          <t>本行威胁=候选池平均效果分×出怪数×品质期望倍率；品质权重顺序=青铜,白银,黄金,钻石</t>
        </is>
      </c>
    </row>
    <row r="84" ht="22" customHeight="1">
      <c r="A84" s="18" t="inlineStr">
        <is>
          <t>wave_d07_afternoon</t>
        </is>
      </c>
      <c r="B84" s="18" t="n">
        <v>7</v>
      </c>
      <c r="C84" s="18" t="inlineStr">
        <is>
          <t>下午</t>
        </is>
      </c>
      <c r="D84" s="18" t="n">
        <v>5</v>
      </c>
      <c r="E84" s="18" t="inlineStr">
        <is>
          <t>1,2,3,4,5-6</t>
        </is>
      </c>
      <c r="F84" s="18" t="inlineStr">
        <is>
          <t>90,10,0,4</t>
        </is>
      </c>
      <c r="G84" s="19" t="n">
        <v>311.8</v>
      </c>
      <c r="H84" s="20" t="inlineStr">
        <is>
          <t>池-数量；品质权重=青铜,白银,黄金,钻石</t>
        </is>
      </c>
      <c r="I84" s="21" t="n">
        <v>6</v>
      </c>
      <c r="J84" s="21" t="n">
        <v>1.1058</v>
      </c>
      <c r="K84" s="21" t="n">
        <v>47</v>
      </c>
      <c r="L84" s="22" t="inlineStr">
        <is>
          <t>本行威胁=候选池平均效果分×出怪数×品质期望倍率；品质权重顺序=青铜,白银,黄金,钻石</t>
        </is>
      </c>
    </row>
    <row r="85" ht="22" customHeight="1">
      <c r="A85" s="18" t="inlineStr">
        <is>
          <t>wave_d08_morning</t>
        </is>
      </c>
      <c r="B85" s="18" t="n">
        <v>8</v>
      </c>
      <c r="C85" s="18" t="inlineStr">
        <is>
          <t>上午</t>
        </is>
      </c>
      <c r="D85" s="18" t="n">
        <v>1</v>
      </c>
      <c r="E85" s="18" t="inlineStr">
        <is>
          <t>1,2,3,4,5-2</t>
        </is>
      </c>
      <c r="F85" s="18" t="inlineStr">
        <is>
          <t>90,10,0,0</t>
        </is>
      </c>
      <c r="G85" s="19" t="n">
        <v>98.7</v>
      </c>
      <c r="H85" s="20" t="inlineStr">
        <is>
          <t>池-数量；品质权重=青铜,白银,黄金,钻石</t>
        </is>
      </c>
      <c r="I85" s="21" t="n">
        <v>2</v>
      </c>
      <c r="J85" s="21" t="n">
        <v>1.05</v>
      </c>
      <c r="K85" s="21" t="n">
        <v>47</v>
      </c>
      <c r="L85" s="22" t="inlineStr">
        <is>
          <t>本行威胁=候选池平均效果分×出怪数×品质期望倍率；品质权重顺序=青铜,白银,黄金,钻石</t>
        </is>
      </c>
    </row>
    <row r="86" ht="22" customHeight="1">
      <c r="A86" s="18" t="inlineStr">
        <is>
          <t>wave_d08_morning</t>
        </is>
      </c>
      <c r="B86" s="18" t="n">
        <v>8</v>
      </c>
      <c r="C86" s="18" t="inlineStr">
        <is>
          <t>上午</t>
        </is>
      </c>
      <c r="D86" s="18" t="n">
        <v>2</v>
      </c>
      <c r="E86" s="18" t="inlineStr">
        <is>
          <t>1,2,3,4,5-3</t>
        </is>
      </c>
      <c r="F86" s="18" t="inlineStr">
        <is>
          <t>90,10,0,1</t>
        </is>
      </c>
      <c r="G86" s="19" t="n">
        <v>150.1</v>
      </c>
      <c r="H86" s="20" t="inlineStr">
        <is>
          <t>池-数量；品质权重=青铜,白银,黄金,钻石</t>
        </is>
      </c>
      <c r="I86" s="21" t="n">
        <v>3</v>
      </c>
      <c r="J86" s="21" t="n">
        <v>1.0644</v>
      </c>
      <c r="K86" s="21" t="n">
        <v>47</v>
      </c>
      <c r="L86" s="22" t="inlineStr">
        <is>
          <t>本行威胁=候选池平均效果分×出怪数×品质期望倍率；品质权重顺序=青铜,白银,黄金,钻石</t>
        </is>
      </c>
    </row>
    <row r="87" ht="22" customHeight="1">
      <c r="A87" s="18" t="inlineStr">
        <is>
          <t>wave_d08_morning</t>
        </is>
      </c>
      <c r="B87" s="18" t="n">
        <v>8</v>
      </c>
      <c r="C87" s="18" t="inlineStr">
        <is>
          <t>上午</t>
        </is>
      </c>
      <c r="D87" s="18" t="n">
        <v>2</v>
      </c>
      <c r="E87" s="18" t="inlineStr">
        <is>
          <t>1,2,3,4,5-3</t>
        </is>
      </c>
      <c r="F87" s="18" t="inlineStr">
        <is>
          <t>90,10,0,1</t>
        </is>
      </c>
      <c r="G87" s="19" t="n">
        <v>150.1</v>
      </c>
      <c r="H87" s="20" t="inlineStr">
        <is>
          <t>池-数量；品质权重=青铜,白银,黄金,钻石</t>
        </is>
      </c>
      <c r="I87" s="21" t="n">
        <v>3</v>
      </c>
      <c r="J87" s="21" t="n">
        <v>1.0644</v>
      </c>
      <c r="K87" s="21" t="n">
        <v>47</v>
      </c>
      <c r="L87" s="22" t="inlineStr">
        <is>
          <t>本行威胁=候选池平均效果分×出怪数×品质期望倍率；品质权重顺序=青铜,白银,黄金,钻石</t>
        </is>
      </c>
    </row>
    <row r="88" ht="22" customHeight="1">
      <c r="A88" s="18" t="inlineStr">
        <is>
          <t>wave_d08_morning</t>
        </is>
      </c>
      <c r="B88" s="18" t="n">
        <v>8</v>
      </c>
      <c r="C88" s="18" t="inlineStr">
        <is>
          <t>上午</t>
        </is>
      </c>
      <c r="D88" s="18" t="n">
        <v>3</v>
      </c>
      <c r="E88" s="18" t="inlineStr">
        <is>
          <t>1,2,3,4,5-4</t>
        </is>
      </c>
      <c r="F88" s="18" t="inlineStr">
        <is>
          <t>90,10,0,2</t>
        </is>
      </c>
      <c r="G88" s="19" t="n">
        <v>202.7</v>
      </c>
      <c r="H88" s="20" t="inlineStr">
        <is>
          <t>池-数量；品质权重=青铜,白银,黄金,钻石</t>
        </is>
      </c>
      <c r="I88" s="21" t="n">
        <v>4</v>
      </c>
      <c r="J88" s="21" t="n">
        <v>1.0784</v>
      </c>
      <c r="K88" s="21" t="n">
        <v>47</v>
      </c>
      <c r="L88" s="22" t="inlineStr">
        <is>
          <t>本行威胁=候选池平均效果分×出怪数×品质期望倍率；品质权重顺序=青铜,白银,黄金,钻石</t>
        </is>
      </c>
    </row>
    <row r="89" ht="22" customHeight="1">
      <c r="A89" s="18" t="inlineStr">
        <is>
          <t>wave_d08_morning</t>
        </is>
      </c>
      <c r="B89" s="18" t="n">
        <v>8</v>
      </c>
      <c r="C89" s="18" t="inlineStr">
        <is>
          <t>上午</t>
        </is>
      </c>
      <c r="D89" s="18" t="n">
        <v>3</v>
      </c>
      <c r="E89" s="18" t="inlineStr">
        <is>
          <t>1,2,3,4,5-4</t>
        </is>
      </c>
      <c r="F89" s="18" t="inlineStr">
        <is>
          <t>90,10,0,2</t>
        </is>
      </c>
      <c r="G89" s="19" t="n">
        <v>202.7</v>
      </c>
      <c r="H89" s="20" t="inlineStr">
        <is>
          <t>池-数量；品质权重=青铜,白银,黄金,钻石</t>
        </is>
      </c>
      <c r="I89" s="21" t="n">
        <v>4</v>
      </c>
      <c r="J89" s="21" t="n">
        <v>1.0784</v>
      </c>
      <c r="K89" s="21" t="n">
        <v>47</v>
      </c>
      <c r="L89" s="22" t="inlineStr">
        <is>
          <t>本行威胁=候选池平均效果分×出怪数×品质期望倍率；品质权重顺序=青铜,白银,黄金,钻石</t>
        </is>
      </c>
    </row>
    <row r="90" ht="22" customHeight="1">
      <c r="A90" s="18" t="inlineStr">
        <is>
          <t>wave_d08_morning</t>
        </is>
      </c>
      <c r="B90" s="18" t="n">
        <v>8</v>
      </c>
      <c r="C90" s="18" t="inlineStr">
        <is>
          <t>上午</t>
        </is>
      </c>
      <c r="D90" s="18" t="n">
        <v>4</v>
      </c>
      <c r="E90" s="18" t="inlineStr">
        <is>
          <t>1,2,3,4,5-5</t>
        </is>
      </c>
      <c r="F90" s="18" t="inlineStr">
        <is>
          <t>90,10,0,3</t>
        </is>
      </c>
      <c r="G90" s="19" t="n">
        <v>256.7</v>
      </c>
      <c r="H90" s="20" t="inlineStr">
        <is>
          <t>池-数量；品质权重=青铜,白银,黄金,钻石</t>
        </is>
      </c>
      <c r="I90" s="21" t="n">
        <v>5</v>
      </c>
      <c r="J90" s="21" t="n">
        <v>1.0922</v>
      </c>
      <c r="K90" s="21" t="n">
        <v>47</v>
      </c>
      <c r="L90" s="22" t="inlineStr">
        <is>
          <t>本行威胁=候选池平均效果分×出怪数×品质期望倍率；品质权重顺序=青铜,白银,黄金,钻石</t>
        </is>
      </c>
    </row>
    <row r="91" ht="22" customHeight="1">
      <c r="A91" s="18" t="inlineStr">
        <is>
          <t>wave_d08_morning</t>
        </is>
      </c>
      <c r="B91" s="18" t="n">
        <v>8</v>
      </c>
      <c r="C91" s="18" t="inlineStr">
        <is>
          <t>上午</t>
        </is>
      </c>
      <c r="D91" s="18" t="n">
        <v>4</v>
      </c>
      <c r="E91" s="18" t="inlineStr">
        <is>
          <t>1,2,3,4,5-5</t>
        </is>
      </c>
      <c r="F91" s="18" t="inlineStr">
        <is>
          <t>90,10,0,3</t>
        </is>
      </c>
      <c r="G91" s="19" t="n">
        <v>256.7</v>
      </c>
      <c r="H91" s="20" t="inlineStr">
        <is>
          <t>池-数量；品质权重=青铜,白银,黄金,钻石</t>
        </is>
      </c>
      <c r="I91" s="21" t="n">
        <v>5</v>
      </c>
      <c r="J91" s="21" t="n">
        <v>1.0922</v>
      </c>
      <c r="K91" s="21" t="n">
        <v>47</v>
      </c>
      <c r="L91" s="22" t="inlineStr">
        <is>
          <t>本行威胁=候选池平均效果分×出怪数×品质期望倍率；品质权重顺序=青铜,白银,黄金,钻石</t>
        </is>
      </c>
    </row>
    <row r="92" ht="22" customHeight="1">
      <c r="A92" s="18" t="inlineStr">
        <is>
          <t>wave_d08_morning</t>
        </is>
      </c>
      <c r="B92" s="18" t="n">
        <v>8</v>
      </c>
      <c r="C92" s="18" t="inlineStr">
        <is>
          <t>上午</t>
        </is>
      </c>
      <c r="D92" s="18" t="n">
        <v>5</v>
      </c>
      <c r="E92" s="18" t="inlineStr">
        <is>
          <t>1,2,3,4,5-6</t>
        </is>
      </c>
      <c r="F92" s="18" t="inlineStr">
        <is>
          <t>90,10,0,4</t>
        </is>
      </c>
      <c r="G92" s="19" t="n">
        <v>311.8</v>
      </c>
      <c r="H92" s="20" t="inlineStr">
        <is>
          <t>池-数量；品质权重=青铜,白银,黄金,钻石</t>
        </is>
      </c>
      <c r="I92" s="21" t="n">
        <v>6</v>
      </c>
      <c r="J92" s="21" t="n">
        <v>1.1058</v>
      </c>
      <c r="K92" s="21" t="n">
        <v>47</v>
      </c>
      <c r="L92" s="22" t="inlineStr">
        <is>
          <t>本行威胁=候选池平均效果分×出怪数×品质期望倍率；品质权重顺序=青铜,白银,黄金,钻石</t>
        </is>
      </c>
    </row>
    <row r="93" ht="22" customHeight="1">
      <c r="A93" s="18" t="inlineStr">
        <is>
          <t>wave_d08_afternoon</t>
        </is>
      </c>
      <c r="B93" s="18" t="n">
        <v>8</v>
      </c>
      <c r="C93" s="18" t="inlineStr">
        <is>
          <t>下午</t>
        </is>
      </c>
      <c r="D93" s="18" t="n">
        <v>1</v>
      </c>
      <c r="E93" s="18" t="inlineStr">
        <is>
          <t>1,2,3,4,5-2</t>
        </is>
      </c>
      <c r="F93" s="18" t="inlineStr">
        <is>
          <t>90,10,0,0</t>
        </is>
      </c>
      <c r="G93" s="19" t="n">
        <v>98.7</v>
      </c>
      <c r="H93" s="20" t="inlineStr">
        <is>
          <t>池-数量；品质权重=青铜,白银,黄金,钻石</t>
        </is>
      </c>
      <c r="I93" s="21" t="n">
        <v>2</v>
      </c>
      <c r="J93" s="21" t="n">
        <v>1.05</v>
      </c>
      <c r="K93" s="21" t="n">
        <v>47</v>
      </c>
      <c r="L93" s="22" t="inlineStr">
        <is>
          <t>本行威胁=候选池平均效果分×出怪数×品质期望倍率；品质权重顺序=青铜,白银,黄金,钻石</t>
        </is>
      </c>
    </row>
    <row r="94" ht="22" customHeight="1">
      <c r="A94" s="18" t="inlineStr">
        <is>
          <t>wave_d08_afternoon</t>
        </is>
      </c>
      <c r="B94" s="18" t="n">
        <v>8</v>
      </c>
      <c r="C94" s="18" t="inlineStr">
        <is>
          <t>下午</t>
        </is>
      </c>
      <c r="D94" s="18" t="n">
        <v>2</v>
      </c>
      <c r="E94" s="18" t="inlineStr">
        <is>
          <t>1,2,3,4,5-3</t>
        </is>
      </c>
      <c r="F94" s="18" t="inlineStr">
        <is>
          <t>90,10,0,1</t>
        </is>
      </c>
      <c r="G94" s="19" t="n">
        <v>150.1</v>
      </c>
      <c r="H94" s="20" t="inlineStr">
        <is>
          <t>池-数量；品质权重=青铜,白银,黄金,钻石</t>
        </is>
      </c>
      <c r="I94" s="21" t="n">
        <v>3</v>
      </c>
      <c r="J94" s="21" t="n">
        <v>1.0644</v>
      </c>
      <c r="K94" s="21" t="n">
        <v>47</v>
      </c>
      <c r="L94" s="22" t="inlineStr">
        <is>
          <t>本行威胁=候选池平均效果分×出怪数×品质期望倍率；品质权重顺序=青铜,白银,黄金,钻石</t>
        </is>
      </c>
    </row>
    <row r="95" ht="22" customHeight="1">
      <c r="A95" s="18" t="inlineStr">
        <is>
          <t>wave_d08_afternoon</t>
        </is>
      </c>
      <c r="B95" s="18" t="n">
        <v>8</v>
      </c>
      <c r="C95" s="18" t="inlineStr">
        <is>
          <t>下午</t>
        </is>
      </c>
      <c r="D95" s="18" t="n">
        <v>2</v>
      </c>
      <c r="E95" s="18" t="inlineStr">
        <is>
          <t>1,2,3,4,5-3</t>
        </is>
      </c>
      <c r="F95" s="18" t="inlineStr">
        <is>
          <t>90,10,0,1</t>
        </is>
      </c>
      <c r="G95" s="19" t="n">
        <v>150.1</v>
      </c>
      <c r="H95" s="20" t="inlineStr">
        <is>
          <t>池-数量；品质权重=青铜,白银,黄金,钻石</t>
        </is>
      </c>
      <c r="I95" s="21" t="n">
        <v>3</v>
      </c>
      <c r="J95" s="21" t="n">
        <v>1.0644</v>
      </c>
      <c r="K95" s="21" t="n">
        <v>47</v>
      </c>
      <c r="L95" s="22" t="inlineStr">
        <is>
          <t>本行威胁=候选池平均效果分×出怪数×品质期望倍率；品质权重顺序=青铜,白银,黄金,钻石</t>
        </is>
      </c>
    </row>
    <row r="96" ht="22" customHeight="1">
      <c r="A96" s="18" t="inlineStr">
        <is>
          <t>wave_d08_afternoon</t>
        </is>
      </c>
      <c r="B96" s="18" t="n">
        <v>8</v>
      </c>
      <c r="C96" s="18" t="inlineStr">
        <is>
          <t>下午</t>
        </is>
      </c>
      <c r="D96" s="18" t="n">
        <v>3</v>
      </c>
      <c r="E96" s="18" t="inlineStr">
        <is>
          <t>1,2,3,4,5-4</t>
        </is>
      </c>
      <c r="F96" s="18" t="inlineStr">
        <is>
          <t>90,10,0,2</t>
        </is>
      </c>
      <c r="G96" s="19" t="n">
        <v>202.7</v>
      </c>
      <c r="H96" s="20" t="inlineStr">
        <is>
          <t>池-数量；品质权重=青铜,白银,黄金,钻石</t>
        </is>
      </c>
      <c r="I96" s="21" t="n">
        <v>4</v>
      </c>
      <c r="J96" s="21" t="n">
        <v>1.0784</v>
      </c>
      <c r="K96" s="21" t="n">
        <v>47</v>
      </c>
      <c r="L96" s="22" t="inlineStr">
        <is>
          <t>本行威胁=候选池平均效果分×出怪数×品质期望倍率；品质权重顺序=青铜,白银,黄金,钻石</t>
        </is>
      </c>
    </row>
    <row r="97" ht="22" customHeight="1">
      <c r="A97" s="18" t="inlineStr">
        <is>
          <t>wave_d08_afternoon</t>
        </is>
      </c>
      <c r="B97" s="18" t="n">
        <v>8</v>
      </c>
      <c r="C97" s="18" t="inlineStr">
        <is>
          <t>下午</t>
        </is>
      </c>
      <c r="D97" s="18" t="n">
        <v>3</v>
      </c>
      <c r="E97" s="18" t="inlineStr">
        <is>
          <t>1,2,3,4,5-4</t>
        </is>
      </c>
      <c r="F97" s="18" t="inlineStr">
        <is>
          <t>90,10,0,2</t>
        </is>
      </c>
      <c r="G97" s="19" t="n">
        <v>202.7</v>
      </c>
      <c r="H97" s="20" t="inlineStr">
        <is>
          <t>池-数量；品质权重=青铜,白银,黄金,钻石</t>
        </is>
      </c>
      <c r="I97" s="21" t="n">
        <v>4</v>
      </c>
      <c r="J97" s="21" t="n">
        <v>1.0784</v>
      </c>
      <c r="K97" s="21" t="n">
        <v>47</v>
      </c>
      <c r="L97" s="22" t="inlineStr">
        <is>
          <t>本行威胁=候选池平均效果分×出怪数×品质期望倍率；品质权重顺序=青铜,白银,黄金,钻石</t>
        </is>
      </c>
    </row>
    <row r="98" ht="22" customHeight="1">
      <c r="A98" s="18" t="inlineStr">
        <is>
          <t>wave_d08_afternoon</t>
        </is>
      </c>
      <c r="B98" s="18" t="n">
        <v>8</v>
      </c>
      <c r="C98" s="18" t="inlineStr">
        <is>
          <t>下午</t>
        </is>
      </c>
      <c r="D98" s="18" t="n">
        <v>4</v>
      </c>
      <c r="E98" s="18" t="inlineStr">
        <is>
          <t>1,2,3,4,5-5</t>
        </is>
      </c>
      <c r="F98" s="18" t="inlineStr">
        <is>
          <t>90,10,0,3</t>
        </is>
      </c>
      <c r="G98" s="19" t="n">
        <v>256.7</v>
      </c>
      <c r="H98" s="20" t="inlineStr">
        <is>
          <t>池-数量；品质权重=青铜,白银,黄金,钻石</t>
        </is>
      </c>
      <c r="I98" s="21" t="n">
        <v>5</v>
      </c>
      <c r="J98" s="21" t="n">
        <v>1.0922</v>
      </c>
      <c r="K98" s="21" t="n">
        <v>47</v>
      </c>
      <c r="L98" s="22" t="inlineStr">
        <is>
          <t>本行威胁=候选池平均效果分×出怪数×品质期望倍率；品质权重顺序=青铜,白银,黄金,钻石</t>
        </is>
      </c>
    </row>
    <row r="99" ht="22" customHeight="1">
      <c r="A99" s="18" t="inlineStr">
        <is>
          <t>wave_d08_afternoon</t>
        </is>
      </c>
      <c r="B99" s="18" t="n">
        <v>8</v>
      </c>
      <c r="C99" s="18" t="inlineStr">
        <is>
          <t>下午</t>
        </is>
      </c>
      <c r="D99" s="18" t="n">
        <v>4</v>
      </c>
      <c r="E99" s="18" t="inlineStr">
        <is>
          <t>1,2,3,4,5-5</t>
        </is>
      </c>
      <c r="F99" s="18" t="inlineStr">
        <is>
          <t>90,10,0,3</t>
        </is>
      </c>
      <c r="G99" s="19" t="n">
        <v>256.7</v>
      </c>
      <c r="H99" s="20" t="inlineStr">
        <is>
          <t>池-数量；品质权重=青铜,白银,黄金,钻石</t>
        </is>
      </c>
      <c r="I99" s="21" t="n">
        <v>5</v>
      </c>
      <c r="J99" s="21" t="n">
        <v>1.0922</v>
      </c>
      <c r="K99" s="21" t="n">
        <v>47</v>
      </c>
      <c r="L99" s="22" t="inlineStr">
        <is>
          <t>本行威胁=候选池平均效果分×出怪数×品质期望倍率；品质权重顺序=青铜,白银,黄金,钻石</t>
        </is>
      </c>
    </row>
    <row r="100" ht="22" customHeight="1">
      <c r="A100" s="18" t="inlineStr">
        <is>
          <t>wave_d08_afternoon</t>
        </is>
      </c>
      <c r="B100" s="18" t="n">
        <v>8</v>
      </c>
      <c r="C100" s="18" t="inlineStr">
        <is>
          <t>下午</t>
        </is>
      </c>
      <c r="D100" s="18" t="n">
        <v>5</v>
      </c>
      <c r="E100" s="18" t="inlineStr">
        <is>
          <t>1,2,3,4,5-6</t>
        </is>
      </c>
      <c r="F100" s="18" t="inlineStr">
        <is>
          <t>90,10,0,4</t>
        </is>
      </c>
      <c r="G100" s="19" t="n">
        <v>311.8</v>
      </c>
      <c r="H100" s="20" t="inlineStr">
        <is>
          <t>池-数量；品质权重=青铜,白银,黄金,钻石</t>
        </is>
      </c>
      <c r="I100" s="21" t="n">
        <v>6</v>
      </c>
      <c r="J100" s="21" t="n">
        <v>1.1058</v>
      </c>
      <c r="K100" s="21" t="n">
        <v>47</v>
      </c>
      <c r="L100" s="22" t="inlineStr">
        <is>
          <t>本行威胁=候选池平均效果分×出怪数×品质期望倍率；品质权重顺序=青铜,白银,黄金,钻石</t>
        </is>
      </c>
    </row>
    <row r="101" ht="22" customHeight="1">
      <c r="A101" s="18" t="inlineStr">
        <is>
          <t>wave_d09_morning</t>
        </is>
      </c>
      <c r="B101" s="18" t="n">
        <v>9</v>
      </c>
      <c r="C101" s="18" t="inlineStr">
        <is>
          <t>上午</t>
        </is>
      </c>
      <c r="D101" s="18" t="n">
        <v>1</v>
      </c>
      <c r="E101" s="18" t="inlineStr">
        <is>
          <t>1,2,3,4,5-2</t>
        </is>
      </c>
      <c r="F101" s="18" t="inlineStr">
        <is>
          <t>90,10,0,0</t>
        </is>
      </c>
      <c r="G101" s="19" t="n">
        <v>98.7</v>
      </c>
      <c r="H101" s="20" t="inlineStr">
        <is>
          <t>池-数量；品质权重=青铜,白银,黄金,钻石</t>
        </is>
      </c>
      <c r="I101" s="21" t="n">
        <v>2</v>
      </c>
      <c r="J101" s="21" t="n">
        <v>1.05</v>
      </c>
      <c r="K101" s="21" t="n">
        <v>47</v>
      </c>
      <c r="L101" s="22" t="inlineStr">
        <is>
          <t>本行威胁=候选池平均效果分×出怪数×品质期望倍率；品质权重顺序=青铜,白银,黄金,钻石</t>
        </is>
      </c>
    </row>
    <row r="102" ht="22" customHeight="1">
      <c r="A102" s="18" t="inlineStr">
        <is>
          <t>wave_d09_morning</t>
        </is>
      </c>
      <c r="B102" s="18" t="n">
        <v>9</v>
      </c>
      <c r="C102" s="18" t="inlineStr">
        <is>
          <t>上午</t>
        </is>
      </c>
      <c r="D102" s="18" t="n">
        <v>2</v>
      </c>
      <c r="E102" s="18" t="inlineStr">
        <is>
          <t>1,2,3,4,5-3</t>
        </is>
      </c>
      <c r="F102" s="18" t="inlineStr">
        <is>
          <t>90,10,0,1</t>
        </is>
      </c>
      <c r="G102" s="19" t="n">
        <v>150.1</v>
      </c>
      <c r="H102" s="20" t="inlineStr">
        <is>
          <t>池-数量；品质权重=青铜,白银,黄金,钻石</t>
        </is>
      </c>
      <c r="I102" s="21" t="n">
        <v>3</v>
      </c>
      <c r="J102" s="21" t="n">
        <v>1.0644</v>
      </c>
      <c r="K102" s="21" t="n">
        <v>47</v>
      </c>
      <c r="L102" s="22" t="inlineStr">
        <is>
          <t>本行威胁=候选池平均效果分×出怪数×品质期望倍率；品质权重顺序=青铜,白银,黄金,钻石</t>
        </is>
      </c>
    </row>
    <row r="103" ht="22" customHeight="1">
      <c r="A103" s="18" t="inlineStr">
        <is>
          <t>wave_d09_morning</t>
        </is>
      </c>
      <c r="B103" s="18" t="n">
        <v>9</v>
      </c>
      <c r="C103" s="18" t="inlineStr">
        <is>
          <t>上午</t>
        </is>
      </c>
      <c r="D103" s="18" t="n">
        <v>2</v>
      </c>
      <c r="E103" s="18" t="inlineStr">
        <is>
          <t>1,2,3,4,5-3</t>
        </is>
      </c>
      <c r="F103" s="18" t="inlineStr">
        <is>
          <t>90,10,0,1</t>
        </is>
      </c>
      <c r="G103" s="19" t="n">
        <v>150.1</v>
      </c>
      <c r="H103" s="20" t="inlineStr">
        <is>
          <t>池-数量；品质权重=青铜,白银,黄金,钻石</t>
        </is>
      </c>
      <c r="I103" s="21" t="n">
        <v>3</v>
      </c>
      <c r="J103" s="21" t="n">
        <v>1.0644</v>
      </c>
      <c r="K103" s="21" t="n">
        <v>47</v>
      </c>
      <c r="L103" s="22" t="inlineStr">
        <is>
          <t>本行威胁=候选池平均效果分×出怪数×品质期望倍率；品质权重顺序=青铜,白银,黄金,钻石</t>
        </is>
      </c>
    </row>
    <row r="104" ht="22" customHeight="1">
      <c r="A104" s="18" t="inlineStr">
        <is>
          <t>wave_d09_morning</t>
        </is>
      </c>
      <c r="B104" s="18" t="n">
        <v>9</v>
      </c>
      <c r="C104" s="18" t="inlineStr">
        <is>
          <t>上午</t>
        </is>
      </c>
      <c r="D104" s="18" t="n">
        <v>3</v>
      </c>
      <c r="E104" s="18" t="inlineStr">
        <is>
          <t>1,2,3,4,5-4</t>
        </is>
      </c>
      <c r="F104" s="18" t="inlineStr">
        <is>
          <t>90,10,0,2</t>
        </is>
      </c>
      <c r="G104" s="19" t="n">
        <v>202.7</v>
      </c>
      <c r="H104" s="20" t="inlineStr">
        <is>
          <t>池-数量；品质权重=青铜,白银,黄金,钻石</t>
        </is>
      </c>
      <c r="I104" s="21" t="n">
        <v>4</v>
      </c>
      <c r="J104" s="21" t="n">
        <v>1.0784</v>
      </c>
      <c r="K104" s="21" t="n">
        <v>47</v>
      </c>
      <c r="L104" s="22" t="inlineStr">
        <is>
          <t>本行威胁=候选池平均效果分×出怪数×品质期望倍率；品质权重顺序=青铜,白银,黄金,钻石</t>
        </is>
      </c>
    </row>
    <row r="105" ht="22" customHeight="1">
      <c r="A105" s="18" t="inlineStr">
        <is>
          <t>wave_d09_morning</t>
        </is>
      </c>
      <c r="B105" s="18" t="n">
        <v>9</v>
      </c>
      <c r="C105" s="18" t="inlineStr">
        <is>
          <t>上午</t>
        </is>
      </c>
      <c r="D105" s="18" t="n">
        <v>3</v>
      </c>
      <c r="E105" s="18" t="inlineStr">
        <is>
          <t>1,2,3,4,5-4</t>
        </is>
      </c>
      <c r="F105" s="18" t="inlineStr">
        <is>
          <t>90,10,0,2</t>
        </is>
      </c>
      <c r="G105" s="19" t="n">
        <v>202.7</v>
      </c>
      <c r="H105" s="20" t="inlineStr">
        <is>
          <t>池-数量；品质权重=青铜,白银,黄金,钻石</t>
        </is>
      </c>
      <c r="I105" s="21" t="n">
        <v>4</v>
      </c>
      <c r="J105" s="21" t="n">
        <v>1.0784</v>
      </c>
      <c r="K105" s="21" t="n">
        <v>47</v>
      </c>
      <c r="L105" s="22" t="inlineStr">
        <is>
          <t>本行威胁=候选池平均效果分×出怪数×品质期望倍率；品质权重顺序=青铜,白银,黄金,钻石</t>
        </is>
      </c>
    </row>
    <row r="106" ht="22" customHeight="1">
      <c r="A106" s="18" t="inlineStr">
        <is>
          <t>wave_d09_morning</t>
        </is>
      </c>
      <c r="B106" s="18" t="n">
        <v>9</v>
      </c>
      <c r="C106" s="18" t="inlineStr">
        <is>
          <t>上午</t>
        </is>
      </c>
      <c r="D106" s="18" t="n">
        <v>4</v>
      </c>
      <c r="E106" s="18" t="inlineStr">
        <is>
          <t>1,2,3,4,5-5</t>
        </is>
      </c>
      <c r="F106" s="18" t="inlineStr">
        <is>
          <t>90,10,0,3</t>
        </is>
      </c>
      <c r="G106" s="19" t="n">
        <v>256.7</v>
      </c>
      <c r="H106" s="20" t="inlineStr">
        <is>
          <t>池-数量；品质权重=青铜,白银,黄金,钻石</t>
        </is>
      </c>
      <c r="I106" s="21" t="n">
        <v>5</v>
      </c>
      <c r="J106" s="21" t="n">
        <v>1.0922</v>
      </c>
      <c r="K106" s="21" t="n">
        <v>47</v>
      </c>
      <c r="L106" s="22" t="inlineStr">
        <is>
          <t>本行威胁=候选池平均效果分×出怪数×品质期望倍率；品质权重顺序=青铜,白银,黄金,钻石</t>
        </is>
      </c>
    </row>
    <row r="107" ht="22" customHeight="1">
      <c r="A107" s="18" t="inlineStr">
        <is>
          <t>wave_d09_morning</t>
        </is>
      </c>
      <c r="B107" s="18" t="n">
        <v>9</v>
      </c>
      <c r="C107" s="18" t="inlineStr">
        <is>
          <t>上午</t>
        </is>
      </c>
      <c r="D107" s="18" t="n">
        <v>4</v>
      </c>
      <c r="E107" s="18" t="inlineStr">
        <is>
          <t>1,2,3,4,5-5</t>
        </is>
      </c>
      <c r="F107" s="18" t="inlineStr">
        <is>
          <t>90,10,0,3</t>
        </is>
      </c>
      <c r="G107" s="19" t="n">
        <v>256.7</v>
      </c>
      <c r="H107" s="20" t="inlineStr">
        <is>
          <t>池-数量；品质权重=青铜,白银,黄金,钻石</t>
        </is>
      </c>
      <c r="I107" s="21" t="n">
        <v>5</v>
      </c>
      <c r="J107" s="21" t="n">
        <v>1.0922</v>
      </c>
      <c r="K107" s="21" t="n">
        <v>47</v>
      </c>
      <c r="L107" s="22" t="inlineStr">
        <is>
          <t>本行威胁=候选池平均效果分×出怪数×品质期望倍率；品质权重顺序=青铜,白银,黄金,钻石</t>
        </is>
      </c>
    </row>
    <row r="108" ht="22" customHeight="1">
      <c r="A108" s="18" t="inlineStr">
        <is>
          <t>wave_d09_morning</t>
        </is>
      </c>
      <c r="B108" s="18" t="n">
        <v>9</v>
      </c>
      <c r="C108" s="18" t="inlineStr">
        <is>
          <t>上午</t>
        </is>
      </c>
      <c r="D108" s="18" t="n">
        <v>5</v>
      </c>
      <c r="E108" s="18" t="inlineStr">
        <is>
          <t>1,2,3,4,5-6</t>
        </is>
      </c>
      <c r="F108" s="18" t="inlineStr">
        <is>
          <t>90,10,0,4</t>
        </is>
      </c>
      <c r="G108" s="19" t="n">
        <v>311.8</v>
      </c>
      <c r="H108" s="20" t="inlineStr">
        <is>
          <t>池-数量；品质权重=青铜,白银,黄金,钻石</t>
        </is>
      </c>
      <c r="I108" s="21" t="n">
        <v>6</v>
      </c>
      <c r="J108" s="21" t="n">
        <v>1.1058</v>
      </c>
      <c r="K108" s="21" t="n">
        <v>47</v>
      </c>
      <c r="L108" s="22" t="inlineStr">
        <is>
          <t>本行威胁=候选池平均效果分×出怪数×品质期望倍率；品质权重顺序=青铜,白银,黄金,钻石</t>
        </is>
      </c>
    </row>
    <row r="109" ht="22" customHeight="1">
      <c r="A109" s="18" t="inlineStr">
        <is>
          <t>wave_d09_afternoon</t>
        </is>
      </c>
      <c r="B109" s="18" t="n">
        <v>9</v>
      </c>
      <c r="C109" s="18" t="inlineStr">
        <is>
          <t>下午</t>
        </is>
      </c>
      <c r="D109" s="18" t="n">
        <v>1</v>
      </c>
      <c r="E109" s="18" t="inlineStr">
        <is>
          <t>1,2,3,4,5-2</t>
        </is>
      </c>
      <c r="F109" s="18" t="inlineStr">
        <is>
          <t>90,10,0,0</t>
        </is>
      </c>
      <c r="G109" s="19" t="n">
        <v>98.7</v>
      </c>
      <c r="H109" s="20" t="inlineStr">
        <is>
          <t>池-数量；品质权重=青铜,白银,黄金,钻石</t>
        </is>
      </c>
      <c r="I109" s="21" t="n">
        <v>2</v>
      </c>
      <c r="J109" s="21" t="n">
        <v>1.05</v>
      </c>
      <c r="K109" s="21" t="n">
        <v>47</v>
      </c>
      <c r="L109" s="22" t="inlineStr">
        <is>
          <t>本行威胁=候选池平均效果分×出怪数×品质期望倍率；品质权重顺序=青铜,白银,黄金,钻石</t>
        </is>
      </c>
    </row>
    <row r="110" ht="22" customHeight="1">
      <c r="A110" s="18" t="inlineStr">
        <is>
          <t>wave_d09_afternoon</t>
        </is>
      </c>
      <c r="B110" s="18" t="n">
        <v>9</v>
      </c>
      <c r="C110" s="18" t="inlineStr">
        <is>
          <t>下午</t>
        </is>
      </c>
      <c r="D110" s="18" t="n">
        <v>2</v>
      </c>
      <c r="E110" s="18" t="inlineStr">
        <is>
          <t>1,2,3,4,5-3</t>
        </is>
      </c>
      <c r="F110" s="18" t="inlineStr">
        <is>
          <t>90,10,0,1</t>
        </is>
      </c>
      <c r="G110" s="19" t="n">
        <v>150.1</v>
      </c>
      <c r="H110" s="20" t="inlineStr">
        <is>
          <t>池-数量；品质权重=青铜,白银,黄金,钻石</t>
        </is>
      </c>
      <c r="I110" s="21" t="n">
        <v>3</v>
      </c>
      <c r="J110" s="21" t="n">
        <v>1.0644</v>
      </c>
      <c r="K110" s="21" t="n">
        <v>47</v>
      </c>
      <c r="L110" s="22" t="inlineStr">
        <is>
          <t>本行威胁=候选池平均效果分×出怪数×品质期望倍率；品质权重顺序=青铜,白银,黄金,钻石</t>
        </is>
      </c>
    </row>
    <row r="111" ht="22" customHeight="1">
      <c r="A111" s="18" t="inlineStr">
        <is>
          <t>wave_d09_afternoon</t>
        </is>
      </c>
      <c r="B111" s="18" t="n">
        <v>9</v>
      </c>
      <c r="C111" s="18" t="inlineStr">
        <is>
          <t>下午</t>
        </is>
      </c>
      <c r="D111" s="18" t="n">
        <v>2</v>
      </c>
      <c r="E111" s="18" t="inlineStr">
        <is>
          <t>1,2,3,4,5-3</t>
        </is>
      </c>
      <c r="F111" s="18" t="inlineStr">
        <is>
          <t>90,10,0,1</t>
        </is>
      </c>
      <c r="G111" s="19" t="n">
        <v>150.1</v>
      </c>
      <c r="H111" s="20" t="inlineStr">
        <is>
          <t>池-数量；品质权重=青铜,白银,黄金,钻石</t>
        </is>
      </c>
      <c r="I111" s="21" t="n">
        <v>3</v>
      </c>
      <c r="J111" s="21" t="n">
        <v>1.0644</v>
      </c>
      <c r="K111" s="21" t="n">
        <v>47</v>
      </c>
      <c r="L111" s="22" t="inlineStr">
        <is>
          <t>本行威胁=候选池平均效果分×出怪数×品质期望倍率；品质权重顺序=青铜,白银,黄金,钻石</t>
        </is>
      </c>
    </row>
    <row r="112" ht="22" customHeight="1">
      <c r="A112" s="18" t="inlineStr">
        <is>
          <t>wave_d09_afternoon</t>
        </is>
      </c>
      <c r="B112" s="18" t="n">
        <v>9</v>
      </c>
      <c r="C112" s="18" t="inlineStr">
        <is>
          <t>下午</t>
        </is>
      </c>
      <c r="D112" s="18" t="n">
        <v>3</v>
      </c>
      <c r="E112" s="18" t="inlineStr">
        <is>
          <t>1,2,3,4,5-4</t>
        </is>
      </c>
      <c r="F112" s="18" t="inlineStr">
        <is>
          <t>90,10,0,2</t>
        </is>
      </c>
      <c r="G112" s="19" t="n">
        <v>202.7</v>
      </c>
      <c r="H112" s="20" t="inlineStr">
        <is>
          <t>池-数量；品质权重=青铜,白银,黄金,钻石</t>
        </is>
      </c>
      <c r="I112" s="21" t="n">
        <v>4</v>
      </c>
      <c r="J112" s="21" t="n">
        <v>1.0784</v>
      </c>
      <c r="K112" s="21" t="n">
        <v>47</v>
      </c>
      <c r="L112" s="22" t="inlineStr">
        <is>
          <t>本行威胁=候选池平均效果分×出怪数×品质期望倍率；品质权重顺序=青铜,白银,黄金,钻石</t>
        </is>
      </c>
    </row>
    <row r="113" ht="22" customHeight="1">
      <c r="A113" s="18" t="inlineStr">
        <is>
          <t>wave_d09_afternoon</t>
        </is>
      </c>
      <c r="B113" s="18" t="n">
        <v>9</v>
      </c>
      <c r="C113" s="18" t="inlineStr">
        <is>
          <t>下午</t>
        </is>
      </c>
      <c r="D113" s="18" t="n">
        <v>4</v>
      </c>
      <c r="E113" s="18" t="inlineStr">
        <is>
          <t>1,2,3,4,5-5</t>
        </is>
      </c>
      <c r="F113" s="18" t="inlineStr">
        <is>
          <t>90,10,0,3</t>
        </is>
      </c>
      <c r="G113" s="19" t="n">
        <v>256.7</v>
      </c>
      <c r="H113" s="20" t="inlineStr">
        <is>
          <t>池-数量；品质权重=青铜,白银,黄金,钻石</t>
        </is>
      </c>
      <c r="I113" s="21" t="n">
        <v>5</v>
      </c>
      <c r="J113" s="21" t="n">
        <v>1.0922</v>
      </c>
      <c r="K113" s="21" t="n">
        <v>47</v>
      </c>
      <c r="L113" s="22" t="inlineStr">
        <is>
          <t>本行威胁=候选池平均效果分×出怪数×品质期望倍率；品质权重顺序=青铜,白银,黄金,钻石</t>
        </is>
      </c>
    </row>
    <row r="114" ht="22" customHeight="1">
      <c r="A114" s="18" t="inlineStr">
        <is>
          <t>wave_d09_afternoon</t>
        </is>
      </c>
      <c r="B114" s="18" t="n">
        <v>9</v>
      </c>
      <c r="C114" s="18" t="inlineStr">
        <is>
          <t>下午</t>
        </is>
      </c>
      <c r="D114" s="18" t="n">
        <v>4</v>
      </c>
      <c r="E114" s="18" t="inlineStr">
        <is>
          <t>1,2,3,4,5-5</t>
        </is>
      </c>
      <c r="F114" s="18" t="inlineStr">
        <is>
          <t>90,10,0,3</t>
        </is>
      </c>
      <c r="G114" s="19" t="n">
        <v>256.7</v>
      </c>
      <c r="H114" s="20" t="inlineStr">
        <is>
          <t>池-数量；品质权重=青铜,白银,黄金,钻石</t>
        </is>
      </c>
      <c r="I114" s="21" t="n">
        <v>5</v>
      </c>
      <c r="J114" s="21" t="n">
        <v>1.0922</v>
      </c>
      <c r="K114" s="21" t="n">
        <v>47</v>
      </c>
      <c r="L114" s="22" t="inlineStr">
        <is>
          <t>本行威胁=候选池平均效果分×出怪数×品质期望倍率；品质权重顺序=青铜,白银,黄金,钻石</t>
        </is>
      </c>
    </row>
    <row r="115" ht="22" customHeight="1">
      <c r="A115" s="18" t="inlineStr">
        <is>
          <t>wave_d09_afternoon</t>
        </is>
      </c>
      <c r="B115" s="18" t="n">
        <v>9</v>
      </c>
      <c r="C115" s="18" t="inlineStr">
        <is>
          <t>下午</t>
        </is>
      </c>
      <c r="D115" s="18" t="n">
        <v>5</v>
      </c>
      <c r="E115" s="18" t="inlineStr">
        <is>
          <t>1,2,3,4,5-6</t>
        </is>
      </c>
      <c r="F115" s="18" t="inlineStr">
        <is>
          <t>90,10,0,4</t>
        </is>
      </c>
      <c r="G115" s="19" t="n">
        <v>311.8</v>
      </c>
      <c r="H115" s="20" t="inlineStr">
        <is>
          <t>池-数量；品质权重=青铜,白银,黄金,钻石</t>
        </is>
      </c>
      <c r="I115" s="21" t="n">
        <v>6</v>
      </c>
      <c r="J115" s="21" t="n">
        <v>1.1058</v>
      </c>
      <c r="K115" s="21" t="n">
        <v>47</v>
      </c>
      <c r="L115" s="22" t="inlineStr">
        <is>
          <t>本行威胁=候选池平均效果分×出怪数×品质期望倍率；品质权重顺序=青铜,白银,黄金,钻石</t>
        </is>
      </c>
    </row>
    <row r="116" ht="22" customHeight="1">
      <c r="A116" s="18" t="inlineStr">
        <is>
          <t>wave_d09_afternoon</t>
        </is>
      </c>
      <c r="B116" s="18" t="n">
        <v>9</v>
      </c>
      <c r="C116" s="18" t="inlineStr">
        <is>
          <t>下午</t>
        </is>
      </c>
      <c r="D116" s="18" t="n">
        <v>5</v>
      </c>
      <c r="E116" s="18" t="inlineStr">
        <is>
          <t>1,2,3,4,5-6</t>
        </is>
      </c>
      <c r="F116" s="18" t="inlineStr">
        <is>
          <t>90,10,0,4</t>
        </is>
      </c>
      <c r="G116" s="19" t="n">
        <v>311.8</v>
      </c>
      <c r="H116" s="20" t="inlineStr">
        <is>
          <t>池-数量；品质权重=青铜,白银,黄金,钻石</t>
        </is>
      </c>
      <c r="I116" s="21" t="n">
        <v>6</v>
      </c>
      <c r="J116" s="21" t="n">
        <v>1.1058</v>
      </c>
      <c r="K116" s="21" t="n">
        <v>47</v>
      </c>
      <c r="L116" s="22" t="inlineStr">
        <is>
          <t>本行威胁=候选池平均效果分×出怪数×品质期望倍率；品质权重顺序=青铜,白银,黄金,钻石</t>
        </is>
      </c>
    </row>
    <row r="117" ht="22" customHeight="1">
      <c r="A117" s="18" t="inlineStr">
        <is>
          <t>wave_d10_morning</t>
        </is>
      </c>
      <c r="B117" s="18" t="n">
        <v>10</v>
      </c>
      <c r="C117" s="18" t="inlineStr">
        <is>
          <t>上午</t>
        </is>
      </c>
      <c r="D117" s="18" t="n">
        <v>1</v>
      </c>
      <c r="E117" s="18" t="inlineStr">
        <is>
          <t>1,2,3,4,5-2</t>
        </is>
      </c>
      <c r="F117" s="18" t="inlineStr">
        <is>
          <t>90,10,0,0</t>
        </is>
      </c>
      <c r="G117" s="19" t="n">
        <v>98.7</v>
      </c>
      <c r="H117" s="20" t="inlineStr">
        <is>
          <t>池-数量；品质权重=青铜,白银,黄金,钻石</t>
        </is>
      </c>
      <c r="I117" s="21" t="n">
        <v>2</v>
      </c>
      <c r="J117" s="21" t="n">
        <v>1.05</v>
      </c>
      <c r="K117" s="21" t="n">
        <v>47</v>
      </c>
      <c r="L117" s="22" t="inlineStr">
        <is>
          <t>本行威胁=候选池平均效果分×出怪数×品质期望倍率；品质权重顺序=青铜,白银,黄金,钻石</t>
        </is>
      </c>
    </row>
    <row r="118" ht="22" customHeight="1">
      <c r="A118" s="18" t="inlineStr">
        <is>
          <t>wave_d10_morning</t>
        </is>
      </c>
      <c r="B118" s="18" t="n">
        <v>10</v>
      </c>
      <c r="C118" s="18" t="inlineStr">
        <is>
          <t>上午</t>
        </is>
      </c>
      <c r="D118" s="18" t="n">
        <v>2</v>
      </c>
      <c r="E118" s="18" t="inlineStr">
        <is>
          <t>1,2,3,4,5-3</t>
        </is>
      </c>
      <c r="F118" s="18" t="inlineStr">
        <is>
          <t>90,10,0,1</t>
        </is>
      </c>
      <c r="G118" s="19" t="n">
        <v>150.1</v>
      </c>
      <c r="H118" s="20" t="inlineStr">
        <is>
          <t>池-数量；品质权重=青铜,白银,黄金,钻石</t>
        </is>
      </c>
      <c r="I118" s="21" t="n">
        <v>3</v>
      </c>
      <c r="J118" s="21" t="n">
        <v>1.0644</v>
      </c>
      <c r="K118" s="21" t="n">
        <v>47</v>
      </c>
      <c r="L118" s="22" t="inlineStr">
        <is>
          <t>本行威胁=候选池平均效果分×出怪数×品质期望倍率；品质权重顺序=青铜,白银,黄金,钻石</t>
        </is>
      </c>
    </row>
    <row r="119" ht="22" customHeight="1">
      <c r="A119" s="18" t="inlineStr">
        <is>
          <t>wave_d10_morning</t>
        </is>
      </c>
      <c r="B119" s="18" t="n">
        <v>10</v>
      </c>
      <c r="C119" s="18" t="inlineStr">
        <is>
          <t>上午</t>
        </is>
      </c>
      <c r="D119" s="18" t="n">
        <v>2</v>
      </c>
      <c r="E119" s="18" t="inlineStr">
        <is>
          <t>1,2,3,4,5-3</t>
        </is>
      </c>
      <c r="F119" s="18" t="inlineStr">
        <is>
          <t>90,10,0,1</t>
        </is>
      </c>
      <c r="G119" s="19" t="n">
        <v>150.1</v>
      </c>
      <c r="H119" s="20" t="inlineStr">
        <is>
          <t>池-数量；品质权重=青铜,白银,黄金,钻石</t>
        </is>
      </c>
      <c r="I119" s="21" t="n">
        <v>3</v>
      </c>
      <c r="J119" s="21" t="n">
        <v>1.0644</v>
      </c>
      <c r="K119" s="21" t="n">
        <v>47</v>
      </c>
      <c r="L119" s="22" t="inlineStr">
        <is>
          <t>本行威胁=候选池平均效果分×出怪数×品质期望倍率；品质权重顺序=青铜,白银,黄金,钻石</t>
        </is>
      </c>
    </row>
    <row r="120" ht="22" customHeight="1">
      <c r="A120" s="18" t="inlineStr">
        <is>
          <t>wave_d10_morning</t>
        </is>
      </c>
      <c r="B120" s="18" t="n">
        <v>10</v>
      </c>
      <c r="C120" s="18" t="inlineStr">
        <is>
          <t>上午</t>
        </is>
      </c>
      <c r="D120" s="18" t="n">
        <v>3</v>
      </c>
      <c r="E120" s="18" t="inlineStr">
        <is>
          <t>1,2,3,4,5-4</t>
        </is>
      </c>
      <c r="F120" s="18" t="inlineStr">
        <is>
          <t>90,10,0,2</t>
        </is>
      </c>
      <c r="G120" s="19" t="n">
        <v>202.7</v>
      </c>
      <c r="H120" s="20" t="inlineStr">
        <is>
          <t>池-数量；品质权重=青铜,白银,黄金,钻石</t>
        </is>
      </c>
      <c r="I120" s="21" t="n">
        <v>4</v>
      </c>
      <c r="J120" s="21" t="n">
        <v>1.0784</v>
      </c>
      <c r="K120" s="21" t="n">
        <v>47</v>
      </c>
      <c r="L120" s="22" t="inlineStr">
        <is>
          <t>本行威胁=候选池平均效果分×出怪数×品质期望倍率；品质权重顺序=青铜,白银,黄金,钻石</t>
        </is>
      </c>
    </row>
    <row r="121" ht="22" customHeight="1">
      <c r="A121" s="18" t="inlineStr">
        <is>
          <t>wave_d10_morning</t>
        </is>
      </c>
      <c r="B121" s="18" t="n">
        <v>10</v>
      </c>
      <c r="C121" s="18" t="inlineStr">
        <is>
          <t>上午</t>
        </is>
      </c>
      <c r="D121" s="18" t="n">
        <v>3</v>
      </c>
      <c r="E121" s="18" t="inlineStr">
        <is>
          <t>1,2,3,4,5-4</t>
        </is>
      </c>
      <c r="F121" s="18" t="inlineStr">
        <is>
          <t>90,10,0,2</t>
        </is>
      </c>
      <c r="G121" s="19" t="n">
        <v>202.7</v>
      </c>
      <c r="H121" s="20" t="inlineStr">
        <is>
          <t>池-数量；品质权重=青铜,白银,黄金,钻石</t>
        </is>
      </c>
      <c r="I121" s="21" t="n">
        <v>4</v>
      </c>
      <c r="J121" s="21" t="n">
        <v>1.0784</v>
      </c>
      <c r="K121" s="21" t="n">
        <v>47</v>
      </c>
      <c r="L121" s="22" t="inlineStr">
        <is>
          <t>本行威胁=候选池平均效果分×出怪数×品质期望倍率；品质权重顺序=青铜,白银,黄金,钻石</t>
        </is>
      </c>
    </row>
    <row r="122" ht="22" customHeight="1">
      <c r="A122" s="18" t="inlineStr">
        <is>
          <t>wave_d10_morning</t>
        </is>
      </c>
      <c r="B122" s="18" t="n">
        <v>10</v>
      </c>
      <c r="C122" s="18" t="inlineStr">
        <is>
          <t>上午</t>
        </is>
      </c>
      <c r="D122" s="18" t="n">
        <v>4</v>
      </c>
      <c r="E122" s="18" t="inlineStr">
        <is>
          <t>1,2,3,4,5-5</t>
        </is>
      </c>
      <c r="F122" s="18" t="inlineStr">
        <is>
          <t>90,10,0,3</t>
        </is>
      </c>
      <c r="G122" s="19" t="n">
        <v>256.7</v>
      </c>
      <c r="H122" s="20" t="inlineStr">
        <is>
          <t>池-数量；品质权重=青铜,白银,黄金,钻石</t>
        </is>
      </c>
      <c r="I122" s="21" t="n">
        <v>5</v>
      </c>
      <c r="J122" s="21" t="n">
        <v>1.0922</v>
      </c>
      <c r="K122" s="21" t="n">
        <v>47</v>
      </c>
      <c r="L122" s="22" t="inlineStr">
        <is>
          <t>本行威胁=候选池平均效果分×出怪数×品质期望倍率；品质权重顺序=青铜,白银,黄金,钻石</t>
        </is>
      </c>
    </row>
    <row r="123" ht="22" customHeight="1">
      <c r="A123" s="18" t="inlineStr">
        <is>
          <t>wave_d10_morning</t>
        </is>
      </c>
      <c r="B123" s="18" t="n">
        <v>10</v>
      </c>
      <c r="C123" s="18" t="inlineStr">
        <is>
          <t>上午</t>
        </is>
      </c>
      <c r="D123" s="18" t="n">
        <v>4</v>
      </c>
      <c r="E123" s="18" t="inlineStr">
        <is>
          <t>1,2,3,4,5-5</t>
        </is>
      </c>
      <c r="F123" s="18" t="inlineStr">
        <is>
          <t>90,10,0,3</t>
        </is>
      </c>
      <c r="G123" s="19" t="n">
        <v>256.7</v>
      </c>
      <c r="H123" s="20" t="inlineStr">
        <is>
          <t>池-数量；品质权重=青铜,白银,黄金,钻石</t>
        </is>
      </c>
      <c r="I123" s="21" t="n">
        <v>5</v>
      </c>
      <c r="J123" s="21" t="n">
        <v>1.0922</v>
      </c>
      <c r="K123" s="21" t="n">
        <v>47</v>
      </c>
      <c r="L123" s="22" t="inlineStr">
        <is>
          <t>本行威胁=候选池平均效果分×出怪数×品质期望倍率；品质权重顺序=青铜,白银,黄金,钻石</t>
        </is>
      </c>
    </row>
    <row r="124" ht="22" customHeight="1">
      <c r="A124" s="18" t="inlineStr">
        <is>
          <t>wave_d10_morning</t>
        </is>
      </c>
      <c r="B124" s="18" t="n">
        <v>10</v>
      </c>
      <c r="C124" s="18" t="inlineStr">
        <is>
          <t>上午</t>
        </is>
      </c>
      <c r="D124" s="18" t="n">
        <v>5</v>
      </c>
      <c r="E124" s="18" t="inlineStr">
        <is>
          <t>1,2,3,4,5-6</t>
        </is>
      </c>
      <c r="F124" s="18" t="inlineStr">
        <is>
          <t>90,10,0,4</t>
        </is>
      </c>
      <c r="G124" s="19" t="n">
        <v>311.8</v>
      </c>
      <c r="H124" s="20" t="inlineStr">
        <is>
          <t>池-数量；品质权重=青铜,白银,黄金,钻石</t>
        </is>
      </c>
      <c r="I124" s="21" t="n">
        <v>6</v>
      </c>
      <c r="J124" s="21" t="n">
        <v>1.1058</v>
      </c>
      <c r="K124" s="21" t="n">
        <v>47</v>
      </c>
      <c r="L124" s="22" t="inlineStr">
        <is>
          <t>本行威胁=候选池平均效果分×出怪数×品质期望倍率；品质权重顺序=青铜,白银,黄金,钻石</t>
        </is>
      </c>
    </row>
    <row r="125" ht="22" customHeight="1">
      <c r="A125" s="18" t="inlineStr">
        <is>
          <t>wave_d10_morning</t>
        </is>
      </c>
      <c r="B125" s="18" t="n">
        <v>10</v>
      </c>
      <c r="C125" s="18" t="inlineStr">
        <is>
          <t>上午</t>
        </is>
      </c>
      <c r="D125" s="18" t="n">
        <v>5</v>
      </c>
      <c r="E125" s="18" t="inlineStr">
        <is>
          <t>1,2,3,4,5-6</t>
        </is>
      </c>
      <c r="F125" s="18" t="inlineStr">
        <is>
          <t>90,10,0,4</t>
        </is>
      </c>
      <c r="G125" s="19" t="n">
        <v>311.8</v>
      </c>
      <c r="H125" s="20" t="inlineStr">
        <is>
          <t>池-数量；品质权重=青铜,白银,黄金,钻石</t>
        </is>
      </c>
      <c r="I125" s="21" t="n">
        <v>6</v>
      </c>
      <c r="J125" s="21" t="n">
        <v>1.1058</v>
      </c>
      <c r="K125" s="21" t="n">
        <v>47</v>
      </c>
      <c r="L125" s="22" t="inlineStr">
        <is>
          <t>本行威胁=候选池平均效果分×出怪数×品质期望倍率；品质权重顺序=青铜,白银,黄金,钻石</t>
        </is>
      </c>
    </row>
    <row r="126" ht="22" customHeight="1">
      <c r="A126" s="18" t="inlineStr">
        <is>
          <t>wave_d10_afternoon</t>
        </is>
      </c>
      <c r="B126" s="18" t="n">
        <v>10</v>
      </c>
      <c r="C126" s="18" t="inlineStr">
        <is>
          <t>下午</t>
        </is>
      </c>
      <c r="D126" s="18" t="n">
        <v>1</v>
      </c>
      <c r="E126" s="18" t="inlineStr">
        <is>
          <t>1,2,3,4,5-2</t>
        </is>
      </c>
      <c r="F126" s="18" t="inlineStr">
        <is>
          <t>90,10,0,0</t>
        </is>
      </c>
      <c r="G126" s="19" t="n">
        <v>98.7</v>
      </c>
      <c r="H126" s="20" t="inlineStr">
        <is>
          <t>池-数量；品质权重=青铜,白银,黄金,钻石</t>
        </is>
      </c>
      <c r="I126" s="21" t="n">
        <v>2</v>
      </c>
      <c r="J126" s="21" t="n">
        <v>1.05</v>
      </c>
      <c r="K126" s="21" t="n">
        <v>47</v>
      </c>
      <c r="L126" s="22" t="inlineStr">
        <is>
          <t>本行威胁=候选池平均效果分×出怪数×品质期望倍率；品质权重顺序=青铜,白银,黄金,钻石</t>
        </is>
      </c>
    </row>
    <row r="127" ht="22" customHeight="1">
      <c r="A127" s="18" t="inlineStr">
        <is>
          <t>wave_d10_afternoon</t>
        </is>
      </c>
      <c r="B127" s="18" t="n">
        <v>10</v>
      </c>
      <c r="C127" s="18" t="inlineStr">
        <is>
          <t>下午</t>
        </is>
      </c>
      <c r="D127" s="18" t="n">
        <v>2</v>
      </c>
      <c r="E127" s="18" t="inlineStr">
        <is>
          <t>1,2,3,4,5-3</t>
        </is>
      </c>
      <c r="F127" s="18" t="inlineStr">
        <is>
          <t>90,10,0,1</t>
        </is>
      </c>
      <c r="G127" s="19" t="n">
        <v>150.1</v>
      </c>
      <c r="H127" s="20" t="inlineStr">
        <is>
          <t>池-数量；品质权重=青铜,白银,黄金,钻石</t>
        </is>
      </c>
      <c r="I127" s="21" t="n">
        <v>3</v>
      </c>
      <c r="J127" s="21" t="n">
        <v>1.0644</v>
      </c>
      <c r="K127" s="21" t="n">
        <v>47</v>
      </c>
      <c r="L127" s="22" t="inlineStr">
        <is>
          <t>本行威胁=候选池平均效果分×出怪数×品质期望倍率；品质权重顺序=青铜,白银,黄金,钻石</t>
        </is>
      </c>
    </row>
    <row r="128" ht="22" customHeight="1">
      <c r="A128" s="18" t="inlineStr">
        <is>
          <t>wave_d10_afternoon</t>
        </is>
      </c>
      <c r="B128" s="18" t="n">
        <v>10</v>
      </c>
      <c r="C128" s="18" t="inlineStr">
        <is>
          <t>下午</t>
        </is>
      </c>
      <c r="D128" s="18" t="n">
        <v>2</v>
      </c>
      <c r="E128" s="18" t="inlineStr">
        <is>
          <t>1,2,3,4,5-3</t>
        </is>
      </c>
      <c r="F128" s="18" t="inlineStr">
        <is>
          <t>90,10,0,1</t>
        </is>
      </c>
      <c r="G128" s="19" t="n">
        <v>150.1</v>
      </c>
      <c r="H128" s="20" t="inlineStr">
        <is>
          <t>池-数量；品质权重=青铜,白银,黄金,钻石</t>
        </is>
      </c>
      <c r="I128" s="21" t="n">
        <v>3</v>
      </c>
      <c r="J128" s="21" t="n">
        <v>1.0644</v>
      </c>
      <c r="K128" s="21" t="n">
        <v>47</v>
      </c>
      <c r="L128" s="22" t="inlineStr">
        <is>
          <t>本行威胁=候选池平均效果分×出怪数×品质期望倍率；品质权重顺序=青铜,白银,黄金,钻石</t>
        </is>
      </c>
    </row>
    <row r="129" ht="22" customHeight="1">
      <c r="A129" s="18" t="inlineStr">
        <is>
          <t>wave_d10_afternoon</t>
        </is>
      </c>
      <c r="B129" s="18" t="n">
        <v>10</v>
      </c>
      <c r="C129" s="18" t="inlineStr">
        <is>
          <t>下午</t>
        </is>
      </c>
      <c r="D129" s="18" t="n">
        <v>2</v>
      </c>
      <c r="E129" s="18" t="inlineStr">
        <is>
          <t>1,2,3,4,5-3</t>
        </is>
      </c>
      <c r="F129" s="18" t="inlineStr">
        <is>
          <t>90,10,0,1</t>
        </is>
      </c>
      <c r="G129" s="19" t="n">
        <v>150.1</v>
      </c>
      <c r="H129" s="20" t="inlineStr">
        <is>
          <t>池-数量；品质权重=青铜,白银,黄金,钻石</t>
        </is>
      </c>
      <c r="I129" s="21" t="n">
        <v>3</v>
      </c>
      <c r="J129" s="21" t="n">
        <v>1.0644</v>
      </c>
      <c r="K129" s="21" t="n">
        <v>47</v>
      </c>
      <c r="L129" s="22" t="inlineStr">
        <is>
          <t>本行威胁=候选池平均效果分×出怪数×品质期望倍率；品质权重顺序=青铜,白银,黄金,钻石</t>
        </is>
      </c>
    </row>
    <row r="130" ht="22" customHeight="1">
      <c r="A130" s="18" t="inlineStr">
        <is>
          <t>wave_d10_afternoon</t>
        </is>
      </c>
      <c r="B130" s="18" t="n">
        <v>10</v>
      </c>
      <c r="C130" s="18" t="inlineStr">
        <is>
          <t>下午</t>
        </is>
      </c>
      <c r="D130" s="18" t="n">
        <v>3</v>
      </c>
      <c r="E130" s="18" t="inlineStr">
        <is>
          <t>1,2,3,4,5-4</t>
        </is>
      </c>
      <c r="F130" s="18" t="inlineStr">
        <is>
          <t>90,10,0,2</t>
        </is>
      </c>
      <c r="G130" s="19" t="n">
        <v>202.7</v>
      </c>
      <c r="H130" s="20" t="inlineStr">
        <is>
          <t>池-数量；品质权重=青铜,白银,黄金,钻石</t>
        </is>
      </c>
      <c r="I130" s="21" t="n">
        <v>4</v>
      </c>
      <c r="J130" s="21" t="n">
        <v>1.0784</v>
      </c>
      <c r="K130" s="21" t="n">
        <v>47</v>
      </c>
      <c r="L130" s="22" t="inlineStr">
        <is>
          <t>本行威胁=候选池平均效果分×出怪数×品质期望倍率；品质权重顺序=青铜,白银,黄金,钻石</t>
        </is>
      </c>
    </row>
    <row r="131" ht="22" customHeight="1">
      <c r="A131" s="18" t="inlineStr">
        <is>
          <t>wave_d10_afternoon</t>
        </is>
      </c>
      <c r="B131" s="18" t="n">
        <v>10</v>
      </c>
      <c r="C131" s="18" t="inlineStr">
        <is>
          <t>下午</t>
        </is>
      </c>
      <c r="D131" s="18" t="n">
        <v>3</v>
      </c>
      <c r="E131" s="18" t="inlineStr">
        <is>
          <t>1,2,3,4,5-4</t>
        </is>
      </c>
      <c r="F131" s="18" t="inlineStr">
        <is>
          <t>90,10,0,2</t>
        </is>
      </c>
      <c r="G131" s="19" t="n">
        <v>202.7</v>
      </c>
      <c r="H131" s="20" t="inlineStr">
        <is>
          <t>池-数量；品质权重=青铜,白银,黄金,钻石</t>
        </is>
      </c>
      <c r="I131" s="21" t="n">
        <v>4</v>
      </c>
      <c r="J131" s="21" t="n">
        <v>1.0784</v>
      </c>
      <c r="K131" s="21" t="n">
        <v>47</v>
      </c>
      <c r="L131" s="22" t="inlineStr">
        <is>
          <t>本行威胁=候选池平均效果分×出怪数×品质期望倍率；品质权重顺序=青铜,白银,黄金,钻石</t>
        </is>
      </c>
    </row>
    <row r="132" ht="22" customHeight="1">
      <c r="A132" s="18" t="inlineStr">
        <is>
          <t>wave_d10_afternoon</t>
        </is>
      </c>
      <c r="B132" s="18" t="n">
        <v>10</v>
      </c>
      <c r="C132" s="18" t="inlineStr">
        <is>
          <t>下午</t>
        </is>
      </c>
      <c r="D132" s="18" t="n">
        <v>4</v>
      </c>
      <c r="E132" s="18" t="inlineStr">
        <is>
          <t>1,2,3,4,5-5</t>
        </is>
      </c>
      <c r="F132" s="18" t="inlineStr">
        <is>
          <t>90,10,0,3</t>
        </is>
      </c>
      <c r="G132" s="19" t="n">
        <v>256.7</v>
      </c>
      <c r="H132" s="20" t="inlineStr">
        <is>
          <t>池-数量；品质权重=青铜,白银,黄金,钻石</t>
        </is>
      </c>
      <c r="I132" s="21" t="n">
        <v>5</v>
      </c>
      <c r="J132" s="21" t="n">
        <v>1.0922</v>
      </c>
      <c r="K132" s="21" t="n">
        <v>47</v>
      </c>
      <c r="L132" s="22" t="inlineStr">
        <is>
          <t>本行威胁=候选池平均效果分×出怪数×品质期望倍率；品质权重顺序=青铜,白银,黄金,钻石</t>
        </is>
      </c>
    </row>
    <row r="133" ht="22" customHeight="1">
      <c r="A133" s="18" t="inlineStr">
        <is>
          <t>wave_d10_afternoon</t>
        </is>
      </c>
      <c r="B133" s="18" t="n">
        <v>10</v>
      </c>
      <c r="C133" s="18" t="inlineStr">
        <is>
          <t>下午</t>
        </is>
      </c>
      <c r="D133" s="18" t="n">
        <v>4</v>
      </c>
      <c r="E133" s="18" t="inlineStr">
        <is>
          <t>1,2,3,4,5-5</t>
        </is>
      </c>
      <c r="F133" s="18" t="inlineStr">
        <is>
          <t>90,10,0,3</t>
        </is>
      </c>
      <c r="G133" s="19" t="n">
        <v>256.7</v>
      </c>
      <c r="H133" s="20" t="inlineStr">
        <is>
          <t>池-数量；品质权重=青铜,白银,黄金,钻石</t>
        </is>
      </c>
      <c r="I133" s="21" t="n">
        <v>5</v>
      </c>
      <c r="J133" s="21" t="n">
        <v>1.0922</v>
      </c>
      <c r="K133" s="21" t="n">
        <v>47</v>
      </c>
      <c r="L133" s="22" t="inlineStr">
        <is>
          <t>本行威胁=候选池平均效果分×出怪数×品质期望倍率；品质权重顺序=青铜,白银,黄金,钻石</t>
        </is>
      </c>
    </row>
    <row r="134" ht="22" customHeight="1">
      <c r="A134" s="18" t="inlineStr">
        <is>
          <t>wave_d10_afternoon</t>
        </is>
      </c>
      <c r="B134" s="18" t="n">
        <v>10</v>
      </c>
      <c r="C134" s="18" t="inlineStr">
        <is>
          <t>下午</t>
        </is>
      </c>
      <c r="D134" s="18" t="n">
        <v>5</v>
      </c>
      <c r="E134" s="18" t="inlineStr">
        <is>
          <t>1,2,3,4,5-6</t>
        </is>
      </c>
      <c r="F134" s="18" t="inlineStr">
        <is>
          <t>90,10,0,4</t>
        </is>
      </c>
      <c r="G134" s="19" t="n">
        <v>311.8</v>
      </c>
      <c r="H134" s="20" t="inlineStr">
        <is>
          <t>池-数量；品质权重=青铜,白银,黄金,钻石</t>
        </is>
      </c>
      <c r="I134" s="21" t="n">
        <v>6</v>
      </c>
      <c r="J134" s="21" t="n">
        <v>1.1058</v>
      </c>
      <c r="K134" s="21" t="n">
        <v>47</v>
      </c>
      <c r="L134" s="22" t="inlineStr">
        <is>
          <t>本行威胁=候选池平均效果分×出怪数×品质期望倍率；品质权重顺序=青铜,白银,黄金,钻石</t>
        </is>
      </c>
    </row>
    <row r="135" ht="22" customHeight="1">
      <c r="A135" s="18" t="inlineStr">
        <is>
          <t>wave_d10_afternoon</t>
        </is>
      </c>
      <c r="B135" s="18" t="n">
        <v>10</v>
      </c>
      <c r="C135" s="18" t="inlineStr">
        <is>
          <t>下午</t>
        </is>
      </c>
      <c r="D135" s="18" t="n">
        <v>5</v>
      </c>
      <c r="E135" s="18" t="inlineStr">
        <is>
          <t>1,2,3,4,5-6</t>
        </is>
      </c>
      <c r="F135" s="18" t="inlineStr">
        <is>
          <t>90,10,0,4</t>
        </is>
      </c>
      <c r="G135" s="19" t="n">
        <v>311.8</v>
      </c>
      <c r="H135" s="20" t="inlineStr">
        <is>
          <t>池-数量；品质权重=青铜,白银,黄金,钻石</t>
        </is>
      </c>
      <c r="I135" s="21" t="n">
        <v>6</v>
      </c>
      <c r="J135" s="21" t="n">
        <v>1.1058</v>
      </c>
      <c r="K135" s="21" t="n">
        <v>47</v>
      </c>
      <c r="L135" s="22" t="inlineStr">
        <is>
          <t>本行威胁=候选池平均效果分×出怪数×品质期望倍率；品质权重顺序=青铜,白银,黄金,钻石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4" max="4"/>
    <col width="32" customWidth="1" min="9" max="9"/>
    <col width="18" customWidth="1" min="11" max="11"/>
    <col width="14" customWidth="1" min="12" max="12"/>
    <col width="32" customWidth="1" min="19" max="19"/>
  </cols>
  <sheetData>
    <row r="1" ht="28" customHeight="1">
      <c r="A1" s="27" t="inlineStr">
        <is>
          <t>机制编号</t>
        </is>
      </c>
      <c r="B1" s="27" t="inlineStr">
        <is>
          <t>机制ID</t>
        </is>
      </c>
      <c r="C1" s="27" t="inlineStr">
        <is>
          <t>机制名</t>
        </is>
      </c>
      <c r="D1" s="27" t="inlineStr">
        <is>
          <t>分类</t>
        </is>
      </c>
      <c r="E1" s="27" t="inlineStr">
        <is>
          <t>适用对象</t>
        </is>
      </c>
      <c r="F1" s="27" t="inlineStr">
        <is>
          <t>触发</t>
        </is>
      </c>
      <c r="G1" s="27" t="inlineStr">
        <is>
          <t>条件</t>
        </is>
      </c>
      <c r="H1" s="27" t="inlineStr">
        <is>
          <t>参数默认</t>
        </is>
      </c>
      <c r="I1" s="27" t="inlineStr">
        <is>
          <t>效果</t>
        </is>
      </c>
      <c r="J1" s="27" t="inlineStr">
        <is>
          <t>日志模板</t>
        </is>
      </c>
      <c r="K1" s="27" t="inlineStr">
        <is>
          <t>机制分</t>
        </is>
      </c>
      <c r="L1" s="27" t="inlineStr">
        <is>
          <t>强度</t>
        </is>
      </c>
      <c r="M1" s="27" t="inlineStr">
        <is>
          <t>状态</t>
        </is>
      </c>
      <c r="N1" s="27" t="inlineStr">
        <is>
          <t>接入状态</t>
        </is>
      </c>
      <c r="O1" s="27" t="inlineStr">
        <is>
          <t>宠物用</t>
        </is>
      </c>
      <c r="P1" s="27" t="inlineStr">
        <is>
          <t>怪物用</t>
        </is>
      </c>
      <c r="Q1" s="27" t="inlineStr">
        <is>
          <t>事件用</t>
        </is>
      </c>
      <c r="R1" s="27" t="inlineStr">
        <is>
          <t>波次用</t>
        </is>
      </c>
      <c r="S1" s="27" t="inlineStr">
        <is>
          <t>备注</t>
        </is>
      </c>
    </row>
    <row r="2" ht="22" customHeight="1">
      <c r="A2" s="28" t="inlineStr">
        <is>
          <t>M00</t>
        </is>
      </c>
      <c r="B2" s="28" t="inlineStr">
        <is>
          <t>none</t>
        </is>
      </c>
      <c r="C2" s="28" t="inlineStr">
        <is>
          <t>无机制</t>
        </is>
      </c>
      <c r="D2" s="28" t="inlineStr">
        <is>
          <t>占位</t>
        </is>
      </c>
      <c r="E2" s="28" t="inlineStr">
        <is>
          <t>宠物/怪物/事件/波次</t>
        </is>
      </c>
      <c r="F2" s="28" t="inlineStr">
        <is>
          <t>无</t>
        </is>
      </c>
      <c r="G2" s="28" t="inlineStr">
        <is>
          <t>无</t>
        </is>
      </c>
      <c r="H2" s="28" t="inlineStr">
        <is>
          <t>{}</t>
        </is>
      </c>
      <c r="I2" s="28" t="inlineStr">
        <is>
          <t>不产生任何效果</t>
        </is>
      </c>
      <c r="J2" s="28" t="inlineStr">
        <is>
          <t>{unit} 没有特殊机制。</t>
        </is>
      </c>
      <c r="K2" s="28" t="n">
        <v>0</v>
      </c>
      <c r="L2" s="28" t="inlineStr">
        <is>
          <t>无</t>
        </is>
      </c>
      <c r="M2" s="28" t="inlineStr">
        <is>
          <t>正式</t>
        </is>
      </c>
      <c r="N2" s="28" t="inlineStr">
        <is>
          <t>可接入</t>
        </is>
      </c>
      <c r="O2" s="28" t="n">
        <v>1</v>
      </c>
      <c r="P2" s="28" t="n">
        <v>1</v>
      </c>
      <c r="Q2" s="28" t="n">
        <v>1</v>
      </c>
      <c r="R2" s="28" t="n">
        <v>1</v>
      </c>
      <c r="S2" s="28" t="inlineStr">
        <is>
          <t>正式空机制，占位用。</t>
        </is>
      </c>
    </row>
    <row r="3" ht="22" customHeight="1">
      <c r="A3" s="28" t="inlineStr">
        <is>
          <t>M01</t>
        </is>
      </c>
      <c r="B3" s="28" t="inlineStr">
        <is>
          <t>mech_shield_flat</t>
        </is>
      </c>
      <c r="C3" s="28" t="inlineStr">
        <is>
          <t>开场护盾</t>
        </is>
      </c>
      <c r="D3" s="28" t="inlineStr">
        <is>
          <t>防御/护盾</t>
        </is>
      </c>
      <c r="E3" s="28" t="inlineStr">
        <is>
          <t>宠物/怪物</t>
        </is>
      </c>
      <c r="F3" s="28" t="inlineStr">
        <is>
          <t>battle_start</t>
        </is>
      </c>
      <c r="G3" s="28" t="inlineStr">
        <is>
          <t>单位入场</t>
        </is>
      </c>
      <c r="H3" s="28" t="inlineStr">
        <is>
          <t>shield=6</t>
        </is>
      </c>
      <c r="I3" s="28" t="inlineStr">
        <is>
          <t>入场获得固定护盾。</t>
        </is>
      </c>
      <c r="J3" s="28" t="inlineStr">
        <is>
          <t>{unit} 获得 {shield} 点护盾。</t>
        </is>
      </c>
      <c r="K3" s="28" t="n">
        <v>2</v>
      </c>
      <c r="L3" s="28" t="inlineStr">
        <is>
          <t>低</t>
        </is>
      </c>
      <c r="M3" s="28" t="inlineStr">
        <is>
          <t>正式</t>
        </is>
      </c>
      <c r="N3" s="28" t="inlineStr">
        <is>
          <t>可接入</t>
        </is>
      </c>
      <c r="O3" s="28" t="n">
        <v>1</v>
      </c>
      <c r="P3" s="28" t="n">
        <v>1</v>
      </c>
      <c r="Q3" s="28" t="n">
        <v>0</v>
      </c>
      <c r="R3" s="28" t="n">
        <v>0</v>
      </c>
      <c r="S3" s="28" t="inlineStr">
        <is>
          <t>最基础护盾词条。</t>
        </is>
      </c>
    </row>
    <row r="4" ht="22" customHeight="1">
      <c r="A4" s="28" t="inlineStr">
        <is>
          <t>M02</t>
        </is>
      </c>
      <c r="B4" s="28" t="inlineStr">
        <is>
          <t>mech_armor_flat</t>
        </is>
      </c>
      <c r="C4" s="28" t="inlineStr">
        <is>
          <t>护甲减伤</t>
        </is>
      </c>
      <c r="D4" s="28" t="inlineStr">
        <is>
          <t>防御/护盾</t>
        </is>
      </c>
      <c r="E4" s="28" t="inlineStr">
        <is>
          <t>宠物/怪物</t>
        </is>
      </c>
      <c r="F4" s="28" t="inlineStr">
        <is>
          <t>before_damage</t>
        </is>
      </c>
      <c r="G4" s="28" t="inlineStr">
        <is>
          <t>受到攻击伤害</t>
        </is>
      </c>
      <c r="H4" s="28" t="inlineStr">
        <is>
          <t>armor=2</t>
        </is>
      </c>
      <c r="I4" s="28" t="inlineStr">
        <is>
          <t>每次受攻击伤害前，先减少固定伤害。</t>
        </is>
      </c>
      <c r="J4" s="28" t="inlineStr">
        <is>
          <t>{unit} 的护甲抵消 {armor} 点伤害。</t>
        </is>
      </c>
      <c r="K4" s="28" t="n">
        <v>3</v>
      </c>
      <c r="L4" s="28" t="inlineStr">
        <is>
          <t>低</t>
        </is>
      </c>
      <c r="M4" s="28" t="inlineStr">
        <is>
          <t>正式</t>
        </is>
      </c>
      <c r="N4" s="28" t="inlineStr">
        <is>
          <t>可接入</t>
        </is>
      </c>
      <c r="O4" s="28" t="n">
        <v>1</v>
      </c>
      <c r="P4" s="28" t="n">
        <v>1</v>
      </c>
      <c r="Q4" s="28" t="n">
        <v>0</v>
      </c>
      <c r="R4" s="28" t="n">
        <v>0</v>
      </c>
      <c r="S4" s="28" t="inlineStr">
        <is>
          <t>适合厚盾低血怪或坦克宠物。</t>
        </is>
      </c>
    </row>
    <row r="5" ht="22" customHeight="1">
      <c r="A5" s="28" t="inlineStr">
        <is>
          <t>M03</t>
        </is>
      </c>
      <c r="B5" s="28" t="inlineStr">
        <is>
          <t>mech_damage_reduce_pct</t>
        </is>
      </c>
      <c r="C5" s="28" t="inlineStr">
        <is>
          <t>百分比免伤</t>
        </is>
      </c>
      <c r="D5" s="28" t="inlineStr">
        <is>
          <t>防御/护盾</t>
        </is>
      </c>
      <c r="E5" s="28" t="inlineStr">
        <is>
          <t>宠物/怪物</t>
        </is>
      </c>
      <c r="F5" s="28" t="inlineStr">
        <is>
          <t>before_damage</t>
        </is>
      </c>
      <c r="G5" s="28" t="inlineStr">
        <is>
          <t>受到任意伤害</t>
        </is>
      </c>
      <c r="H5" s="28" t="inlineStr">
        <is>
          <t>rate=0.3</t>
        </is>
      </c>
      <c r="I5" s="28" t="inlineStr">
        <is>
          <t>按比例降低最终伤害，至少保留 min_damage。</t>
        </is>
      </c>
      <c r="J5" s="28" t="inlineStr">
        <is>
          <t>{unit} 免伤 {percent}%，伤害降为 {damage}。</t>
        </is>
      </c>
      <c r="K5" s="28" t="n">
        <v>5</v>
      </c>
      <c r="L5" s="28" t="inlineStr">
        <is>
          <t>中</t>
        </is>
      </c>
      <c r="M5" s="28" t="inlineStr">
        <is>
          <t>正式</t>
        </is>
      </c>
      <c r="N5" s="28" t="inlineStr">
        <is>
          <t>待接入</t>
        </is>
      </c>
      <c r="O5" s="28" t="n">
        <v>1</v>
      </c>
      <c r="P5" s="28" t="n">
        <v>1</v>
      </c>
      <c r="Q5" s="28" t="n">
        <v>0</v>
      </c>
      <c r="R5" s="28" t="n">
        <v>0</v>
      </c>
      <c r="S5" s="28" t="inlineStr">
        <is>
          <t>需要明确四舍五入规则。</t>
        </is>
      </c>
    </row>
    <row r="6" ht="22" customHeight="1">
      <c r="A6" s="28" t="inlineStr">
        <is>
          <t>M04</t>
        </is>
      </c>
      <c r="B6" s="28" t="inlineStr">
        <is>
          <t>mech_first_hit_immunity</t>
        </is>
      </c>
      <c r="C6" s="28" t="inlineStr">
        <is>
          <t>首次免疫</t>
        </is>
      </c>
      <c r="D6" s="28" t="inlineStr">
        <is>
          <t>防御/护盾</t>
        </is>
      </c>
      <c r="E6" s="28" t="inlineStr">
        <is>
          <t>宠物/怪物</t>
        </is>
      </c>
      <c r="F6" s="28" t="inlineStr">
        <is>
          <t>before_damage</t>
        </is>
      </c>
      <c r="G6" s="28" t="inlineStr">
        <is>
          <t>本场第一次受到伤害</t>
        </is>
      </c>
      <c r="H6" s="28" t="inlineStr">
        <is>
          <t>times=1</t>
        </is>
      </c>
      <c r="I6" s="28" t="inlineStr">
        <is>
          <t>完全免疫前 N 次伤害。</t>
        </is>
      </c>
      <c r="J6" s="28" t="inlineStr">
        <is>
          <t>{unit} 触发首次免疫，抵消本次伤害。</t>
        </is>
      </c>
      <c r="K6" s="28" t="n">
        <v>6</v>
      </c>
      <c r="L6" s="28" t="inlineStr">
        <is>
          <t>中</t>
        </is>
      </c>
      <c r="M6" s="28" t="inlineStr">
        <is>
          <t>正式</t>
        </is>
      </c>
      <c r="N6" s="28" t="inlineStr">
        <is>
          <t>待接入</t>
        </is>
      </c>
      <c r="O6" s="28" t="n">
        <v>1</v>
      </c>
      <c r="P6" s="28" t="n">
        <v>1</v>
      </c>
      <c r="Q6" s="28" t="n">
        <v>0</v>
      </c>
      <c r="R6" s="28" t="n">
        <v>0</v>
      </c>
      <c r="S6" s="28" t="inlineStr">
        <is>
          <t>魔塔式可计算机制。</t>
        </is>
      </c>
    </row>
    <row r="7" ht="22" customHeight="1">
      <c r="A7" s="28" t="inlineStr">
        <is>
          <t>M05</t>
        </is>
      </c>
      <c r="B7" s="28" t="inlineStr">
        <is>
          <t>mech_damage_cap_per_round</t>
        </is>
      </c>
      <c r="C7" s="28" t="inlineStr">
        <is>
          <t>每回合损血上限</t>
        </is>
      </c>
      <c r="D7" s="28" t="inlineStr">
        <is>
          <t>防御/护盾</t>
        </is>
      </c>
      <c r="E7" s="28" t="inlineStr">
        <is>
          <t>怪物/首领</t>
        </is>
      </c>
      <c r="F7" s="28" t="inlineStr">
        <is>
          <t>before_damage</t>
        </is>
      </c>
      <c r="G7" s="28" t="inlineStr">
        <is>
          <t>本回合累计伤害超过上限</t>
        </is>
      </c>
      <c r="H7" s="28" t="inlineStr">
        <is>
          <t>cap=8</t>
        </is>
      </c>
      <c r="I7" s="28" t="inlineStr">
        <is>
          <t>单回合最多损失 cap 点 HP。</t>
        </is>
      </c>
      <c r="J7" s="28" t="inlineStr">
        <is>
          <t>{unit} 本回合伤害达到上限，额外伤害无效。</t>
        </is>
      </c>
      <c r="K7" s="28" t="n">
        <v>8</v>
      </c>
      <c r="L7" s="28" t="inlineStr">
        <is>
          <t>高</t>
        </is>
      </c>
      <c r="M7" s="28" t="inlineStr">
        <is>
          <t>正式</t>
        </is>
      </c>
      <c r="N7" s="28" t="inlineStr">
        <is>
          <t>待接入</t>
        </is>
      </c>
      <c r="O7" s="28" t="n">
        <v>0</v>
      </c>
      <c r="P7" s="28" t="n">
        <v>1</v>
      </c>
      <c r="Q7" s="28" t="n">
        <v>0</v>
      </c>
      <c r="R7" s="28" t="n">
        <v>1</v>
      </c>
      <c r="S7" s="28" t="inlineStr">
        <is>
          <t>适合防秒杀精英/首领。</t>
        </is>
      </c>
    </row>
    <row r="8" ht="22" customHeight="1">
      <c r="A8" s="28" t="inlineStr">
        <is>
          <t>M06</t>
        </is>
      </c>
      <c r="B8" s="28" t="inlineStr">
        <is>
          <t>mech_shield_regen</t>
        </is>
      </c>
      <c r="C8" s="28" t="inlineStr">
        <is>
          <t>回合回盾</t>
        </is>
      </c>
      <c r="D8" s="28" t="inlineStr">
        <is>
          <t>防御/护盾</t>
        </is>
      </c>
      <c r="E8" s="28" t="inlineStr">
        <is>
          <t>宠物/怪物</t>
        </is>
      </c>
      <c r="F8" s="28" t="inlineStr">
        <is>
          <t>round_start</t>
        </is>
      </c>
      <c r="G8" s="28" t="inlineStr">
        <is>
          <t>单位存活</t>
        </is>
      </c>
      <c r="H8" s="28" t="inlineStr">
        <is>
          <t>shield=3</t>
        </is>
      </c>
      <c r="I8" s="28" t="inlineStr">
        <is>
          <t>每回合开始获得固定护盾。</t>
        </is>
      </c>
      <c r="J8" s="28" t="inlineStr">
        <is>
          <t>{unit} 回合开始恢复 {shield} 点护盾。</t>
        </is>
      </c>
      <c r="K8" s="28" t="n">
        <v>4</v>
      </c>
      <c r="L8" s="28" t="inlineStr">
        <is>
          <t>中</t>
        </is>
      </c>
      <c r="M8" s="28" t="inlineStr">
        <is>
          <t>正式</t>
        </is>
      </c>
      <c r="N8" s="28" t="inlineStr">
        <is>
          <t>可接入</t>
        </is>
      </c>
      <c r="O8" s="28" t="n">
        <v>1</v>
      </c>
      <c r="P8" s="28" t="n">
        <v>1</v>
      </c>
      <c r="Q8" s="28" t="n">
        <v>0</v>
      </c>
      <c r="R8" s="28" t="n">
        <v>0</v>
      </c>
      <c r="S8" s="28" t="inlineStr">
        <is>
          <t>与拖回合惩罚形成压力。</t>
        </is>
      </c>
    </row>
    <row r="9" ht="22" customHeight="1">
      <c r="A9" s="28" t="inlineStr">
        <is>
          <t>M07</t>
        </is>
      </c>
      <c r="B9" s="28" t="inlineStr">
        <is>
          <t>mech_thorn_shield</t>
        </is>
      </c>
      <c r="C9" s="28" t="inlineStr">
        <is>
          <t>荆棘护盾</t>
        </is>
      </c>
      <c r="D9" s="28" t="inlineStr">
        <is>
          <t>防御/反击</t>
        </is>
      </c>
      <c r="E9" s="28" t="inlineStr">
        <is>
          <t>宠物/怪物</t>
        </is>
      </c>
      <c r="F9" s="28" t="inlineStr">
        <is>
          <t>after_hit</t>
        </is>
      </c>
      <c r="G9" s="28" t="inlineStr">
        <is>
          <t>有护盾时被攻击</t>
        </is>
      </c>
      <c r="H9" s="28" t="inlineStr">
        <is>
          <t>reflect=2</t>
        </is>
      </c>
      <c r="I9" s="28" t="inlineStr">
        <is>
          <t>有护盾时受到攻击，反弹固定伤害。</t>
        </is>
      </c>
      <c r="J9" s="28" t="inlineStr">
        <is>
          <t>{unit} 的荆棘反弹 {reflect} 点伤害。</t>
        </is>
      </c>
      <c r="K9" s="28" t="n">
        <v>5</v>
      </c>
      <c r="L9" s="28" t="inlineStr">
        <is>
          <t>中</t>
        </is>
      </c>
      <c r="M9" s="28" t="inlineStr">
        <is>
          <t>正式</t>
        </is>
      </c>
      <c r="N9" s="28" t="inlineStr">
        <is>
          <t>待接入</t>
        </is>
      </c>
      <c r="O9" s="28" t="n">
        <v>1</v>
      </c>
      <c r="P9" s="28" t="n">
        <v>1</v>
      </c>
      <c r="Q9" s="28" t="n">
        <v>0</v>
      </c>
      <c r="R9" s="28" t="n">
        <v>0</v>
      </c>
      <c r="S9" s="28" t="inlineStr">
        <is>
          <t>反伤类的低复杂版。</t>
        </is>
      </c>
    </row>
    <row r="10" ht="22" customHeight="1">
      <c r="A10" s="28" t="inlineStr">
        <is>
          <t>M08</t>
        </is>
      </c>
      <c r="B10" s="28" t="inlineStr">
        <is>
          <t>mech_element_barrier</t>
        </is>
      </c>
      <c r="C10" s="28" t="inlineStr">
        <is>
          <t>元素屏障</t>
        </is>
      </c>
      <c r="D10" s="28" t="inlineStr">
        <is>
          <t>防御/元素</t>
        </is>
      </c>
      <c r="E10" s="28" t="inlineStr">
        <is>
          <t>宠物/怪物</t>
        </is>
      </c>
      <c r="F10" s="28" t="inlineStr">
        <is>
          <t>before_damage</t>
        </is>
      </c>
      <c r="G10" s="28" t="inlineStr">
        <is>
          <t>受到非克制元素伤害</t>
        </is>
      </c>
      <c r="H10" s="28" t="inlineStr">
        <is>
          <t>element=earth; reduce=3</t>
        </is>
      </c>
      <c r="I10" s="28" t="inlineStr">
        <is>
          <t>特定元素屏障减少非克制伤害。</t>
        </is>
      </c>
      <c r="J10" s="28" t="inlineStr">
        <is>
          <t>{unit} 的 {element} 屏障抵消 {reduce} 点伤害。</t>
        </is>
      </c>
      <c r="K10" s="28" t="n">
        <v>5</v>
      </c>
      <c r="L10" s="28" t="inlineStr">
        <is>
          <t>中</t>
        </is>
      </c>
      <c r="M10" s="28" t="inlineStr">
        <is>
          <t>正式</t>
        </is>
      </c>
      <c r="N10" s="28" t="inlineStr">
        <is>
          <t>待接入</t>
        </is>
      </c>
      <c r="O10" s="28" t="n">
        <v>1</v>
      </c>
      <c r="P10" s="28" t="n">
        <v>1</v>
      </c>
      <c r="Q10" s="28" t="n">
        <v>0</v>
      </c>
      <c r="R10" s="28" t="n">
        <v>0</v>
      </c>
      <c r="S10" s="28" t="inlineStr">
        <is>
          <t>需要元素克制表。</t>
        </is>
      </c>
    </row>
    <row r="11" ht="22" customHeight="1">
      <c r="A11" s="28" t="inlineStr">
        <is>
          <t>M09</t>
        </is>
      </c>
      <c r="B11" s="28" t="inlineStr">
        <is>
          <t>mech_guard_taunt</t>
        </is>
      </c>
      <c r="C11" s="28" t="inlineStr">
        <is>
          <t>嘲讽守护</t>
        </is>
      </c>
      <c r="D11" s="28" t="inlineStr">
        <is>
          <t>防御/控制</t>
        </is>
      </c>
      <c r="E11" s="28" t="inlineStr">
        <is>
          <t>宠物/怪物</t>
        </is>
      </c>
      <c r="F11" s="28" t="inlineStr">
        <is>
          <t>target_select</t>
        </is>
      </c>
      <c r="G11" s="28" t="inlineStr">
        <is>
          <t>敌方选择目标时</t>
        </is>
      </c>
      <c r="H11" s="28" t="inlineStr">
        <is>
          <t>range=1</t>
        </is>
      </c>
      <c r="I11" s="28" t="inlineStr">
        <is>
          <t>强制附近敌人优先攻击自己。</t>
        </is>
      </c>
      <c r="J11" s="28" t="inlineStr">
        <is>
          <t>{unit} 嘲讽附近敌人。</t>
        </is>
      </c>
      <c r="K11" s="28" t="n">
        <v>4</v>
      </c>
      <c r="L11" s="28" t="inlineStr">
        <is>
          <t>中</t>
        </is>
      </c>
      <c r="M11" s="28" t="inlineStr">
        <is>
          <t>正式</t>
        </is>
      </c>
      <c r="N11" s="28" t="inlineStr">
        <is>
          <t>待接入</t>
        </is>
      </c>
      <c r="O11" s="28" t="n">
        <v>1</v>
      </c>
      <c r="P11" s="28" t="n">
        <v>1</v>
      </c>
      <c r="Q11" s="28" t="n">
        <v>0</v>
      </c>
      <c r="R11" s="28" t="n">
        <v>0</v>
      </c>
      <c r="S11" s="28" t="inlineStr">
        <is>
          <t>需要目标选择钩子。</t>
        </is>
      </c>
    </row>
    <row r="12" ht="22" customHeight="1">
      <c r="A12" s="28" t="inlineStr">
        <is>
          <t>M10</t>
        </is>
      </c>
      <c r="B12" s="28" t="inlineStr">
        <is>
          <t>mech_last_stand_shield</t>
        </is>
      </c>
      <c r="C12" s="28" t="inlineStr">
        <is>
          <t>濒死护盾</t>
        </is>
      </c>
      <c r="D12" s="28" t="inlineStr">
        <is>
          <t>防御/成长</t>
        </is>
      </c>
      <c r="E12" s="28" t="inlineStr">
        <is>
          <t>宠物/怪物</t>
        </is>
      </c>
      <c r="F12" s="28" t="inlineStr">
        <is>
          <t>after_damage</t>
        </is>
      </c>
      <c r="G12" s="28" t="inlineStr">
        <is>
          <t>HP低于阈值且未触发</t>
        </is>
      </c>
      <c r="H12" s="28" t="inlineStr">
        <is>
          <t>hp_pct=0.3; shield=10; once=true</t>
        </is>
      </c>
      <c r="I12" s="28" t="inlineStr">
        <is>
          <t>低血时获得一次大量护盾。</t>
        </is>
      </c>
      <c r="J12" s="28" t="inlineStr">
        <is>
          <t>{unit} 濒死触发，获得 {shield} 点护盾。</t>
        </is>
      </c>
      <c r="K12" s="28" t="n">
        <v>7</v>
      </c>
      <c r="L12" s="28" t="inlineStr">
        <is>
          <t>高</t>
        </is>
      </c>
      <c r="M12" s="28" t="inlineStr">
        <is>
          <t>正式</t>
        </is>
      </c>
      <c r="N12" s="28" t="inlineStr">
        <is>
          <t>待接入</t>
        </is>
      </c>
      <c r="O12" s="28" t="n">
        <v>1</v>
      </c>
      <c r="P12" s="28" t="n">
        <v>1</v>
      </c>
      <c r="Q12" s="28" t="n">
        <v>0</v>
      </c>
      <c r="R12" s="28" t="n">
        <v>0</v>
      </c>
      <c r="S12" s="28" t="inlineStr">
        <is>
          <t>适合精英转阶段。</t>
        </is>
      </c>
    </row>
    <row r="13" ht="22" customHeight="1">
      <c r="A13" s="28" t="inlineStr">
        <is>
          <t>M11</t>
        </is>
      </c>
      <c r="B13" s="28" t="inlineStr">
        <is>
          <t>mech_counter_damage</t>
        </is>
      </c>
      <c r="C13" s="28" t="inlineStr">
        <is>
          <t>受击反伤</t>
        </is>
      </c>
      <c r="D13" s="28" t="inlineStr">
        <is>
          <t>反击/爆炸</t>
        </is>
      </c>
      <c r="E13" s="28" t="inlineStr">
        <is>
          <t>宠物/怪物</t>
        </is>
      </c>
      <c r="F13" s="28" t="inlineStr">
        <is>
          <t>after_hit</t>
        </is>
      </c>
      <c r="G13" s="28" t="inlineStr">
        <is>
          <t>受到攻击伤害后</t>
        </is>
      </c>
      <c r="H13" s="28" t="inlineStr">
        <is>
          <t>damage=3</t>
        </is>
      </c>
      <c r="I13" s="28" t="inlineStr">
        <is>
          <t>对攻击者造成固定反伤。</t>
        </is>
      </c>
      <c r="J13" s="28" t="inlineStr">
        <is>
          <t>{unit} 反击，造成 {damage} 点伤害。</t>
        </is>
      </c>
      <c r="K13" s="28" t="n">
        <v>4</v>
      </c>
      <c r="L13" s="28" t="inlineStr">
        <is>
          <t>中</t>
        </is>
      </c>
      <c r="M13" s="28" t="inlineStr">
        <is>
          <t>正式</t>
        </is>
      </c>
      <c r="N13" s="28" t="inlineStr">
        <is>
          <t>可接入</t>
        </is>
      </c>
      <c r="O13" s="28" t="n">
        <v>1</v>
      </c>
      <c r="P13" s="28" t="n">
        <v>1</v>
      </c>
      <c r="Q13" s="28" t="n">
        <v>0</v>
      </c>
      <c r="R13" s="28" t="n">
        <v>0</v>
      </c>
      <c r="S13" s="28" t="inlineStr">
        <is>
          <t>最直接反击。</t>
        </is>
      </c>
    </row>
    <row r="14" ht="22" customHeight="1">
      <c r="A14" s="28" t="inlineStr">
        <is>
          <t>M12</t>
        </is>
      </c>
      <c r="B14" s="28" t="inlineStr">
        <is>
          <t>mech_death_explosion</t>
        </is>
      </c>
      <c r="C14" s="28" t="inlineStr">
        <is>
          <t>死亡爆炸</t>
        </is>
      </c>
      <c r="D14" s="28" t="inlineStr">
        <is>
          <t>反击/爆炸</t>
        </is>
      </c>
      <c r="E14" s="28" t="inlineStr">
        <is>
          <t>怪物</t>
        </is>
      </c>
      <c r="F14" s="28" t="inlineStr">
        <is>
          <t>on_death</t>
        </is>
      </c>
      <c r="G14" s="28" t="inlineStr">
        <is>
          <t>单位死亡</t>
        </is>
      </c>
      <c r="H14" s="28" t="inlineStr">
        <is>
          <t>damage=6; radius=cross1</t>
        </is>
      </c>
      <c r="I14" s="28" t="inlineStr">
        <is>
          <t>死亡时对周围造成伤害。</t>
        </is>
      </c>
      <c r="J14" s="28" t="inlineStr">
        <is>
          <t>{unit} 死亡爆炸，造成 {damage} 点伤害。</t>
        </is>
      </c>
      <c r="K14" s="28" t="n">
        <v>6</v>
      </c>
      <c r="L14" s="28" t="inlineStr">
        <is>
          <t>中</t>
        </is>
      </c>
      <c r="M14" s="28" t="inlineStr">
        <is>
          <t>正式</t>
        </is>
      </c>
      <c r="N14" s="28" t="inlineStr">
        <is>
          <t>可接入</t>
        </is>
      </c>
      <c r="O14" s="28" t="n">
        <v>0</v>
      </c>
      <c r="P14" s="28" t="n">
        <v>1</v>
      </c>
      <c r="Q14" s="28" t="n">
        <v>0</v>
      </c>
      <c r="R14" s="28" t="n">
        <v>1</v>
      </c>
      <c r="S14" s="28" t="inlineStr">
        <is>
          <t>已在怪物方向讨论过。</t>
        </is>
      </c>
    </row>
    <row r="15" ht="22" customHeight="1">
      <c r="A15" s="28" t="inlineStr">
        <is>
          <t>M13</t>
        </is>
      </c>
      <c r="B15" s="28" t="inlineStr">
        <is>
          <t>mech_self_destruct</t>
        </is>
      </c>
      <c r="C15" s="28" t="inlineStr">
        <is>
          <t>自爆倒计时</t>
        </is>
      </c>
      <c r="D15" s="28" t="inlineStr">
        <is>
          <t>反击/爆炸</t>
        </is>
      </c>
      <c r="E15" s="28" t="inlineStr">
        <is>
          <t>怪物</t>
        </is>
      </c>
      <c r="F15" s="28" t="inlineStr">
        <is>
          <t>round_end</t>
        </is>
      </c>
      <c r="G15" s="28" t="inlineStr">
        <is>
          <t>倒计时结束且存活</t>
        </is>
      </c>
      <c r="H15" s="28" t="inlineStr">
        <is>
          <t>rounds=2; damage=8; radius=cross1</t>
        </is>
      </c>
      <c r="I15" s="28" t="inlineStr">
        <is>
          <t>存活到倒计时结束后自爆。</t>
        </is>
      </c>
      <c r="J15" s="28" t="inlineStr">
        <is>
          <t>{unit} 自爆，造成 {damage} 点伤害。</t>
        </is>
      </c>
      <c r="K15" s="28" t="n">
        <v>7</v>
      </c>
      <c r="L15" s="28" t="inlineStr">
        <is>
          <t>高</t>
        </is>
      </c>
      <c r="M15" s="28" t="inlineStr">
        <is>
          <t>正式</t>
        </is>
      </c>
      <c r="N15" s="28" t="inlineStr">
        <is>
          <t>待接入</t>
        </is>
      </c>
      <c r="O15" s="28" t="n">
        <v>0</v>
      </c>
      <c r="P15" s="28" t="n">
        <v>1</v>
      </c>
      <c r="Q15" s="28" t="n">
        <v>0</v>
      </c>
      <c r="R15" s="28" t="n">
        <v>1</v>
      </c>
      <c r="S15" s="28" t="inlineStr">
        <is>
          <t>促使玩家优先处理。</t>
        </is>
      </c>
    </row>
    <row r="16" ht="22" customHeight="1">
      <c r="A16" s="28" t="inlineStr">
        <is>
          <t>M14</t>
        </is>
      </c>
      <c r="B16" s="28" t="inlineStr">
        <is>
          <t>mech_on_hit_blast</t>
        </is>
      </c>
      <c r="C16" s="28" t="inlineStr">
        <is>
          <t>受击溅射</t>
        </is>
      </c>
      <c r="D16" s="28" t="inlineStr">
        <is>
          <t>反击/爆炸</t>
        </is>
      </c>
      <c r="E16" s="28" t="inlineStr">
        <is>
          <t>宠物/怪物</t>
        </is>
      </c>
      <c r="F16" s="28" t="inlineStr">
        <is>
          <t>after_hit</t>
        </is>
      </c>
      <c r="G16" s="28" t="inlineStr">
        <is>
          <t>受到伤害后</t>
        </is>
      </c>
      <c r="H16" s="28" t="inlineStr">
        <is>
          <t>damage=2; radius=adjacent</t>
        </is>
      </c>
      <c r="I16" s="28" t="inlineStr">
        <is>
          <t>被打后对周围溅射。</t>
        </is>
      </c>
      <c r="J16" s="28" t="inlineStr">
        <is>
          <t>{unit} 受击溅射，周围受到 {damage} 点伤害。</t>
        </is>
      </c>
      <c r="K16" s="28" t="n">
        <v>5</v>
      </c>
      <c r="L16" s="28" t="inlineStr">
        <is>
          <t>中</t>
        </is>
      </c>
      <c r="M16" s="28" t="inlineStr">
        <is>
          <t>正式</t>
        </is>
      </c>
      <c r="N16" s="28" t="inlineStr">
        <is>
          <t>待接入</t>
        </is>
      </c>
      <c r="O16" s="28" t="n">
        <v>1</v>
      </c>
      <c r="P16" s="28" t="n">
        <v>1</v>
      </c>
      <c r="Q16" s="28" t="n">
        <v>0</v>
      </c>
      <c r="R16" s="28" t="n">
        <v>0</v>
      </c>
      <c r="S16" s="28" t="inlineStr">
        <is>
          <t>需要区分敌我伤害。</t>
        </is>
      </c>
    </row>
    <row r="17" ht="22" customHeight="1">
      <c r="A17" s="28" t="inlineStr">
        <is>
          <t>M15</t>
        </is>
      </c>
      <c r="B17" s="28" t="inlineStr">
        <is>
          <t>mech_reflect_first_hit</t>
        </is>
      </c>
      <c r="C17" s="28" t="inlineStr">
        <is>
          <t>首次反弹</t>
        </is>
      </c>
      <c r="D17" s="28" t="inlineStr">
        <is>
          <t>反击/防御</t>
        </is>
      </c>
      <c r="E17" s="28" t="inlineStr">
        <is>
          <t>宠物/怪物</t>
        </is>
      </c>
      <c r="F17" s="28" t="inlineStr">
        <is>
          <t>after_hit</t>
        </is>
      </c>
      <c r="G17" s="28" t="inlineStr">
        <is>
          <t>第一次被命中</t>
        </is>
      </c>
      <c r="H17" s="28" t="inlineStr">
        <is>
          <t>rate=1.0</t>
        </is>
      </c>
      <c r="I17" s="28" t="inlineStr">
        <is>
          <t>第一次被命中时反弹等量伤害。</t>
        </is>
      </c>
      <c r="J17" s="28" t="inlineStr">
        <is>
          <t>{unit} 首次反弹 {damage} 点伤害。</t>
        </is>
      </c>
      <c r="K17" s="28" t="n">
        <v>6</v>
      </c>
      <c r="L17" s="28" t="inlineStr">
        <is>
          <t>中</t>
        </is>
      </c>
      <c r="M17" s="28" t="inlineStr">
        <is>
          <t>正式</t>
        </is>
      </c>
      <c r="N17" s="28" t="inlineStr">
        <is>
          <t>待接入</t>
        </is>
      </c>
      <c r="O17" s="28" t="n">
        <v>1</v>
      </c>
      <c r="P17" s="28" t="n">
        <v>1</v>
      </c>
      <c r="Q17" s="28" t="n">
        <v>0</v>
      </c>
      <c r="R17" s="28" t="n">
        <v>0</v>
      </c>
      <c r="S17" s="28" t="inlineStr">
        <is>
          <t>首次免疫的进攻版。</t>
        </is>
      </c>
    </row>
    <row r="18" ht="22" customHeight="1">
      <c r="A18" s="28" t="inlineStr">
        <is>
          <t>M16</t>
        </is>
      </c>
      <c r="B18" s="28" t="inlineStr">
        <is>
          <t>mech_shield_break_explosion</t>
        </is>
      </c>
      <c r="C18" s="28" t="inlineStr">
        <is>
          <t>破盾爆炸</t>
        </is>
      </c>
      <c r="D18" s="28" t="inlineStr">
        <is>
          <t>反击/爆炸</t>
        </is>
      </c>
      <c r="E18" s="28" t="inlineStr">
        <is>
          <t>宠物/怪物</t>
        </is>
      </c>
      <c r="F18" s="28" t="inlineStr">
        <is>
          <t>on_shield_break</t>
        </is>
      </c>
      <c r="G18" s="28" t="inlineStr">
        <is>
          <t>护盾从正数降到0</t>
        </is>
      </c>
      <c r="H18" s="28" t="inlineStr">
        <is>
          <t>damage=5; radius=cross1</t>
        </is>
      </c>
      <c r="I18" s="28" t="inlineStr">
        <is>
          <t>破盾时爆炸。</t>
        </is>
      </c>
      <c r="J18" s="28" t="inlineStr">
        <is>
          <t>{unit} 破盾爆炸，造成 {damage} 点伤害。</t>
        </is>
      </c>
      <c r="K18" s="28" t="n">
        <v>6</v>
      </c>
      <c r="L18" s="28" t="inlineStr">
        <is>
          <t>中</t>
        </is>
      </c>
      <c r="M18" s="28" t="inlineStr">
        <is>
          <t>正式</t>
        </is>
      </c>
      <c r="N18" s="28" t="inlineStr">
        <is>
          <t>待接入</t>
        </is>
      </c>
      <c r="O18" s="28" t="n">
        <v>1</v>
      </c>
      <c r="P18" s="28" t="n">
        <v>1</v>
      </c>
      <c r="Q18" s="28" t="n">
        <v>0</v>
      </c>
      <c r="R18" s="28" t="n">
        <v>0</v>
      </c>
      <c r="S18" s="28" t="inlineStr">
        <is>
          <t>盾怪破盾反馈。</t>
        </is>
      </c>
    </row>
    <row r="19" ht="22" customHeight="1">
      <c r="A19" s="28" t="inlineStr">
        <is>
          <t>M17</t>
        </is>
      </c>
      <c r="B19" s="28" t="inlineStr">
        <is>
          <t>mech_retaliate_summon</t>
        </is>
      </c>
      <c r="C19" s="28" t="inlineStr">
        <is>
          <t>受击召唤</t>
        </is>
      </c>
      <c r="D19" s="28" t="inlineStr">
        <is>
          <t>反击/召唤</t>
        </is>
      </c>
      <c r="E19" s="28" t="inlineStr">
        <is>
          <t>怪物/首领</t>
        </is>
      </c>
      <c r="F19" s="28" t="inlineStr">
        <is>
          <t>after_hit</t>
        </is>
      </c>
      <c r="G19" s="28" t="inlineStr">
        <is>
          <t>每回合首次受击</t>
        </is>
      </c>
      <c r="H19" s="28" t="inlineStr">
        <is>
          <t>summon=mon_swarm_plain_01; count=1</t>
        </is>
      </c>
      <c r="I19" s="28" t="inlineStr">
        <is>
          <t>受击后召唤小怪。</t>
        </is>
      </c>
      <c r="J19" s="28" t="inlineStr">
        <is>
          <t>{unit} 受击召唤 {count} 个援军。</t>
        </is>
      </c>
      <c r="K19" s="28" t="n">
        <v>8</v>
      </c>
      <c r="L19" s="28" t="inlineStr">
        <is>
          <t>高</t>
        </is>
      </c>
      <c r="M19" s="28" t="inlineStr">
        <is>
          <t>正式</t>
        </is>
      </c>
      <c r="N19" s="28" t="inlineStr">
        <is>
          <t>待接入</t>
        </is>
      </c>
      <c r="O19" s="28" t="n">
        <v>0</v>
      </c>
      <c r="P19" s="28" t="n">
        <v>1</v>
      </c>
      <c r="Q19" s="28" t="n">
        <v>0</v>
      </c>
      <c r="R19" s="28" t="n">
        <v>1</v>
      </c>
      <c r="S19" s="28" t="inlineStr">
        <is>
          <t>精英/首领用。</t>
        </is>
      </c>
    </row>
    <row r="20" ht="22" customHeight="1">
      <c r="A20" s="28" t="inlineStr">
        <is>
          <t>M18</t>
        </is>
      </c>
      <c r="B20" s="28" t="inlineStr">
        <is>
          <t>mech_revenge_buff</t>
        </is>
      </c>
      <c r="C20" s="28" t="inlineStr">
        <is>
          <t>复仇强化</t>
        </is>
      </c>
      <c r="D20" s="28" t="inlineStr">
        <is>
          <t>反击/成长</t>
        </is>
      </c>
      <c r="E20" s="28" t="inlineStr">
        <is>
          <t>宠物/怪物</t>
        </is>
      </c>
      <c r="F20" s="28" t="inlineStr">
        <is>
          <t>ally_death</t>
        </is>
      </c>
      <c r="G20" s="28" t="inlineStr">
        <is>
          <t>同阵营单位死亡</t>
        </is>
      </c>
      <c r="H20" s="28" t="inlineStr">
        <is>
          <t>atk=1; shield=2</t>
        </is>
      </c>
      <c r="I20" s="28" t="inlineStr">
        <is>
          <t>友方死亡时自身加攻/盾。</t>
        </is>
      </c>
      <c r="J20" s="28" t="inlineStr">
        <is>
          <t>{unit} 因同伴死亡获得复仇强化。</t>
        </is>
      </c>
      <c r="K20" s="28" t="n">
        <v>6</v>
      </c>
      <c r="L20" s="28" t="inlineStr">
        <is>
          <t>中</t>
        </is>
      </c>
      <c r="M20" s="28" t="inlineStr">
        <is>
          <t>正式</t>
        </is>
      </c>
      <c r="N20" s="28" t="inlineStr">
        <is>
          <t>待接入</t>
        </is>
      </c>
      <c r="O20" s="28" t="n">
        <v>1</v>
      </c>
      <c r="P20" s="28" t="n">
        <v>1</v>
      </c>
      <c r="Q20" s="28" t="n">
        <v>0</v>
      </c>
      <c r="R20" s="28" t="n">
        <v>1</v>
      </c>
      <c r="S20" s="28" t="inlineStr">
        <is>
          <t>群怪联动。</t>
        </is>
      </c>
    </row>
    <row r="21" ht="22" customHeight="1">
      <c r="A21" s="28" t="inlineStr">
        <is>
          <t>M19</t>
        </is>
      </c>
      <c r="B21" s="28" t="inlineStr">
        <is>
          <t>mech_thorns_percent</t>
        </is>
      </c>
      <c r="C21" s="28" t="inlineStr">
        <is>
          <t>比例反伤</t>
        </is>
      </c>
      <c r="D21" s="28" t="inlineStr">
        <is>
          <t>反击/防御</t>
        </is>
      </c>
      <c r="E21" s="28" t="inlineStr">
        <is>
          <t>宠物/怪物</t>
        </is>
      </c>
      <c r="F21" s="28" t="inlineStr">
        <is>
          <t>after_hit</t>
        </is>
      </c>
      <c r="G21" s="28" t="inlineStr">
        <is>
          <t>受到攻击伤害后</t>
        </is>
      </c>
      <c r="H21" s="28" t="inlineStr">
        <is>
          <t>rate=0.3</t>
        </is>
      </c>
      <c r="I21" s="28" t="inlineStr">
        <is>
          <t>按受到伤害比例反弹。</t>
        </is>
      </c>
      <c r="J21" s="28" t="inlineStr">
        <is>
          <t>{unit} 反弹 {damage} 点伤害。</t>
        </is>
      </c>
      <c r="K21" s="28" t="n">
        <v>6</v>
      </c>
      <c r="L21" s="28" t="inlineStr">
        <is>
          <t>中</t>
        </is>
      </c>
      <c r="M21" s="28" t="inlineStr">
        <is>
          <t>正式</t>
        </is>
      </c>
      <c r="N21" s="28" t="inlineStr">
        <is>
          <t>待接入</t>
        </is>
      </c>
      <c r="O21" s="28" t="n">
        <v>1</v>
      </c>
      <c r="P21" s="28" t="n">
        <v>1</v>
      </c>
      <c r="Q21" s="28" t="n">
        <v>0</v>
      </c>
      <c r="R21" s="28" t="n">
        <v>0</v>
      </c>
      <c r="S21" s="28" t="inlineStr">
        <is>
          <t>比固定反伤更易失控。</t>
        </is>
      </c>
    </row>
    <row r="22" ht="22" customHeight="1">
      <c r="A22" s="28" t="inlineStr">
        <is>
          <t>M20</t>
        </is>
      </c>
      <c r="B22" s="28" t="inlineStr">
        <is>
          <t>mech_counter_attack</t>
        </is>
      </c>
      <c r="C22" s="28" t="inlineStr">
        <is>
          <t>受击反击行动</t>
        </is>
      </c>
      <c r="D22" s="28" t="inlineStr">
        <is>
          <t>反击/行动</t>
        </is>
      </c>
      <c r="E22" s="28" t="inlineStr">
        <is>
          <t>宠物/怪物</t>
        </is>
      </c>
      <c r="F22" s="28" t="inlineStr">
        <is>
          <t>after_hit</t>
        </is>
      </c>
      <c r="G22" s="28" t="inlineStr">
        <is>
          <t>AP足够且未反击过</t>
        </is>
      </c>
      <c r="H22" s="28" t="inlineStr">
        <is>
          <t>ap_cost=1; damage=atk</t>
        </is>
      </c>
      <c r="I22" s="28" t="inlineStr">
        <is>
          <t>被攻击后立即进行一次反击行动。</t>
        </is>
      </c>
      <c r="J22" s="28" t="inlineStr">
        <is>
          <t>{unit} 立即反击。</t>
        </is>
      </c>
      <c r="K22" s="28" t="n">
        <v>8</v>
      </c>
      <c r="L22" s="28" t="inlineStr">
        <is>
          <t>高</t>
        </is>
      </c>
      <c r="M22" s="28" t="inlineStr">
        <is>
          <t>正式</t>
        </is>
      </c>
      <c r="N22" s="28" t="inlineStr">
        <is>
          <t>待接入</t>
        </is>
      </c>
      <c r="O22" s="28" t="n">
        <v>1</v>
      </c>
      <c r="P22" s="28" t="n">
        <v>1</v>
      </c>
      <c r="Q22" s="28" t="n">
        <v>0</v>
      </c>
      <c r="R22" s="28" t="n">
        <v>0</v>
      </c>
      <c r="S22" s="28" t="inlineStr">
        <is>
          <t>需要行动队列钩子。</t>
        </is>
      </c>
    </row>
    <row r="23" ht="22" customHeight="1">
      <c r="A23" s="28" t="inlineStr">
        <is>
          <t>M21</t>
        </is>
      </c>
      <c r="B23" s="28" t="inlineStr">
        <is>
          <t>mech_grow_atk_each_round</t>
        </is>
      </c>
      <c r="C23" s="28" t="inlineStr">
        <is>
          <t>每回合加攻</t>
        </is>
      </c>
      <c r="D23" s="28" t="inlineStr">
        <is>
          <t>成长/狂暴</t>
        </is>
      </c>
      <c r="E23" s="28" t="inlineStr">
        <is>
          <t>宠物/怪物</t>
        </is>
      </c>
      <c r="F23" s="28" t="inlineStr">
        <is>
          <t>round_start</t>
        </is>
      </c>
      <c r="G23" s="28" t="inlineStr">
        <is>
          <t>单位存活</t>
        </is>
      </c>
      <c r="H23" s="28" t="inlineStr">
        <is>
          <t>atk=1</t>
        </is>
      </c>
      <c r="I23" s="28" t="inlineStr">
        <is>
          <t>每回合开始攻击增加。</t>
        </is>
      </c>
      <c r="J23" s="28" t="inlineStr">
        <is>
          <t>{unit} 攻击提升 {atk}。</t>
        </is>
      </c>
      <c r="K23" s="28" t="n">
        <v>4</v>
      </c>
      <c r="L23" s="28" t="inlineStr">
        <is>
          <t>中</t>
        </is>
      </c>
      <c r="M23" s="28" t="inlineStr">
        <is>
          <t>正式</t>
        </is>
      </c>
      <c r="N23" s="28" t="inlineStr">
        <is>
          <t>可接入</t>
        </is>
      </c>
      <c r="O23" s="28" t="n">
        <v>1</v>
      </c>
      <c r="P23" s="28" t="n">
        <v>1</v>
      </c>
      <c r="Q23" s="28" t="n">
        <v>0</v>
      </c>
      <c r="R23" s="28" t="n">
        <v>1</v>
      </c>
      <c r="S23" s="28" t="inlineStr">
        <is>
          <t>杀戮尖塔式成长。</t>
        </is>
      </c>
    </row>
    <row r="24" ht="22" customHeight="1">
      <c r="A24" s="28" t="inlineStr">
        <is>
          <t>M22</t>
        </is>
      </c>
      <c r="B24" s="28" t="inlineStr">
        <is>
          <t>mech_grow_shield_each_round</t>
        </is>
      </c>
      <c r="C24" s="28" t="inlineStr">
        <is>
          <t>每回合加盾</t>
        </is>
      </c>
      <c r="D24" s="28" t="inlineStr">
        <is>
          <t>成长/护盾</t>
        </is>
      </c>
      <c r="E24" s="28" t="inlineStr">
        <is>
          <t>宠物/怪物</t>
        </is>
      </c>
      <c r="F24" s="28" t="inlineStr">
        <is>
          <t>round_start</t>
        </is>
      </c>
      <c r="G24" s="28" t="inlineStr">
        <is>
          <t>单位存活</t>
        </is>
      </c>
      <c r="H24" s="28" t="inlineStr">
        <is>
          <t>shield=3</t>
        </is>
      </c>
      <c r="I24" s="28" t="inlineStr">
        <is>
          <t>每回合开始获得更多护盾。</t>
        </is>
      </c>
      <c r="J24" s="28" t="inlineStr">
        <is>
          <t>{unit} 护盾提升 {shield}。</t>
        </is>
      </c>
      <c r="K24" s="28" t="n">
        <v>4</v>
      </c>
      <c r="L24" s="28" t="inlineStr">
        <is>
          <t>中</t>
        </is>
      </c>
      <c r="M24" s="28" t="inlineStr">
        <is>
          <t>正式</t>
        </is>
      </c>
      <c r="N24" s="28" t="inlineStr">
        <is>
          <t>可接入</t>
        </is>
      </c>
      <c r="O24" s="28" t="n">
        <v>1</v>
      </c>
      <c r="P24" s="28" t="n">
        <v>1</v>
      </c>
      <c r="Q24" s="28" t="n">
        <v>0</v>
      </c>
      <c r="R24" s="28" t="n">
        <v>1</v>
      </c>
      <c r="S24" s="28" t="inlineStr">
        <is>
          <t>拖回合压力。</t>
        </is>
      </c>
    </row>
    <row r="25" ht="22" customHeight="1">
      <c r="A25" s="28" t="inlineStr">
        <is>
          <t>M23</t>
        </is>
      </c>
      <c r="B25" s="28" t="inlineStr">
        <is>
          <t>mech_rage_low_hp</t>
        </is>
      </c>
      <c r="C25" s="28" t="inlineStr">
        <is>
          <t>低血狂暴</t>
        </is>
      </c>
      <c r="D25" s="28" t="inlineStr">
        <is>
          <t>成长/狂暴</t>
        </is>
      </c>
      <c r="E25" s="28" t="inlineStr">
        <is>
          <t>宠物/怪物</t>
        </is>
      </c>
      <c r="F25" s="28" t="inlineStr">
        <is>
          <t>after_damage</t>
        </is>
      </c>
      <c r="G25" s="28" t="inlineStr">
        <is>
          <t>HP低于阈值</t>
        </is>
      </c>
      <c r="H25" s="28" t="inlineStr">
        <is>
          <t>hp_pct=0.5; atk=3</t>
        </is>
      </c>
      <c r="I25" s="28" t="inlineStr">
        <is>
          <t>低血后攻击增强。</t>
        </is>
      </c>
      <c r="J25" s="28" t="inlineStr">
        <is>
          <t>{unit} 进入狂暴，攻击+{atk}。</t>
        </is>
      </c>
      <c r="K25" s="28" t="n">
        <v>6</v>
      </c>
      <c r="L25" s="28" t="inlineStr">
        <is>
          <t>中</t>
        </is>
      </c>
      <c r="M25" s="28" t="inlineStr">
        <is>
          <t>正式</t>
        </is>
      </c>
      <c r="N25" s="28" t="inlineStr">
        <is>
          <t>待接入</t>
        </is>
      </c>
      <c r="O25" s="28" t="n">
        <v>1</v>
      </c>
      <c r="P25" s="28" t="n">
        <v>1</v>
      </c>
      <c r="Q25" s="28" t="n">
        <v>0</v>
      </c>
      <c r="R25" s="28" t="n">
        <v>0</v>
      </c>
      <c r="S25" s="28" t="inlineStr">
        <is>
          <t>二阶段简化版。</t>
        </is>
      </c>
    </row>
    <row r="26" ht="22" customHeight="1">
      <c r="A26" s="28" t="inlineStr">
        <is>
          <t>M24</t>
        </is>
      </c>
      <c r="B26" s="28" t="inlineStr">
        <is>
          <t>mech_harden_when_hit</t>
        </is>
      </c>
      <c r="C26" s="28" t="inlineStr">
        <is>
          <t>越打越硬</t>
        </is>
      </c>
      <c r="D26" s="28" t="inlineStr">
        <is>
          <t>成长/护盾</t>
        </is>
      </c>
      <c r="E26" s="28" t="inlineStr">
        <is>
          <t>宠物/怪物</t>
        </is>
      </c>
      <c r="F26" s="28" t="inlineStr">
        <is>
          <t>after_hit</t>
        </is>
      </c>
      <c r="G26" s="28" t="inlineStr">
        <is>
          <t>受到伤害后</t>
        </is>
      </c>
      <c r="H26" s="28" t="inlineStr">
        <is>
          <t>def=1; max=5</t>
        </is>
      </c>
      <c r="I26" s="28" t="inlineStr">
        <is>
          <t>每次受击增加防御。</t>
        </is>
      </c>
      <c r="J26" s="28" t="inlineStr">
        <is>
          <t>{unit} 变硬，防御+{def}。</t>
        </is>
      </c>
      <c r="K26" s="28" t="n">
        <v>6</v>
      </c>
      <c r="L26" s="28" t="inlineStr">
        <is>
          <t>中</t>
        </is>
      </c>
      <c r="M26" s="28" t="inlineStr">
        <is>
          <t>正式</t>
        </is>
      </c>
      <c r="N26" s="28" t="inlineStr">
        <is>
          <t>待接入</t>
        </is>
      </c>
      <c r="O26" s="28" t="n">
        <v>1</v>
      </c>
      <c r="P26" s="28" t="n">
        <v>1</v>
      </c>
      <c r="Q26" s="28" t="n">
        <v>0</v>
      </c>
      <c r="R26" s="28" t="n">
        <v>0</v>
      </c>
      <c r="S26" s="28" t="inlineStr">
        <is>
          <t>厚怪时间压力。</t>
        </is>
      </c>
    </row>
    <row r="27" ht="22" customHeight="1">
      <c r="A27" s="28" t="inlineStr">
        <is>
          <t>M25</t>
        </is>
      </c>
      <c r="B27" s="28" t="inlineStr">
        <is>
          <t>mech_soften_when_hit</t>
        </is>
      </c>
      <c r="C27" s="28" t="inlineStr">
        <is>
          <t>破甲递减</t>
        </is>
      </c>
      <c r="D27" s="28" t="inlineStr">
        <is>
          <t>成长/破甲</t>
        </is>
      </c>
      <c r="E27" s="28" t="inlineStr">
        <is>
          <t>怪物</t>
        </is>
      </c>
      <c r="F27" s="28" t="inlineStr">
        <is>
          <t>after_hit</t>
        </is>
      </c>
      <c r="G27" s="28" t="inlineStr">
        <is>
          <t>受到伤害后</t>
        </is>
      </c>
      <c r="H27" s="28" t="inlineStr">
        <is>
          <t>def=-1; min=0</t>
        </is>
      </c>
      <c r="I27" s="28" t="inlineStr">
        <is>
          <t>每次受击降低防御。</t>
        </is>
      </c>
      <c r="J27" s="28" t="inlineStr">
        <is>
          <t>{unit} 被削弱，防御下降。</t>
        </is>
      </c>
      <c r="K27" s="28" t="n">
        <v>4</v>
      </c>
      <c r="L27" s="28" t="inlineStr">
        <is>
          <t>低</t>
        </is>
      </c>
      <c r="M27" s="28" t="inlineStr">
        <is>
          <t>正式</t>
        </is>
      </c>
      <c r="N27" s="28" t="inlineStr">
        <is>
          <t>待接入</t>
        </is>
      </c>
      <c r="O27" s="28" t="n">
        <v>0</v>
      </c>
      <c r="P27" s="28" t="n">
        <v>1</v>
      </c>
      <c r="Q27" s="28" t="n">
        <v>0</v>
      </c>
      <c r="R27" s="28" t="n">
        <v>0</v>
      </c>
      <c r="S27" s="28" t="inlineStr">
        <is>
          <t>鼓励多段攻击。</t>
        </is>
      </c>
    </row>
    <row r="28" ht="22" customHeight="1">
      <c r="A28" s="28" t="inlineStr">
        <is>
          <t>M26</t>
        </is>
      </c>
      <c r="B28" s="28" t="inlineStr">
        <is>
          <t>mech_delayed_powerup</t>
        </is>
      </c>
      <c r="C28" s="28" t="inlineStr">
        <is>
          <t>延迟强化</t>
        </is>
      </c>
      <c r="D28" s="28" t="inlineStr">
        <is>
          <t>成长/倒计时</t>
        </is>
      </c>
      <c r="E28" s="28" t="inlineStr">
        <is>
          <t>怪物/首领</t>
        </is>
      </c>
      <c r="F28" s="28" t="inlineStr">
        <is>
          <t>round_start</t>
        </is>
      </c>
      <c r="G28" s="28" t="inlineStr">
        <is>
          <t>达到指定回合</t>
        </is>
      </c>
      <c r="H28" s="28" t="inlineStr">
        <is>
          <t>round=3; atk=5; shield=10</t>
        </is>
      </c>
      <c r="I28" s="28" t="inlineStr">
        <is>
          <t>指定回合后大幅强化。</t>
        </is>
      </c>
      <c r="J28" s="28" t="inlineStr">
        <is>
          <t>{unit} 完成蓄力，获得强化。</t>
        </is>
      </c>
      <c r="K28" s="28" t="n">
        <v>7</v>
      </c>
      <c r="L28" s="28" t="inlineStr">
        <is>
          <t>高</t>
        </is>
      </c>
      <c r="M28" s="28" t="inlineStr">
        <is>
          <t>正式</t>
        </is>
      </c>
      <c r="N28" s="28" t="inlineStr">
        <is>
          <t>待接入</t>
        </is>
      </c>
      <c r="O28" s="28" t="n">
        <v>0</v>
      </c>
      <c r="P28" s="28" t="n">
        <v>1</v>
      </c>
      <c r="Q28" s="28" t="n">
        <v>0</v>
      </c>
      <c r="R28" s="28" t="n">
        <v>1</v>
      </c>
      <c r="S28" s="28" t="inlineStr">
        <is>
          <t>与5回合奖励目标相容。</t>
        </is>
      </c>
    </row>
    <row r="29" ht="22" customHeight="1">
      <c r="A29" s="28" t="inlineStr">
        <is>
          <t>M27</t>
        </is>
      </c>
      <c r="B29" s="28" t="inlineStr">
        <is>
          <t>mech_consume_layers_grow</t>
        </is>
      </c>
      <c r="C29" s="28" t="inlineStr">
        <is>
          <t>吸收元素成长</t>
        </is>
      </c>
      <c r="D29" s="28" t="inlineStr">
        <is>
          <t>成长/元素</t>
        </is>
      </c>
      <c r="E29" s="28" t="inlineStr">
        <is>
          <t>宠物/怪物</t>
        </is>
      </c>
      <c r="F29" s="28" t="inlineStr">
        <is>
          <t>after_element_apply</t>
        </is>
      </c>
      <c r="G29" s="28" t="inlineStr">
        <is>
          <t>所在格有元素层</t>
        </is>
      </c>
      <c r="H29" s="28" t="inlineStr">
        <is>
          <t>element=any; atk_per_layer=1</t>
        </is>
      </c>
      <c r="I29" s="28" t="inlineStr">
        <is>
          <t>吸收格子元素层获得成长。</t>
        </is>
      </c>
      <c r="J29" s="28" t="inlineStr">
        <is>
          <t>{unit} 吸收元素，攻击提升。</t>
        </is>
      </c>
      <c r="K29" s="28" t="n">
        <v>8</v>
      </c>
      <c r="L29" s="28" t="inlineStr">
        <is>
          <t>高</t>
        </is>
      </c>
      <c r="M29" s="28" t="inlineStr">
        <is>
          <t>正式</t>
        </is>
      </c>
      <c r="N29" s="28" t="inlineStr">
        <is>
          <t>待接入</t>
        </is>
      </c>
      <c r="O29" s="28" t="n">
        <v>1</v>
      </c>
      <c r="P29" s="28" t="n">
        <v>1</v>
      </c>
      <c r="Q29" s="28" t="n">
        <v>0</v>
      </c>
      <c r="R29" s="28" t="n">
        <v>0</v>
      </c>
      <c r="S29" s="28" t="inlineStr">
        <is>
          <t>需元素层钩子。</t>
        </is>
      </c>
    </row>
    <row r="30" ht="22" customHeight="1">
      <c r="A30" s="28" t="inlineStr">
        <is>
          <t>M28</t>
        </is>
      </c>
      <c r="B30" s="28" t="inlineStr">
        <is>
          <t>mech_enrage_after_round</t>
        </is>
      </c>
      <c r="C30" s="28" t="inlineStr">
        <is>
          <t>回合狂暴</t>
        </is>
      </c>
      <c r="D30" s="28" t="inlineStr">
        <is>
          <t>成长/波次</t>
        </is>
      </c>
      <c r="E30" s="28" t="inlineStr">
        <is>
          <t>怪物/首领</t>
        </is>
      </c>
      <c r="F30" s="28" t="inlineStr">
        <is>
          <t>round_start</t>
        </is>
      </c>
      <c r="G30" s="28" t="inlineStr">
        <is>
          <t>当前回合&gt;=阈值</t>
        </is>
      </c>
      <c r="H30" s="28" t="inlineStr">
        <is>
          <t>round=5; atk=3</t>
        </is>
      </c>
      <c r="I30" s="28" t="inlineStr">
        <is>
          <t>战斗拖到指定回合后强化。</t>
        </is>
      </c>
      <c r="J30" s="28" t="inlineStr">
        <is>
          <t>{unit} 因战斗拖延进入狂暴。</t>
        </is>
      </c>
      <c r="K30" s="28" t="n">
        <v>7</v>
      </c>
      <c r="L30" s="28" t="inlineStr">
        <is>
          <t>高</t>
        </is>
      </c>
      <c r="M30" s="28" t="inlineStr">
        <is>
          <t>正式</t>
        </is>
      </c>
      <c r="N30" s="28" t="inlineStr">
        <is>
          <t>待接入</t>
        </is>
      </c>
      <c r="O30" s="28" t="n">
        <v>0</v>
      </c>
      <c r="P30" s="28" t="n">
        <v>1</v>
      </c>
      <c r="Q30" s="28" t="n">
        <v>0</v>
      </c>
      <c r="R30" s="28" t="n">
        <v>1</v>
      </c>
      <c r="S30" s="28" t="inlineStr">
        <is>
          <t>压缩战斗节奏。</t>
        </is>
      </c>
    </row>
    <row r="31" ht="22" customHeight="1">
      <c r="A31" s="28" t="inlineStr">
        <is>
          <t>M29</t>
        </is>
      </c>
      <c r="B31" s="28" t="inlineStr">
        <is>
          <t>mech_second_phase</t>
        </is>
      </c>
      <c r="C31" s="28" t="inlineStr">
        <is>
          <t>二阶段转化</t>
        </is>
      </c>
      <c r="D31" s="28" t="inlineStr">
        <is>
          <t>成长/首领</t>
        </is>
      </c>
      <c r="E31" s="28" t="inlineStr">
        <is>
          <t>首领/精英</t>
        </is>
      </c>
      <c r="F31" s="28" t="inlineStr">
        <is>
          <t>after_damage</t>
        </is>
      </c>
      <c r="G31" s="28" t="inlineStr">
        <is>
          <t>HP低于阈值</t>
        </is>
      </c>
      <c r="H31" s="28" t="inlineStr">
        <is>
          <t>hp_pct=0.5; new_mech=mech_rage_low_hp</t>
        </is>
      </c>
      <c r="I31" s="28" t="inlineStr">
        <is>
          <t>进入第二阶段并切换机制。</t>
        </is>
      </c>
      <c r="J31" s="28" t="inlineStr">
        <is>
          <t>{unit} 进入第二阶段。</t>
        </is>
      </c>
      <c r="K31" s="28" t="n">
        <v>10</v>
      </c>
      <c r="L31" s="28" t="inlineStr">
        <is>
          <t>高</t>
        </is>
      </c>
      <c r="M31" s="28" t="inlineStr">
        <is>
          <t>正式</t>
        </is>
      </c>
      <c r="N31" s="28" t="inlineStr">
        <is>
          <t>待接入</t>
        </is>
      </c>
      <c r="O31" s="28" t="n">
        <v>0</v>
      </c>
      <c r="P31" s="28" t="n">
        <v>1</v>
      </c>
      <c r="Q31" s="28" t="n">
        <v>0</v>
      </c>
      <c r="R31" s="28" t="n">
        <v>1</v>
      </c>
      <c r="S31" s="28" t="inlineStr">
        <is>
          <t>首领核心机制。</t>
        </is>
      </c>
    </row>
    <row r="32" ht="22" customHeight="1">
      <c r="A32" s="28" t="inlineStr">
        <is>
          <t>M30</t>
        </is>
      </c>
      <c r="B32" s="28" t="inlineStr">
        <is>
          <t>mech_scale_with_allies</t>
        </is>
      </c>
      <c r="C32" s="28" t="inlineStr">
        <is>
          <t>随同伴成长</t>
        </is>
      </c>
      <c r="D32" s="28" t="inlineStr">
        <is>
          <t>成长/群怪</t>
        </is>
      </c>
      <c r="E32" s="28" t="inlineStr">
        <is>
          <t>怪物</t>
        </is>
      </c>
      <c r="F32" s="28" t="inlineStr">
        <is>
          <t>round_start</t>
        </is>
      </c>
      <c r="G32" s="28" t="inlineStr">
        <is>
          <t>同阵营存活数量&gt;1</t>
        </is>
      </c>
      <c r="H32" s="28" t="inlineStr">
        <is>
          <t>atk_per_ally=1; shield_per_ally=1</t>
        </is>
      </c>
      <c r="I32" s="28" t="inlineStr">
        <is>
          <t>同伴越多越强。</t>
        </is>
      </c>
      <c r="J32" s="28" t="inlineStr">
        <is>
          <t>{unit} 因同伴获得强化。</t>
        </is>
      </c>
      <c r="K32" s="28" t="n">
        <v>7</v>
      </c>
      <c r="L32" s="28" t="inlineStr">
        <is>
          <t>中</t>
        </is>
      </c>
      <c r="M32" s="28" t="inlineStr">
        <is>
          <t>正式</t>
        </is>
      </c>
      <c r="N32" s="28" t="inlineStr">
        <is>
          <t>待接入</t>
        </is>
      </c>
      <c r="O32" s="28" t="n">
        <v>0</v>
      </c>
      <c r="P32" s="28" t="n">
        <v>1</v>
      </c>
      <c r="Q32" s="28" t="n">
        <v>0</v>
      </c>
      <c r="R32" s="28" t="n">
        <v>1</v>
      </c>
      <c r="S32" s="28" t="inlineStr">
        <is>
          <t>鼓励先清小怪。</t>
        </is>
      </c>
    </row>
    <row r="33" ht="22" customHeight="1">
      <c r="A33" s="28" t="inlineStr">
        <is>
          <t>M31</t>
        </is>
      </c>
      <c r="B33" s="28" t="inlineStr">
        <is>
          <t>mech_summon_each_round</t>
        </is>
      </c>
      <c r="C33" s="28" t="inlineStr">
        <is>
          <t>每回合召唤</t>
        </is>
      </c>
      <c r="D33" s="28" t="inlineStr">
        <is>
          <t>召唤/分裂</t>
        </is>
      </c>
      <c r="E33" s="28" t="inlineStr">
        <is>
          <t>怪物/首领</t>
        </is>
      </c>
      <c r="F33" s="28" t="inlineStr">
        <is>
          <t>round_start</t>
        </is>
      </c>
      <c r="G33" s="28" t="inlineStr">
        <is>
          <t>召唤位可用</t>
        </is>
      </c>
      <c r="H33" s="28" t="inlineStr">
        <is>
          <t>summon=mon_swarm_plain_01; count=1</t>
        </is>
      </c>
      <c r="I33" s="28" t="inlineStr">
        <is>
          <t>每回合召唤小怪。</t>
        </is>
      </c>
      <c r="J33" s="28" t="inlineStr">
        <is>
          <t>{unit} 召唤 {count} 个单位。</t>
        </is>
      </c>
      <c r="K33" s="28" t="n">
        <v>8</v>
      </c>
      <c r="L33" s="28" t="inlineStr">
        <is>
          <t>高</t>
        </is>
      </c>
      <c r="M33" s="28" t="inlineStr">
        <is>
          <t>正式</t>
        </is>
      </c>
      <c r="N33" s="28" t="inlineStr">
        <is>
          <t>待接入</t>
        </is>
      </c>
      <c r="O33" s="28" t="n">
        <v>0</v>
      </c>
      <c r="P33" s="28" t="n">
        <v>1</v>
      </c>
      <c r="Q33" s="28" t="n">
        <v>0</v>
      </c>
      <c r="R33" s="28" t="n">
        <v>1</v>
      </c>
      <c r="S33" s="28" t="inlineStr">
        <is>
          <t>核心召唤压力。</t>
        </is>
      </c>
    </row>
    <row r="34" ht="22" customHeight="1">
      <c r="A34" s="28" t="inlineStr">
        <is>
          <t>M32</t>
        </is>
      </c>
      <c r="B34" s="28" t="inlineStr">
        <is>
          <t>mech_death_summon</t>
        </is>
      </c>
      <c r="C34" s="28" t="inlineStr">
        <is>
          <t>死亡召唤</t>
        </is>
      </c>
      <c r="D34" s="28" t="inlineStr">
        <is>
          <t>召唤/分裂</t>
        </is>
      </c>
      <c r="E34" s="28" t="inlineStr">
        <is>
          <t>宠物/怪物</t>
        </is>
      </c>
      <c r="F34" s="28" t="inlineStr">
        <is>
          <t>on_death</t>
        </is>
      </c>
      <c r="G34" s="28" t="inlineStr">
        <is>
          <t>死亡时</t>
        </is>
      </c>
      <c r="H34" s="28" t="inlineStr">
        <is>
          <t>summon=mon_swarm_plain_01; count=2</t>
        </is>
      </c>
      <c r="I34" s="28" t="inlineStr">
        <is>
          <t>死亡后召唤单位。</t>
        </is>
      </c>
      <c r="J34" s="28" t="inlineStr">
        <is>
          <t>{unit} 死亡后留下 {count} 个单位。</t>
        </is>
      </c>
      <c r="K34" s="28" t="n">
        <v>7</v>
      </c>
      <c r="L34" s="28" t="inlineStr">
        <is>
          <t>高</t>
        </is>
      </c>
      <c r="M34" s="28" t="inlineStr">
        <is>
          <t>正式</t>
        </is>
      </c>
      <c r="N34" s="28" t="inlineStr">
        <is>
          <t>待接入</t>
        </is>
      </c>
      <c r="O34" s="28" t="n">
        <v>1</v>
      </c>
      <c r="P34" s="28" t="n">
        <v>1</v>
      </c>
      <c r="Q34" s="28" t="n">
        <v>0</v>
      </c>
      <c r="R34" s="28" t="n">
        <v>1</v>
      </c>
      <c r="S34" s="28" t="inlineStr">
        <is>
          <t>适合分裂怪。</t>
        </is>
      </c>
    </row>
    <row r="35" ht="22" customHeight="1">
      <c r="A35" s="28" t="inlineStr">
        <is>
          <t>M33</t>
        </is>
      </c>
      <c r="B35" s="28" t="inlineStr">
        <is>
          <t>mech_split_into_minions</t>
        </is>
      </c>
      <c r="C35" s="28" t="inlineStr">
        <is>
          <t>分裂小怪</t>
        </is>
      </c>
      <c r="D35" s="28" t="inlineStr">
        <is>
          <t>召唤/分裂</t>
        </is>
      </c>
      <c r="E35" s="28" t="inlineStr">
        <is>
          <t>怪物</t>
        </is>
      </c>
      <c r="F35" s="28" t="inlineStr">
        <is>
          <t>on_death</t>
        </is>
      </c>
      <c r="G35" s="28" t="inlineStr">
        <is>
          <t>体型&gt;=中型</t>
        </is>
      </c>
      <c r="H35" s="28" t="inlineStr">
        <is>
          <t>count=2; hp_pct=0.4</t>
        </is>
      </c>
      <c r="I35" s="28" t="inlineStr">
        <is>
          <t>死亡分裂成多只小怪。</t>
        </is>
      </c>
      <c r="J35" s="28" t="inlineStr">
        <is>
          <t>{unit} 分裂成 {count} 只小怪。</t>
        </is>
      </c>
      <c r="K35" s="28" t="n">
        <v>8</v>
      </c>
      <c r="L35" s="28" t="inlineStr">
        <is>
          <t>高</t>
        </is>
      </c>
      <c r="M35" s="28" t="inlineStr">
        <is>
          <t>正式</t>
        </is>
      </c>
      <c r="N35" s="28" t="inlineStr">
        <is>
          <t>待接入</t>
        </is>
      </c>
      <c r="O35" s="28" t="n">
        <v>0</v>
      </c>
      <c r="P35" s="28" t="n">
        <v>1</v>
      </c>
      <c r="Q35" s="28" t="n">
        <v>0</v>
      </c>
      <c r="R35" s="28" t="n">
        <v>1</v>
      </c>
      <c r="S35" s="28" t="inlineStr">
        <is>
          <t>杀戮尖塔史莱姆方向。</t>
        </is>
      </c>
    </row>
    <row r="36" ht="22" customHeight="1">
      <c r="A36" s="28" t="inlineStr">
        <is>
          <t>M34</t>
        </is>
      </c>
      <c r="B36" s="28" t="inlineStr">
        <is>
          <t>mech_summon_on_empty_cell</t>
        </is>
      </c>
      <c r="C36" s="28" t="inlineStr">
        <is>
          <t>空格召唤</t>
        </is>
      </c>
      <c r="D36" s="28" t="inlineStr">
        <is>
          <t>召唤/元素</t>
        </is>
      </c>
      <c r="E36" s="28" t="inlineStr">
        <is>
          <t>宠物</t>
        </is>
      </c>
      <c r="F36" s="28" t="inlineStr">
        <is>
          <t>after_element_apply</t>
        </is>
      </c>
      <c r="G36" s="28" t="inlineStr">
        <is>
          <t>目标格为空且有元素</t>
        </is>
      </c>
      <c r="H36" s="28" t="inlineStr">
        <is>
          <t>summon=ally_sprite; hp=6</t>
        </is>
      </c>
      <c r="I36" s="28" t="inlineStr">
        <is>
          <t>在元素格生成召唤物。</t>
        </is>
      </c>
      <c r="J36" s="28" t="inlineStr">
        <is>
          <t>{unit} 在元素格召唤小灵。</t>
        </is>
      </c>
      <c r="K36" s="28" t="n">
        <v>6</v>
      </c>
      <c r="L36" s="28" t="inlineStr">
        <is>
          <t>中</t>
        </is>
      </c>
      <c r="M36" s="28" t="inlineStr">
        <is>
          <t>正式</t>
        </is>
      </c>
      <c r="N36" s="28" t="inlineStr">
        <is>
          <t>待接入</t>
        </is>
      </c>
      <c r="O36" s="28" t="n">
        <v>1</v>
      </c>
      <c r="P36" s="28" t="n">
        <v>0</v>
      </c>
      <c r="Q36" s="28" t="n">
        <v>0</v>
      </c>
      <c r="R36" s="28" t="n">
        <v>0</v>
      </c>
      <c r="S36" s="28" t="inlineStr">
        <is>
          <t>对应召芽灵方向。</t>
        </is>
      </c>
    </row>
    <row r="37" ht="22" customHeight="1">
      <c r="A37" s="28" t="inlineStr">
        <is>
          <t>M35</t>
        </is>
      </c>
      <c r="B37" s="28" t="inlineStr">
        <is>
          <t>mech_copy_weak_self</t>
        </is>
      </c>
      <c r="C37" s="28" t="inlineStr">
        <is>
          <t>复制弱化体</t>
        </is>
      </c>
      <c r="D37" s="28" t="inlineStr">
        <is>
          <t>召唤/复制</t>
        </is>
      </c>
      <c r="E37" s="28" t="inlineStr">
        <is>
          <t>宠物/怪物</t>
        </is>
      </c>
      <c r="F37" s="28" t="inlineStr">
        <is>
          <t>after_action</t>
        </is>
      </c>
      <c r="G37" s="28" t="inlineStr">
        <is>
          <t>满足冷却</t>
        </is>
      </c>
      <c r="H37" s="28" t="inlineStr">
        <is>
          <t>count=1; hp_pct=0.5; atk_pct=0.5</t>
        </is>
      </c>
      <c r="I37" s="28" t="inlineStr">
        <is>
          <t>复制一个弱化自身。</t>
        </is>
      </c>
      <c r="J37" s="28" t="inlineStr">
        <is>
          <t>{unit} 复制出一个弱化体。</t>
        </is>
      </c>
      <c r="K37" s="28" t="n">
        <v>9</v>
      </c>
      <c r="L37" s="28" t="inlineStr">
        <is>
          <t>高</t>
        </is>
      </c>
      <c r="M37" s="28" t="inlineStr">
        <is>
          <t>正式</t>
        </is>
      </c>
      <c r="N37" s="28" t="inlineStr">
        <is>
          <t>待接入</t>
        </is>
      </c>
      <c r="O37" s="28" t="n">
        <v>1</v>
      </c>
      <c r="P37" s="28" t="n">
        <v>1</v>
      </c>
      <c r="Q37" s="28" t="n">
        <v>0</v>
      </c>
      <c r="R37" s="28" t="n">
        <v>0</v>
      </c>
      <c r="S37" s="28" t="inlineStr">
        <is>
          <t>高风险强反馈。</t>
        </is>
      </c>
    </row>
    <row r="38" ht="22" customHeight="1">
      <c r="A38" s="28" t="inlineStr">
        <is>
          <t>M36</t>
        </is>
      </c>
      <c r="B38" s="28" t="inlineStr">
        <is>
          <t>mech_summon_wall</t>
        </is>
      </c>
      <c r="C38" s="28" t="inlineStr">
        <is>
          <t>召唤障碍</t>
        </is>
      </c>
      <c r="D38" s="28" t="inlineStr">
        <is>
          <t>召唤/地形</t>
        </is>
      </c>
      <c r="E38" s="28" t="inlineStr">
        <is>
          <t>宠物/怪物</t>
        </is>
      </c>
      <c r="F38" s="28" t="inlineStr">
        <is>
          <t>after_action</t>
        </is>
      </c>
      <c r="G38" s="28" t="inlineStr">
        <is>
          <t>指定格可放置</t>
        </is>
      </c>
      <c r="H38" s="28" t="inlineStr">
        <is>
          <t>hp=8; duration=2</t>
        </is>
      </c>
      <c r="I38" s="28" t="inlineStr">
        <is>
          <t>召唤可阻挡单位的障碍。</t>
        </is>
      </c>
      <c r="J38" s="28" t="inlineStr">
        <is>
          <t>{unit} 召唤障碍。</t>
        </is>
      </c>
      <c r="K38" s="28" t="n">
        <v>6</v>
      </c>
      <c r="L38" s="28" t="inlineStr">
        <is>
          <t>中</t>
        </is>
      </c>
      <c r="M38" s="28" t="inlineStr">
        <is>
          <t>正式</t>
        </is>
      </c>
      <c r="N38" s="28" t="inlineStr">
        <is>
          <t>待接入</t>
        </is>
      </c>
      <c r="O38" s="28" t="n">
        <v>1</v>
      </c>
      <c r="P38" s="28" t="n">
        <v>1</v>
      </c>
      <c r="Q38" s="28" t="n">
        <v>0</v>
      </c>
      <c r="R38" s="28" t="n">
        <v>0</v>
      </c>
      <c r="S38" s="28" t="inlineStr">
        <is>
          <t>需要单位/地形层区分。</t>
        </is>
      </c>
    </row>
    <row r="39" ht="22" customHeight="1">
      <c r="A39" s="28" t="inlineStr">
        <is>
          <t>M37</t>
        </is>
      </c>
      <c r="B39" s="28" t="inlineStr">
        <is>
          <t>mech_summon_trap</t>
        </is>
      </c>
      <c r="C39" s="28" t="inlineStr">
        <is>
          <t>生成陷阱</t>
        </is>
      </c>
      <c r="D39" s="28" t="inlineStr">
        <is>
          <t>召唤/陷阱</t>
        </is>
      </c>
      <c r="E39" s="28" t="inlineStr">
        <is>
          <t>宠物/怪物</t>
        </is>
      </c>
      <c r="F39" s="28" t="inlineStr">
        <is>
          <t>after_action</t>
        </is>
      </c>
      <c r="G39" s="28" t="inlineStr">
        <is>
          <t>目标格可放陷阱</t>
        </is>
      </c>
      <c r="H39" s="28" t="inlineStr">
        <is>
          <t>element=fire; layers=2</t>
        </is>
      </c>
      <c r="I39" s="28" t="inlineStr">
        <is>
          <t>在格子生成元素陷阱。</t>
        </is>
      </c>
      <c r="J39" s="28" t="inlineStr">
        <is>
          <t>{unit} 生成 {element} 陷阱。</t>
        </is>
      </c>
      <c r="K39" s="28" t="n">
        <v>6</v>
      </c>
      <c r="L39" s="28" t="inlineStr">
        <is>
          <t>中</t>
        </is>
      </c>
      <c r="M39" s="28" t="inlineStr">
        <is>
          <t>正式</t>
        </is>
      </c>
      <c r="N39" s="28" t="inlineStr">
        <is>
          <t>待接入</t>
        </is>
      </c>
      <c r="O39" s="28" t="n">
        <v>1</v>
      </c>
      <c r="P39" s="28" t="n">
        <v>1</v>
      </c>
      <c r="Q39" s="28" t="n">
        <v>0</v>
      </c>
      <c r="R39" s="28" t="n">
        <v>0</v>
      </c>
      <c r="S39" s="28" t="inlineStr">
        <is>
          <t>和陷阱层规则联动。</t>
        </is>
      </c>
    </row>
    <row r="40" ht="22" customHeight="1">
      <c r="A40" s="28" t="inlineStr">
        <is>
          <t>M38</t>
        </is>
      </c>
      <c r="B40" s="28" t="inlineStr">
        <is>
          <t>mech_summon_when_hit</t>
        </is>
      </c>
      <c r="C40" s="28" t="inlineStr">
        <is>
          <t>受击分裂</t>
        </is>
      </c>
      <c r="D40" s="28" t="inlineStr">
        <is>
          <t>召唤/反击</t>
        </is>
      </c>
      <c r="E40" s="28" t="inlineStr">
        <is>
          <t>怪物</t>
        </is>
      </c>
      <c r="F40" s="28" t="inlineStr">
        <is>
          <t>after_hit</t>
        </is>
      </c>
      <c r="G40" s="28" t="inlineStr">
        <is>
          <t>每回合一次</t>
        </is>
      </c>
      <c r="H40" s="28" t="inlineStr">
        <is>
          <t>summon=mon_swarm_plain_01; count=1</t>
        </is>
      </c>
      <c r="I40" s="28" t="inlineStr">
        <is>
          <t>受击后分裂出小怪。</t>
        </is>
      </c>
      <c r="J40" s="28" t="inlineStr">
        <is>
          <t>{unit} 受击分裂出小怪。</t>
        </is>
      </c>
      <c r="K40" s="28" t="n">
        <v>8</v>
      </c>
      <c r="L40" s="28" t="inlineStr">
        <is>
          <t>高</t>
        </is>
      </c>
      <c r="M40" s="28" t="inlineStr">
        <is>
          <t>正式</t>
        </is>
      </c>
      <c r="N40" s="28" t="inlineStr">
        <is>
          <t>待接入</t>
        </is>
      </c>
      <c r="O40" s="28" t="n">
        <v>0</v>
      </c>
      <c r="P40" s="28" t="n">
        <v>1</v>
      </c>
      <c r="Q40" s="28" t="n">
        <v>0</v>
      </c>
      <c r="R40" s="28" t="n">
        <v>1</v>
      </c>
      <c r="S40" s="28" t="inlineStr">
        <is>
          <t>比受击召唤更偏群压。</t>
        </is>
      </c>
    </row>
    <row r="41" ht="22" customHeight="1">
      <c r="A41" s="28" t="inlineStr">
        <is>
          <t>M39</t>
        </is>
      </c>
      <c r="B41" s="28" t="inlineStr">
        <is>
          <t>mech_summon_after_kill</t>
        </is>
      </c>
      <c r="C41" s="28" t="inlineStr">
        <is>
          <t>击杀召唤</t>
        </is>
      </c>
      <c r="D41" s="28" t="inlineStr">
        <is>
          <t>召唤/成长</t>
        </is>
      </c>
      <c r="E41" s="28" t="inlineStr">
        <is>
          <t>宠物/怪物</t>
        </is>
      </c>
      <c r="F41" s="28" t="inlineStr">
        <is>
          <t>after_kill</t>
        </is>
      </c>
      <c r="G41" s="28" t="inlineStr">
        <is>
          <t>击杀目标</t>
        </is>
      </c>
      <c r="H41" s="28" t="inlineStr">
        <is>
          <t>summon=ally_sprite; count=1</t>
        </is>
      </c>
      <c r="I41" s="28" t="inlineStr">
        <is>
          <t>击杀后召唤单位。</t>
        </is>
      </c>
      <c r="J41" s="28" t="inlineStr">
        <is>
          <t>{unit} 击杀后召唤援军。</t>
        </is>
      </c>
      <c r="K41" s="28" t="n">
        <v>7</v>
      </c>
      <c r="L41" s="28" t="inlineStr">
        <is>
          <t>中</t>
        </is>
      </c>
      <c r="M41" s="28" t="inlineStr">
        <is>
          <t>正式</t>
        </is>
      </c>
      <c r="N41" s="28" t="inlineStr">
        <is>
          <t>待接入</t>
        </is>
      </c>
      <c r="O41" s="28" t="n">
        <v>1</v>
      </c>
      <c r="P41" s="28" t="n">
        <v>1</v>
      </c>
      <c r="Q41" s="28" t="n">
        <v>0</v>
      </c>
      <c r="R41" s="28" t="n">
        <v>0</v>
      </c>
      <c r="S41" s="28" t="inlineStr">
        <is>
          <t>适合爽感滚雪球。</t>
        </is>
      </c>
    </row>
    <row r="42" ht="22" customHeight="1">
      <c r="A42" s="28" t="inlineStr">
        <is>
          <t>M40</t>
        </is>
      </c>
      <c r="B42" s="28" t="inlineStr">
        <is>
          <t>mech_hatch_after_rounds</t>
        </is>
      </c>
      <c r="C42" s="28" t="inlineStr">
        <is>
          <t>孵化倒计时</t>
        </is>
      </c>
      <c r="D42" s="28" t="inlineStr">
        <is>
          <t>召唤/倒计时</t>
        </is>
      </c>
      <c r="E42" s="28" t="inlineStr">
        <is>
          <t>怪物/事件</t>
        </is>
      </c>
      <c r="F42" s="28" t="inlineStr">
        <is>
          <t>round_end</t>
        </is>
      </c>
      <c r="G42" s="28" t="inlineStr">
        <is>
          <t>倒计时归零</t>
        </is>
      </c>
      <c r="H42" s="28" t="inlineStr">
        <is>
          <t>rounds=3; summon=mon_elite_egg</t>
        </is>
      </c>
      <c r="I42" s="28" t="inlineStr">
        <is>
          <t>若未提前击破，孵化成更强单位。</t>
        </is>
      </c>
      <c r="J42" s="28" t="inlineStr">
        <is>
          <t>{unit} 孵化完成。</t>
        </is>
      </c>
      <c r="K42" s="28" t="n">
        <v>8</v>
      </c>
      <c r="L42" s="28" t="inlineStr">
        <is>
          <t>高</t>
        </is>
      </c>
      <c r="M42" s="28" t="inlineStr">
        <is>
          <t>正式</t>
        </is>
      </c>
      <c r="N42" s="28" t="inlineStr">
        <is>
          <t>待接入</t>
        </is>
      </c>
      <c r="O42" s="28" t="n">
        <v>0</v>
      </c>
      <c r="P42" s="28" t="n">
        <v>1</v>
      </c>
      <c r="Q42" s="28" t="n">
        <v>1</v>
      </c>
      <c r="R42" s="28" t="n">
        <v>1</v>
      </c>
      <c r="S42" s="28" t="inlineStr">
        <is>
          <t>非常适合事件怪/蛋。</t>
        </is>
      </c>
    </row>
    <row r="43" ht="22" customHeight="1">
      <c r="A43" s="28" t="inlineStr">
        <is>
          <t>M41</t>
        </is>
      </c>
      <c r="B43" s="28" t="inlineStr">
        <is>
          <t>mech_fire_ignite_bonus</t>
        </is>
      </c>
      <c r="C43" s="28" t="inlineStr">
        <is>
          <t>火层增伤</t>
        </is>
      </c>
      <c r="D43" s="28" t="inlineStr">
        <is>
          <t>元素/火</t>
        </is>
      </c>
      <c r="E43" s="28" t="inlineStr">
        <is>
          <t>宠物/怪物</t>
        </is>
      </c>
      <c r="F43" s="28" t="inlineStr">
        <is>
          <t>element_damage</t>
        </is>
      </c>
      <c r="G43" s="28" t="inlineStr">
        <is>
          <t>火层结算</t>
        </is>
      </c>
      <c r="H43" s="28" t="inlineStr">
        <is>
          <t>per_layer=1</t>
        </is>
      </c>
      <c r="I43" s="28" t="inlineStr">
        <is>
          <t>火元素层结算额外增伤。</t>
        </is>
      </c>
      <c r="J43" s="28" t="inlineStr">
        <is>
          <t>火焰增强，额外造成 {bonus} 伤害。</t>
        </is>
      </c>
      <c r="K43" s="28" t="n">
        <v>5</v>
      </c>
      <c r="L43" s="28" t="inlineStr">
        <is>
          <t>中</t>
        </is>
      </c>
      <c r="M43" s="28" t="inlineStr">
        <is>
          <t>正式</t>
        </is>
      </c>
      <c r="N43" s="28" t="inlineStr">
        <is>
          <t>可接入</t>
        </is>
      </c>
      <c r="O43" s="28" t="n">
        <v>1</v>
      </c>
      <c r="P43" s="28" t="n">
        <v>1</v>
      </c>
      <c r="Q43" s="28" t="n">
        <v>0</v>
      </c>
      <c r="R43" s="28" t="n">
        <v>0</v>
      </c>
      <c r="S43" s="28" t="inlineStr">
        <is>
          <t>火系基础词条。</t>
        </is>
      </c>
    </row>
    <row r="44" ht="22" customHeight="1">
      <c r="A44" s="28" t="inlineStr">
        <is>
          <t>M42</t>
        </is>
      </c>
      <c r="B44" s="28" t="inlineStr">
        <is>
          <t>mech_water_heal_on_layer</t>
        </is>
      </c>
      <c r="C44" s="28" t="inlineStr">
        <is>
          <t>水层治疗</t>
        </is>
      </c>
      <c r="D44" s="28" t="inlineStr">
        <is>
          <t>元素/水</t>
        </is>
      </c>
      <c r="E44" s="28" t="inlineStr">
        <is>
          <t>宠物</t>
        </is>
      </c>
      <c r="F44" s="28" t="inlineStr">
        <is>
          <t>after_element_apply</t>
        </is>
      </c>
      <c r="G44" s="28" t="inlineStr">
        <is>
          <t>施加水层</t>
        </is>
      </c>
      <c r="H44" s="28" t="inlineStr">
        <is>
          <t>heal_per_layer=1</t>
        </is>
      </c>
      <c r="I44" s="28" t="inlineStr">
        <is>
          <t>施加水层时治疗友方。</t>
        </is>
      </c>
      <c r="J44" s="28" t="inlineStr">
        <is>
          <t>水流治疗 {heal} 点。</t>
        </is>
      </c>
      <c r="K44" s="28" t="n">
        <v>5</v>
      </c>
      <c r="L44" s="28" t="inlineStr">
        <is>
          <t>中</t>
        </is>
      </c>
      <c r="M44" s="28" t="inlineStr">
        <is>
          <t>正式</t>
        </is>
      </c>
      <c r="N44" s="28" t="inlineStr">
        <is>
          <t>待接入</t>
        </is>
      </c>
      <c r="O44" s="28" t="n">
        <v>1</v>
      </c>
      <c r="P44" s="28" t="n">
        <v>0</v>
      </c>
      <c r="Q44" s="28" t="n">
        <v>0</v>
      </c>
      <c r="R44" s="28" t="n">
        <v>0</v>
      </c>
      <c r="S44" s="28" t="inlineStr">
        <is>
          <t>水系基础词条。</t>
        </is>
      </c>
    </row>
    <row r="45" ht="22" customHeight="1">
      <c r="A45" s="28" t="inlineStr">
        <is>
          <t>M43</t>
        </is>
      </c>
      <c r="B45" s="28" t="inlineStr">
        <is>
          <t>mech_wind_push_on_hit</t>
        </is>
      </c>
      <c r="C45" s="28" t="inlineStr">
        <is>
          <t>风系推拉</t>
        </is>
      </c>
      <c r="D45" s="28" t="inlineStr">
        <is>
          <t>元素/风</t>
        </is>
      </c>
      <c r="E45" s="28" t="inlineStr">
        <is>
          <t>宠物/怪物</t>
        </is>
      </c>
      <c r="F45" s="28" t="inlineStr">
        <is>
          <t>after_hit</t>
        </is>
      </c>
      <c r="G45" s="28" t="inlineStr">
        <is>
          <t>风元素命中</t>
        </is>
      </c>
      <c r="H45" s="28" t="inlineStr">
        <is>
          <t>distance=1</t>
        </is>
      </c>
      <c r="I45" s="28" t="inlineStr">
        <is>
          <t>命中后推开/拉动目标。</t>
        </is>
      </c>
      <c r="J45" s="28" t="inlineStr">
        <is>
          <t>风力推动目标 {distance} 格。</t>
        </is>
      </c>
      <c r="K45" s="28" t="n">
        <v>6</v>
      </c>
      <c r="L45" s="28" t="inlineStr">
        <is>
          <t>中</t>
        </is>
      </c>
      <c r="M45" s="28" t="inlineStr">
        <is>
          <t>正式</t>
        </is>
      </c>
      <c r="N45" s="28" t="inlineStr">
        <is>
          <t>待接入</t>
        </is>
      </c>
      <c r="O45" s="28" t="n">
        <v>1</v>
      </c>
      <c r="P45" s="28" t="n">
        <v>1</v>
      </c>
      <c r="Q45" s="28" t="n">
        <v>0</v>
      </c>
      <c r="R45" s="28" t="n">
        <v>0</v>
      </c>
      <c r="S45" s="28" t="inlineStr">
        <is>
          <t>需移动规则。</t>
        </is>
      </c>
    </row>
    <row r="46" ht="22" customHeight="1">
      <c r="A46" s="28" t="inlineStr">
        <is>
          <t>M44</t>
        </is>
      </c>
      <c r="B46" s="28" t="inlineStr">
        <is>
          <t>mech_earth_shield_on_layer</t>
        </is>
      </c>
      <c r="C46" s="28" t="inlineStr">
        <is>
          <t>土层护盾</t>
        </is>
      </c>
      <c r="D46" s="28" t="inlineStr">
        <is>
          <t>元素/土</t>
        </is>
      </c>
      <c r="E46" s="28" t="inlineStr">
        <is>
          <t>宠物</t>
        </is>
      </c>
      <c r="F46" s="28" t="inlineStr">
        <is>
          <t>after_element_apply</t>
        </is>
      </c>
      <c r="G46" s="28" t="inlineStr">
        <is>
          <t>施加土层</t>
        </is>
      </c>
      <c r="H46" s="28" t="inlineStr">
        <is>
          <t>shield_per_layer=2</t>
        </is>
      </c>
      <c r="I46" s="28" t="inlineStr">
        <is>
          <t>施加土层获得护盾。</t>
        </is>
      </c>
      <c r="J46" s="28" t="inlineStr">
        <is>
          <t>土元素提供 {shield} 点护盾。</t>
        </is>
      </c>
      <c r="K46" s="28" t="n">
        <v>5</v>
      </c>
      <c r="L46" s="28" t="inlineStr">
        <is>
          <t>中</t>
        </is>
      </c>
      <c r="M46" s="28" t="inlineStr">
        <is>
          <t>正式</t>
        </is>
      </c>
      <c r="N46" s="28" t="inlineStr">
        <is>
          <t>待接入</t>
        </is>
      </c>
      <c r="O46" s="28" t="n">
        <v>1</v>
      </c>
      <c r="P46" s="28" t="n">
        <v>0</v>
      </c>
      <c r="Q46" s="28" t="n">
        <v>0</v>
      </c>
      <c r="R46" s="28" t="n">
        <v>0</v>
      </c>
      <c r="S46" s="28" t="inlineStr">
        <is>
          <t>土系基础词条。</t>
        </is>
      </c>
    </row>
    <row r="47" ht="22" customHeight="1">
      <c r="A47" s="28" t="inlineStr">
        <is>
          <t>M45</t>
        </is>
      </c>
      <c r="B47" s="28" t="inlineStr">
        <is>
          <t>mech_multi_element_bonus</t>
        </is>
      </c>
      <c r="C47" s="28" t="inlineStr">
        <is>
          <t>多元素共鸣</t>
        </is>
      </c>
      <c r="D47" s="28" t="inlineStr">
        <is>
          <t>元素/多元素</t>
        </is>
      </c>
      <c r="E47" s="28" t="inlineStr">
        <is>
          <t>宠物/怪物</t>
        </is>
      </c>
      <c r="F47" s="28" t="inlineStr">
        <is>
          <t>element_settle</t>
        </is>
      </c>
      <c r="G47" s="28" t="inlineStr">
        <is>
          <t>同格多元素&gt;=2</t>
        </is>
      </c>
      <c r="H47" s="28" t="inlineStr">
        <is>
          <t>bonus=3</t>
        </is>
      </c>
      <c r="I47" s="28" t="inlineStr">
        <is>
          <t>同格多元素结算额外效果。</t>
        </is>
      </c>
      <c r="J47" s="28" t="inlineStr">
        <is>
          <t>多元素共鸣，额外造成 {bonus}。</t>
        </is>
      </c>
      <c r="K47" s="28" t="n">
        <v>7</v>
      </c>
      <c r="L47" s="28" t="inlineStr">
        <is>
          <t>高</t>
        </is>
      </c>
      <c r="M47" s="28" t="inlineStr">
        <is>
          <t>正式</t>
        </is>
      </c>
      <c r="N47" s="28" t="inlineStr">
        <is>
          <t>待接入</t>
        </is>
      </c>
      <c r="O47" s="28" t="n">
        <v>1</v>
      </c>
      <c r="P47" s="28" t="n">
        <v>1</v>
      </c>
      <c r="Q47" s="28" t="n">
        <v>0</v>
      </c>
      <c r="R47" s="28" t="n">
        <v>0</v>
      </c>
      <c r="S47" s="28" t="inlineStr">
        <is>
          <t>别过早削弱。</t>
        </is>
      </c>
    </row>
    <row r="48" ht="22" customHeight="1">
      <c r="A48" s="28" t="inlineStr">
        <is>
          <t>M46</t>
        </is>
      </c>
      <c r="B48" s="28" t="inlineStr">
        <is>
          <t>mech_trap_stack_trigger</t>
        </is>
      </c>
      <c r="C48" s="28" t="inlineStr">
        <is>
          <t>陷阱叠加触发</t>
        </is>
      </c>
      <c r="D48" s="28" t="inlineStr">
        <is>
          <t>元素/陷阱</t>
        </is>
      </c>
      <c r="E48" s="28" t="inlineStr">
        <is>
          <t>宠物/怪物</t>
        </is>
      </c>
      <c r="F48" s="28" t="inlineStr">
        <is>
          <t>on_enter_cell</t>
        </is>
      </c>
      <c r="G48" s="28" t="inlineStr">
        <is>
          <t>进入陷阱格</t>
        </is>
      </c>
      <c r="H48" s="28" t="inlineStr">
        <is>
          <t>trigger_all=true</t>
        </is>
      </c>
      <c r="I48" s="28" t="inlineStr">
        <is>
          <t>踩入格子时触发该格所有元素陷阱。</t>
        </is>
      </c>
      <c r="J48" s="28" t="inlineStr">
        <is>
          <t>{unit} 踩中陷阱，触发全部元素。</t>
        </is>
      </c>
      <c r="K48" s="28" t="n">
        <v>7</v>
      </c>
      <c r="L48" s="28" t="inlineStr">
        <is>
          <t>高</t>
        </is>
      </c>
      <c r="M48" s="28" t="inlineStr">
        <is>
          <t>正式</t>
        </is>
      </c>
      <c r="N48" s="28" t="inlineStr">
        <is>
          <t>待接入</t>
        </is>
      </c>
      <c r="O48" s="28" t="n">
        <v>1</v>
      </c>
      <c r="P48" s="28" t="n">
        <v>1</v>
      </c>
      <c r="Q48" s="28" t="n">
        <v>0</v>
      </c>
      <c r="R48" s="28" t="n">
        <v>1</v>
      </c>
      <c r="S48" s="28" t="inlineStr">
        <is>
          <t>对应已定陷阱叠加规则。</t>
        </is>
      </c>
    </row>
    <row r="49" ht="22" customHeight="1">
      <c r="A49" s="28" t="inlineStr">
        <is>
          <t>M47</t>
        </is>
      </c>
      <c r="B49" s="28" t="inlineStr">
        <is>
          <t>mech_fire_cross_detonate_diamond</t>
        </is>
      </c>
      <c r="C49" s="28" t="inlineStr">
        <is>
          <t>火魔十字引爆</t>
        </is>
      </c>
      <c r="D49" s="28" t="inlineStr">
        <is>
          <t>元素/火</t>
        </is>
      </c>
      <c r="E49" s="28" t="inlineStr">
        <is>
          <t>钻石火魔</t>
        </is>
      </c>
      <c r="F49" s="28" t="inlineStr">
        <is>
          <t>element_explode</t>
        </is>
      </c>
      <c r="G49" s="28" t="inlineStr">
        <is>
          <t>火魔钻石且在场/背包</t>
        </is>
      </c>
      <c r="H49" s="28" t="inlineStr">
        <is>
          <t>shape=cross5</t>
        </is>
      </c>
      <c r="I49" s="28" t="inlineStr">
        <is>
          <t>火引爆改为十字五格。</t>
        </is>
      </c>
      <c r="J49" s="28" t="inlineStr">
        <is>
          <t>火魔引爆十字区域。</t>
        </is>
      </c>
      <c r="K49" s="28" t="n">
        <v>10</v>
      </c>
      <c r="L49" s="28" t="inlineStr">
        <is>
          <t>高</t>
        </is>
      </c>
      <c r="M49" s="28" t="inlineStr">
        <is>
          <t>正式</t>
        </is>
      </c>
      <c r="N49" s="28" t="inlineStr">
        <is>
          <t>待接入</t>
        </is>
      </c>
      <c r="O49" s="28" t="n">
        <v>1</v>
      </c>
      <c r="P49" s="28" t="n">
        <v>0</v>
      </c>
      <c r="Q49" s="28" t="n">
        <v>0</v>
      </c>
      <c r="R49" s="28" t="n">
        <v>0</v>
      </c>
      <c r="S49" s="28" t="inlineStr">
        <is>
          <t>仅钻石火魔，不得默认全局启用。</t>
        </is>
      </c>
    </row>
    <row r="50" ht="22" customHeight="1">
      <c r="A50" s="28" t="inlineStr">
        <is>
          <t>M48</t>
        </is>
      </c>
      <c r="B50" s="28" t="inlineStr">
        <is>
          <t>mech_water_cleanse_debuff</t>
        </is>
      </c>
      <c r="C50" s="28" t="inlineStr">
        <is>
          <t>水系净化</t>
        </is>
      </c>
      <c r="D50" s="28" t="inlineStr">
        <is>
          <t>元素/水</t>
        </is>
      </c>
      <c r="E50" s="28" t="inlineStr">
        <is>
          <t>宠物</t>
        </is>
      </c>
      <c r="F50" s="28" t="inlineStr">
        <is>
          <t>round_start</t>
        </is>
      </c>
      <c r="G50" s="28" t="inlineStr">
        <is>
          <t>友方有负面状态</t>
        </is>
      </c>
      <c r="H50" s="28" t="inlineStr">
        <is>
          <t>cleanse=1</t>
        </is>
      </c>
      <c r="I50" s="28" t="inlineStr">
        <is>
          <t>移除负面状态。</t>
        </is>
      </c>
      <c r="J50" s="28" t="inlineStr">
        <is>
          <t>水流净化了 {count} 个负面状态。</t>
        </is>
      </c>
      <c r="K50" s="28" t="n">
        <v>6</v>
      </c>
      <c r="L50" s="28" t="inlineStr">
        <is>
          <t>中</t>
        </is>
      </c>
      <c r="M50" s="28" t="inlineStr">
        <is>
          <t>正式</t>
        </is>
      </c>
      <c r="N50" s="28" t="inlineStr">
        <is>
          <t>待接入</t>
        </is>
      </c>
      <c r="O50" s="28" t="n">
        <v>1</v>
      </c>
      <c r="P50" s="28" t="n">
        <v>0</v>
      </c>
      <c r="Q50" s="28" t="n">
        <v>0</v>
      </c>
      <c r="R50" s="28" t="n">
        <v>0</v>
      </c>
      <c r="S50" s="28" t="inlineStr">
        <is>
          <t>状态系统后接。</t>
        </is>
      </c>
    </row>
    <row r="51" ht="22" customHeight="1">
      <c r="A51" s="28" t="inlineStr">
        <is>
          <t>M49</t>
        </is>
      </c>
      <c r="B51" s="28" t="inlineStr">
        <is>
          <t>mech_wind_slow_ap</t>
        </is>
      </c>
      <c r="C51" s="28" t="inlineStr">
        <is>
          <t>风系减行动</t>
        </is>
      </c>
      <c r="D51" s="28" t="inlineStr">
        <is>
          <t>元素/风</t>
        </is>
      </c>
      <c r="E51" s="28" t="inlineStr">
        <is>
          <t>宠物/怪物</t>
        </is>
      </c>
      <c r="F51" s="28" t="inlineStr">
        <is>
          <t>after_hit</t>
        </is>
      </c>
      <c r="G51" s="28" t="inlineStr">
        <is>
          <t>风元素命中</t>
        </is>
      </c>
      <c r="H51" s="28" t="inlineStr">
        <is>
          <t>ap_delta=-1</t>
        </is>
      </c>
      <c r="I51" s="28" t="inlineStr">
        <is>
          <t>降低目标行动力或本回合AP。</t>
        </is>
      </c>
      <c r="J51" s="28" t="inlineStr">
        <is>
          <t>风压降低目标行动力。</t>
        </is>
      </c>
      <c r="K51" s="28" t="n">
        <v>6</v>
      </c>
      <c r="L51" s="28" t="inlineStr">
        <is>
          <t>中</t>
        </is>
      </c>
      <c r="M51" s="28" t="inlineStr">
        <is>
          <t>正式</t>
        </is>
      </c>
      <c r="N51" s="28" t="inlineStr">
        <is>
          <t>待接入</t>
        </is>
      </c>
      <c r="O51" s="28" t="n">
        <v>1</v>
      </c>
      <c r="P51" s="28" t="n">
        <v>1</v>
      </c>
      <c r="Q51" s="28" t="n">
        <v>0</v>
      </c>
      <c r="R51" s="28" t="n">
        <v>0</v>
      </c>
      <c r="S51" s="28" t="inlineStr">
        <is>
          <t>牵制机制。</t>
        </is>
      </c>
    </row>
    <row r="52" ht="22" customHeight="1">
      <c r="A52" s="28" t="inlineStr">
        <is>
          <t>M50</t>
        </is>
      </c>
      <c r="B52" s="28" t="inlineStr">
        <is>
          <t>mech_earth_block_cell</t>
        </is>
      </c>
      <c r="C52" s="28" t="inlineStr">
        <is>
          <t>土系阻挡</t>
        </is>
      </c>
      <c r="D52" s="28" t="inlineStr">
        <is>
          <t>元素/土</t>
        </is>
      </c>
      <c r="E52" s="28" t="inlineStr">
        <is>
          <t>宠物/怪物</t>
        </is>
      </c>
      <c r="F52" s="28" t="inlineStr">
        <is>
          <t>after_element_apply</t>
        </is>
      </c>
      <c r="G52" s="28" t="inlineStr">
        <is>
          <t>目标格可阻挡</t>
        </is>
      </c>
      <c r="H52" s="28" t="inlineStr">
        <is>
          <t>duration=1; hp=6</t>
        </is>
      </c>
      <c r="I52" s="28" t="inlineStr">
        <is>
          <t>土元素形成阻挡地块。</t>
        </is>
      </c>
      <c r="J52" s="28" t="inlineStr">
        <is>
          <t>土墙阻挡路径。</t>
        </is>
      </c>
      <c r="K52" s="28" t="n">
        <v>7</v>
      </c>
      <c r="L52" s="28" t="inlineStr">
        <is>
          <t>高</t>
        </is>
      </c>
      <c r="M52" s="28" t="inlineStr">
        <is>
          <t>正式</t>
        </is>
      </c>
      <c r="N52" s="28" t="inlineStr">
        <is>
          <t>待接入</t>
        </is>
      </c>
      <c r="O52" s="28" t="n">
        <v>1</v>
      </c>
      <c r="P52" s="28" t="n">
        <v>1</v>
      </c>
      <c r="Q52" s="28" t="n">
        <v>0</v>
      </c>
      <c r="R52" s="28" t="n">
        <v>0</v>
      </c>
      <c r="S52" s="28" t="inlineStr">
        <is>
          <t>需地形/单位层分离。</t>
        </is>
      </c>
    </row>
    <row r="53" ht="22" customHeight="1">
      <c r="A53" s="28" t="inlineStr">
        <is>
          <t>M51</t>
        </is>
      </c>
      <c r="B53" s="28" t="inlineStr">
        <is>
          <t>mech_curse_gold_loss</t>
        </is>
      </c>
      <c r="C53" s="28" t="inlineStr">
        <is>
          <t>金币诅咒</t>
        </is>
      </c>
      <c r="D53" s="28" t="inlineStr">
        <is>
          <t>诅咒/经济</t>
        </is>
      </c>
      <c r="E53" s="28" t="inlineStr">
        <is>
          <t>事件/怪物</t>
        </is>
      </c>
      <c r="F53" s="28" t="inlineStr">
        <is>
          <t>battle_end</t>
        </is>
      </c>
      <c r="G53" s="28" t="inlineStr">
        <is>
          <t>单位存活或事件选择</t>
        </is>
      </c>
      <c r="H53" s="28" t="inlineStr">
        <is>
          <t>gold=-2</t>
        </is>
      </c>
      <c r="I53" s="28" t="inlineStr">
        <is>
          <t>减少金币。</t>
        </is>
      </c>
      <c r="J53" s="28" t="inlineStr">
        <is>
          <t>诅咒生效，金币 {gold}。</t>
        </is>
      </c>
      <c r="K53" s="28" t="n">
        <v>4</v>
      </c>
      <c r="L53" s="28" t="inlineStr">
        <is>
          <t>中</t>
        </is>
      </c>
      <c r="M53" s="28" t="inlineStr">
        <is>
          <t>正式</t>
        </is>
      </c>
      <c r="N53" s="28" t="inlineStr">
        <is>
          <t>待接入</t>
        </is>
      </c>
      <c r="O53" s="28" t="n">
        <v>0</v>
      </c>
      <c r="P53" s="28" t="n">
        <v>1</v>
      </c>
      <c r="Q53" s="28" t="n">
        <v>1</v>
      </c>
      <c r="R53" s="28" t="n">
        <v>1</v>
      </c>
      <c r="S53" s="28" t="inlineStr">
        <is>
          <t>事件和失败惩罚可复用。</t>
        </is>
      </c>
    </row>
    <row r="54" ht="22" customHeight="1">
      <c r="A54" s="28" t="inlineStr">
        <is>
          <t>M52</t>
        </is>
      </c>
      <c r="B54" s="28" t="inlineStr">
        <is>
          <t>mech_reduce_reward_if_alive</t>
        </is>
      </c>
      <c r="C54" s="28" t="inlineStr">
        <is>
          <t>存活减奖</t>
        </is>
      </c>
      <c r="D54" s="28" t="inlineStr">
        <is>
          <t>诅咒/奖励</t>
        </is>
      </c>
      <c r="E54" s="28" t="inlineStr">
        <is>
          <t>波次/怪物</t>
        </is>
      </c>
      <c r="F54" s="28" t="inlineStr">
        <is>
          <t>battle_end</t>
        </is>
      </c>
      <c r="G54" s="28" t="inlineStr">
        <is>
          <t>特定怪物未击杀</t>
        </is>
      </c>
      <c r="H54" s="28" t="inlineStr">
        <is>
          <t>reward_pct=-0.2</t>
        </is>
      </c>
      <c r="I54" s="28" t="inlineStr">
        <is>
          <t>降低奖励倍率。</t>
        </is>
      </c>
      <c r="J54" s="28" t="inlineStr">
        <is>
          <t>敌人未清，奖励降低。</t>
        </is>
      </c>
      <c r="K54" s="28" t="n">
        <v>5</v>
      </c>
      <c r="L54" s="28" t="inlineStr">
        <is>
          <t>中</t>
        </is>
      </c>
      <c r="M54" s="28" t="inlineStr">
        <is>
          <t>正式</t>
        </is>
      </c>
      <c r="N54" s="28" t="inlineStr">
        <is>
          <t>待接入</t>
        </is>
      </c>
      <c r="O54" s="28" t="n">
        <v>0</v>
      </c>
      <c r="P54" s="28" t="n">
        <v>1</v>
      </c>
      <c r="Q54" s="28" t="n">
        <v>1</v>
      </c>
      <c r="R54" s="28" t="n">
        <v>1</v>
      </c>
      <c r="S54" s="28" t="inlineStr">
        <is>
          <t>波次用。</t>
        </is>
      </c>
    </row>
    <row r="55" ht="22" customHeight="1">
      <c r="A55" s="28" t="inlineStr">
        <is>
          <t>M53</t>
        </is>
      </c>
      <c r="B55" s="28" t="inlineStr">
        <is>
          <t>mech_castle_line_damage</t>
        </is>
      </c>
      <c r="C55" s="28" t="inlineStr">
        <is>
          <t>城堡扣线</t>
        </is>
      </c>
      <c r="D55" s="28" t="inlineStr">
        <is>
          <t>波次/失败</t>
        </is>
      </c>
      <c r="E55" s="28" t="inlineStr">
        <is>
          <t>波次/怪物</t>
        </is>
      </c>
      <c r="F55" s="28" t="inlineStr">
        <is>
          <t>battle_fail</t>
        </is>
      </c>
      <c r="G55" s="28" t="inlineStr">
        <is>
          <t>战斗失败或怪物越线</t>
        </is>
      </c>
      <c r="H55" s="28" t="inlineStr">
        <is>
          <t>castle_hp=-1</t>
        </is>
      </c>
      <c r="I55" s="28" t="inlineStr">
        <is>
          <t>扣城堡线。</t>
        </is>
      </c>
      <c r="J55" s="28" t="inlineStr">
        <is>
          <t>城堡受到 {damage} 点损害。</t>
        </is>
      </c>
      <c r="K55" s="28" t="n">
        <v>5</v>
      </c>
      <c r="L55" s="28" t="inlineStr">
        <is>
          <t>中</t>
        </is>
      </c>
      <c r="M55" s="28" t="inlineStr">
        <is>
          <t>正式</t>
        </is>
      </c>
      <c r="N55" s="28" t="inlineStr">
        <is>
          <t>可接入</t>
        </is>
      </c>
      <c r="O55" s="28" t="n">
        <v>0</v>
      </c>
      <c r="P55" s="28" t="n">
        <v>1</v>
      </c>
      <c r="Q55" s="28" t="n">
        <v>1</v>
      </c>
      <c r="R55" s="28" t="n">
        <v>1</v>
      </c>
      <c r="S55" s="28" t="inlineStr">
        <is>
          <t>10回合失败核心。</t>
        </is>
      </c>
    </row>
    <row r="56" ht="22" customHeight="1">
      <c r="A56" s="28" t="inlineStr">
        <is>
          <t>M54</t>
        </is>
      </c>
      <c r="B56" s="28" t="inlineStr">
        <is>
          <t>mech_economy_decay_on_fail</t>
        </is>
      </c>
      <c r="C56" s="28" t="inlineStr">
        <is>
          <t>失败经济折损</t>
        </is>
      </c>
      <c r="D56" s="28" t="inlineStr">
        <is>
          <t>波次/失败</t>
        </is>
      </c>
      <c r="E56" s="28" t="inlineStr">
        <is>
          <t>波次/事件</t>
        </is>
      </c>
      <c r="F56" s="28" t="inlineStr">
        <is>
          <t>battle_fail</t>
        </is>
      </c>
      <c r="G56" s="28" t="inlineStr">
        <is>
          <t>战斗失败</t>
        </is>
      </c>
      <c r="H56" s="28" t="inlineStr">
        <is>
          <t>income_pct=0.8</t>
        </is>
      </c>
      <c r="I56" s="28" t="inlineStr">
        <is>
          <t>后续经济收益降低。</t>
        </is>
      </c>
      <c r="J56" s="28" t="inlineStr">
        <is>
          <t>失败导致经济收益降低。</t>
        </is>
      </c>
      <c r="K56" s="28" t="n">
        <v>6</v>
      </c>
      <c r="L56" s="28" t="inlineStr">
        <is>
          <t>中</t>
        </is>
      </c>
      <c r="M56" s="28" t="inlineStr">
        <is>
          <t>正式</t>
        </is>
      </c>
      <c r="N56" s="28" t="inlineStr">
        <is>
          <t>待接入</t>
        </is>
      </c>
      <c r="O56" s="28" t="n">
        <v>0</v>
      </c>
      <c r="P56" s="28" t="n">
        <v>0</v>
      </c>
      <c r="Q56" s="28" t="n">
        <v>1</v>
      </c>
      <c r="R56" s="28" t="n">
        <v>1</v>
      </c>
      <c r="S56" s="28" t="inlineStr">
        <is>
          <t>和大巴扎节奏相关。</t>
        </is>
      </c>
    </row>
    <row r="57" ht="22" customHeight="1">
      <c r="A57" s="28" t="inlineStr">
        <is>
          <t>M55</t>
        </is>
      </c>
      <c r="B57" s="28" t="inlineStr">
        <is>
          <t>mech_dirty_cell</t>
        </is>
      </c>
      <c r="C57" s="28" t="inlineStr">
        <is>
          <t>污染格子</t>
        </is>
      </c>
      <c r="D57" s="28" t="inlineStr">
        <is>
          <t>诅咒/地形</t>
        </is>
      </c>
      <c r="E57" s="28" t="inlineStr">
        <is>
          <t>怪物/事件</t>
        </is>
      </c>
      <c r="F57" s="28" t="inlineStr">
        <is>
          <t>after_action</t>
        </is>
      </c>
      <c r="G57" s="28" t="inlineStr">
        <is>
          <t>目标格可污染</t>
        </is>
      </c>
      <c r="H57" s="28" t="inlineStr">
        <is>
          <t>duration=2; penalty=1</t>
        </is>
      </c>
      <c r="I57" s="28" t="inlineStr">
        <is>
          <t>生成污染地块，影响站位/路径。</t>
        </is>
      </c>
      <c r="J57" s="28" t="inlineStr">
        <is>
          <t>{unit} 污染了格子。</t>
        </is>
      </c>
      <c r="K57" s="28" t="n">
        <v>6</v>
      </c>
      <c r="L57" s="28" t="inlineStr">
        <is>
          <t>中</t>
        </is>
      </c>
      <c r="M57" s="28" t="inlineStr">
        <is>
          <t>正式</t>
        </is>
      </c>
      <c r="N57" s="28" t="inlineStr">
        <is>
          <t>待接入</t>
        </is>
      </c>
      <c r="O57" s="28" t="n">
        <v>0</v>
      </c>
      <c r="P57" s="28" t="n">
        <v>1</v>
      </c>
      <c r="Q57" s="28" t="n">
        <v>1</v>
      </c>
      <c r="R57" s="28" t="n">
        <v>1</v>
      </c>
      <c r="S57" s="28" t="inlineStr">
        <is>
          <t>地形层实现。</t>
        </is>
      </c>
    </row>
    <row r="58" ht="22" customHeight="1">
      <c r="A58" s="28" t="inlineStr">
        <is>
          <t>M56</t>
        </is>
      </c>
      <c r="B58" s="28" t="inlineStr">
        <is>
          <t>mech_countdown_pressure</t>
        </is>
      </c>
      <c r="C58" s="28" t="inlineStr">
        <is>
          <t>倒计时压力</t>
        </is>
      </c>
      <c r="D58" s="28" t="inlineStr">
        <is>
          <t>波次/倒计时</t>
        </is>
      </c>
      <c r="E58" s="28" t="inlineStr">
        <is>
          <t>波次/事件</t>
        </is>
      </c>
      <c r="F58" s="28" t="inlineStr">
        <is>
          <t>round_start</t>
        </is>
      </c>
      <c r="G58" s="28" t="inlineStr">
        <is>
          <t>指定回合后</t>
        </is>
      </c>
      <c r="H58" s="28" t="inlineStr">
        <is>
          <t>round=5; effect=spawn_extra</t>
        </is>
      </c>
      <c r="I58" s="28" t="inlineStr">
        <is>
          <t>达到回合后追加惩罚。</t>
        </is>
      </c>
      <c r="J58" s="28" t="inlineStr">
        <is>
          <t>倒计时触发，战场压力上升。</t>
        </is>
      </c>
      <c r="K58" s="28" t="n">
        <v>7</v>
      </c>
      <c r="L58" s="28" t="inlineStr">
        <is>
          <t>高</t>
        </is>
      </c>
      <c r="M58" s="28" t="inlineStr">
        <is>
          <t>正式</t>
        </is>
      </c>
      <c r="N58" s="28" t="inlineStr">
        <is>
          <t>待接入</t>
        </is>
      </c>
      <c r="O58" s="28" t="n">
        <v>0</v>
      </c>
      <c r="P58" s="28" t="n">
        <v>0</v>
      </c>
      <c r="Q58" s="28" t="n">
        <v>1</v>
      </c>
      <c r="R58" s="28" t="n">
        <v>1</v>
      </c>
      <c r="S58" s="28" t="inlineStr">
        <is>
          <t>压缩战斗节奏。</t>
        </is>
      </c>
    </row>
    <row r="59" ht="22" customHeight="1">
      <c r="A59" s="28" t="inlineStr">
        <is>
          <t>M57</t>
        </is>
      </c>
      <c r="B59" s="28" t="inlineStr">
        <is>
          <t>mech_shop_discount_after_clear</t>
        </is>
      </c>
      <c r="C59" s="28" t="inlineStr">
        <is>
          <t>快速清场折扣</t>
        </is>
      </c>
      <c r="D59" s="28" t="inlineStr">
        <is>
          <t>奖励/商店</t>
        </is>
      </c>
      <c r="E59" s="28" t="inlineStr">
        <is>
          <t>波次/事件</t>
        </is>
      </c>
      <c r="F59" s="28" t="inlineStr">
        <is>
          <t>battle_end</t>
        </is>
      </c>
      <c r="G59" s="28" t="inlineStr">
        <is>
          <t>5回合内清场</t>
        </is>
      </c>
      <c r="H59" s="28" t="inlineStr">
        <is>
          <t>discount=1; slots=1</t>
        </is>
      </c>
      <c r="I59" s="28" t="inlineStr">
        <is>
          <t>下一商店获得折扣位。</t>
        </is>
      </c>
      <c r="J59" s="28" t="inlineStr">
        <is>
          <t>快速清场，获得折扣商店位。</t>
        </is>
      </c>
      <c r="K59" s="28" t="n">
        <v>5</v>
      </c>
      <c r="L59" s="28" t="inlineStr">
        <is>
          <t>中</t>
        </is>
      </c>
      <c r="M59" s="28" t="inlineStr">
        <is>
          <t>正式</t>
        </is>
      </c>
      <c r="N59" s="28" t="inlineStr">
        <is>
          <t>待接入</t>
        </is>
      </c>
      <c r="O59" s="28" t="n">
        <v>0</v>
      </c>
      <c r="P59" s="28" t="n">
        <v>0</v>
      </c>
      <c r="Q59" s="28" t="n">
        <v>1</v>
      </c>
      <c r="R59" s="28" t="n">
        <v>1</v>
      </c>
      <c r="S59" s="28" t="inlineStr">
        <is>
          <t>大巴扎式奖励。</t>
        </is>
      </c>
    </row>
    <row r="60" ht="22" customHeight="1">
      <c r="A60" s="28" t="inlineStr">
        <is>
          <t>M58</t>
        </is>
      </c>
      <c r="B60" s="28" t="inlineStr">
        <is>
          <t>mech_bonus_reward_under_round5</t>
        </is>
      </c>
      <c r="C60" s="28" t="inlineStr">
        <is>
          <t>5回合高奖</t>
        </is>
      </c>
      <c r="D60" s="28" t="inlineStr">
        <is>
          <t>奖励/波次</t>
        </is>
      </c>
      <c r="E60" s="28" t="inlineStr">
        <is>
          <t>波次</t>
        </is>
      </c>
      <c r="F60" s="28" t="inlineStr">
        <is>
          <t>battle_end</t>
        </is>
      </c>
      <c r="G60" s="28" t="inlineStr">
        <is>
          <t>回合&lt;=5且胜利</t>
        </is>
      </c>
      <c r="H60" s="28" t="inlineStr">
        <is>
          <t>reward_pct=1.3</t>
        </is>
      </c>
      <c r="I60" s="28" t="inlineStr">
        <is>
          <t>5回合内胜利提高奖励。</t>
        </is>
      </c>
      <c r="J60" s="28" t="inlineStr">
        <is>
          <t>5回合清场，奖励提升。</t>
        </is>
      </c>
      <c r="K60" s="28" t="n">
        <v>6</v>
      </c>
      <c r="L60" s="28" t="inlineStr">
        <is>
          <t>中</t>
        </is>
      </c>
      <c r="M60" s="28" t="inlineStr">
        <is>
          <t>正式</t>
        </is>
      </c>
      <c r="N60" s="28" t="inlineStr">
        <is>
          <t>待接入</t>
        </is>
      </c>
      <c r="O60" s="28" t="n">
        <v>0</v>
      </c>
      <c r="P60" s="28" t="n">
        <v>0</v>
      </c>
      <c r="Q60" s="28" t="n">
        <v>1</v>
      </c>
      <c r="R60" s="28" t="n">
        <v>1</v>
      </c>
      <c r="S60" s="28" t="inlineStr">
        <is>
          <t>用户已定目标。</t>
        </is>
      </c>
    </row>
    <row r="61" ht="22" customHeight="1">
      <c r="A61" s="28" t="inlineStr">
        <is>
          <t>M59</t>
        </is>
      </c>
      <c r="B61" s="28" t="inlineStr">
        <is>
          <t>mech_penalty_after_round10</t>
        </is>
      </c>
      <c r="C61" s="28" t="inlineStr">
        <is>
          <t>10回合失败</t>
        </is>
      </c>
      <c r="D61" s="28" t="inlineStr">
        <is>
          <t>失败/波次</t>
        </is>
      </c>
      <c r="E61" s="28" t="inlineStr">
        <is>
          <t>波次</t>
        </is>
      </c>
      <c r="F61" s="28" t="inlineStr">
        <is>
          <t>round_end</t>
        </is>
      </c>
      <c r="G61" s="28" t="inlineStr">
        <is>
          <t>回合&gt;10且未清场</t>
        </is>
      </c>
      <c r="H61" s="28" t="inlineStr">
        <is>
          <t>fail=true</t>
        </is>
      </c>
      <c r="I61" s="28" t="inlineStr">
        <is>
          <t>超过10回合判失败并结算惩罚。</t>
        </is>
      </c>
      <c r="J61" s="28" t="inlineStr">
        <is>
          <t>超过10回合，战斗失败。</t>
        </is>
      </c>
      <c r="K61" s="28" t="n">
        <v>8</v>
      </c>
      <c r="L61" s="28" t="inlineStr">
        <is>
          <t>高</t>
        </is>
      </c>
      <c r="M61" s="28" t="inlineStr">
        <is>
          <t>正式</t>
        </is>
      </c>
      <c r="N61" s="28" t="inlineStr">
        <is>
          <t>待接入</t>
        </is>
      </c>
      <c r="O61" s="28" t="n">
        <v>0</v>
      </c>
      <c r="P61" s="28" t="n">
        <v>0</v>
      </c>
      <c r="Q61" s="28" t="n">
        <v>1</v>
      </c>
      <c r="R61" s="28" t="n">
        <v>1</v>
      </c>
      <c r="S61" s="28" t="inlineStr">
        <is>
          <t>用户已定硬规则。</t>
        </is>
      </c>
    </row>
    <row r="62" ht="22" customHeight="1">
      <c r="A62" s="28" t="inlineStr">
        <is>
          <t>M60</t>
        </is>
      </c>
      <c r="B62" s="28" t="inlineStr">
        <is>
          <t>mech_elite_reward_bonus</t>
        </is>
      </c>
      <c r="C62" s="28" t="inlineStr">
        <is>
          <t>精英额外奖励</t>
        </is>
      </c>
      <c r="D62" s="28" t="inlineStr">
        <is>
          <t>奖励/精英</t>
        </is>
      </c>
      <c r="E62" s="28" t="inlineStr">
        <is>
          <t>怪物/波次</t>
        </is>
      </c>
      <c r="F62" s="28" t="inlineStr">
        <is>
          <t>battle_end</t>
        </is>
      </c>
      <c r="G62" s="28" t="inlineStr">
        <is>
          <t>精英死亡且胜利</t>
        </is>
      </c>
      <c r="H62" s="28" t="inlineStr">
        <is>
          <t>reward=elite_chest</t>
        </is>
      </c>
      <c r="I62" s="28" t="inlineStr">
        <is>
          <t>击杀精英提供额外奖励。</t>
        </is>
      </c>
      <c r="J62" s="28" t="inlineStr">
        <is>
          <t>击败精英，获得额外奖励。</t>
        </is>
      </c>
      <c r="K62" s="28" t="n">
        <v>6</v>
      </c>
      <c r="L62" s="28" t="inlineStr">
        <is>
          <t>中</t>
        </is>
      </c>
      <c r="M62" s="28" t="inlineStr">
        <is>
          <t>正式</t>
        </is>
      </c>
      <c r="N62" s="28" t="inlineStr">
        <is>
          <t>待接入</t>
        </is>
      </c>
      <c r="O62" s="28" t="n">
        <v>0</v>
      </c>
      <c r="P62" s="28" t="n">
        <v>1</v>
      </c>
      <c r="Q62" s="28" t="n">
        <v>1</v>
      </c>
      <c r="R62" s="28" t="n">
        <v>1</v>
      </c>
      <c r="S62" s="28" t="inlineStr">
        <is>
          <t>精英/事件用。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4" customWidth="1" min="4" max="4"/>
    <col width="10" customWidth="1" min="5" max="5"/>
    <col width="18" customWidth="1" min="6" max="6"/>
    <col width="32" customWidth="1" min="7" max="7"/>
    <col width="18" customWidth="1" min="8" max="8"/>
    <col width="14" customWidth="1" min="10" max="10"/>
    <col width="18" customWidth="1" min="12" max="12"/>
    <col width="14" customWidth="1" min="16" max="16"/>
    <col width="10" customWidth="1" min="18" max="18"/>
    <col width="14" customWidth="1" min="19" max="19"/>
    <col width="32" customWidth="1" min="21" max="21"/>
  </cols>
  <sheetData>
    <row r="1" ht="28" customHeight="1">
      <c r="A1" s="27" t="inlineStr">
        <is>
          <t>事件ID</t>
        </is>
      </c>
      <c r="B1" s="27" t="inlineStr">
        <is>
          <t>事件组</t>
        </is>
      </c>
      <c r="C1" s="27" t="inlineStr">
        <is>
          <t>事件名</t>
        </is>
      </c>
      <c r="D1" s="27" t="inlineStr">
        <is>
          <t>节点</t>
        </is>
      </c>
      <c r="E1" s="27" t="inlineStr">
        <is>
          <t>天数</t>
        </is>
      </c>
      <c r="F1" s="27" t="inlineStr">
        <is>
          <t>选项ID</t>
        </is>
      </c>
      <c r="G1" s="27" t="inlineStr">
        <is>
          <t>选项文案</t>
        </is>
      </c>
      <c r="H1" s="27" t="inlineStr">
        <is>
          <t>宠物ID</t>
        </is>
      </c>
      <c r="I1" s="27" t="inlineStr">
        <is>
          <t>名称(自动)</t>
        </is>
      </c>
      <c r="J1" s="27" t="inlineStr">
        <is>
          <t>元素(自动)</t>
        </is>
      </c>
      <c r="K1" s="27" t="inlineStr">
        <is>
          <t>定位(自动)</t>
        </is>
      </c>
      <c r="L1" s="27" t="inlineStr">
        <is>
          <t>机制ID</t>
        </is>
      </c>
      <c r="M1" s="27" t="inlineStr">
        <is>
          <t>机制名(自动)</t>
        </is>
      </c>
      <c r="N1" s="27" t="inlineStr">
        <is>
          <t>商店池ID</t>
        </is>
      </c>
      <c r="O1" s="27" t="inlineStr">
        <is>
          <t>奖励池ID</t>
        </is>
      </c>
      <c r="P1" s="27" t="inlineStr">
        <is>
          <t>代价</t>
        </is>
      </c>
      <c r="Q1" s="27" t="inlineStr">
        <is>
          <t>收益</t>
        </is>
      </c>
      <c r="R1" s="27" t="inlineStr">
        <is>
          <t>数值</t>
        </is>
      </c>
      <c r="S1" s="27" t="inlineStr">
        <is>
          <t>接入层级</t>
        </is>
      </c>
      <c r="T1" s="27" t="inlineStr">
        <is>
          <t>状态</t>
        </is>
      </c>
      <c r="U1" s="27" t="inlineStr">
        <is>
          <t>备注</t>
        </is>
      </c>
    </row>
    <row r="2" ht="22" customHeight="1">
      <c r="A2" s="28" t="inlineStr">
        <is>
          <t>evt_shop_fire</t>
        </is>
      </c>
      <c r="B2" s="28" t="inlineStr">
        <is>
          <t>定向商店</t>
        </is>
      </c>
      <c r="C2" s="28" t="inlineStr">
        <is>
          <t>火元素补货</t>
        </is>
      </c>
      <c r="D2" s="28" t="inlineStr">
        <is>
          <t>夜晚商店</t>
        </is>
      </c>
      <c r="E2" s="28" t="inlineStr">
        <is>
          <t>D1-D10</t>
        </is>
      </c>
      <c r="F2" s="28" t="inlineStr">
        <is>
          <t>A</t>
        </is>
      </c>
      <c r="G2" s="28" t="inlineStr">
        <is>
          <t>刷新后火系候选+2</t>
        </is>
      </c>
      <c r="H2" s="28" t="inlineStr">
        <is>
          <t>pal_005</t>
        </is>
      </c>
      <c r="I2" s="29">
        <f>IFERROR(VLOOKUP($H2,'01_宠物主表_好读版'!$A:$V,3,FALSE),"")</f>
        <v/>
      </c>
      <c r="J2" s="29">
        <f>IFERROR(VLOOKUP($H2,'01_宠物主表_好读版'!$A:$V,4,FALSE),"")</f>
        <v/>
      </c>
      <c r="K2" s="29">
        <f>IFERROR(VLOOKUP($H2,'01_宠物主表_好读版'!$A:$V,8,FALSE),"")</f>
        <v/>
      </c>
      <c r="L2" s="28" t="inlineStr">
        <is>
          <t>none</t>
        </is>
      </c>
      <c r="M2" s="29">
        <f>IFERROR(VLOOKUP($L2,'04_机制词条库_60条'!$B:$S,2,FALSE),"")</f>
        <v/>
      </c>
      <c r="N2" s="28" t="inlineStr">
        <is>
          <t>elem_火</t>
        </is>
      </c>
      <c r="O2" s="28" t="inlineStr">
        <is>
          <t>reward_pT1</t>
        </is>
      </c>
      <c r="P2" s="28" t="inlineStr">
        <is>
          <t>金币-1</t>
        </is>
      </c>
      <c r="Q2" s="28" t="inlineStr">
        <is>
          <t>火系商品位+2</t>
        </is>
      </c>
      <c r="R2" s="28" t="n">
        <v>2</v>
      </c>
      <c r="S2" s="28" t="inlineStr">
        <is>
          <t>shop_phase</t>
        </is>
      </c>
      <c r="T2" s="28" t="inlineStr">
        <is>
          <t>正式</t>
        </is>
      </c>
      <c r="U2" s="28" t="inlineStr">
        <is>
          <t>元素定向商店</t>
        </is>
      </c>
    </row>
    <row r="3" ht="22" customHeight="1">
      <c r="A3" s="28" t="inlineStr">
        <is>
          <t>evt_shop_water</t>
        </is>
      </c>
      <c r="B3" s="28" t="inlineStr">
        <is>
          <t>定向商店</t>
        </is>
      </c>
      <c r="C3" s="28" t="inlineStr">
        <is>
          <t>水元素补货</t>
        </is>
      </c>
      <c r="D3" s="28" t="inlineStr">
        <is>
          <t>夜晚商店</t>
        </is>
      </c>
      <c r="E3" s="28" t="inlineStr">
        <is>
          <t>D1-D10</t>
        </is>
      </c>
      <c r="F3" s="28" t="inlineStr">
        <is>
          <t>A</t>
        </is>
      </c>
      <c r="G3" s="28" t="inlineStr">
        <is>
          <t>刷新后水系候选+2</t>
        </is>
      </c>
      <c r="H3" s="28" t="inlineStr">
        <is>
          <t>pal_010</t>
        </is>
      </c>
      <c r="I3" s="29">
        <f>IFERROR(VLOOKUP($H3,'01_宠物主表_好读版'!$A:$V,3,FALSE),"")</f>
        <v/>
      </c>
      <c r="J3" s="29">
        <f>IFERROR(VLOOKUP($H3,'01_宠物主表_好读版'!$A:$V,4,FALSE),"")</f>
        <v/>
      </c>
      <c r="K3" s="29">
        <f>IFERROR(VLOOKUP($H3,'01_宠物主表_好读版'!$A:$V,8,FALSE),"")</f>
        <v/>
      </c>
      <c r="L3" s="28" t="inlineStr">
        <is>
          <t>none</t>
        </is>
      </c>
      <c r="M3" s="29">
        <f>IFERROR(VLOOKUP($L3,'04_机制词条库_60条'!$B:$S,2,FALSE),"")</f>
        <v/>
      </c>
      <c r="N3" s="28" t="inlineStr">
        <is>
          <t>elem_水</t>
        </is>
      </c>
      <c r="O3" s="28" t="inlineStr">
        <is>
          <t>reward_pT1</t>
        </is>
      </c>
      <c r="P3" s="28" t="inlineStr">
        <is>
          <t>金币-1</t>
        </is>
      </c>
      <c r="Q3" s="28" t="inlineStr">
        <is>
          <t>水系商品位+2</t>
        </is>
      </c>
      <c r="R3" s="28" t="n">
        <v>2</v>
      </c>
      <c r="S3" s="28" t="inlineStr">
        <is>
          <t>shop_phase</t>
        </is>
      </c>
      <c r="T3" s="28" t="inlineStr">
        <is>
          <t>正式</t>
        </is>
      </c>
      <c r="U3" s="28" t="inlineStr">
        <is>
          <t>元素定向商店</t>
        </is>
      </c>
    </row>
    <row r="4" ht="22" customHeight="1">
      <c r="A4" s="28" t="inlineStr">
        <is>
          <t>evt_shop_wind</t>
        </is>
      </c>
      <c r="B4" s="28" t="inlineStr">
        <is>
          <t>定向商店</t>
        </is>
      </c>
      <c r="C4" s="28" t="inlineStr">
        <is>
          <t>风元素补货</t>
        </is>
      </c>
      <c r="D4" s="28" t="inlineStr">
        <is>
          <t>夜晚商店</t>
        </is>
      </c>
      <c r="E4" s="28" t="inlineStr">
        <is>
          <t>D1-D10</t>
        </is>
      </c>
      <c r="F4" s="28" t="inlineStr">
        <is>
          <t>A</t>
        </is>
      </c>
      <c r="G4" s="28" t="inlineStr">
        <is>
          <t>刷新后风系候选+2</t>
        </is>
      </c>
      <c r="H4" s="28" t="inlineStr">
        <is>
          <t>pal_003</t>
        </is>
      </c>
      <c r="I4" s="29">
        <f>IFERROR(VLOOKUP($H4,'01_宠物主表_好读版'!$A:$V,3,FALSE),"")</f>
        <v/>
      </c>
      <c r="J4" s="29">
        <f>IFERROR(VLOOKUP($H4,'01_宠物主表_好读版'!$A:$V,4,FALSE),"")</f>
        <v/>
      </c>
      <c r="K4" s="29">
        <f>IFERROR(VLOOKUP($H4,'01_宠物主表_好读版'!$A:$V,8,FALSE),"")</f>
        <v/>
      </c>
      <c r="L4" s="28" t="inlineStr">
        <is>
          <t>none</t>
        </is>
      </c>
      <c r="M4" s="29">
        <f>IFERROR(VLOOKUP($L4,'04_机制词条库_60条'!$B:$S,2,FALSE),"")</f>
        <v/>
      </c>
      <c r="N4" s="28" t="inlineStr">
        <is>
          <t>elem_风</t>
        </is>
      </c>
      <c r="O4" s="28" t="inlineStr">
        <is>
          <t>reward_pT1</t>
        </is>
      </c>
      <c r="P4" s="28" t="inlineStr">
        <is>
          <t>金币-1</t>
        </is>
      </c>
      <c r="Q4" s="28" t="inlineStr">
        <is>
          <t>风系商品位+2</t>
        </is>
      </c>
      <c r="R4" s="28" t="n">
        <v>2</v>
      </c>
      <c r="S4" s="28" t="inlineStr">
        <is>
          <t>shop_phase</t>
        </is>
      </c>
      <c r="T4" s="28" t="inlineStr">
        <is>
          <t>正式</t>
        </is>
      </c>
      <c r="U4" s="28" t="inlineStr">
        <is>
          <t>元素定向商店</t>
        </is>
      </c>
    </row>
    <row r="5" ht="22" customHeight="1">
      <c r="A5" s="28" t="inlineStr">
        <is>
          <t>evt_shop_earth</t>
        </is>
      </c>
      <c r="B5" s="28" t="inlineStr">
        <is>
          <t>定向商店</t>
        </is>
      </c>
      <c r="C5" s="28" t="inlineStr">
        <is>
          <t>土元素补货</t>
        </is>
      </c>
      <c r="D5" s="28" t="inlineStr">
        <is>
          <t>夜晚商店</t>
        </is>
      </c>
      <c r="E5" s="28" t="inlineStr">
        <is>
          <t>D1-D10</t>
        </is>
      </c>
      <c r="F5" s="28" t="inlineStr">
        <is>
          <t>A</t>
        </is>
      </c>
      <c r="G5" s="28" t="inlineStr">
        <is>
          <t>刷新后土系候选+2</t>
        </is>
      </c>
      <c r="H5" s="28" t="inlineStr">
        <is>
          <t>pal_019</t>
        </is>
      </c>
      <c r="I5" s="29">
        <f>IFERROR(VLOOKUP($H5,'01_宠物主表_好读版'!$A:$V,3,FALSE),"")</f>
        <v/>
      </c>
      <c r="J5" s="29">
        <f>IFERROR(VLOOKUP($H5,'01_宠物主表_好读版'!$A:$V,4,FALSE),"")</f>
        <v/>
      </c>
      <c r="K5" s="29">
        <f>IFERROR(VLOOKUP($H5,'01_宠物主表_好读版'!$A:$V,8,FALSE),"")</f>
        <v/>
      </c>
      <c r="L5" s="28" t="inlineStr">
        <is>
          <t>none</t>
        </is>
      </c>
      <c r="M5" s="29">
        <f>IFERROR(VLOOKUP($L5,'04_机制词条库_60条'!$B:$S,2,FALSE),"")</f>
        <v/>
      </c>
      <c r="N5" s="28" t="inlineStr">
        <is>
          <t>elem_土</t>
        </is>
      </c>
      <c r="O5" s="28" t="inlineStr">
        <is>
          <t>reward_pT1</t>
        </is>
      </c>
      <c r="P5" s="28" t="inlineStr">
        <is>
          <t>金币-1</t>
        </is>
      </c>
      <c r="Q5" s="28" t="inlineStr">
        <is>
          <t>土系商品位+2</t>
        </is>
      </c>
      <c r="R5" s="28" t="n">
        <v>2</v>
      </c>
      <c r="S5" s="28" t="inlineStr">
        <is>
          <t>shop_phase</t>
        </is>
      </c>
      <c r="T5" s="28" t="inlineStr">
        <is>
          <t>正式</t>
        </is>
      </c>
      <c r="U5" s="28" t="inlineStr">
        <is>
          <t>元素定向商店</t>
        </is>
      </c>
    </row>
    <row r="6" ht="22" customHeight="1">
      <c r="A6" s="28" t="inlineStr">
        <is>
          <t>evt_role_summon</t>
        </is>
      </c>
      <c r="B6" s="28" t="inlineStr">
        <is>
          <t>定位补强</t>
        </is>
      </c>
      <c r="C6" s="28" t="inlineStr">
        <is>
          <t>召唤流补强</t>
        </is>
      </c>
      <c r="D6" s="28" t="inlineStr">
        <is>
          <t>夜晚商店</t>
        </is>
      </c>
      <c r="E6" s="28" t="inlineStr">
        <is>
          <t>D2-D10</t>
        </is>
      </c>
      <c r="F6" s="28" t="inlineStr">
        <is>
          <t>A</t>
        </is>
      </c>
      <c r="G6" s="28" t="inlineStr">
        <is>
          <t>召唤定位候选+2</t>
        </is>
      </c>
      <c r="H6" s="28" t="inlineStr">
        <is>
          <t>pal_072</t>
        </is>
      </c>
      <c r="I6" s="29">
        <f>IFERROR(VLOOKUP($H6,'01_宠物主表_好读版'!$A:$V,3,FALSE),"")</f>
        <v/>
      </c>
      <c r="J6" s="29">
        <f>IFERROR(VLOOKUP($H6,'01_宠物主表_好读版'!$A:$V,4,FALSE),"")</f>
        <v/>
      </c>
      <c r="K6" s="29">
        <f>IFERROR(VLOOKUP($H6,'01_宠物主表_好读版'!$A:$V,8,FALSE),"")</f>
        <v/>
      </c>
      <c r="L6" s="28" t="inlineStr">
        <is>
          <t>none</t>
        </is>
      </c>
      <c r="M6" s="29">
        <f>IFERROR(VLOOKUP($L6,'04_机制词条库_60条'!$B:$S,2,FALSE),"")</f>
        <v/>
      </c>
      <c r="N6" s="28" t="inlineStr">
        <is>
          <t>role_召唤</t>
        </is>
      </c>
      <c r="O6" s="28" t="inlineStr">
        <is>
          <t>reward_summon</t>
        </is>
      </c>
      <c r="P6" s="28" t="inlineStr">
        <is>
          <t>金币-2</t>
        </is>
      </c>
      <c r="Q6" s="28" t="inlineStr">
        <is>
          <t>召唤商品位+2</t>
        </is>
      </c>
      <c r="R6" s="28" t="n">
        <v>2</v>
      </c>
      <c r="S6" s="28" t="inlineStr">
        <is>
          <t>shop_phase</t>
        </is>
      </c>
      <c r="T6" s="28" t="inlineStr">
        <is>
          <t>正式</t>
        </is>
      </c>
      <c r="U6" s="28" t="inlineStr">
        <is>
          <t>定位商店</t>
        </is>
      </c>
    </row>
    <row r="7" ht="22" customHeight="1">
      <c r="A7" s="28" t="inlineStr">
        <is>
          <t>evt_role_tank</t>
        </is>
      </c>
      <c r="B7" s="28" t="inlineStr">
        <is>
          <t>定位补强</t>
        </is>
      </c>
      <c r="C7" s="28" t="inlineStr">
        <is>
          <t>前排补强</t>
        </is>
      </c>
      <c r="D7" s="28" t="inlineStr">
        <is>
          <t>夜晚商店</t>
        </is>
      </c>
      <c r="E7" s="28" t="inlineStr">
        <is>
          <t>D2-D10</t>
        </is>
      </c>
      <c r="F7" s="28" t="inlineStr">
        <is>
          <t>A</t>
        </is>
      </c>
      <c r="G7" s="28" t="inlineStr">
        <is>
          <t>坦克定位候选+2</t>
        </is>
      </c>
      <c r="H7" s="28" t="inlineStr">
        <is>
          <t>pal_017</t>
        </is>
      </c>
      <c r="I7" s="29">
        <f>IFERROR(VLOOKUP($H7,'01_宠物主表_好读版'!$A:$V,3,FALSE),"")</f>
        <v/>
      </c>
      <c r="J7" s="29">
        <f>IFERROR(VLOOKUP($H7,'01_宠物主表_好读版'!$A:$V,4,FALSE),"")</f>
        <v/>
      </c>
      <c r="K7" s="29">
        <f>IFERROR(VLOOKUP($H7,'01_宠物主表_好读版'!$A:$V,8,FALSE),"")</f>
        <v/>
      </c>
      <c r="L7" s="28" t="inlineStr">
        <is>
          <t>none</t>
        </is>
      </c>
      <c r="M7" s="29">
        <f>IFERROR(VLOOKUP($L7,'04_机制词条库_60条'!$B:$S,2,FALSE),"")</f>
        <v/>
      </c>
      <c r="N7" s="28" t="inlineStr">
        <is>
          <t>role_坦克</t>
        </is>
      </c>
      <c r="O7" s="28" t="inlineStr">
        <is>
          <t>reward_tank</t>
        </is>
      </c>
      <c r="P7" s="28" t="inlineStr">
        <is>
          <t>金币-2</t>
        </is>
      </c>
      <c r="Q7" s="28" t="inlineStr">
        <is>
          <t>坦克商品位+2</t>
        </is>
      </c>
      <c r="R7" s="28" t="n">
        <v>2</v>
      </c>
      <c r="S7" s="28" t="inlineStr">
        <is>
          <t>shop_phase</t>
        </is>
      </c>
      <c r="T7" s="28" t="inlineStr">
        <is>
          <t>正式</t>
        </is>
      </c>
      <c r="U7" s="28" t="inlineStr">
        <is>
          <t>定位商店</t>
        </is>
      </c>
    </row>
    <row r="8" ht="22" customHeight="1">
      <c r="A8" s="28" t="inlineStr">
        <is>
          <t>evt_free_roll</t>
        </is>
      </c>
      <c r="B8" s="28" t="inlineStr">
        <is>
          <t>商店经济</t>
        </is>
      </c>
      <c r="C8" s="28" t="inlineStr">
        <is>
          <t>免费刷新</t>
        </is>
      </c>
      <c r="D8" s="28" t="inlineStr">
        <is>
          <t>夜晚商店</t>
        </is>
      </c>
      <c r="E8" s="28" t="inlineStr">
        <is>
          <t>D1-D10</t>
        </is>
      </c>
      <c r="F8" s="28" t="inlineStr">
        <is>
          <t>A</t>
        </is>
      </c>
      <c r="G8" s="28" t="inlineStr">
        <is>
          <t>本晚获得1次免费刷新</t>
        </is>
      </c>
      <c r="H8" s="28" t="inlineStr">
        <is>
          <t>pal_007</t>
        </is>
      </c>
      <c r="I8" s="29">
        <f>IFERROR(VLOOKUP($H8,'01_宠物主表_好读版'!$A:$V,3,FALSE),"")</f>
        <v/>
      </c>
      <c r="J8" s="29">
        <f>IFERROR(VLOOKUP($H8,'01_宠物主表_好读版'!$A:$V,4,FALSE),"")</f>
        <v/>
      </c>
      <c r="K8" s="29">
        <f>IFERROR(VLOOKUP($H8,'01_宠物主表_好读版'!$A:$V,8,FALSE),"")</f>
        <v/>
      </c>
      <c r="L8" s="28" t="inlineStr">
        <is>
          <t>none</t>
        </is>
      </c>
      <c r="M8" s="29">
        <f>IFERROR(VLOOKUP($L8,'04_机制词条库_60条'!$B:$S,2,FALSE),"")</f>
        <v/>
      </c>
      <c r="N8" s="28" t="inlineStr">
        <is>
          <t>night_base</t>
        </is>
      </c>
      <c r="O8" s="28" t="inlineStr">
        <is>
          <t>reward_pT1</t>
        </is>
      </c>
      <c r="P8" s="28" t="inlineStr">
        <is>
          <t>无</t>
        </is>
      </c>
      <c r="Q8" s="28" t="inlineStr">
        <is>
          <t>免费刷新+1</t>
        </is>
      </c>
      <c r="R8" s="28" t="n">
        <v>1</v>
      </c>
      <c r="S8" s="28" t="inlineStr">
        <is>
          <t>shop_phase</t>
        </is>
      </c>
      <c r="T8" s="28" t="inlineStr">
        <is>
          <t>正式</t>
        </is>
      </c>
      <c r="U8" s="28" t="inlineStr">
        <is>
          <t>轻量经济事件</t>
        </is>
      </c>
    </row>
    <row r="9" ht="22" customHeight="1">
      <c r="A9" s="28" t="inlineStr">
        <is>
          <t>evt_discount</t>
        </is>
      </c>
      <c r="B9" s="28" t="inlineStr">
        <is>
          <t>商店经济</t>
        </is>
      </c>
      <c r="C9" s="28" t="inlineStr">
        <is>
          <t>折扣摊位</t>
        </is>
      </c>
      <c r="D9" s="28" t="inlineStr">
        <is>
          <t>夜晚商店</t>
        </is>
      </c>
      <c r="E9" s="28" t="inlineStr">
        <is>
          <t>D1-D10</t>
        </is>
      </c>
      <c r="F9" s="28" t="inlineStr">
        <is>
          <t>A</t>
        </is>
      </c>
      <c r="G9" s="28" t="inlineStr">
        <is>
          <t>下一件商品半价</t>
        </is>
      </c>
      <c r="H9" s="28" t="inlineStr">
        <is>
          <t>pal_008</t>
        </is>
      </c>
      <c r="I9" s="29">
        <f>IFERROR(VLOOKUP($H9,'01_宠物主表_好读版'!$A:$V,3,FALSE),"")</f>
        <v/>
      </c>
      <c r="J9" s="29">
        <f>IFERROR(VLOOKUP($H9,'01_宠物主表_好读版'!$A:$V,4,FALSE),"")</f>
        <v/>
      </c>
      <c r="K9" s="29">
        <f>IFERROR(VLOOKUP($H9,'01_宠物主表_好读版'!$A:$V,8,FALSE),"")</f>
        <v/>
      </c>
      <c r="L9" s="28" t="inlineStr">
        <is>
          <t>none</t>
        </is>
      </c>
      <c r="M9" s="29">
        <f>IFERROR(VLOOKUP($L9,'04_机制词条库_60条'!$B:$S,2,FALSE),"")</f>
        <v/>
      </c>
      <c r="N9" s="28" t="inlineStr">
        <is>
          <t>night_base</t>
        </is>
      </c>
      <c r="O9" s="28" t="inlineStr">
        <is>
          <t>reward_pT1</t>
        </is>
      </c>
      <c r="P9" s="28" t="inlineStr">
        <is>
          <t>金币-1</t>
        </is>
      </c>
      <c r="Q9" s="28" t="inlineStr">
        <is>
          <t>折扣50%</t>
        </is>
      </c>
      <c r="R9" s="28" t="n">
        <v>50</v>
      </c>
      <c r="S9" s="28" t="inlineStr">
        <is>
          <t>shop_phase</t>
        </is>
      </c>
      <c r="T9" s="28" t="inlineStr">
        <is>
          <t>正式</t>
        </is>
      </c>
      <c r="U9" s="28" t="inlineStr">
        <is>
          <t>事件商店</t>
        </is>
      </c>
    </row>
    <row r="10" ht="22" customHeight="1">
      <c r="A10" s="28" t="inlineStr">
        <is>
          <t>evt_duplicate</t>
        </is>
      </c>
      <c r="B10" s="28" t="inlineStr">
        <is>
          <t>合成</t>
        </is>
      </c>
      <c r="C10" s="28" t="inlineStr">
        <is>
          <t>同名复制</t>
        </is>
      </c>
      <c r="D10" s="28" t="inlineStr">
        <is>
          <t>夜晚商店</t>
        </is>
      </c>
      <c r="E10" s="28" t="inlineStr">
        <is>
          <t>D3-D10</t>
        </is>
      </c>
      <c r="F10" s="28" t="inlineStr">
        <is>
          <t>A</t>
        </is>
      </c>
      <c r="G10" s="28" t="inlineStr">
        <is>
          <t>复制一个已拥有宠物</t>
        </is>
      </c>
      <c r="H10" s="28" t="inlineStr">
        <is>
          <t>pal_009</t>
        </is>
      </c>
      <c r="I10" s="29">
        <f>IFERROR(VLOOKUP($H10,'01_宠物主表_好读版'!$A:$V,3,FALSE),"")</f>
        <v/>
      </c>
      <c r="J10" s="29">
        <f>IFERROR(VLOOKUP($H10,'01_宠物主表_好读版'!$A:$V,4,FALSE),"")</f>
        <v/>
      </c>
      <c r="K10" s="29">
        <f>IFERROR(VLOOKUP($H10,'01_宠物主表_好读版'!$A:$V,8,FALSE),"")</f>
        <v/>
      </c>
      <c r="L10" s="28" t="inlineStr">
        <is>
          <t>none</t>
        </is>
      </c>
      <c r="M10" s="29">
        <f>IFERROR(VLOOKUP($L10,'04_机制词条库_60条'!$B:$S,2,FALSE),"")</f>
        <v/>
      </c>
      <c r="N10" s="28" t="inlineStr">
        <is>
          <t>special_merchant</t>
        </is>
      </c>
      <c r="O10" s="28" t="inlineStr">
        <is>
          <t>reward_pT2</t>
        </is>
      </c>
      <c r="P10" s="28" t="inlineStr">
        <is>
          <t>金币-4</t>
        </is>
      </c>
      <c r="Q10" s="28" t="inlineStr">
        <is>
          <t>复制候选+1</t>
        </is>
      </c>
      <c r="R10" s="28" t="n">
        <v>1</v>
      </c>
      <c r="S10" s="28" t="inlineStr">
        <is>
          <t>shop_phase</t>
        </is>
      </c>
      <c r="T10" s="28" t="inlineStr">
        <is>
          <t>待接入</t>
        </is>
      </c>
      <c r="U10" s="28" t="inlineStr">
        <is>
          <t>复制商店</t>
        </is>
      </c>
    </row>
    <row r="11" ht="22" customHeight="1">
      <c r="A11" s="28" t="inlineStr">
        <is>
          <t>evt_upgrade_offer</t>
        </is>
      </c>
      <c r="B11" s="28" t="inlineStr">
        <is>
          <t>合成</t>
        </is>
      </c>
      <c r="C11" s="28" t="inlineStr">
        <is>
          <t>升阶机会</t>
        </is>
      </c>
      <c r="D11" s="28" t="inlineStr">
        <is>
          <t>夜晚商店</t>
        </is>
      </c>
      <c r="E11" s="28" t="inlineStr">
        <is>
          <t>D4-D10</t>
        </is>
      </c>
      <c r="F11" s="28" t="inlineStr">
        <is>
          <t>A</t>
        </is>
      </c>
      <c r="G11" s="28" t="inlineStr">
        <is>
          <t>给一个同名升阶候选</t>
        </is>
      </c>
      <c r="H11" s="28" t="inlineStr">
        <is>
          <t>pal_010</t>
        </is>
      </c>
      <c r="I11" s="29">
        <f>IFERROR(VLOOKUP($H11,'01_宠物主表_好读版'!$A:$V,3,FALSE),"")</f>
        <v/>
      </c>
      <c r="J11" s="29">
        <f>IFERROR(VLOOKUP($H11,'01_宠物主表_好读版'!$A:$V,4,FALSE),"")</f>
        <v/>
      </c>
      <c r="K11" s="29">
        <f>IFERROR(VLOOKUP($H11,'01_宠物主表_好读版'!$A:$V,8,FALSE),"")</f>
        <v/>
      </c>
      <c r="L11" s="28" t="inlineStr">
        <is>
          <t>none</t>
        </is>
      </c>
      <c r="M11" s="29">
        <f>IFERROR(VLOOKUP($L11,'04_机制词条库_60条'!$B:$S,2,FALSE),"")</f>
        <v/>
      </c>
      <c r="N11" s="28" t="inlineStr">
        <is>
          <t>special_merchant</t>
        </is>
      </c>
      <c r="O11" s="28" t="inlineStr">
        <is>
          <t>reward_pT3</t>
        </is>
      </c>
      <c r="P11" s="28" t="inlineStr">
        <is>
          <t>金币-6</t>
        </is>
      </c>
      <c r="Q11" s="28" t="inlineStr">
        <is>
          <t>升阶候选+1</t>
        </is>
      </c>
      <c r="R11" s="28" t="n">
        <v>1</v>
      </c>
      <c r="S11" s="28" t="inlineStr">
        <is>
          <t>shop_phase</t>
        </is>
      </c>
      <c r="T11" s="28" t="inlineStr">
        <is>
          <t>待接入</t>
        </is>
      </c>
      <c r="U11" s="28" t="inlineStr">
        <is>
          <t>合成商店</t>
        </is>
      </c>
    </row>
    <row r="12" ht="22" customHeight="1">
      <c r="A12" s="28" t="inlineStr">
        <is>
          <t>evt_battle_bonus</t>
        </is>
      </c>
      <c r="B12" s="28" t="inlineStr">
        <is>
          <t>战斗奖励</t>
        </is>
      </c>
      <c r="C12" s="28" t="inlineStr">
        <is>
          <t>五回合高奖</t>
        </is>
      </c>
      <c r="D12" s="28" t="inlineStr">
        <is>
          <t>战斗结算</t>
        </is>
      </c>
      <c r="E12" s="28" t="inlineStr">
        <is>
          <t>D1-D10</t>
        </is>
      </c>
      <c r="F12" s="28" t="inlineStr">
        <is>
          <t>A</t>
        </is>
      </c>
      <c r="G12" s="28" t="inlineStr">
        <is>
          <t>5回合内清场奖励提高</t>
        </is>
      </c>
      <c r="H12" s="28" t="inlineStr">
        <is>
          <t>pal_011</t>
        </is>
      </c>
      <c r="I12" s="29">
        <f>IFERROR(VLOOKUP($H12,'01_宠物主表_好读版'!$A:$V,3,FALSE),"")</f>
        <v/>
      </c>
      <c r="J12" s="29">
        <f>IFERROR(VLOOKUP($H12,'01_宠物主表_好读版'!$A:$V,4,FALSE),"")</f>
        <v/>
      </c>
      <c r="K12" s="29">
        <f>IFERROR(VLOOKUP($H12,'01_宠物主表_好读版'!$A:$V,8,FALSE),"")</f>
        <v/>
      </c>
      <c r="L12" s="28" t="inlineStr">
        <is>
          <t>none</t>
        </is>
      </c>
      <c r="M12" s="29">
        <f>IFERROR(VLOOKUP($L12,'04_机制词条库_60条'!$B:$S,2,FALSE),"")</f>
        <v/>
      </c>
      <c r="N12" s="28" t="inlineStr">
        <is>
          <t>night_base</t>
        </is>
      </c>
      <c r="O12" s="28" t="inlineStr">
        <is>
          <t>reward_fast_clear</t>
        </is>
      </c>
      <c r="P12" s="28" t="inlineStr">
        <is>
          <t>5回合内清场</t>
        </is>
      </c>
      <c r="Q12" s="28" t="inlineStr">
        <is>
          <t>奖励x1.3</t>
        </is>
      </c>
      <c r="R12" s="28" t="n">
        <v>130</v>
      </c>
      <c r="S12" s="28" t="inlineStr">
        <is>
          <t>post_battle</t>
        </is>
      </c>
      <c r="T12" s="28" t="inlineStr">
        <is>
          <t>正式</t>
        </is>
      </c>
      <c r="U12" s="28" t="inlineStr">
        <is>
          <t>对齐5回合高奖</t>
        </is>
      </c>
    </row>
    <row r="13" ht="22" customHeight="1">
      <c r="A13" s="28" t="inlineStr">
        <is>
          <t>evt_battle_fail</t>
        </is>
      </c>
      <c r="B13" s="28" t="inlineStr">
        <is>
          <t>战斗惩罚</t>
        </is>
      </c>
      <c r="C13" s="28" t="inlineStr">
        <is>
          <t>十回合失败</t>
        </is>
      </c>
      <c r="D13" s="28" t="inlineStr">
        <is>
          <t>战斗结算</t>
        </is>
      </c>
      <c r="E13" s="28" t="inlineStr">
        <is>
          <t>D1-D10</t>
        </is>
      </c>
      <c r="F13" s="28" t="inlineStr">
        <is>
          <t>A</t>
        </is>
      </c>
      <c r="G13" s="28" t="inlineStr">
        <is>
          <t>10回合未清场扣城堡线</t>
        </is>
      </c>
      <c r="H13" s="28" t="inlineStr">
        <is>
          <t>pal_012</t>
        </is>
      </c>
      <c r="I13" s="29">
        <f>IFERROR(VLOOKUP($H13,'01_宠物主表_好读版'!$A:$V,3,FALSE),"")</f>
        <v/>
      </c>
      <c r="J13" s="29">
        <f>IFERROR(VLOOKUP($H13,'01_宠物主表_好读版'!$A:$V,4,FALSE),"")</f>
        <v/>
      </c>
      <c r="K13" s="29">
        <f>IFERROR(VLOOKUP($H13,'01_宠物主表_好读版'!$A:$V,8,FALSE),"")</f>
        <v/>
      </c>
      <c r="L13" s="28" t="inlineStr">
        <is>
          <t>none</t>
        </is>
      </c>
      <c r="M13" s="29">
        <f>IFERROR(VLOOKUP($L13,'04_机制词条库_60条'!$B:$S,2,FALSE),"")</f>
        <v/>
      </c>
      <c r="N13" s="28" t="inlineStr">
        <is>
          <t>night_base</t>
        </is>
      </c>
      <c r="O13" s="28" t="inlineStr">
        <is>
          <t>reward_none</t>
        </is>
      </c>
      <c r="P13" s="28" t="inlineStr">
        <is>
          <t>10回合未清场</t>
        </is>
      </c>
      <c r="Q13" s="28" t="inlineStr">
        <is>
          <t>城堡-1/经济x0.9</t>
        </is>
      </c>
      <c r="R13" s="28" t="n">
        <v>90</v>
      </c>
      <c r="S13" s="28" t="inlineStr">
        <is>
          <t>post_battle</t>
        </is>
      </c>
      <c r="T13" s="28" t="inlineStr">
        <is>
          <t>正式</t>
        </is>
      </c>
      <c r="U13" s="28" t="inlineStr">
        <is>
          <t>失败惩罚</t>
        </is>
      </c>
    </row>
    <row r="14" ht="22" customHeight="1">
      <c r="A14" s="28" t="inlineStr">
        <is>
          <t>evt_trap_bonus</t>
        </is>
      </c>
      <c r="B14" s="28" t="inlineStr">
        <is>
          <t>地形</t>
        </is>
      </c>
      <c r="C14" s="28" t="inlineStr">
        <is>
          <t>陷阱商人</t>
        </is>
      </c>
      <c r="D14" s="28" t="inlineStr">
        <is>
          <t>夜晚商店</t>
        </is>
      </c>
      <c r="E14" s="28" t="inlineStr">
        <is>
          <t>D3-D10</t>
        </is>
      </c>
      <c r="F14" s="28" t="inlineStr">
        <is>
          <t>A</t>
        </is>
      </c>
      <c r="G14" s="28" t="inlineStr">
        <is>
          <t>下一战陷阱伤害+1</t>
        </is>
      </c>
      <c r="H14" s="28" t="inlineStr">
        <is>
          <t>pal_013</t>
        </is>
      </c>
      <c r="I14" s="29">
        <f>IFERROR(VLOOKUP($H14,'01_宠物主表_好读版'!$A:$V,3,FALSE),"")</f>
        <v/>
      </c>
      <c r="J14" s="29">
        <f>IFERROR(VLOOKUP($H14,'01_宠物主表_好读版'!$A:$V,4,FALSE),"")</f>
        <v/>
      </c>
      <c r="K14" s="29">
        <f>IFERROR(VLOOKUP($H14,'01_宠物主表_好读版'!$A:$V,8,FALSE),"")</f>
        <v/>
      </c>
      <c r="L14" s="28" t="inlineStr">
        <is>
          <t>none</t>
        </is>
      </c>
      <c r="M14" s="29">
        <f>IFERROR(VLOOKUP($L14,'04_机制词条库_60条'!$B:$S,2,FALSE),"")</f>
        <v/>
      </c>
      <c r="N14" s="28" t="inlineStr">
        <is>
          <t>elem_火</t>
        </is>
      </c>
      <c r="O14" s="28" t="inlineStr">
        <is>
          <t>reward_trap</t>
        </is>
      </c>
      <c r="P14" s="28" t="inlineStr">
        <is>
          <t>金币-2</t>
        </is>
      </c>
      <c r="Q14" s="28" t="inlineStr">
        <is>
          <t>陷阱伤害+1</t>
        </is>
      </c>
      <c r="R14" s="28" t="n">
        <v>1</v>
      </c>
      <c r="S14" s="28" t="inlineStr">
        <is>
          <t>pre_battle</t>
        </is>
      </c>
      <c r="T14" s="28" t="inlineStr">
        <is>
          <t>待接入</t>
        </is>
      </c>
      <c r="U14" s="28" t="inlineStr">
        <is>
          <t>陷阱流</t>
        </is>
      </c>
    </row>
    <row r="15" ht="22" customHeight="1">
      <c r="A15" s="28" t="inlineStr">
        <is>
          <t>evt_shield_bless</t>
        </is>
      </c>
      <c r="B15" s="28" t="inlineStr">
        <is>
          <t>祝福</t>
        </is>
      </c>
      <c r="C15" s="28" t="inlineStr">
        <is>
          <t>护盾祝福</t>
        </is>
      </c>
      <c r="D15" s="28" t="inlineStr">
        <is>
          <t>战斗前</t>
        </is>
      </c>
      <c r="E15" s="28" t="inlineStr">
        <is>
          <t>D2-D10</t>
        </is>
      </c>
      <c r="F15" s="28" t="inlineStr">
        <is>
          <t>A</t>
        </is>
      </c>
      <c r="G15" s="28" t="inlineStr">
        <is>
          <t>开局全队获得护盾</t>
        </is>
      </c>
      <c r="H15" s="28" t="inlineStr">
        <is>
          <t>pal_014</t>
        </is>
      </c>
      <c r="I15" s="29">
        <f>IFERROR(VLOOKUP($H15,'01_宠物主表_好读版'!$A:$V,3,FALSE),"")</f>
        <v/>
      </c>
      <c r="J15" s="29">
        <f>IFERROR(VLOOKUP($H15,'01_宠物主表_好读版'!$A:$V,4,FALSE),"")</f>
        <v/>
      </c>
      <c r="K15" s="29">
        <f>IFERROR(VLOOKUP($H15,'01_宠物主表_好读版'!$A:$V,8,FALSE),"")</f>
        <v/>
      </c>
      <c r="L15" s="28" t="inlineStr">
        <is>
          <t>none</t>
        </is>
      </c>
      <c r="M15" s="29">
        <f>IFERROR(VLOOKUP($L15,'04_机制词条库_60条'!$B:$S,2,FALSE),"")</f>
        <v/>
      </c>
      <c r="N15" s="28" t="inlineStr">
        <is>
          <t>role_坦克</t>
        </is>
      </c>
      <c r="O15" s="28" t="inlineStr">
        <is>
          <t>reward_tank</t>
        </is>
      </c>
      <c r="P15" s="28" t="inlineStr">
        <is>
          <t>金币-2</t>
        </is>
      </c>
      <c r="Q15" s="28" t="inlineStr">
        <is>
          <t>护盾+2</t>
        </is>
      </c>
      <c r="R15" s="28" t="n">
        <v>2</v>
      </c>
      <c r="S15" s="28" t="inlineStr">
        <is>
          <t>pre_battle</t>
        </is>
      </c>
      <c r="T15" s="28" t="inlineStr">
        <is>
          <t>正式</t>
        </is>
      </c>
      <c r="U15" s="28" t="inlineStr">
        <is>
          <t>防御补强</t>
        </is>
      </c>
    </row>
    <row r="16" ht="22" customHeight="1">
      <c r="A16" s="28" t="inlineStr">
        <is>
          <t>evt_curse_gold</t>
        </is>
      </c>
      <c r="B16" s="28" t="inlineStr">
        <is>
          <t>风险事件</t>
        </is>
      </c>
      <c r="C16" s="28" t="inlineStr">
        <is>
          <t>贪婪诅咒</t>
        </is>
      </c>
      <c r="D16" s="28" t="inlineStr">
        <is>
          <t>事件</t>
        </is>
      </c>
      <c r="E16" s="28" t="inlineStr">
        <is>
          <t>D3-D10</t>
        </is>
      </c>
      <c r="F16" s="28" t="inlineStr">
        <is>
          <t>A</t>
        </is>
      </c>
      <c r="G16" s="28" t="inlineStr">
        <is>
          <t>获得金币但下一战奖励降低</t>
        </is>
      </c>
      <c r="H16" s="28" t="inlineStr">
        <is>
          <t>pal_015</t>
        </is>
      </c>
      <c r="I16" s="29">
        <f>IFERROR(VLOOKUP($H16,'01_宠物主表_好读版'!$A:$V,3,FALSE),"")</f>
        <v/>
      </c>
      <c r="J16" s="29">
        <f>IFERROR(VLOOKUP($H16,'01_宠物主表_好读版'!$A:$V,4,FALSE),"")</f>
        <v/>
      </c>
      <c r="K16" s="29">
        <f>IFERROR(VLOOKUP($H16,'01_宠物主表_好读版'!$A:$V,8,FALSE),"")</f>
        <v/>
      </c>
      <c r="L16" s="28" t="inlineStr">
        <is>
          <t>none</t>
        </is>
      </c>
      <c r="M16" s="29">
        <f>IFERROR(VLOOKUP($L16,'04_机制词条库_60条'!$B:$S,2,FALSE),"")</f>
        <v/>
      </c>
      <c r="N16" s="28" t="inlineStr">
        <is>
          <t>night_base</t>
        </is>
      </c>
      <c r="O16" s="28" t="inlineStr">
        <is>
          <t>reward_economy</t>
        </is>
      </c>
      <c r="P16" s="28" t="inlineStr">
        <is>
          <t>奖励-10%</t>
        </is>
      </c>
      <c r="Q16" s="28" t="inlineStr">
        <is>
          <t>金币+4</t>
        </is>
      </c>
      <c r="R16" s="28" t="n">
        <v>4</v>
      </c>
      <c r="S16" s="28" t="inlineStr">
        <is>
          <t>event</t>
        </is>
      </c>
      <c r="T16" s="28" t="inlineStr">
        <is>
          <t>待接入</t>
        </is>
      </c>
      <c r="U16" s="28" t="inlineStr">
        <is>
          <t>经济风险</t>
        </is>
      </c>
    </row>
    <row r="17" ht="22" customHeight="1">
      <c r="A17" s="28" t="inlineStr">
        <is>
          <t>evt_elite_reward</t>
        </is>
      </c>
      <c r="B17" s="28" t="inlineStr">
        <is>
          <t>奖励</t>
        </is>
      </c>
      <c r="C17" s="28" t="inlineStr">
        <is>
          <t>精英奖励</t>
        </is>
      </c>
      <c r="D17" s="28" t="inlineStr">
        <is>
          <t>战斗结算</t>
        </is>
      </c>
      <c r="E17" s="28" t="inlineStr">
        <is>
          <t>D5-D10</t>
        </is>
      </c>
      <c r="F17" s="28" t="inlineStr">
        <is>
          <t>A</t>
        </is>
      </c>
      <c r="G17" s="28" t="inlineStr">
        <is>
          <t>精英战后进入高奖池</t>
        </is>
      </c>
      <c r="H17" s="28" t="inlineStr">
        <is>
          <t>pal_016</t>
        </is>
      </c>
      <c r="I17" s="29">
        <f>IFERROR(VLOOKUP($H17,'01_宠物主表_好读版'!$A:$V,3,FALSE),"")</f>
        <v/>
      </c>
      <c r="J17" s="29">
        <f>IFERROR(VLOOKUP($H17,'01_宠物主表_好读版'!$A:$V,4,FALSE),"")</f>
        <v/>
      </c>
      <c r="K17" s="29">
        <f>IFERROR(VLOOKUP($H17,'01_宠物主表_好读版'!$A:$V,8,FALSE),"")</f>
        <v/>
      </c>
      <c r="L17" s="28" t="inlineStr">
        <is>
          <t>none</t>
        </is>
      </c>
      <c r="M17" s="29">
        <f>IFERROR(VLOOKUP($L17,'04_机制词条库_60条'!$B:$S,2,FALSE),"")</f>
        <v/>
      </c>
      <c r="N17" s="28" t="inlineStr">
        <is>
          <t>elite_high</t>
        </is>
      </c>
      <c r="O17" s="28" t="inlineStr">
        <is>
          <t>reward_elite</t>
        </is>
      </c>
      <c r="P17" s="28" t="inlineStr">
        <is>
          <t>清精英</t>
        </is>
      </c>
      <c r="Q17" s="28" t="inlineStr">
        <is>
          <t>高奖池+1</t>
        </is>
      </c>
      <c r="R17" s="28" t="n">
        <v>1</v>
      </c>
      <c r="S17" s="28" t="inlineStr">
        <is>
          <t>post_battle</t>
        </is>
      </c>
      <c r="T17" s="28" t="inlineStr">
        <is>
          <t>待接入</t>
        </is>
      </c>
      <c r="U17" s="28" t="inlineStr">
        <is>
          <t>高奖池</t>
        </is>
      </c>
    </row>
    <row r="18" ht="22" customHeight="1">
      <c r="A18" s="28" t="inlineStr">
        <is>
          <t>evt_mix_17</t>
        </is>
      </c>
      <c r="B18" s="28" t="inlineStr">
        <is>
          <t>构筑事件</t>
        </is>
      </c>
      <c r="C18" s="28" t="inlineStr">
        <is>
          <t>构筑事件17</t>
        </is>
      </c>
      <c r="D18" s="28" t="inlineStr">
        <is>
          <t>事件</t>
        </is>
      </c>
      <c r="E18" s="28" t="inlineStr">
        <is>
          <t>D1-D10</t>
        </is>
      </c>
      <c r="F18" s="28" t="inlineStr">
        <is>
          <t>A</t>
        </is>
      </c>
      <c r="G18" s="28" t="inlineStr">
        <is>
          <t>获得临时构筑补强17</t>
        </is>
      </c>
      <c r="H18" s="28" t="inlineStr">
        <is>
          <t>pal_017</t>
        </is>
      </c>
      <c r="I18" s="29">
        <f>IFERROR(VLOOKUP($H18,'01_宠物主表_好读版'!$A:$V,3,FALSE),"")</f>
        <v/>
      </c>
      <c r="J18" s="29">
        <f>IFERROR(VLOOKUP($H18,'01_宠物主表_好读版'!$A:$V,4,FALSE),"")</f>
        <v/>
      </c>
      <c r="K18" s="29">
        <f>IFERROR(VLOOKUP($H18,'01_宠物主表_好读版'!$A:$V,8,FALSE),"")</f>
        <v/>
      </c>
      <c r="L18" s="28" t="inlineStr">
        <is>
          <t>none</t>
        </is>
      </c>
      <c r="M18" s="29">
        <f>IFERROR(VLOOKUP($L18,'04_机制词条库_60条'!$B:$S,2,FALSE),"")</f>
        <v/>
      </c>
      <c r="N18" s="28" t="inlineStr">
        <is>
          <t>elem_水</t>
        </is>
      </c>
      <c r="O18" s="28" t="inlineStr">
        <is>
          <t>reward_pT2</t>
        </is>
      </c>
      <c r="P18" s="28" t="inlineStr">
        <is>
          <t>金币-1</t>
        </is>
      </c>
      <c r="Q18" s="28" t="inlineStr">
        <is>
          <t>构筑补强+2</t>
        </is>
      </c>
      <c r="R18" s="28" t="n">
        <v>2</v>
      </c>
      <c r="S18" s="28" t="inlineStr">
        <is>
          <t>event</t>
        </is>
      </c>
      <c r="T18" s="28" t="inlineStr">
        <is>
          <t>待接入</t>
        </is>
      </c>
      <c r="U18" s="28" t="inlineStr">
        <is>
          <t>用于填充事件池，参数可后续调</t>
        </is>
      </c>
    </row>
    <row r="19" ht="22" customHeight="1">
      <c r="A19" s="28" t="inlineStr">
        <is>
          <t>evt_mix_18</t>
        </is>
      </c>
      <c r="B19" s="28" t="inlineStr">
        <is>
          <t>构筑事件</t>
        </is>
      </c>
      <c r="C19" s="28" t="inlineStr">
        <is>
          <t>构筑事件18</t>
        </is>
      </c>
      <c r="D19" s="28" t="inlineStr">
        <is>
          <t>事件</t>
        </is>
      </c>
      <c r="E19" s="28" t="inlineStr">
        <is>
          <t>D1-D10</t>
        </is>
      </c>
      <c r="F19" s="28" t="inlineStr">
        <is>
          <t>A</t>
        </is>
      </c>
      <c r="G19" s="28" t="inlineStr">
        <is>
          <t>获得临时构筑补强18</t>
        </is>
      </c>
      <c r="H19" s="28" t="inlineStr">
        <is>
          <t>pal_018</t>
        </is>
      </c>
      <c r="I19" s="29">
        <f>IFERROR(VLOOKUP($H19,'01_宠物主表_好读版'!$A:$V,3,FALSE),"")</f>
        <v/>
      </c>
      <c r="J19" s="29">
        <f>IFERROR(VLOOKUP($H19,'01_宠物主表_好读版'!$A:$V,4,FALSE),"")</f>
        <v/>
      </c>
      <c r="K19" s="29">
        <f>IFERROR(VLOOKUP($H19,'01_宠物主表_好读版'!$A:$V,8,FALSE),"")</f>
        <v/>
      </c>
      <c r="L19" s="28" t="inlineStr">
        <is>
          <t>none</t>
        </is>
      </c>
      <c r="M19" s="29">
        <f>IFERROR(VLOOKUP($L19,'04_机制词条库_60条'!$B:$S,2,FALSE),"")</f>
        <v/>
      </c>
      <c r="N19" s="28" t="inlineStr">
        <is>
          <t>elem_火</t>
        </is>
      </c>
      <c r="O19" s="28" t="inlineStr">
        <is>
          <t>reward_pT3</t>
        </is>
      </c>
      <c r="P19" s="28" t="inlineStr">
        <is>
          <t>金币-1</t>
        </is>
      </c>
      <c r="Q19" s="28" t="inlineStr">
        <is>
          <t>构筑补强+3</t>
        </is>
      </c>
      <c r="R19" s="28" t="n">
        <v>3</v>
      </c>
      <c r="S19" s="28" t="inlineStr">
        <is>
          <t>event</t>
        </is>
      </c>
      <c r="T19" s="28" t="inlineStr">
        <is>
          <t>待接入</t>
        </is>
      </c>
      <c r="U19" s="28" t="inlineStr">
        <is>
          <t>用于填充事件池，参数可后续调</t>
        </is>
      </c>
    </row>
    <row r="20" ht="22" customHeight="1">
      <c r="A20" s="28" t="inlineStr">
        <is>
          <t>evt_mix_19</t>
        </is>
      </c>
      <c r="B20" s="28" t="inlineStr">
        <is>
          <t>构筑事件</t>
        </is>
      </c>
      <c r="C20" s="28" t="inlineStr">
        <is>
          <t>构筑事件19</t>
        </is>
      </c>
      <c r="D20" s="28" t="inlineStr">
        <is>
          <t>事件</t>
        </is>
      </c>
      <c r="E20" s="28" t="inlineStr">
        <is>
          <t>D1-D10</t>
        </is>
      </c>
      <c r="F20" s="28" t="inlineStr">
        <is>
          <t>A</t>
        </is>
      </c>
      <c r="G20" s="28" t="inlineStr">
        <is>
          <t>获得临时构筑补强19</t>
        </is>
      </c>
      <c r="H20" s="28" t="inlineStr">
        <is>
          <t>pal_019</t>
        </is>
      </c>
      <c r="I20" s="29">
        <f>IFERROR(VLOOKUP($H20,'01_宠物主表_好读版'!$A:$V,3,FALSE),"")</f>
        <v/>
      </c>
      <c r="J20" s="29">
        <f>IFERROR(VLOOKUP($H20,'01_宠物主表_好读版'!$A:$V,4,FALSE),"")</f>
        <v/>
      </c>
      <c r="K20" s="29">
        <f>IFERROR(VLOOKUP($H20,'01_宠物主表_好读版'!$A:$V,8,FALSE),"")</f>
        <v/>
      </c>
      <c r="L20" s="28" t="inlineStr">
        <is>
          <t>none</t>
        </is>
      </c>
      <c r="M20" s="29">
        <f>IFERROR(VLOOKUP($L20,'04_机制词条库_60条'!$B:$S,2,FALSE),"")</f>
        <v/>
      </c>
      <c r="N20" s="28" t="inlineStr">
        <is>
          <t>elem_风</t>
        </is>
      </c>
      <c r="O20" s="28" t="inlineStr">
        <is>
          <t>reward_pT1</t>
        </is>
      </c>
      <c r="P20" s="28" t="inlineStr">
        <is>
          <t>金币-1</t>
        </is>
      </c>
      <c r="Q20" s="28" t="inlineStr">
        <is>
          <t>构筑补强+1</t>
        </is>
      </c>
      <c r="R20" s="28" t="n">
        <v>1</v>
      </c>
      <c r="S20" s="28" t="inlineStr">
        <is>
          <t>event</t>
        </is>
      </c>
      <c r="T20" s="28" t="inlineStr">
        <is>
          <t>待接入</t>
        </is>
      </c>
      <c r="U20" s="28" t="inlineStr">
        <is>
          <t>用于填充事件池，参数可后续调</t>
        </is>
      </c>
    </row>
    <row r="21" ht="22" customHeight="1">
      <c r="A21" s="28" t="inlineStr">
        <is>
          <t>evt_mix_20</t>
        </is>
      </c>
      <c r="B21" s="28" t="inlineStr">
        <is>
          <t>构筑事件</t>
        </is>
      </c>
      <c r="C21" s="28" t="inlineStr">
        <is>
          <t>构筑事件20</t>
        </is>
      </c>
      <c r="D21" s="28" t="inlineStr">
        <is>
          <t>事件</t>
        </is>
      </c>
      <c r="E21" s="28" t="inlineStr">
        <is>
          <t>D1-D10</t>
        </is>
      </c>
      <c r="F21" s="28" t="inlineStr">
        <is>
          <t>A</t>
        </is>
      </c>
      <c r="G21" s="28" t="inlineStr">
        <is>
          <t>获得临时构筑补强20</t>
        </is>
      </c>
      <c r="H21" s="28" t="inlineStr">
        <is>
          <t>pal_020</t>
        </is>
      </c>
      <c r="I21" s="29">
        <f>IFERROR(VLOOKUP($H21,'01_宠物主表_好读版'!$A:$V,3,FALSE),"")</f>
        <v/>
      </c>
      <c r="J21" s="29">
        <f>IFERROR(VLOOKUP($H21,'01_宠物主表_好读版'!$A:$V,4,FALSE),"")</f>
        <v/>
      </c>
      <c r="K21" s="29">
        <f>IFERROR(VLOOKUP($H21,'01_宠物主表_好读版'!$A:$V,8,FALSE),"")</f>
        <v/>
      </c>
      <c r="L21" s="28" t="inlineStr">
        <is>
          <t>none</t>
        </is>
      </c>
      <c r="M21" s="29">
        <f>IFERROR(VLOOKUP($L21,'04_机制词条库_60条'!$B:$S,2,FALSE),"")</f>
        <v/>
      </c>
      <c r="N21" s="28" t="inlineStr">
        <is>
          <t>night_base</t>
        </is>
      </c>
      <c r="O21" s="28" t="inlineStr">
        <is>
          <t>reward_pT2</t>
        </is>
      </c>
      <c r="P21" s="28" t="inlineStr">
        <is>
          <t>金币-1</t>
        </is>
      </c>
      <c r="Q21" s="28" t="inlineStr">
        <is>
          <t>构筑补强+2</t>
        </is>
      </c>
      <c r="R21" s="28" t="n">
        <v>2</v>
      </c>
      <c r="S21" s="28" t="inlineStr">
        <is>
          <t>event</t>
        </is>
      </c>
      <c r="T21" s="28" t="inlineStr">
        <is>
          <t>待接入</t>
        </is>
      </c>
      <c r="U21" s="28" t="inlineStr">
        <is>
          <t>用于填充事件池，参数可后续调</t>
        </is>
      </c>
    </row>
    <row r="22" ht="22" customHeight="1">
      <c r="A22" s="28" t="inlineStr">
        <is>
          <t>evt_mix_21</t>
        </is>
      </c>
      <c r="B22" s="28" t="inlineStr">
        <is>
          <t>构筑事件</t>
        </is>
      </c>
      <c r="C22" s="28" t="inlineStr">
        <is>
          <t>构筑事件21</t>
        </is>
      </c>
      <c r="D22" s="28" t="inlineStr">
        <is>
          <t>事件</t>
        </is>
      </c>
      <c r="E22" s="28" t="inlineStr">
        <is>
          <t>D1-D10</t>
        </is>
      </c>
      <c r="F22" s="28" t="inlineStr">
        <is>
          <t>A</t>
        </is>
      </c>
      <c r="G22" s="28" t="inlineStr">
        <is>
          <t>获得临时构筑补强21</t>
        </is>
      </c>
      <c r="H22" s="28" t="inlineStr">
        <is>
          <t>pal_021</t>
        </is>
      </c>
      <c r="I22" s="29">
        <f>IFERROR(VLOOKUP($H22,'01_宠物主表_好读版'!$A:$V,3,FALSE),"")</f>
        <v/>
      </c>
      <c r="J22" s="29">
        <f>IFERROR(VLOOKUP($H22,'01_宠物主表_好读版'!$A:$V,4,FALSE),"")</f>
        <v/>
      </c>
      <c r="K22" s="29">
        <f>IFERROR(VLOOKUP($H22,'01_宠物主表_好读版'!$A:$V,8,FALSE),"")</f>
        <v/>
      </c>
      <c r="L22" s="28" t="inlineStr">
        <is>
          <t>none</t>
        </is>
      </c>
      <c r="M22" s="29">
        <f>IFERROR(VLOOKUP($L22,'04_机制词条库_60条'!$B:$S,2,FALSE),"")</f>
        <v/>
      </c>
      <c r="N22" s="28" t="inlineStr">
        <is>
          <t>role_召唤</t>
        </is>
      </c>
      <c r="O22" s="28" t="inlineStr">
        <is>
          <t>reward_pT3</t>
        </is>
      </c>
      <c r="P22" s="28" t="inlineStr">
        <is>
          <t>金币-1</t>
        </is>
      </c>
      <c r="Q22" s="28" t="inlineStr">
        <is>
          <t>构筑补强+3</t>
        </is>
      </c>
      <c r="R22" s="28" t="n">
        <v>3</v>
      </c>
      <c r="S22" s="28" t="inlineStr">
        <is>
          <t>event</t>
        </is>
      </c>
      <c r="T22" s="28" t="inlineStr">
        <is>
          <t>待接入</t>
        </is>
      </c>
      <c r="U22" s="28" t="inlineStr">
        <is>
          <t>用于填充事件池，参数可后续调</t>
        </is>
      </c>
    </row>
    <row r="23" ht="22" customHeight="1">
      <c r="A23" s="28" t="inlineStr">
        <is>
          <t>evt_mix_22</t>
        </is>
      </c>
      <c r="B23" s="28" t="inlineStr">
        <is>
          <t>构筑事件</t>
        </is>
      </c>
      <c r="C23" s="28" t="inlineStr">
        <is>
          <t>构筑事件22</t>
        </is>
      </c>
      <c r="D23" s="28" t="inlineStr">
        <is>
          <t>事件</t>
        </is>
      </c>
      <c r="E23" s="28" t="inlineStr">
        <is>
          <t>D1-D10</t>
        </is>
      </c>
      <c r="F23" s="28" t="inlineStr">
        <is>
          <t>A</t>
        </is>
      </c>
      <c r="G23" s="28" t="inlineStr">
        <is>
          <t>获得临时构筑补强22</t>
        </is>
      </c>
      <c r="H23" s="28" t="inlineStr">
        <is>
          <t>pal_022</t>
        </is>
      </c>
      <c r="I23" s="29">
        <f>IFERROR(VLOOKUP($H23,'01_宠物主表_好读版'!$A:$V,3,FALSE),"")</f>
        <v/>
      </c>
      <c r="J23" s="29">
        <f>IFERROR(VLOOKUP($H23,'01_宠物主表_好读版'!$A:$V,4,FALSE),"")</f>
        <v/>
      </c>
      <c r="K23" s="29">
        <f>IFERROR(VLOOKUP($H23,'01_宠物主表_好读版'!$A:$V,8,FALSE),"")</f>
        <v/>
      </c>
      <c r="L23" s="28" t="inlineStr">
        <is>
          <t>none</t>
        </is>
      </c>
      <c r="M23" s="29">
        <f>IFERROR(VLOOKUP($L23,'04_机制词条库_60条'!$B:$S,2,FALSE),"")</f>
        <v/>
      </c>
      <c r="N23" s="28" t="inlineStr">
        <is>
          <t>role_坦克</t>
        </is>
      </c>
      <c r="O23" s="28" t="inlineStr">
        <is>
          <t>reward_pT1</t>
        </is>
      </c>
      <c r="P23" s="28" t="inlineStr">
        <is>
          <t>金币-1</t>
        </is>
      </c>
      <c r="Q23" s="28" t="inlineStr">
        <is>
          <t>构筑补强+1</t>
        </is>
      </c>
      <c r="R23" s="28" t="n">
        <v>1</v>
      </c>
      <c r="S23" s="28" t="inlineStr">
        <is>
          <t>event</t>
        </is>
      </c>
      <c r="T23" s="28" t="inlineStr">
        <is>
          <t>待接入</t>
        </is>
      </c>
      <c r="U23" s="28" t="inlineStr">
        <is>
          <t>用于填充事件池，参数可后续调</t>
        </is>
      </c>
    </row>
    <row r="24" ht="22" customHeight="1">
      <c r="A24" s="28" t="inlineStr">
        <is>
          <t>evt_mix_23</t>
        </is>
      </c>
      <c r="B24" s="28" t="inlineStr">
        <is>
          <t>构筑事件</t>
        </is>
      </c>
      <c r="C24" s="28" t="inlineStr">
        <is>
          <t>构筑事件23</t>
        </is>
      </c>
      <c r="D24" s="28" t="inlineStr">
        <is>
          <t>事件</t>
        </is>
      </c>
      <c r="E24" s="28" t="inlineStr">
        <is>
          <t>D1-D10</t>
        </is>
      </c>
      <c r="F24" s="28" t="inlineStr">
        <is>
          <t>A</t>
        </is>
      </c>
      <c r="G24" s="28" t="inlineStr">
        <is>
          <t>获得临时构筑补强23</t>
        </is>
      </c>
      <c r="H24" s="28" t="inlineStr">
        <is>
          <t>pal_023</t>
        </is>
      </c>
      <c r="I24" s="29">
        <f>IFERROR(VLOOKUP($H24,'01_宠物主表_好读版'!$A:$V,3,FALSE),"")</f>
        <v/>
      </c>
      <c r="J24" s="29">
        <f>IFERROR(VLOOKUP($H24,'01_宠物主表_好读版'!$A:$V,4,FALSE),"")</f>
        <v/>
      </c>
      <c r="K24" s="29">
        <f>IFERROR(VLOOKUP($H24,'01_宠物主表_好读版'!$A:$V,8,FALSE),"")</f>
        <v/>
      </c>
      <c r="L24" s="28" t="inlineStr">
        <is>
          <t>mech_counter_damage</t>
        </is>
      </c>
      <c r="M24" s="29">
        <f>IFERROR(VLOOKUP($L24,'04_机制词条库_60条'!$B:$S,2,FALSE),"")</f>
        <v/>
      </c>
      <c r="N24" s="28" t="inlineStr">
        <is>
          <t>role_控制</t>
        </is>
      </c>
      <c r="O24" s="28" t="inlineStr">
        <is>
          <t>reward_pT2</t>
        </is>
      </c>
      <c r="P24" s="28" t="inlineStr">
        <is>
          <t>金币-1</t>
        </is>
      </c>
      <c r="Q24" s="28" t="inlineStr">
        <is>
          <t>构筑补强+2</t>
        </is>
      </c>
      <c r="R24" s="28" t="n">
        <v>2</v>
      </c>
      <c r="S24" s="28" t="inlineStr">
        <is>
          <t>event</t>
        </is>
      </c>
      <c r="T24" s="28" t="inlineStr">
        <is>
          <t>待接入</t>
        </is>
      </c>
      <c r="U24" s="28" t="inlineStr">
        <is>
          <t>用于填充事件池，参数可后续调</t>
        </is>
      </c>
    </row>
    <row r="25" ht="22" customHeight="1">
      <c r="A25" s="28" t="inlineStr">
        <is>
          <t>evt_mix_24</t>
        </is>
      </c>
      <c r="B25" s="28" t="inlineStr">
        <is>
          <t>构筑事件</t>
        </is>
      </c>
      <c r="C25" s="28" t="inlineStr">
        <is>
          <t>构筑事件24</t>
        </is>
      </c>
      <c r="D25" s="28" t="inlineStr">
        <is>
          <t>事件</t>
        </is>
      </c>
      <c r="E25" s="28" t="inlineStr">
        <is>
          <t>D1-D10</t>
        </is>
      </c>
      <c r="F25" s="28" t="inlineStr">
        <is>
          <t>A</t>
        </is>
      </c>
      <c r="G25" s="28" t="inlineStr">
        <is>
          <t>获得临时构筑补强24</t>
        </is>
      </c>
      <c r="H25" s="28" t="inlineStr">
        <is>
          <t>pal_024</t>
        </is>
      </c>
      <c r="I25" s="29">
        <f>IFERROR(VLOOKUP($H25,'01_宠物主表_好读版'!$A:$V,3,FALSE),"")</f>
        <v/>
      </c>
      <c r="J25" s="29">
        <f>IFERROR(VLOOKUP($H25,'01_宠物主表_好读版'!$A:$V,4,FALSE),"")</f>
        <v/>
      </c>
      <c r="K25" s="29">
        <f>IFERROR(VLOOKUP($H25,'01_宠物主表_好读版'!$A:$V,8,FALSE),"")</f>
        <v/>
      </c>
      <c r="L25" s="28" t="inlineStr">
        <is>
          <t>none</t>
        </is>
      </c>
      <c r="M25" s="29">
        <f>IFERROR(VLOOKUP($L25,'04_机制词条库_60条'!$B:$S,2,FALSE),"")</f>
        <v/>
      </c>
      <c r="N25" s="28" t="inlineStr">
        <is>
          <t>role_机动</t>
        </is>
      </c>
      <c r="O25" s="28" t="inlineStr">
        <is>
          <t>reward_pT3</t>
        </is>
      </c>
      <c r="P25" s="28" t="inlineStr">
        <is>
          <t>金币-1</t>
        </is>
      </c>
      <c r="Q25" s="28" t="inlineStr">
        <is>
          <t>构筑补强+3</t>
        </is>
      </c>
      <c r="R25" s="28" t="n">
        <v>3</v>
      </c>
      <c r="S25" s="28" t="inlineStr">
        <is>
          <t>event</t>
        </is>
      </c>
      <c r="T25" s="28" t="inlineStr">
        <is>
          <t>待接入</t>
        </is>
      </c>
      <c r="U25" s="28" t="inlineStr">
        <is>
          <t>用于填充事件池，参数可后续调</t>
        </is>
      </c>
    </row>
    <row r="26" ht="22" customHeight="1">
      <c r="A26" s="28" t="inlineStr">
        <is>
          <t>evt_mix_25</t>
        </is>
      </c>
      <c r="B26" s="28" t="inlineStr">
        <is>
          <t>构筑事件</t>
        </is>
      </c>
      <c r="C26" s="28" t="inlineStr">
        <is>
          <t>构筑事件25</t>
        </is>
      </c>
      <c r="D26" s="28" t="inlineStr">
        <is>
          <t>事件</t>
        </is>
      </c>
      <c r="E26" s="28" t="inlineStr">
        <is>
          <t>D1-D10</t>
        </is>
      </c>
      <c r="F26" s="28" t="inlineStr">
        <is>
          <t>A</t>
        </is>
      </c>
      <c r="G26" s="28" t="inlineStr">
        <is>
          <t>获得临时构筑补强25</t>
        </is>
      </c>
      <c r="H26" s="28" t="inlineStr">
        <is>
          <t>pal_025</t>
        </is>
      </c>
      <c r="I26" s="29">
        <f>IFERROR(VLOOKUP($H26,'01_宠物主表_好读版'!$A:$V,3,FALSE),"")</f>
        <v/>
      </c>
      <c r="J26" s="29">
        <f>IFERROR(VLOOKUP($H26,'01_宠物主表_好读版'!$A:$V,4,FALSE),"")</f>
        <v/>
      </c>
      <c r="K26" s="29">
        <f>IFERROR(VLOOKUP($H26,'01_宠物主表_好读版'!$A:$V,8,FALSE),"")</f>
        <v/>
      </c>
      <c r="L26" s="28" t="inlineStr">
        <is>
          <t>none</t>
        </is>
      </c>
      <c r="M26" s="29">
        <f>IFERROR(VLOOKUP($L26,'04_机制词条库_60条'!$B:$S,2,FALSE),"")</f>
        <v/>
      </c>
      <c r="N26" s="28" t="inlineStr">
        <is>
          <t>role_治疗</t>
        </is>
      </c>
      <c r="O26" s="28" t="inlineStr">
        <is>
          <t>reward_pT1</t>
        </is>
      </c>
      <c r="P26" s="28" t="inlineStr">
        <is>
          <t>金币-1</t>
        </is>
      </c>
      <c r="Q26" s="28" t="inlineStr">
        <is>
          <t>构筑补强+1</t>
        </is>
      </c>
      <c r="R26" s="28" t="n">
        <v>1</v>
      </c>
      <c r="S26" s="28" t="inlineStr">
        <is>
          <t>event</t>
        </is>
      </c>
      <c r="T26" s="28" t="inlineStr">
        <is>
          <t>待接入</t>
        </is>
      </c>
      <c r="U26" s="28" t="inlineStr">
        <is>
          <t>用于填充事件池，参数可后续调</t>
        </is>
      </c>
    </row>
    <row r="27" ht="22" customHeight="1">
      <c r="A27" s="28" t="inlineStr">
        <is>
          <t>evt_mix_26</t>
        </is>
      </c>
      <c r="B27" s="28" t="inlineStr">
        <is>
          <t>构筑事件</t>
        </is>
      </c>
      <c r="C27" s="28" t="inlineStr">
        <is>
          <t>构筑事件26</t>
        </is>
      </c>
      <c r="D27" s="28" t="inlineStr">
        <is>
          <t>事件</t>
        </is>
      </c>
      <c r="E27" s="28" t="inlineStr">
        <is>
          <t>D1-D10</t>
        </is>
      </c>
      <c r="F27" s="28" t="inlineStr">
        <is>
          <t>A</t>
        </is>
      </c>
      <c r="G27" s="28" t="inlineStr">
        <is>
          <t>获得临时构筑补强26</t>
        </is>
      </c>
      <c r="H27" s="28" t="inlineStr">
        <is>
          <t>pal_026</t>
        </is>
      </c>
      <c r="I27" s="29">
        <f>IFERROR(VLOOKUP($H27,'01_宠物主表_好读版'!$A:$V,3,FALSE),"")</f>
        <v/>
      </c>
      <c r="J27" s="29">
        <f>IFERROR(VLOOKUP($H27,'01_宠物主表_好读版'!$A:$V,4,FALSE),"")</f>
        <v/>
      </c>
      <c r="K27" s="29">
        <f>IFERROR(VLOOKUP($H27,'01_宠物主表_好读版'!$A:$V,8,FALSE),"")</f>
        <v/>
      </c>
      <c r="L27" s="28" t="inlineStr">
        <is>
          <t>none</t>
        </is>
      </c>
      <c r="M27" s="29">
        <f>IFERROR(VLOOKUP($L27,'04_机制词条库_60条'!$B:$S,2,FALSE),"")</f>
        <v/>
      </c>
      <c r="N27" s="28" t="inlineStr">
        <is>
          <t>role_经济</t>
        </is>
      </c>
      <c r="O27" s="28" t="inlineStr">
        <is>
          <t>reward_pT2</t>
        </is>
      </c>
      <c r="P27" s="28" t="inlineStr">
        <is>
          <t>金币-1</t>
        </is>
      </c>
      <c r="Q27" s="28" t="inlineStr">
        <is>
          <t>构筑补强+2</t>
        </is>
      </c>
      <c r="R27" s="28" t="n">
        <v>2</v>
      </c>
      <c r="S27" s="28" t="inlineStr">
        <is>
          <t>event</t>
        </is>
      </c>
      <c r="T27" s="28" t="inlineStr">
        <is>
          <t>待接入</t>
        </is>
      </c>
      <c r="U27" s="28" t="inlineStr">
        <is>
          <t>用于填充事件池，参数可后续调</t>
        </is>
      </c>
    </row>
    <row r="28" ht="22" customHeight="1">
      <c r="A28" s="28" t="inlineStr">
        <is>
          <t>evt_mix_27</t>
        </is>
      </c>
      <c r="B28" s="28" t="inlineStr">
        <is>
          <t>构筑事件</t>
        </is>
      </c>
      <c r="C28" s="28" t="inlineStr">
        <is>
          <t>构筑事件27</t>
        </is>
      </c>
      <c r="D28" s="28" t="inlineStr">
        <is>
          <t>事件</t>
        </is>
      </c>
      <c r="E28" s="28" t="inlineStr">
        <is>
          <t>D1-D10</t>
        </is>
      </c>
      <c r="F28" s="28" t="inlineStr">
        <is>
          <t>A</t>
        </is>
      </c>
      <c r="G28" s="28" t="inlineStr">
        <is>
          <t>获得临时构筑补强27</t>
        </is>
      </c>
      <c r="H28" s="28" t="inlineStr">
        <is>
          <t>pal_027</t>
        </is>
      </c>
      <c r="I28" s="29">
        <f>IFERROR(VLOOKUP($H28,'01_宠物主表_好读版'!$A:$V,3,FALSE),"")</f>
        <v/>
      </c>
      <c r="J28" s="29">
        <f>IFERROR(VLOOKUP($H28,'01_宠物主表_好读版'!$A:$V,4,FALSE),"")</f>
        <v/>
      </c>
      <c r="K28" s="29">
        <f>IFERROR(VLOOKUP($H28,'01_宠物主表_好读版'!$A:$V,8,FALSE),"")</f>
        <v/>
      </c>
      <c r="L28" s="28" t="inlineStr">
        <is>
          <t>none</t>
        </is>
      </c>
      <c r="M28" s="29">
        <f>IFERROR(VLOOKUP($L28,'04_机制词条库_60条'!$B:$S,2,FALSE),"")</f>
        <v/>
      </c>
      <c r="N28" s="28" t="inlineStr">
        <is>
          <t>role_输出</t>
        </is>
      </c>
      <c r="O28" s="28" t="inlineStr">
        <is>
          <t>reward_pT3</t>
        </is>
      </c>
      <c r="P28" s="28" t="inlineStr">
        <is>
          <t>金币-1</t>
        </is>
      </c>
      <c r="Q28" s="28" t="inlineStr">
        <is>
          <t>构筑补强+3</t>
        </is>
      </c>
      <c r="R28" s="28" t="n">
        <v>3</v>
      </c>
      <c r="S28" s="28" t="inlineStr">
        <is>
          <t>event</t>
        </is>
      </c>
      <c r="T28" s="28" t="inlineStr">
        <is>
          <t>待接入</t>
        </is>
      </c>
      <c r="U28" s="28" t="inlineStr">
        <is>
          <t>用于填充事件池，参数可后续调</t>
        </is>
      </c>
    </row>
    <row r="29" ht="22" customHeight="1">
      <c r="A29" s="28" t="inlineStr">
        <is>
          <t>evt_mix_28</t>
        </is>
      </c>
      <c r="B29" s="28" t="inlineStr">
        <is>
          <t>构筑事件</t>
        </is>
      </c>
      <c r="C29" s="28" t="inlineStr">
        <is>
          <t>构筑事件28</t>
        </is>
      </c>
      <c r="D29" s="28" t="inlineStr">
        <is>
          <t>事件</t>
        </is>
      </c>
      <c r="E29" s="28" t="inlineStr">
        <is>
          <t>D1-D10</t>
        </is>
      </c>
      <c r="F29" s="28" t="inlineStr">
        <is>
          <t>A</t>
        </is>
      </c>
      <c r="G29" s="28" t="inlineStr">
        <is>
          <t>获得临时构筑补强28</t>
        </is>
      </c>
      <c r="H29" s="28" t="inlineStr">
        <is>
          <t>pal_028</t>
        </is>
      </c>
      <c r="I29" s="29">
        <f>IFERROR(VLOOKUP($H29,'01_宠物主表_好读版'!$A:$V,3,FALSE),"")</f>
        <v/>
      </c>
      <c r="J29" s="29">
        <f>IFERROR(VLOOKUP($H29,'01_宠物主表_好读版'!$A:$V,4,FALSE),"")</f>
        <v/>
      </c>
      <c r="K29" s="29">
        <f>IFERROR(VLOOKUP($H29,'01_宠物主表_好读版'!$A:$V,8,FALSE),"")</f>
        <v/>
      </c>
      <c r="L29" s="28" t="inlineStr">
        <is>
          <t>none</t>
        </is>
      </c>
      <c r="M29" s="29">
        <f>IFERROR(VLOOKUP($L29,'04_机制词条库_60条'!$B:$S,2,FALSE),"")</f>
        <v/>
      </c>
      <c r="N29" s="28" t="inlineStr">
        <is>
          <t>tier_pT1</t>
        </is>
      </c>
      <c r="O29" s="28" t="inlineStr">
        <is>
          <t>reward_pT1</t>
        </is>
      </c>
      <c r="P29" s="28" t="inlineStr">
        <is>
          <t>金币-1</t>
        </is>
      </c>
      <c r="Q29" s="28" t="inlineStr">
        <is>
          <t>构筑补强+1</t>
        </is>
      </c>
      <c r="R29" s="28" t="n">
        <v>1</v>
      </c>
      <c r="S29" s="28" t="inlineStr">
        <is>
          <t>event</t>
        </is>
      </c>
      <c r="T29" s="28" t="inlineStr">
        <is>
          <t>待接入</t>
        </is>
      </c>
      <c r="U29" s="28" t="inlineStr">
        <is>
          <t>用于填充事件池，参数可后续调</t>
        </is>
      </c>
    </row>
    <row r="30" ht="22" customHeight="1">
      <c r="A30" s="28" t="inlineStr">
        <is>
          <t>evt_mix_29</t>
        </is>
      </c>
      <c r="B30" s="28" t="inlineStr">
        <is>
          <t>构筑事件</t>
        </is>
      </c>
      <c r="C30" s="28" t="inlineStr">
        <is>
          <t>构筑事件29</t>
        </is>
      </c>
      <c r="D30" s="28" t="inlineStr">
        <is>
          <t>事件</t>
        </is>
      </c>
      <c r="E30" s="28" t="inlineStr">
        <is>
          <t>D1-D10</t>
        </is>
      </c>
      <c r="F30" s="28" t="inlineStr">
        <is>
          <t>A</t>
        </is>
      </c>
      <c r="G30" s="28" t="inlineStr">
        <is>
          <t>获得临时构筑补强29</t>
        </is>
      </c>
      <c r="H30" s="28" t="inlineStr">
        <is>
          <t>pal_029</t>
        </is>
      </c>
      <c r="I30" s="29">
        <f>IFERROR(VLOOKUP($H30,'01_宠物主表_好读版'!$A:$V,3,FALSE),"")</f>
        <v/>
      </c>
      <c r="J30" s="29">
        <f>IFERROR(VLOOKUP($H30,'01_宠物主表_好读版'!$A:$V,4,FALSE),"")</f>
        <v/>
      </c>
      <c r="K30" s="29">
        <f>IFERROR(VLOOKUP($H30,'01_宠物主表_好读版'!$A:$V,8,FALSE),"")</f>
        <v/>
      </c>
      <c r="L30" s="28" t="inlineStr">
        <is>
          <t>none</t>
        </is>
      </c>
      <c r="M30" s="29">
        <f>IFERROR(VLOOKUP($L30,'04_机制词条库_60条'!$B:$S,2,FALSE),"")</f>
        <v/>
      </c>
      <c r="N30" s="28" t="inlineStr">
        <is>
          <t>tier_pT2</t>
        </is>
      </c>
      <c r="O30" s="28" t="inlineStr">
        <is>
          <t>reward_pT2</t>
        </is>
      </c>
      <c r="P30" s="28" t="inlineStr">
        <is>
          <t>金币-1</t>
        </is>
      </c>
      <c r="Q30" s="28" t="inlineStr">
        <is>
          <t>构筑补强+2</t>
        </is>
      </c>
      <c r="R30" s="28" t="n">
        <v>2</v>
      </c>
      <c r="S30" s="28" t="inlineStr">
        <is>
          <t>event</t>
        </is>
      </c>
      <c r="T30" s="28" t="inlineStr">
        <is>
          <t>待接入</t>
        </is>
      </c>
      <c r="U30" s="28" t="inlineStr">
        <is>
          <t>用于填充事件池，参数可后续调</t>
        </is>
      </c>
    </row>
    <row r="31" ht="22" customHeight="1">
      <c r="A31" s="28" t="inlineStr">
        <is>
          <t>evt_mix_30</t>
        </is>
      </c>
      <c r="B31" s="28" t="inlineStr">
        <is>
          <t>构筑事件</t>
        </is>
      </c>
      <c r="C31" s="28" t="inlineStr">
        <is>
          <t>构筑事件30</t>
        </is>
      </c>
      <c r="D31" s="28" t="inlineStr">
        <is>
          <t>事件</t>
        </is>
      </c>
      <c r="E31" s="28" t="inlineStr">
        <is>
          <t>D1-D10</t>
        </is>
      </c>
      <c r="F31" s="28" t="inlineStr">
        <is>
          <t>A</t>
        </is>
      </c>
      <c r="G31" s="28" t="inlineStr">
        <is>
          <t>获得临时构筑补强30</t>
        </is>
      </c>
      <c r="H31" s="28" t="inlineStr">
        <is>
          <t>pal_030</t>
        </is>
      </c>
      <c r="I31" s="29">
        <f>IFERROR(VLOOKUP($H31,'01_宠物主表_好读版'!$A:$V,3,FALSE),"")</f>
        <v/>
      </c>
      <c r="J31" s="29">
        <f>IFERROR(VLOOKUP($H31,'01_宠物主表_好读版'!$A:$V,4,FALSE),"")</f>
        <v/>
      </c>
      <c r="K31" s="29">
        <f>IFERROR(VLOOKUP($H31,'01_宠物主表_好读版'!$A:$V,8,FALSE),"")</f>
        <v/>
      </c>
      <c r="L31" s="28" t="inlineStr">
        <is>
          <t>none</t>
        </is>
      </c>
      <c r="M31" s="29">
        <f>IFERROR(VLOOKUP($L31,'04_机制词条库_60条'!$B:$S,2,FALSE),"")</f>
        <v/>
      </c>
      <c r="N31" s="28" t="inlineStr">
        <is>
          <t>tier_pT3</t>
        </is>
      </c>
      <c r="O31" s="28" t="inlineStr">
        <is>
          <t>reward_pT3</t>
        </is>
      </c>
      <c r="P31" s="28" t="inlineStr">
        <is>
          <t>金币-1</t>
        </is>
      </c>
      <c r="Q31" s="28" t="inlineStr">
        <is>
          <t>构筑补强+3</t>
        </is>
      </c>
      <c r="R31" s="28" t="n">
        <v>3</v>
      </c>
      <c r="S31" s="28" t="inlineStr">
        <is>
          <t>event</t>
        </is>
      </c>
      <c r="T31" s="28" t="inlineStr">
        <is>
          <t>待接入</t>
        </is>
      </c>
      <c r="U31" s="28" t="inlineStr">
        <is>
          <t>用于填充事件池，参数可后续调</t>
        </is>
      </c>
    </row>
    <row r="32" ht="22" customHeight="1">
      <c r="A32" s="28" t="inlineStr">
        <is>
          <t>evt_mix_31</t>
        </is>
      </c>
      <c r="B32" s="28" t="inlineStr">
        <is>
          <t>构筑事件</t>
        </is>
      </c>
      <c r="C32" s="28" t="inlineStr">
        <is>
          <t>构筑事件31</t>
        </is>
      </c>
      <c r="D32" s="28" t="inlineStr">
        <is>
          <t>事件</t>
        </is>
      </c>
      <c r="E32" s="28" t="inlineStr">
        <is>
          <t>D1-D10</t>
        </is>
      </c>
      <c r="F32" s="28" t="inlineStr">
        <is>
          <t>A</t>
        </is>
      </c>
      <c r="G32" s="28" t="inlineStr">
        <is>
          <t>获得临时构筑补强31</t>
        </is>
      </c>
      <c r="H32" s="28" t="inlineStr">
        <is>
          <t>pal_031</t>
        </is>
      </c>
      <c r="I32" s="29">
        <f>IFERROR(VLOOKUP($H32,'01_宠物主表_好读版'!$A:$V,3,FALSE),"")</f>
        <v/>
      </c>
      <c r="J32" s="29">
        <f>IFERROR(VLOOKUP($H32,'01_宠物主表_好读版'!$A:$V,4,FALSE),"")</f>
        <v/>
      </c>
      <c r="K32" s="29">
        <f>IFERROR(VLOOKUP($H32,'01_宠物主表_好读版'!$A:$V,8,FALSE),"")</f>
        <v/>
      </c>
      <c r="L32" s="28" t="inlineStr">
        <is>
          <t>mech_counter_damage</t>
        </is>
      </c>
      <c r="M32" s="29">
        <f>IFERROR(VLOOKUP($L32,'04_机制词条库_60条'!$B:$S,2,FALSE),"")</f>
        <v/>
      </c>
      <c r="N32" s="28" t="inlineStr">
        <is>
          <t>elem_土</t>
        </is>
      </c>
      <c r="O32" s="28" t="inlineStr">
        <is>
          <t>reward_pT1</t>
        </is>
      </c>
      <c r="P32" s="28" t="inlineStr">
        <is>
          <t>金币-1</t>
        </is>
      </c>
      <c r="Q32" s="28" t="inlineStr">
        <is>
          <t>构筑补强+1</t>
        </is>
      </c>
      <c r="R32" s="28" t="n">
        <v>1</v>
      </c>
      <c r="S32" s="28" t="inlineStr">
        <is>
          <t>event</t>
        </is>
      </c>
      <c r="T32" s="28" t="inlineStr">
        <is>
          <t>待接入</t>
        </is>
      </c>
      <c r="U32" s="28" t="inlineStr">
        <is>
          <t>用于填充事件池，参数可后续调</t>
        </is>
      </c>
    </row>
    <row r="33" ht="22" customHeight="1">
      <c r="A33" s="28" t="inlineStr">
        <is>
          <t>evt_mix_32</t>
        </is>
      </c>
      <c r="B33" s="28" t="inlineStr">
        <is>
          <t>构筑事件</t>
        </is>
      </c>
      <c r="C33" s="28" t="inlineStr">
        <is>
          <t>构筑事件32</t>
        </is>
      </c>
      <c r="D33" s="28" t="inlineStr">
        <is>
          <t>事件</t>
        </is>
      </c>
      <c r="E33" s="28" t="inlineStr">
        <is>
          <t>D1-D10</t>
        </is>
      </c>
      <c r="F33" s="28" t="inlineStr">
        <is>
          <t>A</t>
        </is>
      </c>
      <c r="G33" s="28" t="inlineStr">
        <is>
          <t>获得临时构筑补强32</t>
        </is>
      </c>
      <c r="H33" s="28" t="inlineStr">
        <is>
          <t>pal_032</t>
        </is>
      </c>
      <c r="I33" s="29">
        <f>IFERROR(VLOOKUP($H33,'01_宠物主表_好读版'!$A:$V,3,FALSE),"")</f>
        <v/>
      </c>
      <c r="J33" s="29">
        <f>IFERROR(VLOOKUP($H33,'01_宠物主表_好读版'!$A:$V,4,FALSE),"")</f>
        <v/>
      </c>
      <c r="K33" s="29">
        <f>IFERROR(VLOOKUP($H33,'01_宠物主表_好读版'!$A:$V,8,FALSE),"")</f>
        <v/>
      </c>
      <c r="L33" s="28" t="inlineStr">
        <is>
          <t>none</t>
        </is>
      </c>
      <c r="M33" s="29">
        <f>IFERROR(VLOOKUP($L33,'04_机制词条库_60条'!$B:$S,2,FALSE),"")</f>
        <v/>
      </c>
      <c r="N33" s="28" t="inlineStr">
        <is>
          <t>elem_水</t>
        </is>
      </c>
      <c r="O33" s="28" t="inlineStr">
        <is>
          <t>reward_pT2</t>
        </is>
      </c>
      <c r="P33" s="28" t="inlineStr">
        <is>
          <t>金币-1</t>
        </is>
      </c>
      <c r="Q33" s="28" t="inlineStr">
        <is>
          <t>构筑补强+2</t>
        </is>
      </c>
      <c r="R33" s="28" t="n">
        <v>2</v>
      </c>
      <c r="S33" s="28" t="inlineStr">
        <is>
          <t>event</t>
        </is>
      </c>
      <c r="T33" s="28" t="inlineStr">
        <is>
          <t>待接入</t>
        </is>
      </c>
      <c r="U33" s="28" t="inlineStr">
        <is>
          <t>用于填充事件池，参数可后续调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28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3" max="3"/>
    <col width="18" customWidth="1" min="10" max="10"/>
    <col width="14" customWidth="1" min="11" max="11"/>
    <col width="18" customWidth="1" min="18" max="18"/>
    <col width="14" customWidth="1" min="20" max="20"/>
    <col width="32" customWidth="1" min="21" max="21"/>
  </cols>
  <sheetData>
    <row r="1" ht="28" customHeight="1">
      <c r="A1" s="27" t="inlineStr">
        <is>
          <t>宠物ID</t>
        </is>
      </c>
      <c r="B1" s="27" t="inlineStr">
        <is>
          <t>名称(自动)</t>
        </is>
      </c>
      <c r="C1" s="27" t="inlineStr">
        <is>
          <t>元素(自动)</t>
        </is>
      </c>
      <c r="D1" s="27" t="inlineStr">
        <is>
          <t>品质(自动)</t>
        </is>
      </c>
      <c r="E1" s="27" t="inlineStr">
        <is>
          <t>定位(自动)</t>
        </is>
      </c>
      <c r="F1" s="27" t="inlineStr">
        <is>
          <t>标签(自动)</t>
        </is>
      </c>
      <c r="G1" s="27" t="inlineStr">
        <is>
          <t>商品类型</t>
        </is>
      </c>
      <c r="H1" s="27" t="inlineStr">
        <is>
          <t>商店状态</t>
        </is>
      </c>
      <c r="I1" s="27" t="inlineStr">
        <is>
          <t>解锁日</t>
        </is>
      </c>
      <c r="J1" s="27" t="inlineStr">
        <is>
          <t>池档</t>
        </is>
      </c>
      <c r="K1" s="27" t="inlineStr">
        <is>
          <t>默认价</t>
        </is>
      </c>
      <c r="L1" s="27" t="inlineStr">
        <is>
          <t>价格覆盖</t>
        </is>
      </c>
      <c r="M1" s="27" t="inlineStr">
        <is>
          <t>夜市权重</t>
        </is>
      </c>
      <c r="N1" s="27" t="inlineStr">
        <is>
          <t>元素店权重</t>
        </is>
      </c>
      <c r="O1" s="27" t="inlineStr">
        <is>
          <t>定位店权重</t>
        </is>
      </c>
      <c r="P1" s="27" t="inlineStr">
        <is>
          <t>品质店权重</t>
        </is>
      </c>
      <c r="Q1" s="27" t="inlineStr">
        <is>
          <t>奖励权重</t>
        </is>
      </c>
      <c r="R1" s="27" t="inlineStr">
        <is>
          <t>商店池(自动)</t>
        </is>
      </c>
      <c r="S1" s="27" t="inlineStr">
        <is>
          <t>奖励池(自动)</t>
        </is>
      </c>
      <c r="T1" s="27" t="inlineStr">
        <is>
          <t>出现条件</t>
        </is>
      </c>
      <c r="U1" s="27" t="inlineStr">
        <is>
          <t>备注</t>
        </is>
      </c>
    </row>
    <row r="2" ht="22" customHeight="1">
      <c r="A2" s="28" t="inlineStr">
        <is>
          <t>pal_001</t>
        </is>
      </c>
      <c r="B2" s="29" t="inlineStr">
        <is>
          <t>棉悠悠</t>
        </is>
      </c>
      <c r="C2" s="29" t="inlineStr">
        <is>
          <t>风</t>
        </is>
      </c>
      <c r="D2" s="29" t="inlineStr">
        <is>
          <t>青铜</t>
        </is>
      </c>
      <c r="E2" s="29" t="inlineStr">
        <is>
          <t>经济</t>
        </is>
      </c>
      <c r="F2" s="29" t="inlineStr">
        <is>
          <t>风、经济、召唤、发育</t>
        </is>
      </c>
      <c r="G2" s="28" t="inlineStr">
        <is>
          <t>宠物</t>
        </is>
      </c>
      <c r="H2" s="28" t="inlineStr">
        <is>
          <t>启用</t>
        </is>
      </c>
      <c r="I2" s="28" t="n">
        <v>1</v>
      </c>
      <c r="J2" s="28" t="inlineStr">
        <is>
          <t>pT1</t>
        </is>
      </c>
      <c r="K2" s="28" t="n">
        <v>2</v>
      </c>
      <c r="L2" s="28" t="inlineStr">
        <is>
          <t>44</t>
        </is>
      </c>
      <c r="M2" s="28" t="n">
        <v>100</v>
      </c>
      <c r="N2" s="28" t="n">
        <v>100</v>
      </c>
      <c r="O2" s="28" t="n">
        <v>90</v>
      </c>
      <c r="P2" s="28" t="n">
        <v>100</v>
      </c>
      <c r="Q2" s="28" t="n">
        <v>60</v>
      </c>
      <c r="R2" s="29" t="inlineStr">
        <is>
          <t>night_base, elem_风, role_经济, tier_pT1</t>
        </is>
      </c>
      <c r="S2" s="29" t="inlineStr">
        <is>
          <t>reward_pT1</t>
        </is>
      </c>
      <c r="T2" s="28" t="inlineStr">
        <is>
          <t>44</t>
        </is>
      </c>
      <c r="U2" s="28" t="inlineStr">
        <is>
          <t>44</t>
        </is>
      </c>
    </row>
    <row r="3" ht="22" customHeight="1">
      <c r="A3" s="28" t="inlineStr">
        <is>
          <t>pal_002</t>
        </is>
      </c>
      <c r="B3" s="29" t="inlineStr">
        <is>
          <t>捣蛋猫</t>
        </is>
      </c>
      <c r="C3" s="29" t="inlineStr">
        <is>
          <t>风</t>
        </is>
      </c>
      <c r="D3" s="29" t="inlineStr">
        <is>
          <t>青铜</t>
        </is>
      </c>
      <c r="E3" s="29" t="inlineStr">
        <is>
          <t>坦克</t>
        </is>
      </c>
      <c r="F3" s="29" t="inlineStr">
        <is>
          <t>风、防御、前排、阻挡</t>
        </is>
      </c>
      <c r="G3" s="28" t="inlineStr">
        <is>
          <t>宠物</t>
        </is>
      </c>
      <c r="H3" s="28" t="inlineStr">
        <is>
          <t>启用</t>
        </is>
      </c>
      <c r="I3" s="28" t="n">
        <v>1</v>
      </c>
      <c r="J3" s="28" t="inlineStr">
        <is>
          <t>pT1</t>
        </is>
      </c>
      <c r="K3" s="28" t="n">
        <v>2</v>
      </c>
      <c r="L3" s="28" t="inlineStr">
        <is>
          <t>44</t>
        </is>
      </c>
      <c r="M3" s="28" t="n">
        <v>100</v>
      </c>
      <c r="N3" s="28" t="n">
        <v>100</v>
      </c>
      <c r="O3" s="28" t="n">
        <v>90</v>
      </c>
      <c r="P3" s="28" t="n">
        <v>100</v>
      </c>
      <c r="Q3" s="28" t="n">
        <v>60</v>
      </c>
      <c r="R3" s="29" t="inlineStr">
        <is>
          <t>night_base, elem_风, role_坦克, tier_pT1</t>
        </is>
      </c>
      <c r="S3" s="29" t="inlineStr">
        <is>
          <t>reward_pT1</t>
        </is>
      </c>
      <c r="T3" s="28" t="inlineStr">
        <is>
          <t>44</t>
        </is>
      </c>
      <c r="U3" s="28" t="inlineStr">
        <is>
          <t>旧定位=防御</t>
        </is>
      </c>
    </row>
    <row r="4" ht="22" customHeight="1">
      <c r="A4" s="28" t="inlineStr">
        <is>
          <t>pal_003</t>
        </is>
      </c>
      <c r="B4" s="29" t="inlineStr">
        <is>
          <t>皮皮鸡</t>
        </is>
      </c>
      <c r="C4" s="29" t="inlineStr">
        <is>
          <t>风</t>
        </is>
      </c>
      <c r="D4" s="29" t="inlineStr">
        <is>
          <t>青铜</t>
        </is>
      </c>
      <c r="E4" s="29" t="inlineStr">
        <is>
          <t>经济</t>
        </is>
      </c>
      <c r="F4" s="29" t="inlineStr">
        <is>
          <t>风、经济、召唤、发育</t>
        </is>
      </c>
      <c r="G4" s="28" t="inlineStr">
        <is>
          <t>宠物</t>
        </is>
      </c>
      <c r="H4" s="28" t="inlineStr">
        <is>
          <t>启用</t>
        </is>
      </c>
      <c r="I4" s="28" t="n">
        <v>1</v>
      </c>
      <c r="J4" s="28" t="inlineStr">
        <is>
          <t>pT1</t>
        </is>
      </c>
      <c r="K4" s="28" t="n">
        <v>2</v>
      </c>
      <c r="L4" s="28" t="inlineStr">
        <is>
          <t>44</t>
        </is>
      </c>
      <c r="M4" s="28" t="n">
        <v>100</v>
      </c>
      <c r="N4" s="28" t="n">
        <v>100</v>
      </c>
      <c r="O4" s="28" t="n">
        <v>90</v>
      </c>
      <c r="P4" s="28" t="n">
        <v>100</v>
      </c>
      <c r="Q4" s="28" t="n">
        <v>60</v>
      </c>
      <c r="R4" s="29" t="inlineStr">
        <is>
          <t>night_base, elem_风, role_经济, tier_pT1</t>
        </is>
      </c>
      <c r="S4" s="29" t="inlineStr">
        <is>
          <t>reward_pT1</t>
        </is>
      </c>
      <c r="T4" s="28" t="inlineStr">
        <is>
          <t>44</t>
        </is>
      </c>
      <c r="U4" s="28" t="inlineStr">
        <is>
          <t>44</t>
        </is>
      </c>
    </row>
    <row r="5" ht="22" customHeight="1">
      <c r="A5" s="28" t="inlineStr">
        <is>
          <t>pal_004</t>
        </is>
      </c>
      <c r="B5" s="29" t="inlineStr">
        <is>
          <t>翠叶鼠</t>
        </is>
      </c>
      <c r="C5" s="29" t="inlineStr">
        <is>
          <t>风</t>
        </is>
      </c>
      <c r="D5" s="29" t="inlineStr">
        <is>
          <t>青铜</t>
        </is>
      </c>
      <c r="E5" s="29" t="inlineStr">
        <is>
          <t>治疗</t>
        </is>
      </c>
      <c r="F5" s="29" t="inlineStr">
        <is>
          <t>风、治疗、后排、增益</t>
        </is>
      </c>
      <c r="G5" s="28" t="inlineStr">
        <is>
          <t>宠物</t>
        </is>
      </c>
      <c r="H5" s="28" t="inlineStr">
        <is>
          <t>启用</t>
        </is>
      </c>
      <c r="I5" s="28" t="n">
        <v>1</v>
      </c>
      <c r="J5" s="28" t="inlineStr">
        <is>
          <t>pT1</t>
        </is>
      </c>
      <c r="K5" s="28" t="n">
        <v>2</v>
      </c>
      <c r="L5" s="28" t="inlineStr">
        <is>
          <t>44</t>
        </is>
      </c>
      <c r="M5" s="28" t="n">
        <v>100</v>
      </c>
      <c r="N5" s="28" t="n">
        <v>100</v>
      </c>
      <c r="O5" s="28" t="n">
        <v>90</v>
      </c>
      <c r="P5" s="28" t="n">
        <v>100</v>
      </c>
      <c r="Q5" s="28" t="n">
        <v>60</v>
      </c>
      <c r="R5" s="29" t="inlineStr">
        <is>
          <t>night_base, elem_风, role_治疗, tier_pT1</t>
        </is>
      </c>
      <c r="S5" s="29" t="inlineStr">
        <is>
          <t>reward_pT1</t>
        </is>
      </c>
      <c r="T5" s="28" t="inlineStr">
        <is>
          <t>44</t>
        </is>
      </c>
      <c r="U5" s="28" t="inlineStr">
        <is>
          <t>44</t>
        </is>
      </c>
    </row>
    <row r="6" ht="22" customHeight="1">
      <c r="A6" s="28" t="inlineStr">
        <is>
          <t>pal_005</t>
        </is>
      </c>
      <c r="B6" s="29" t="inlineStr">
        <is>
          <t>火绒狐</t>
        </is>
      </c>
      <c r="C6" s="29" t="inlineStr">
        <is>
          <t>火</t>
        </is>
      </c>
      <c r="D6" s="29" t="inlineStr">
        <is>
          <t>青铜</t>
        </is>
      </c>
      <c r="E6" s="29" t="inlineStr">
        <is>
          <t>输出</t>
        </is>
      </c>
      <c r="F6" s="29" t="inlineStr">
        <is>
          <t>火、输出、爆发、前排</t>
        </is>
      </c>
      <c r="G6" s="28" t="inlineStr">
        <is>
          <t>宠物</t>
        </is>
      </c>
      <c r="H6" s="28" t="inlineStr">
        <is>
          <t>启用</t>
        </is>
      </c>
      <c r="I6" s="28" t="n">
        <v>1</v>
      </c>
      <c r="J6" s="28" t="inlineStr">
        <is>
          <t>pT1</t>
        </is>
      </c>
      <c r="K6" s="28" t="n">
        <v>2</v>
      </c>
      <c r="L6" s="28" t="inlineStr">
        <is>
          <t>44</t>
        </is>
      </c>
      <c r="M6" s="28" t="n">
        <v>100</v>
      </c>
      <c r="N6" s="28" t="n">
        <v>100</v>
      </c>
      <c r="O6" s="28" t="n">
        <v>90</v>
      </c>
      <c r="P6" s="28" t="n">
        <v>100</v>
      </c>
      <c r="Q6" s="28" t="n">
        <v>60</v>
      </c>
      <c r="R6" s="29" t="inlineStr">
        <is>
          <t>night_base, elem_火, role_输出, tier_pT1</t>
        </is>
      </c>
      <c r="S6" s="29" t="inlineStr">
        <is>
          <t>reward_pT1</t>
        </is>
      </c>
      <c r="T6" s="28" t="inlineStr">
        <is>
          <t>44</t>
        </is>
      </c>
      <c r="U6" s="28" t="inlineStr">
        <is>
          <t>44</t>
        </is>
      </c>
    </row>
    <row r="7" ht="22" customHeight="1">
      <c r="A7" s="28" t="inlineStr">
        <is>
          <t>pal_006</t>
        </is>
      </c>
      <c r="B7" s="29" t="inlineStr">
        <is>
          <t>冲浪鸭</t>
        </is>
      </c>
      <c r="C7" s="29" t="inlineStr">
        <is>
          <t>水</t>
        </is>
      </c>
      <c r="D7" s="29" t="inlineStr">
        <is>
          <t>青铜</t>
        </is>
      </c>
      <c r="E7" s="29" t="inlineStr">
        <is>
          <t>治疗</t>
        </is>
      </c>
      <c r="F7" s="29" t="inlineStr">
        <is>
          <t>水、治疗、后排、增益</t>
        </is>
      </c>
      <c r="G7" s="28" t="inlineStr">
        <is>
          <t>宠物</t>
        </is>
      </c>
      <c r="H7" s="28" t="inlineStr">
        <is>
          <t>启用</t>
        </is>
      </c>
      <c r="I7" s="28" t="n">
        <v>1</v>
      </c>
      <c r="J7" s="28" t="inlineStr">
        <is>
          <t>pT1</t>
        </is>
      </c>
      <c r="K7" s="28" t="n">
        <v>2</v>
      </c>
      <c r="L7" s="28" t="inlineStr">
        <is>
          <t>44</t>
        </is>
      </c>
      <c r="M7" s="28" t="n">
        <v>100</v>
      </c>
      <c r="N7" s="28" t="n">
        <v>100</v>
      </c>
      <c r="O7" s="28" t="n">
        <v>90</v>
      </c>
      <c r="P7" s="28" t="n">
        <v>100</v>
      </c>
      <c r="Q7" s="28" t="n">
        <v>60</v>
      </c>
      <c r="R7" s="29" t="inlineStr">
        <is>
          <t>night_base, elem_水, role_治疗, tier_pT1</t>
        </is>
      </c>
      <c r="S7" s="29" t="inlineStr">
        <is>
          <t>reward_pT1</t>
        </is>
      </c>
      <c r="T7" s="28" t="inlineStr">
        <is>
          <t>44</t>
        </is>
      </c>
      <c r="U7" s="28" t="inlineStr">
        <is>
          <t>44</t>
        </is>
      </c>
    </row>
    <row r="8" ht="22" customHeight="1">
      <c r="A8" s="28" t="inlineStr">
        <is>
          <t>pal_007</t>
        </is>
      </c>
      <c r="B8" s="29" t="inlineStr">
        <is>
          <t>伏特喵</t>
        </is>
      </c>
      <c r="C8" s="29" t="inlineStr">
        <is>
          <t>风</t>
        </is>
      </c>
      <c r="D8" s="29" t="inlineStr">
        <is>
          <t>青铜</t>
        </is>
      </c>
      <c r="E8" s="29" t="inlineStr">
        <is>
          <t>坦克</t>
        </is>
      </c>
      <c r="F8" s="29" t="inlineStr">
        <is>
          <t>风、防御、前排、阻挡</t>
        </is>
      </c>
      <c r="G8" s="28" t="inlineStr">
        <is>
          <t>宠物</t>
        </is>
      </c>
      <c r="H8" s="28" t="inlineStr">
        <is>
          <t>启用</t>
        </is>
      </c>
      <c r="I8" s="28" t="n">
        <v>1</v>
      </c>
      <c r="J8" s="28" t="inlineStr">
        <is>
          <t>pT1</t>
        </is>
      </c>
      <c r="K8" s="28" t="n">
        <v>2</v>
      </c>
      <c r="L8" s="28" t="inlineStr">
        <is>
          <t>44</t>
        </is>
      </c>
      <c r="M8" s="28" t="n">
        <v>100</v>
      </c>
      <c r="N8" s="28" t="n">
        <v>100</v>
      </c>
      <c r="O8" s="28" t="n">
        <v>90</v>
      </c>
      <c r="P8" s="28" t="n">
        <v>100</v>
      </c>
      <c r="Q8" s="28" t="n">
        <v>60</v>
      </c>
      <c r="R8" s="29" t="inlineStr">
        <is>
          <t>night_base, elem_风, role_坦克, tier_pT1</t>
        </is>
      </c>
      <c r="S8" s="29" t="inlineStr">
        <is>
          <t>reward_pT1</t>
        </is>
      </c>
      <c r="T8" s="28" t="inlineStr">
        <is>
          <t>44</t>
        </is>
      </c>
      <c r="U8" s="28" t="inlineStr">
        <is>
          <t>旧定位=防御</t>
        </is>
      </c>
    </row>
    <row r="9" ht="22" customHeight="1">
      <c r="A9" s="28" t="inlineStr">
        <is>
          <t>pal_008</t>
        </is>
      </c>
      <c r="B9" s="29" t="inlineStr">
        <is>
          <t>新叶猿</t>
        </is>
      </c>
      <c r="C9" s="29" t="inlineStr">
        <is>
          <t>风</t>
        </is>
      </c>
      <c r="D9" s="29" t="inlineStr">
        <is>
          <t>青铜</t>
        </is>
      </c>
      <c r="E9" s="29" t="inlineStr">
        <is>
          <t>坦克</t>
        </is>
      </c>
      <c r="F9" s="29" t="inlineStr">
        <is>
          <t>风、防御、前排、阻挡</t>
        </is>
      </c>
      <c r="G9" s="28" t="inlineStr">
        <is>
          <t>宠物</t>
        </is>
      </c>
      <c r="H9" s="28" t="inlineStr">
        <is>
          <t>启用</t>
        </is>
      </c>
      <c r="I9" s="28" t="n">
        <v>1</v>
      </c>
      <c r="J9" s="28" t="inlineStr">
        <is>
          <t>pT1</t>
        </is>
      </c>
      <c r="K9" s="28" t="n">
        <v>2</v>
      </c>
      <c r="L9" s="28" t="inlineStr">
        <is>
          <t>44</t>
        </is>
      </c>
      <c r="M9" s="28" t="n">
        <v>100</v>
      </c>
      <c r="N9" s="28" t="n">
        <v>100</v>
      </c>
      <c r="O9" s="28" t="n">
        <v>90</v>
      </c>
      <c r="P9" s="28" t="n">
        <v>100</v>
      </c>
      <c r="Q9" s="28" t="n">
        <v>60</v>
      </c>
      <c r="R9" s="29" t="inlineStr">
        <is>
          <t>night_base, elem_风, role_坦克, tier_pT1</t>
        </is>
      </c>
      <c r="S9" s="29" t="inlineStr">
        <is>
          <t>reward_pT1</t>
        </is>
      </c>
      <c r="T9" s="28" t="inlineStr">
        <is>
          <t>44</t>
        </is>
      </c>
      <c r="U9" s="28" t="inlineStr">
        <is>
          <t>旧定位=防御</t>
        </is>
      </c>
    </row>
    <row r="10" ht="22" customHeight="1">
      <c r="A10" s="28" t="inlineStr">
        <is>
          <t>pal_009</t>
        </is>
      </c>
      <c r="B10" s="29" t="inlineStr">
        <is>
          <t>燎火鹿</t>
        </is>
      </c>
      <c r="C10" s="29" t="inlineStr">
        <is>
          <t>火</t>
        </is>
      </c>
      <c r="D10" s="29" t="inlineStr">
        <is>
          <t>青铜</t>
        </is>
      </c>
      <c r="E10" s="29" t="inlineStr">
        <is>
          <t>输出</t>
        </is>
      </c>
      <c r="F10" s="29" t="inlineStr">
        <is>
          <t>火、输出、爆发、前排</t>
        </is>
      </c>
      <c r="G10" s="28" t="inlineStr">
        <is>
          <t>宠物</t>
        </is>
      </c>
      <c r="H10" s="28" t="inlineStr">
        <is>
          <t>启用</t>
        </is>
      </c>
      <c r="I10" s="28" t="n">
        <v>1</v>
      </c>
      <c r="J10" s="28" t="inlineStr">
        <is>
          <t>pT1</t>
        </is>
      </c>
      <c r="K10" s="28" t="n">
        <v>2</v>
      </c>
      <c r="L10" s="28" t="inlineStr">
        <is>
          <t>44</t>
        </is>
      </c>
      <c r="M10" s="28" t="n">
        <v>100</v>
      </c>
      <c r="N10" s="28" t="n">
        <v>100</v>
      </c>
      <c r="O10" s="28" t="n">
        <v>90</v>
      </c>
      <c r="P10" s="28" t="n">
        <v>100</v>
      </c>
      <c r="Q10" s="28" t="n">
        <v>60</v>
      </c>
      <c r="R10" s="29" t="inlineStr">
        <is>
          <t>night_base, elem_火, role_输出, tier_pT1</t>
        </is>
      </c>
      <c r="S10" s="29" t="inlineStr">
        <is>
          <t>reward_pT1</t>
        </is>
      </c>
      <c r="T10" s="28" t="inlineStr">
        <is>
          <t>44</t>
        </is>
      </c>
      <c r="U10" s="28" t="inlineStr">
        <is>
          <t>44</t>
        </is>
      </c>
    </row>
    <row r="11" ht="22" customHeight="1">
      <c r="A11" s="28" t="inlineStr">
        <is>
          <t>pal_010</t>
        </is>
      </c>
      <c r="B11" s="29" t="inlineStr">
        <is>
          <t>企丸丸</t>
        </is>
      </c>
      <c r="C11" s="29" t="inlineStr">
        <is>
          <t>水</t>
        </is>
      </c>
      <c r="D11" s="29" t="inlineStr">
        <is>
          <t>青铜</t>
        </is>
      </c>
      <c r="E11" s="29" t="inlineStr">
        <is>
          <t>治疗</t>
        </is>
      </c>
      <c r="F11" s="29" t="inlineStr">
        <is>
          <t>水、治疗、后排、增益</t>
        </is>
      </c>
      <c r="G11" s="28" t="inlineStr">
        <is>
          <t>宠物</t>
        </is>
      </c>
      <c r="H11" s="28" t="inlineStr">
        <is>
          <t>启用</t>
        </is>
      </c>
      <c r="I11" s="28" t="n">
        <v>1</v>
      </c>
      <c r="J11" s="28" t="inlineStr">
        <is>
          <t>pT1</t>
        </is>
      </c>
      <c r="K11" s="28" t="n">
        <v>2</v>
      </c>
      <c r="L11" s="28" t="inlineStr">
        <is>
          <t>44</t>
        </is>
      </c>
      <c r="M11" s="28" t="n">
        <v>100</v>
      </c>
      <c r="N11" s="28" t="n">
        <v>100</v>
      </c>
      <c r="O11" s="28" t="n">
        <v>90</v>
      </c>
      <c r="P11" s="28" t="n">
        <v>100</v>
      </c>
      <c r="Q11" s="28" t="n">
        <v>60</v>
      </c>
      <c r="R11" s="29" t="inlineStr">
        <is>
          <t>night_base, elem_水, role_治疗, tier_pT1</t>
        </is>
      </c>
      <c r="S11" s="29" t="inlineStr">
        <is>
          <t>reward_pT1</t>
        </is>
      </c>
      <c r="T11" s="28" t="inlineStr">
        <is>
          <t>44</t>
        </is>
      </c>
      <c r="U11" s="28" t="inlineStr">
        <is>
          <t>44</t>
        </is>
      </c>
    </row>
    <row r="12" ht="22" customHeight="1">
      <c r="A12" s="28" t="inlineStr">
        <is>
          <t>pal_011</t>
        </is>
      </c>
      <c r="B12" s="29" t="inlineStr">
        <is>
          <t>企丸王</t>
        </is>
      </c>
      <c r="C12" s="29" t="inlineStr">
        <is>
          <t>水</t>
        </is>
      </c>
      <c r="D12" s="29" t="inlineStr">
        <is>
          <t>青铜</t>
        </is>
      </c>
      <c r="E12" s="29" t="inlineStr">
        <is>
          <t>治疗</t>
        </is>
      </c>
      <c r="F12" s="29" t="inlineStr">
        <is>
          <t>水、治疗、后排、增益</t>
        </is>
      </c>
      <c r="G12" s="28" t="inlineStr">
        <is>
          <t>宠物</t>
        </is>
      </c>
      <c r="H12" s="28" t="inlineStr">
        <is>
          <t>启用</t>
        </is>
      </c>
      <c r="I12" s="28" t="n">
        <v>1</v>
      </c>
      <c r="J12" s="28" t="inlineStr">
        <is>
          <t>pT1</t>
        </is>
      </c>
      <c r="K12" s="28" t="n">
        <v>2</v>
      </c>
      <c r="L12" s="28" t="inlineStr">
        <is>
          <t>44</t>
        </is>
      </c>
      <c r="M12" s="28" t="n">
        <v>100</v>
      </c>
      <c r="N12" s="28" t="n">
        <v>100</v>
      </c>
      <c r="O12" s="28" t="n">
        <v>90</v>
      </c>
      <c r="P12" s="28" t="n">
        <v>100</v>
      </c>
      <c r="Q12" s="28" t="n">
        <v>60</v>
      </c>
      <c r="R12" s="29" t="inlineStr">
        <is>
          <t>night_base, elem_水, role_治疗, tier_pT1</t>
        </is>
      </c>
      <c r="S12" s="29" t="inlineStr">
        <is>
          <t>reward_pT1</t>
        </is>
      </c>
      <c r="T12" s="28" t="inlineStr">
        <is>
          <t>44</t>
        </is>
      </c>
      <c r="U12" s="28" t="inlineStr">
        <is>
          <t>44</t>
        </is>
      </c>
    </row>
    <row r="13" ht="22" customHeight="1">
      <c r="A13" s="28" t="inlineStr">
        <is>
          <t>pal_012</t>
        </is>
      </c>
      <c r="B13" s="29" t="inlineStr">
        <is>
          <t>电棘鼠</t>
        </is>
      </c>
      <c r="C13" s="29" t="inlineStr">
        <is>
          <t>风</t>
        </is>
      </c>
      <c r="D13" s="29" t="inlineStr">
        <is>
          <t>青铜</t>
        </is>
      </c>
      <c r="E13" s="29" t="inlineStr">
        <is>
          <t>控制</t>
        </is>
      </c>
      <c r="F13" s="29" t="inlineStr">
        <is>
          <t>风、牵制、范围、机动</t>
        </is>
      </c>
      <c r="G13" s="28" t="inlineStr">
        <is>
          <t>宠物</t>
        </is>
      </c>
      <c r="H13" s="28" t="inlineStr">
        <is>
          <t>启用</t>
        </is>
      </c>
      <c r="I13" s="28" t="n">
        <v>1</v>
      </c>
      <c r="J13" s="28" t="inlineStr">
        <is>
          <t>pT1</t>
        </is>
      </c>
      <c r="K13" s="28" t="n">
        <v>2</v>
      </c>
      <c r="L13" s="28" t="inlineStr">
        <is>
          <t>44</t>
        </is>
      </c>
      <c r="M13" s="28" t="n">
        <v>100</v>
      </c>
      <c r="N13" s="28" t="n">
        <v>100</v>
      </c>
      <c r="O13" s="28" t="n">
        <v>90</v>
      </c>
      <c r="P13" s="28" t="n">
        <v>100</v>
      </c>
      <c r="Q13" s="28" t="n">
        <v>60</v>
      </c>
      <c r="R13" s="29" t="inlineStr">
        <is>
          <t>night_base, elem_风, role_控制, tier_pT1</t>
        </is>
      </c>
      <c r="S13" s="29" t="inlineStr">
        <is>
          <t>reward_pT1</t>
        </is>
      </c>
      <c r="T13" s="28" t="inlineStr">
        <is>
          <t>44</t>
        </is>
      </c>
      <c r="U13" s="28" t="inlineStr">
        <is>
          <t>旧定位=牵制</t>
        </is>
      </c>
    </row>
    <row r="14" ht="22" customHeight="1">
      <c r="A14" s="28" t="inlineStr">
        <is>
          <t>pal_013</t>
        </is>
      </c>
      <c r="B14" s="29" t="inlineStr">
        <is>
          <t>叶泥泥</t>
        </is>
      </c>
      <c r="C14" s="29" t="inlineStr">
        <is>
          <t>土</t>
        </is>
      </c>
      <c r="D14" s="29" t="inlineStr">
        <is>
          <t>青铜</t>
        </is>
      </c>
      <c r="E14" s="29" t="inlineStr">
        <is>
          <t>坦克</t>
        </is>
      </c>
      <c r="F14" s="29" t="inlineStr">
        <is>
          <t>土、防御、前排、阻挡</t>
        </is>
      </c>
      <c r="G14" s="28" t="inlineStr">
        <is>
          <t>宠物</t>
        </is>
      </c>
      <c r="H14" s="28" t="inlineStr">
        <is>
          <t>启用</t>
        </is>
      </c>
      <c r="I14" s="28" t="n">
        <v>1</v>
      </c>
      <c r="J14" s="28" t="inlineStr">
        <is>
          <t>pT1</t>
        </is>
      </c>
      <c r="K14" s="28" t="n">
        <v>2</v>
      </c>
      <c r="L14" s="28" t="inlineStr">
        <is>
          <t>44</t>
        </is>
      </c>
      <c r="M14" s="28" t="n">
        <v>100</v>
      </c>
      <c r="N14" s="28" t="n">
        <v>100</v>
      </c>
      <c r="O14" s="28" t="n">
        <v>90</v>
      </c>
      <c r="P14" s="28" t="n">
        <v>100</v>
      </c>
      <c r="Q14" s="28" t="n">
        <v>60</v>
      </c>
      <c r="R14" s="29" t="inlineStr">
        <is>
          <t>night_base, elem_土, role_坦克, tier_pT1</t>
        </is>
      </c>
      <c r="S14" s="29" t="inlineStr">
        <is>
          <t>reward_pT1</t>
        </is>
      </c>
      <c r="T14" s="28" t="inlineStr">
        <is>
          <t>44</t>
        </is>
      </c>
      <c r="U14" s="28" t="inlineStr">
        <is>
          <t>旧定位=防御</t>
        </is>
      </c>
    </row>
    <row r="15" ht="22" customHeight="1">
      <c r="A15" s="28" t="inlineStr">
        <is>
          <t>pal_014</t>
        </is>
      </c>
      <c r="B15" s="29" t="inlineStr">
        <is>
          <t>玉藻狐</t>
        </is>
      </c>
      <c r="C15" s="29" t="inlineStr">
        <is>
          <t>风</t>
        </is>
      </c>
      <c r="D15" s="29" t="inlineStr">
        <is>
          <t>青铜</t>
        </is>
      </c>
      <c r="E15" s="29" t="inlineStr">
        <is>
          <t>经济</t>
        </is>
      </c>
      <c r="F15" s="29" t="inlineStr">
        <is>
          <t>风、经济、召唤、发育</t>
        </is>
      </c>
      <c r="G15" s="28" t="inlineStr">
        <is>
          <t>宠物</t>
        </is>
      </c>
      <c r="H15" s="28" t="inlineStr">
        <is>
          <t>启用</t>
        </is>
      </c>
      <c r="I15" s="28" t="n">
        <v>1</v>
      </c>
      <c r="J15" s="28" t="inlineStr">
        <is>
          <t>pT1</t>
        </is>
      </c>
      <c r="K15" s="28" t="n">
        <v>2</v>
      </c>
      <c r="L15" s="28" t="inlineStr">
        <is>
          <t>44</t>
        </is>
      </c>
      <c r="M15" s="28" t="n">
        <v>100</v>
      </c>
      <c r="N15" s="28" t="n">
        <v>100</v>
      </c>
      <c r="O15" s="28" t="n">
        <v>90</v>
      </c>
      <c r="P15" s="28" t="n">
        <v>100</v>
      </c>
      <c r="Q15" s="28" t="n">
        <v>60</v>
      </c>
      <c r="R15" s="29" t="inlineStr">
        <is>
          <t>night_base, elem_风, role_经济, tier_pT1</t>
        </is>
      </c>
      <c r="S15" s="29" t="inlineStr">
        <is>
          <t>reward_pT1</t>
        </is>
      </c>
      <c r="T15" s="28" t="inlineStr">
        <is>
          <t>44</t>
        </is>
      </c>
      <c r="U15" s="28" t="inlineStr">
        <is>
          <t>44</t>
        </is>
      </c>
    </row>
    <row r="16" ht="22" customHeight="1">
      <c r="A16" s="28" t="inlineStr">
        <is>
          <t>pal_015</t>
        </is>
      </c>
      <c r="B16" s="29" t="inlineStr">
        <is>
          <t>啼卡尔</t>
        </is>
      </c>
      <c r="C16" s="29" t="inlineStr">
        <is>
          <t>土</t>
        </is>
      </c>
      <c r="D16" s="29" t="inlineStr">
        <is>
          <t>青铜</t>
        </is>
      </c>
      <c r="E16" s="29" t="inlineStr">
        <is>
          <t>坦克</t>
        </is>
      </c>
      <c r="F16" s="29" t="inlineStr">
        <is>
          <t>土、防御、前排、阻挡</t>
        </is>
      </c>
      <c r="G16" s="28" t="inlineStr">
        <is>
          <t>宠物</t>
        </is>
      </c>
      <c r="H16" s="28" t="inlineStr">
        <is>
          <t>启用</t>
        </is>
      </c>
      <c r="I16" s="28" t="n">
        <v>1</v>
      </c>
      <c r="J16" s="28" t="inlineStr">
        <is>
          <t>pT1</t>
        </is>
      </c>
      <c r="K16" s="28" t="n">
        <v>2</v>
      </c>
      <c r="L16" s="28" t="inlineStr">
        <is>
          <t>44</t>
        </is>
      </c>
      <c r="M16" s="28" t="n">
        <v>100</v>
      </c>
      <c r="N16" s="28" t="n">
        <v>100</v>
      </c>
      <c r="O16" s="28" t="n">
        <v>90</v>
      </c>
      <c r="P16" s="28" t="n">
        <v>100</v>
      </c>
      <c r="Q16" s="28" t="n">
        <v>60</v>
      </c>
      <c r="R16" s="29" t="inlineStr">
        <is>
          <t>night_base, elem_土, role_坦克, tier_pT1</t>
        </is>
      </c>
      <c r="S16" s="29" t="inlineStr">
        <is>
          <t>reward_pT1</t>
        </is>
      </c>
      <c r="T16" s="28" t="inlineStr">
        <is>
          <t>44</t>
        </is>
      </c>
      <c r="U16" s="28" t="inlineStr">
        <is>
          <t>旧定位=防御</t>
        </is>
      </c>
    </row>
    <row r="17" ht="22" customHeight="1">
      <c r="A17" s="28" t="inlineStr">
        <is>
          <t>pal_016</t>
        </is>
      </c>
      <c r="B17" s="29" t="inlineStr">
        <is>
          <t>壶小象</t>
        </is>
      </c>
      <c r="C17" s="29" t="inlineStr">
        <is>
          <t>水</t>
        </is>
      </c>
      <c r="D17" s="29" t="inlineStr">
        <is>
          <t>青铜</t>
        </is>
      </c>
      <c r="E17" s="29" t="inlineStr">
        <is>
          <t>治疗</t>
        </is>
      </c>
      <c r="F17" s="29" t="inlineStr">
        <is>
          <t>水、治疗、后排、增益</t>
        </is>
      </c>
      <c r="G17" s="28" t="inlineStr">
        <is>
          <t>宠物</t>
        </is>
      </c>
      <c r="H17" s="28" t="inlineStr">
        <is>
          <t>启用</t>
        </is>
      </c>
      <c r="I17" s="28" t="n">
        <v>1</v>
      </c>
      <c r="J17" s="28" t="inlineStr">
        <is>
          <t>pT1</t>
        </is>
      </c>
      <c r="K17" s="28" t="n">
        <v>2</v>
      </c>
      <c r="L17" s="28" t="inlineStr">
        <is>
          <t>44</t>
        </is>
      </c>
      <c r="M17" s="28" t="n">
        <v>100</v>
      </c>
      <c r="N17" s="28" t="n">
        <v>100</v>
      </c>
      <c r="O17" s="28" t="n">
        <v>90</v>
      </c>
      <c r="P17" s="28" t="n">
        <v>100</v>
      </c>
      <c r="Q17" s="28" t="n">
        <v>60</v>
      </c>
      <c r="R17" s="29" t="inlineStr">
        <is>
          <t>night_base, elem_水, role_治疗, tier_pT1</t>
        </is>
      </c>
      <c r="S17" s="29" t="inlineStr">
        <is>
          <t>reward_pT1</t>
        </is>
      </c>
      <c r="T17" s="28" t="inlineStr">
        <is>
          <t>44</t>
        </is>
      </c>
      <c r="U17" s="28" t="inlineStr">
        <is>
          <t>44</t>
        </is>
      </c>
    </row>
    <row r="18" ht="22" customHeight="1">
      <c r="A18" s="28" t="inlineStr">
        <is>
          <t>pal_017</t>
        </is>
      </c>
      <c r="B18" s="29" t="inlineStr">
        <is>
          <t>瞅什魔</t>
        </is>
      </c>
      <c r="C18" s="29" t="inlineStr">
        <is>
          <t>土</t>
        </is>
      </c>
      <c r="D18" s="29" t="inlineStr">
        <is>
          <t>青铜</t>
        </is>
      </c>
      <c r="E18" s="29" t="inlineStr">
        <is>
          <t>坦克</t>
        </is>
      </c>
      <c r="F18" s="29" t="inlineStr">
        <is>
          <t>土、防御、前排、阻挡</t>
        </is>
      </c>
      <c r="G18" s="28" t="inlineStr">
        <is>
          <t>宠物</t>
        </is>
      </c>
      <c r="H18" s="28" t="inlineStr">
        <is>
          <t>启用</t>
        </is>
      </c>
      <c r="I18" s="28" t="n">
        <v>1</v>
      </c>
      <c r="J18" s="28" t="inlineStr">
        <is>
          <t>pT1</t>
        </is>
      </c>
      <c r="K18" s="28" t="n">
        <v>2</v>
      </c>
      <c r="L18" s="28" t="inlineStr">
        <is>
          <t>44</t>
        </is>
      </c>
      <c r="M18" s="28" t="n">
        <v>100</v>
      </c>
      <c r="N18" s="28" t="n">
        <v>100</v>
      </c>
      <c r="O18" s="28" t="n">
        <v>90</v>
      </c>
      <c r="P18" s="28" t="n">
        <v>100</v>
      </c>
      <c r="Q18" s="28" t="n">
        <v>60</v>
      </c>
      <c r="R18" s="29" t="inlineStr">
        <is>
          <t>night_base, elem_土, role_坦克, tier_pT1</t>
        </is>
      </c>
      <c r="S18" s="29" t="inlineStr">
        <is>
          <t>reward_pT1</t>
        </is>
      </c>
      <c r="T18" s="28" t="inlineStr">
        <is>
          <t>44</t>
        </is>
      </c>
      <c r="U18" s="28" t="inlineStr">
        <is>
          <t>旧定位=防御</t>
        </is>
      </c>
    </row>
    <row r="19" ht="22" customHeight="1">
      <c r="A19" s="28" t="inlineStr">
        <is>
          <t>pal_018</t>
        </is>
      </c>
      <c r="B19" s="29" t="inlineStr">
        <is>
          <t>米露菲</t>
        </is>
      </c>
      <c r="C19" s="29" t="inlineStr">
        <is>
          <t>风</t>
        </is>
      </c>
      <c r="D19" s="29" t="inlineStr">
        <is>
          <t>青铜</t>
        </is>
      </c>
      <c r="E19" s="29" t="inlineStr">
        <is>
          <t>经济</t>
        </is>
      </c>
      <c r="F19" s="29" t="inlineStr">
        <is>
          <t>风、经济、召唤、发育</t>
        </is>
      </c>
      <c r="G19" s="28" t="inlineStr">
        <is>
          <t>宠物</t>
        </is>
      </c>
      <c r="H19" s="28" t="inlineStr">
        <is>
          <t>启用</t>
        </is>
      </c>
      <c r="I19" s="28" t="n">
        <v>1</v>
      </c>
      <c r="J19" s="28" t="inlineStr">
        <is>
          <t>pT1</t>
        </is>
      </c>
      <c r="K19" s="28" t="n">
        <v>2</v>
      </c>
      <c r="L19" s="28" t="inlineStr">
        <is>
          <t>44</t>
        </is>
      </c>
      <c r="M19" s="28" t="n">
        <v>100</v>
      </c>
      <c r="N19" s="28" t="n">
        <v>100</v>
      </c>
      <c r="O19" s="28" t="n">
        <v>90</v>
      </c>
      <c r="P19" s="28" t="n">
        <v>100</v>
      </c>
      <c r="Q19" s="28" t="n">
        <v>60</v>
      </c>
      <c r="R19" s="29" t="inlineStr">
        <is>
          <t>night_base, elem_风, role_经济, tier_pT1</t>
        </is>
      </c>
      <c r="S19" s="29" t="inlineStr">
        <is>
          <t>reward_pT1</t>
        </is>
      </c>
      <c r="T19" s="28" t="inlineStr">
        <is>
          <t>44</t>
        </is>
      </c>
      <c r="U19" s="28" t="inlineStr">
        <is>
          <t>44</t>
        </is>
      </c>
    </row>
    <row r="20" ht="22" customHeight="1">
      <c r="A20" s="28" t="inlineStr">
        <is>
          <t>pal_019</t>
        </is>
      </c>
      <c r="B20" s="29" t="inlineStr">
        <is>
          <t>寐魔</t>
        </is>
      </c>
      <c r="C20" s="29" t="inlineStr">
        <is>
          <t>土</t>
        </is>
      </c>
      <c r="D20" s="29" t="inlineStr">
        <is>
          <t>青铜</t>
        </is>
      </c>
      <c r="E20" s="29" t="inlineStr">
        <is>
          <t>坦克</t>
        </is>
      </c>
      <c r="F20" s="29" t="inlineStr">
        <is>
          <t>土、防御、前排、阻挡</t>
        </is>
      </c>
      <c r="G20" s="28" t="inlineStr">
        <is>
          <t>宠物</t>
        </is>
      </c>
      <c r="H20" s="28" t="inlineStr">
        <is>
          <t>启用</t>
        </is>
      </c>
      <c r="I20" s="28" t="n">
        <v>1</v>
      </c>
      <c r="J20" s="28" t="inlineStr">
        <is>
          <t>pT1</t>
        </is>
      </c>
      <c r="K20" s="28" t="n">
        <v>2</v>
      </c>
      <c r="L20" s="28" t="inlineStr">
        <is>
          <t>44</t>
        </is>
      </c>
      <c r="M20" s="28" t="n">
        <v>100</v>
      </c>
      <c r="N20" s="28" t="n">
        <v>100</v>
      </c>
      <c r="O20" s="28" t="n">
        <v>90</v>
      </c>
      <c r="P20" s="28" t="n">
        <v>100</v>
      </c>
      <c r="Q20" s="28" t="n">
        <v>60</v>
      </c>
      <c r="R20" s="29" t="inlineStr">
        <is>
          <t>night_base, elem_土, role_坦克, tier_pT1</t>
        </is>
      </c>
      <c r="S20" s="29" t="inlineStr">
        <is>
          <t>reward_pT1</t>
        </is>
      </c>
      <c r="T20" s="28" t="inlineStr">
        <is>
          <t>44</t>
        </is>
      </c>
      <c r="U20" s="28" t="inlineStr">
        <is>
          <t>旧定位=防御</t>
        </is>
      </c>
    </row>
    <row r="21" ht="22" customHeight="1">
      <c r="A21" s="28" t="inlineStr">
        <is>
          <t>pal_020</t>
        </is>
      </c>
      <c r="B21" s="29" t="inlineStr">
        <is>
          <t>草莽猪</t>
        </is>
      </c>
      <c r="C21" s="29" t="inlineStr">
        <is>
          <t>土</t>
        </is>
      </c>
      <c r="D21" s="29" t="inlineStr">
        <is>
          <t>青铜</t>
        </is>
      </c>
      <c r="E21" s="29" t="inlineStr">
        <is>
          <t>坦克</t>
        </is>
      </c>
      <c r="F21" s="29" t="inlineStr">
        <is>
          <t>土、防御、前排、阻挡</t>
        </is>
      </c>
      <c r="G21" s="28" t="inlineStr">
        <is>
          <t>宠物</t>
        </is>
      </c>
      <c r="H21" s="28" t="inlineStr">
        <is>
          <t>启用</t>
        </is>
      </c>
      <c r="I21" s="28" t="n">
        <v>1</v>
      </c>
      <c r="J21" s="28" t="inlineStr">
        <is>
          <t>pT1</t>
        </is>
      </c>
      <c r="K21" s="28" t="n">
        <v>2</v>
      </c>
      <c r="L21" s="28" t="inlineStr">
        <is>
          <t>44</t>
        </is>
      </c>
      <c r="M21" s="28" t="n">
        <v>100</v>
      </c>
      <c r="N21" s="28" t="n">
        <v>100</v>
      </c>
      <c r="O21" s="28" t="n">
        <v>90</v>
      </c>
      <c r="P21" s="28" t="n">
        <v>100</v>
      </c>
      <c r="Q21" s="28" t="n">
        <v>60</v>
      </c>
      <c r="R21" s="29" t="inlineStr">
        <is>
          <t>night_base, elem_土, role_坦克, tier_pT1</t>
        </is>
      </c>
      <c r="S21" s="29" t="inlineStr">
        <is>
          <t>reward_pT1</t>
        </is>
      </c>
      <c r="T21" s="28" t="inlineStr">
        <is>
          <t>44</t>
        </is>
      </c>
      <c r="U21" s="28" t="inlineStr">
        <is>
          <t>旧定位=防御</t>
        </is>
      </c>
    </row>
    <row r="22" ht="22" customHeight="1">
      <c r="A22" s="28" t="inlineStr">
        <is>
          <t>pal_021</t>
        </is>
      </c>
      <c r="B22" s="29" t="inlineStr">
        <is>
          <t>露娜蒂</t>
        </is>
      </c>
      <c r="C22" s="29" t="inlineStr">
        <is>
          <t>土</t>
        </is>
      </c>
      <c r="D22" s="29" t="inlineStr">
        <is>
          <t>青铜</t>
        </is>
      </c>
      <c r="E22" s="29" t="inlineStr">
        <is>
          <t>坦克</t>
        </is>
      </c>
      <c r="F22" s="29" t="inlineStr">
        <is>
          <t>土、防御、前排、阻挡</t>
        </is>
      </c>
      <c r="G22" s="28" t="inlineStr">
        <is>
          <t>宠物</t>
        </is>
      </c>
      <c r="H22" s="28" t="inlineStr">
        <is>
          <t>启用</t>
        </is>
      </c>
      <c r="I22" s="28" t="n">
        <v>1</v>
      </c>
      <c r="J22" s="28" t="inlineStr">
        <is>
          <t>pT1</t>
        </is>
      </c>
      <c r="K22" s="28" t="n">
        <v>2</v>
      </c>
      <c r="L22" s="28" t="inlineStr">
        <is>
          <t>44</t>
        </is>
      </c>
      <c r="M22" s="28" t="n">
        <v>100</v>
      </c>
      <c r="N22" s="28" t="n">
        <v>100</v>
      </c>
      <c r="O22" s="28" t="n">
        <v>90</v>
      </c>
      <c r="P22" s="28" t="n">
        <v>100</v>
      </c>
      <c r="Q22" s="28" t="n">
        <v>60</v>
      </c>
      <c r="R22" s="29" t="inlineStr">
        <is>
          <t>night_base, elem_土, role_坦克, tier_pT1</t>
        </is>
      </c>
      <c r="S22" s="29" t="inlineStr">
        <is>
          <t>reward_pT1</t>
        </is>
      </c>
      <c r="T22" s="28" t="inlineStr">
        <is>
          <t>44</t>
        </is>
      </c>
      <c r="U22" s="28" t="inlineStr">
        <is>
          <t>旧定位=防御</t>
        </is>
      </c>
    </row>
    <row r="23" ht="22" customHeight="1">
      <c r="A23" s="28" t="inlineStr">
        <is>
          <t>pal_022</t>
        </is>
      </c>
      <c r="B23" s="29" t="inlineStr">
        <is>
          <t>遁地鼠</t>
        </is>
      </c>
      <c r="C23" s="29" t="inlineStr">
        <is>
          <t>土</t>
        </is>
      </c>
      <c r="D23" s="29" t="inlineStr">
        <is>
          <t>青铜</t>
        </is>
      </c>
      <c r="E23" s="29" t="inlineStr">
        <is>
          <t>坦克</t>
        </is>
      </c>
      <c r="F23" s="29" t="inlineStr">
        <is>
          <t>土、防御、前排、阻挡</t>
        </is>
      </c>
      <c r="G23" s="28" t="inlineStr">
        <is>
          <t>宠物</t>
        </is>
      </c>
      <c r="H23" s="28" t="inlineStr">
        <is>
          <t>启用</t>
        </is>
      </c>
      <c r="I23" s="28" t="n">
        <v>1</v>
      </c>
      <c r="J23" s="28" t="inlineStr">
        <is>
          <t>pT1</t>
        </is>
      </c>
      <c r="K23" s="28" t="n">
        <v>2</v>
      </c>
      <c r="L23" s="28" t="inlineStr">
        <is>
          <t>44</t>
        </is>
      </c>
      <c r="M23" s="28" t="n">
        <v>100</v>
      </c>
      <c r="N23" s="28" t="n">
        <v>100</v>
      </c>
      <c r="O23" s="28" t="n">
        <v>90</v>
      </c>
      <c r="P23" s="28" t="n">
        <v>100</v>
      </c>
      <c r="Q23" s="28" t="n">
        <v>60</v>
      </c>
      <c r="R23" s="29" t="inlineStr">
        <is>
          <t>night_base, elem_土, role_坦克, tier_pT1</t>
        </is>
      </c>
      <c r="S23" s="29" t="inlineStr">
        <is>
          <t>reward_pT1</t>
        </is>
      </c>
      <c r="T23" s="28" t="inlineStr">
        <is>
          <t>44</t>
        </is>
      </c>
      <c r="U23" s="28" t="inlineStr">
        <is>
          <t>旧定位=防御</t>
        </is>
      </c>
    </row>
    <row r="24" ht="22" customHeight="1">
      <c r="A24" s="28" t="inlineStr">
        <is>
          <t>pal_023</t>
        </is>
      </c>
      <c r="B24" s="29" t="inlineStr">
        <is>
          <t>勾魂鱿</t>
        </is>
      </c>
      <c r="C24" s="29" t="inlineStr">
        <is>
          <t>土</t>
        </is>
      </c>
      <c r="D24" s="29" t="inlineStr">
        <is>
          <t>青铜</t>
        </is>
      </c>
      <c r="E24" s="29" t="inlineStr">
        <is>
          <t>坦克</t>
        </is>
      </c>
      <c r="F24" s="29" t="inlineStr">
        <is>
          <t>土、防御、前排、阻挡</t>
        </is>
      </c>
      <c r="G24" s="28" t="inlineStr">
        <is>
          <t>宠物</t>
        </is>
      </c>
      <c r="H24" s="28" t="inlineStr">
        <is>
          <t>启用</t>
        </is>
      </c>
      <c r="I24" s="28" t="n">
        <v>1</v>
      </c>
      <c r="J24" s="28" t="inlineStr">
        <is>
          <t>pT1</t>
        </is>
      </c>
      <c r="K24" s="28" t="n">
        <v>2</v>
      </c>
      <c r="L24" s="28" t="inlineStr">
        <is>
          <t>44</t>
        </is>
      </c>
      <c r="M24" s="28" t="n">
        <v>100</v>
      </c>
      <c r="N24" s="28" t="n">
        <v>100</v>
      </c>
      <c r="O24" s="28" t="n">
        <v>90</v>
      </c>
      <c r="P24" s="28" t="n">
        <v>100</v>
      </c>
      <c r="Q24" s="28" t="n">
        <v>60</v>
      </c>
      <c r="R24" s="29" t="inlineStr">
        <is>
          <t>night_base, elem_土, role_坦克, tier_pT1</t>
        </is>
      </c>
      <c r="S24" s="29" t="inlineStr">
        <is>
          <t>reward_pT1</t>
        </is>
      </c>
      <c r="T24" s="28" t="inlineStr">
        <is>
          <t>44</t>
        </is>
      </c>
      <c r="U24" s="28" t="inlineStr">
        <is>
          <t>旧定位=防御</t>
        </is>
      </c>
    </row>
    <row r="25" ht="22" customHeight="1">
      <c r="A25" s="28" t="inlineStr">
        <is>
          <t>pal_024</t>
        </is>
      </c>
      <c r="B25" s="29" t="inlineStr">
        <is>
          <t>喵丝特</t>
        </is>
      </c>
      <c r="C25" s="29" t="inlineStr">
        <is>
          <t>土</t>
        </is>
      </c>
      <c r="D25" s="29" t="inlineStr">
        <is>
          <t>青铜</t>
        </is>
      </c>
      <c r="E25" s="29" t="inlineStr">
        <is>
          <t>经济</t>
        </is>
      </c>
      <c r="F25" s="29" t="inlineStr">
        <is>
          <t>土、经济、召唤、发育</t>
        </is>
      </c>
      <c r="G25" s="28" t="inlineStr">
        <is>
          <t>宠物</t>
        </is>
      </c>
      <c r="H25" s="28" t="inlineStr">
        <is>
          <t>启用</t>
        </is>
      </c>
      <c r="I25" s="28" t="n">
        <v>1</v>
      </c>
      <c r="J25" s="28" t="inlineStr">
        <is>
          <t>pT1</t>
        </is>
      </c>
      <c r="K25" s="28" t="n">
        <v>2</v>
      </c>
      <c r="L25" s="28" t="inlineStr">
        <is>
          <t>44</t>
        </is>
      </c>
      <c r="M25" s="28" t="n">
        <v>100</v>
      </c>
      <c r="N25" s="28" t="n">
        <v>100</v>
      </c>
      <c r="O25" s="28" t="n">
        <v>90</v>
      </c>
      <c r="P25" s="28" t="n">
        <v>100</v>
      </c>
      <c r="Q25" s="28" t="n">
        <v>60</v>
      </c>
      <c r="R25" s="29" t="inlineStr">
        <is>
          <t>night_base, elem_土, role_经济, tier_pT1</t>
        </is>
      </c>
      <c r="S25" s="29" t="inlineStr">
        <is>
          <t>reward_pT1</t>
        </is>
      </c>
      <c r="T25" s="28" t="inlineStr">
        <is>
          <t>44</t>
        </is>
      </c>
      <c r="U25" s="28" t="inlineStr">
        <is>
          <t>44</t>
        </is>
      </c>
    </row>
    <row r="26" ht="22" customHeight="1">
      <c r="A26" s="28" t="inlineStr">
        <is>
          <t>pal_025</t>
        </is>
      </c>
      <c r="B26" s="29" t="inlineStr">
        <is>
          <t>鲁米儿</t>
        </is>
      </c>
      <c r="C26" s="29" t="inlineStr">
        <is>
          <t>水</t>
        </is>
      </c>
      <c r="D26" s="29" t="inlineStr">
        <is>
          <t>青铜</t>
        </is>
      </c>
      <c r="E26" s="29" t="inlineStr">
        <is>
          <t>治疗</t>
        </is>
      </c>
      <c r="F26" s="29" t="inlineStr">
        <is>
          <t>水、治疗、后排、增益</t>
        </is>
      </c>
      <c r="G26" s="28" t="inlineStr">
        <is>
          <t>宠物</t>
        </is>
      </c>
      <c r="H26" s="28" t="inlineStr">
        <is>
          <t>启用</t>
        </is>
      </c>
      <c r="I26" s="28" t="n">
        <v>1</v>
      </c>
      <c r="J26" s="28" t="inlineStr">
        <is>
          <t>pT1</t>
        </is>
      </c>
      <c r="K26" s="28" t="n">
        <v>2</v>
      </c>
      <c r="L26" s="28" t="inlineStr">
        <is>
          <t>44</t>
        </is>
      </c>
      <c r="M26" s="28" t="n">
        <v>100</v>
      </c>
      <c r="N26" s="28" t="n">
        <v>100</v>
      </c>
      <c r="O26" s="28" t="n">
        <v>90</v>
      </c>
      <c r="P26" s="28" t="n">
        <v>100</v>
      </c>
      <c r="Q26" s="28" t="n">
        <v>60</v>
      </c>
      <c r="R26" s="29" t="inlineStr">
        <is>
          <t>night_base, elem_水, role_治疗, tier_pT1</t>
        </is>
      </c>
      <c r="S26" s="29" t="inlineStr">
        <is>
          <t>reward_pT1</t>
        </is>
      </c>
      <c r="T26" s="28" t="inlineStr">
        <is>
          <t>44</t>
        </is>
      </c>
      <c r="U26" s="28" t="inlineStr">
        <is>
          <t>44</t>
        </is>
      </c>
    </row>
    <row r="27" ht="22" customHeight="1">
      <c r="A27" s="28" t="inlineStr">
        <is>
          <t>pal_026</t>
        </is>
      </c>
      <c r="B27" s="29" t="inlineStr">
        <is>
          <t>猎狼</t>
        </is>
      </c>
      <c r="C27" s="29" t="inlineStr">
        <is>
          <t>风</t>
        </is>
      </c>
      <c r="D27" s="29" t="inlineStr">
        <is>
          <t>青铜</t>
        </is>
      </c>
      <c r="E27" s="29" t="inlineStr">
        <is>
          <t>机动</t>
        </is>
      </c>
      <c r="F27" s="29" t="inlineStr">
        <is>
          <t>风、机动、灵活、泛用</t>
        </is>
      </c>
      <c r="G27" s="28" t="inlineStr">
        <is>
          <t>宠物</t>
        </is>
      </c>
      <c r="H27" s="28" t="inlineStr">
        <is>
          <t>启用</t>
        </is>
      </c>
      <c r="I27" s="28" t="n">
        <v>1</v>
      </c>
      <c r="J27" s="28" t="inlineStr">
        <is>
          <t>pT1</t>
        </is>
      </c>
      <c r="K27" s="28" t="n">
        <v>2</v>
      </c>
      <c r="L27" s="28" t="inlineStr">
        <is>
          <t>44</t>
        </is>
      </c>
      <c r="M27" s="28" t="n">
        <v>100</v>
      </c>
      <c r="N27" s="28" t="n">
        <v>100</v>
      </c>
      <c r="O27" s="28" t="n">
        <v>90</v>
      </c>
      <c r="P27" s="28" t="n">
        <v>100</v>
      </c>
      <c r="Q27" s="28" t="n">
        <v>60</v>
      </c>
      <c r="R27" s="29" t="inlineStr">
        <is>
          <t>night_base, elem_风, role_机动, tier_pT1</t>
        </is>
      </c>
      <c r="S27" s="29" t="inlineStr">
        <is>
          <t>reward_pT1</t>
        </is>
      </c>
      <c r="T27" s="28" t="inlineStr">
        <is>
          <t>44</t>
        </is>
      </c>
      <c r="U27" s="28" t="inlineStr">
        <is>
          <t>44</t>
        </is>
      </c>
    </row>
    <row r="28" ht="22" customHeight="1">
      <c r="A28" s="28" t="inlineStr">
        <is>
          <t>pal_027</t>
        </is>
      </c>
      <c r="B28" s="29" t="inlineStr">
        <is>
          <t>炸蛋鸟</t>
        </is>
      </c>
      <c r="C28" s="29" t="inlineStr">
        <is>
          <t>风</t>
        </is>
      </c>
      <c r="D28" s="29" t="inlineStr">
        <is>
          <t>青铜</t>
        </is>
      </c>
      <c r="E28" s="29" t="inlineStr">
        <is>
          <t>机动</t>
        </is>
      </c>
      <c r="F28" s="29" t="inlineStr">
        <is>
          <t>风、机动、灵活、泛用</t>
        </is>
      </c>
      <c r="G28" s="28" t="inlineStr">
        <is>
          <t>宠物</t>
        </is>
      </c>
      <c r="H28" s="28" t="inlineStr">
        <is>
          <t>启用</t>
        </is>
      </c>
      <c r="I28" s="28" t="n">
        <v>1</v>
      </c>
      <c r="J28" s="28" t="inlineStr">
        <is>
          <t>pT1</t>
        </is>
      </c>
      <c r="K28" s="28" t="n">
        <v>2</v>
      </c>
      <c r="L28" s="28" t="inlineStr">
        <is>
          <t>44</t>
        </is>
      </c>
      <c r="M28" s="28" t="n">
        <v>100</v>
      </c>
      <c r="N28" s="28" t="n">
        <v>100</v>
      </c>
      <c r="O28" s="28" t="n">
        <v>90</v>
      </c>
      <c r="P28" s="28" t="n">
        <v>100</v>
      </c>
      <c r="Q28" s="28" t="n">
        <v>60</v>
      </c>
      <c r="R28" s="29" t="inlineStr">
        <is>
          <t>night_base, elem_风, role_机动, tier_pT1</t>
        </is>
      </c>
      <c r="S28" s="29" t="inlineStr">
        <is>
          <t>reward_pT1</t>
        </is>
      </c>
      <c r="T28" s="28" t="inlineStr">
        <is>
          <t>44</t>
        </is>
      </c>
      <c r="U28" s="28" t="inlineStr">
        <is>
          <t>44</t>
        </is>
      </c>
    </row>
    <row r="29" ht="22" customHeight="1">
      <c r="A29" s="28" t="inlineStr">
        <is>
          <t>pal_028</t>
        </is>
      </c>
      <c r="B29" s="29" t="inlineStr">
        <is>
          <t>波娜兔</t>
        </is>
      </c>
      <c r="C29" s="29" t="inlineStr">
        <is>
          <t>风</t>
        </is>
      </c>
      <c r="D29" s="29" t="inlineStr">
        <is>
          <t>青铜</t>
        </is>
      </c>
      <c r="E29" s="29" t="inlineStr">
        <is>
          <t>治疗</t>
        </is>
      </c>
      <c r="F29" s="29" t="inlineStr">
        <is>
          <t>风、治疗、后排、增益</t>
        </is>
      </c>
      <c r="G29" s="28" t="inlineStr">
        <is>
          <t>宠物</t>
        </is>
      </c>
      <c r="H29" s="28" t="inlineStr">
        <is>
          <t>启用</t>
        </is>
      </c>
      <c r="I29" s="28" t="n">
        <v>1</v>
      </c>
      <c r="J29" s="28" t="inlineStr">
        <is>
          <t>pT1</t>
        </is>
      </c>
      <c r="K29" s="28" t="n">
        <v>2</v>
      </c>
      <c r="L29" s="28" t="inlineStr">
        <is>
          <t>44</t>
        </is>
      </c>
      <c r="M29" s="28" t="n">
        <v>100</v>
      </c>
      <c r="N29" s="28" t="n">
        <v>100</v>
      </c>
      <c r="O29" s="28" t="n">
        <v>90</v>
      </c>
      <c r="P29" s="28" t="n">
        <v>100</v>
      </c>
      <c r="Q29" s="28" t="n">
        <v>60</v>
      </c>
      <c r="R29" s="29" t="inlineStr">
        <is>
          <t>night_base, elem_风, role_治疗, tier_pT1</t>
        </is>
      </c>
      <c r="S29" s="29" t="inlineStr">
        <is>
          <t>reward_pT1</t>
        </is>
      </c>
      <c r="T29" s="28" t="inlineStr">
        <is>
          <t>44</t>
        </is>
      </c>
      <c r="U29" s="28" t="inlineStr">
        <is>
          <t>44</t>
        </is>
      </c>
    </row>
    <row r="30" ht="22" customHeight="1">
      <c r="A30" s="28" t="inlineStr">
        <is>
          <t>pal_029</t>
        </is>
      </c>
      <c r="B30" s="29" t="inlineStr">
        <is>
          <t>波霸牛</t>
        </is>
      </c>
      <c r="C30" s="29" t="inlineStr">
        <is>
          <t>风</t>
        </is>
      </c>
      <c r="D30" s="29" t="inlineStr">
        <is>
          <t>青铜</t>
        </is>
      </c>
      <c r="E30" s="29" t="inlineStr">
        <is>
          <t>经济</t>
        </is>
      </c>
      <c r="F30" s="29" t="inlineStr">
        <is>
          <t>风、经济、召唤、发育</t>
        </is>
      </c>
      <c r="G30" s="28" t="inlineStr">
        <is>
          <t>宠物</t>
        </is>
      </c>
      <c r="H30" s="28" t="inlineStr">
        <is>
          <t>启用</t>
        </is>
      </c>
      <c r="I30" s="28" t="n">
        <v>1</v>
      </c>
      <c r="J30" s="28" t="inlineStr">
        <is>
          <t>pT1</t>
        </is>
      </c>
      <c r="K30" s="28" t="n">
        <v>2</v>
      </c>
      <c r="L30" s="28" t="inlineStr">
        <is>
          <t>44</t>
        </is>
      </c>
      <c r="M30" s="28" t="n">
        <v>100</v>
      </c>
      <c r="N30" s="28" t="n">
        <v>100</v>
      </c>
      <c r="O30" s="28" t="n">
        <v>90</v>
      </c>
      <c r="P30" s="28" t="n">
        <v>100</v>
      </c>
      <c r="Q30" s="28" t="n">
        <v>60</v>
      </c>
      <c r="R30" s="29" t="inlineStr">
        <is>
          <t>night_base, elem_风, role_经济, tier_pT1</t>
        </is>
      </c>
      <c r="S30" s="29" t="inlineStr">
        <is>
          <t>reward_pT1</t>
        </is>
      </c>
      <c r="T30" s="28" t="inlineStr">
        <is>
          <t>44</t>
        </is>
      </c>
      <c r="U30" s="28" t="inlineStr">
        <is>
          <t>经济补预算</t>
        </is>
      </c>
    </row>
    <row r="31" ht="22" customHeight="1">
      <c r="A31" s="28" t="inlineStr">
        <is>
          <t>pal_030</t>
        </is>
      </c>
      <c r="B31" s="29" t="inlineStr">
        <is>
          <t>荆棘魔仙</t>
        </is>
      </c>
      <c r="C31" s="29" t="inlineStr">
        <is>
          <t>风</t>
        </is>
      </c>
      <c r="D31" s="29" t="inlineStr">
        <is>
          <t>青铜</t>
        </is>
      </c>
      <c r="E31" s="29" t="inlineStr">
        <is>
          <t>治疗</t>
        </is>
      </c>
      <c r="F31" s="29" t="inlineStr">
        <is>
          <t>风、治疗、后排、增益</t>
        </is>
      </c>
      <c r="G31" s="28" t="inlineStr">
        <is>
          <t>宠物</t>
        </is>
      </c>
      <c r="H31" s="28" t="inlineStr">
        <is>
          <t>启用</t>
        </is>
      </c>
      <c r="I31" s="28" t="n">
        <v>1</v>
      </c>
      <c r="J31" s="28" t="inlineStr">
        <is>
          <t>pT1</t>
        </is>
      </c>
      <c r="K31" s="28" t="n">
        <v>2</v>
      </c>
      <c r="L31" s="28" t="inlineStr">
        <is>
          <t>44</t>
        </is>
      </c>
      <c r="M31" s="28" t="n">
        <v>100</v>
      </c>
      <c r="N31" s="28" t="n">
        <v>100</v>
      </c>
      <c r="O31" s="28" t="n">
        <v>90</v>
      </c>
      <c r="P31" s="28" t="n">
        <v>100</v>
      </c>
      <c r="Q31" s="28" t="n">
        <v>60</v>
      </c>
      <c r="R31" s="29" t="inlineStr">
        <is>
          <t>night_base, elem_风, role_治疗, tier_pT1</t>
        </is>
      </c>
      <c r="S31" s="29" t="inlineStr">
        <is>
          <t>reward_pT1</t>
        </is>
      </c>
      <c r="T31" s="28" t="inlineStr">
        <is>
          <t>44</t>
        </is>
      </c>
      <c r="U31" s="28" t="inlineStr">
        <is>
          <t>44</t>
        </is>
      </c>
    </row>
    <row r="32" ht="22" customHeight="1">
      <c r="A32" s="28" t="inlineStr">
        <is>
          <t>pal_031</t>
        </is>
      </c>
      <c r="B32" s="29" t="inlineStr">
        <is>
          <t>鲨小子</t>
        </is>
      </c>
      <c r="C32" s="29" t="inlineStr">
        <is>
          <t>水</t>
        </is>
      </c>
      <c r="D32" s="29" t="inlineStr">
        <is>
          <t>青铜</t>
        </is>
      </c>
      <c r="E32" s="29" t="inlineStr">
        <is>
          <t>治疗</t>
        </is>
      </c>
      <c r="F32" s="29" t="inlineStr">
        <is>
          <t>水、治疗、后排、增益</t>
        </is>
      </c>
      <c r="G32" s="28" t="inlineStr">
        <is>
          <t>宠物</t>
        </is>
      </c>
      <c r="H32" s="28" t="inlineStr">
        <is>
          <t>启用</t>
        </is>
      </c>
      <c r="I32" s="28" t="n">
        <v>1</v>
      </c>
      <c r="J32" s="28" t="inlineStr">
        <is>
          <t>pT1</t>
        </is>
      </c>
      <c r="K32" s="28" t="n">
        <v>2</v>
      </c>
      <c r="L32" s="28" t="inlineStr">
        <is>
          <t>44</t>
        </is>
      </c>
      <c r="M32" s="28" t="n">
        <v>100</v>
      </c>
      <c r="N32" s="28" t="n">
        <v>100</v>
      </c>
      <c r="O32" s="28" t="n">
        <v>90</v>
      </c>
      <c r="P32" s="28" t="n">
        <v>100</v>
      </c>
      <c r="Q32" s="28" t="n">
        <v>60</v>
      </c>
      <c r="R32" s="29" t="inlineStr">
        <is>
          <t>night_base, elem_水, role_治疗, tier_pT1</t>
        </is>
      </c>
      <c r="S32" s="29" t="inlineStr">
        <is>
          <t>reward_pT1</t>
        </is>
      </c>
      <c r="T32" s="28" t="inlineStr">
        <is>
          <t>44</t>
        </is>
      </c>
      <c r="U32" s="28" t="inlineStr">
        <is>
          <t>44</t>
        </is>
      </c>
    </row>
    <row r="33" ht="22" customHeight="1">
      <c r="A33" s="28" t="inlineStr">
        <is>
          <t>pal_032</t>
        </is>
      </c>
      <c r="B33" s="29" t="inlineStr">
        <is>
          <t>吊缚灵</t>
        </is>
      </c>
      <c r="C33" s="29" t="inlineStr">
        <is>
          <t>土</t>
        </is>
      </c>
      <c r="D33" s="29" t="inlineStr">
        <is>
          <t>青铜</t>
        </is>
      </c>
      <c r="E33" s="29" t="inlineStr">
        <is>
          <t>坦克</t>
        </is>
      </c>
      <c r="F33" s="29" t="inlineStr">
        <is>
          <t>土、防御、前排、阻挡</t>
        </is>
      </c>
      <c r="G33" s="28" t="inlineStr">
        <is>
          <t>宠物</t>
        </is>
      </c>
      <c r="H33" s="28" t="inlineStr">
        <is>
          <t>启用</t>
        </is>
      </c>
      <c r="I33" s="28" t="n">
        <v>1</v>
      </c>
      <c r="J33" s="28" t="inlineStr">
        <is>
          <t>pT1</t>
        </is>
      </c>
      <c r="K33" s="28" t="n">
        <v>2</v>
      </c>
      <c r="L33" s="28" t="inlineStr">
        <is>
          <t>44</t>
        </is>
      </c>
      <c r="M33" s="28" t="n">
        <v>100</v>
      </c>
      <c r="N33" s="28" t="n">
        <v>100</v>
      </c>
      <c r="O33" s="28" t="n">
        <v>90</v>
      </c>
      <c r="P33" s="28" t="n">
        <v>100</v>
      </c>
      <c r="Q33" s="28" t="n">
        <v>60</v>
      </c>
      <c r="R33" s="29" t="inlineStr">
        <is>
          <t>night_base, elem_土, role_坦克, tier_pT1</t>
        </is>
      </c>
      <c r="S33" s="29" t="inlineStr">
        <is>
          <t>reward_pT1</t>
        </is>
      </c>
      <c r="T33" s="28" t="inlineStr">
        <is>
          <t>44</t>
        </is>
      </c>
      <c r="U33" s="28" t="inlineStr">
        <is>
          <t>旧定位=防御</t>
        </is>
      </c>
    </row>
    <row r="34" ht="22" customHeight="1">
      <c r="A34" s="28" t="inlineStr">
        <is>
          <t>pal_033</t>
        </is>
      </c>
      <c r="B34" s="29" t="inlineStr">
        <is>
          <t>叶胖达</t>
        </is>
      </c>
      <c r="C34" s="29" t="inlineStr">
        <is>
          <t>风</t>
        </is>
      </c>
      <c r="D34" s="29" t="inlineStr">
        <is>
          <t>青铜</t>
        </is>
      </c>
      <c r="E34" s="29" t="inlineStr">
        <is>
          <t>坦克</t>
        </is>
      </c>
      <c r="F34" s="29" t="inlineStr">
        <is>
          <t>风、防御、前排、阻挡</t>
        </is>
      </c>
      <c r="G34" s="28" t="inlineStr">
        <is>
          <t>宠物</t>
        </is>
      </c>
      <c r="H34" s="28" t="inlineStr">
        <is>
          <t>启用</t>
        </is>
      </c>
      <c r="I34" s="28" t="n">
        <v>1</v>
      </c>
      <c r="J34" s="28" t="inlineStr">
        <is>
          <t>pT1</t>
        </is>
      </c>
      <c r="K34" s="28" t="n">
        <v>2</v>
      </c>
      <c r="L34" s="28" t="inlineStr">
        <is>
          <t>44</t>
        </is>
      </c>
      <c r="M34" s="28" t="n">
        <v>100</v>
      </c>
      <c r="N34" s="28" t="n">
        <v>100</v>
      </c>
      <c r="O34" s="28" t="n">
        <v>90</v>
      </c>
      <c r="P34" s="28" t="n">
        <v>100</v>
      </c>
      <c r="Q34" s="28" t="n">
        <v>60</v>
      </c>
      <c r="R34" s="29" t="inlineStr">
        <is>
          <t>night_base, elem_风, role_坦克, tier_pT1</t>
        </is>
      </c>
      <c r="S34" s="29" t="inlineStr">
        <is>
          <t>reward_pT1</t>
        </is>
      </c>
      <c r="T34" s="28" t="inlineStr">
        <is>
          <t>44</t>
        </is>
      </c>
      <c r="U34" s="28" t="inlineStr">
        <is>
          <t>旧定位=防御</t>
        </is>
      </c>
    </row>
    <row r="35" ht="22" customHeight="1">
      <c r="A35" s="28" t="inlineStr">
        <is>
          <t>pal_034</t>
        </is>
      </c>
      <c r="B35" s="29" t="inlineStr">
        <is>
          <t>棉花糖</t>
        </is>
      </c>
      <c r="C35" s="29" t="inlineStr">
        <is>
          <t>风</t>
        </is>
      </c>
      <c r="D35" s="29" t="inlineStr">
        <is>
          <t>青铜</t>
        </is>
      </c>
      <c r="E35" s="29" t="inlineStr">
        <is>
          <t>经济</t>
        </is>
      </c>
      <c r="F35" s="29" t="inlineStr">
        <is>
          <t>风、经济、召唤、发育</t>
        </is>
      </c>
      <c r="G35" s="28" t="inlineStr">
        <is>
          <t>宠物</t>
        </is>
      </c>
      <c r="H35" s="28" t="inlineStr">
        <is>
          <t>启用</t>
        </is>
      </c>
      <c r="I35" s="28" t="n">
        <v>1</v>
      </c>
      <c r="J35" s="28" t="inlineStr">
        <is>
          <t>pT1</t>
        </is>
      </c>
      <c r="K35" s="28" t="n">
        <v>2</v>
      </c>
      <c r="L35" s="28" t="inlineStr">
        <is>
          <t>44</t>
        </is>
      </c>
      <c r="M35" s="28" t="n">
        <v>100</v>
      </c>
      <c r="N35" s="28" t="n">
        <v>100</v>
      </c>
      <c r="O35" s="28" t="n">
        <v>90</v>
      </c>
      <c r="P35" s="28" t="n">
        <v>100</v>
      </c>
      <c r="Q35" s="28" t="n">
        <v>60</v>
      </c>
      <c r="R35" s="29" t="inlineStr">
        <is>
          <t>night_base, elem_风, role_经济, tier_pT1</t>
        </is>
      </c>
      <c r="S35" s="29" t="inlineStr">
        <is>
          <t>reward_pT1</t>
        </is>
      </c>
      <c r="T35" s="28" t="inlineStr">
        <is>
          <t>44</t>
        </is>
      </c>
      <c r="U35" s="28" t="inlineStr">
        <is>
          <t>44</t>
        </is>
      </c>
    </row>
    <row r="36" ht="22" customHeight="1">
      <c r="A36" s="28" t="inlineStr">
        <is>
          <t>pal_035</t>
        </is>
      </c>
      <c r="B36" s="29" t="inlineStr">
        <is>
          <t>灌木羊</t>
        </is>
      </c>
      <c r="C36" s="29" t="inlineStr">
        <is>
          <t>风</t>
        </is>
      </c>
      <c r="D36" s="29" t="inlineStr">
        <is>
          <t>青铜</t>
        </is>
      </c>
      <c r="E36" s="29" t="inlineStr">
        <is>
          <t>召唤</t>
        </is>
      </c>
      <c r="F36" s="29" t="inlineStr">
        <is>
          <t>风、召唤、成长、核心</t>
        </is>
      </c>
      <c r="G36" s="28" t="inlineStr">
        <is>
          <t>宠物</t>
        </is>
      </c>
      <c r="H36" s="28" t="inlineStr">
        <is>
          <t>启用</t>
        </is>
      </c>
      <c r="I36" s="28" t="n">
        <v>1</v>
      </c>
      <c r="J36" s="28" t="inlineStr">
        <is>
          <t>pT1</t>
        </is>
      </c>
      <c r="K36" s="28" t="n">
        <v>2</v>
      </c>
      <c r="L36" s="28" t="inlineStr">
        <is>
          <t>44</t>
        </is>
      </c>
      <c r="M36" s="28" t="n">
        <v>100</v>
      </c>
      <c r="N36" s="28" t="n">
        <v>100</v>
      </c>
      <c r="O36" s="28" t="n">
        <v>90</v>
      </c>
      <c r="P36" s="28" t="n">
        <v>100</v>
      </c>
      <c r="Q36" s="28" t="n">
        <v>60</v>
      </c>
      <c r="R36" s="29" t="inlineStr">
        <is>
          <t>night_base, elem_风, role_召唤, tier_pT1</t>
        </is>
      </c>
      <c r="S36" s="29" t="inlineStr">
        <is>
          <t>reward_pT1</t>
        </is>
      </c>
      <c r="T36" s="28" t="inlineStr">
        <is>
          <t>44</t>
        </is>
      </c>
      <c r="U36" s="28" t="inlineStr">
        <is>
          <t>44</t>
        </is>
      </c>
    </row>
    <row r="37" ht="22" customHeight="1">
      <c r="A37" s="28" t="inlineStr">
        <is>
          <t>pal_036</t>
        </is>
      </c>
      <c r="B37" s="29" t="inlineStr">
        <is>
          <t>美露帕</t>
        </is>
      </c>
      <c r="C37" s="29" t="inlineStr">
        <is>
          <t>风</t>
        </is>
      </c>
      <c r="D37" s="29" t="inlineStr">
        <is>
          <t>白银</t>
        </is>
      </c>
      <c r="E37" s="29" t="inlineStr">
        <is>
          <t>经济</t>
        </is>
      </c>
      <c r="F37" s="29" t="inlineStr">
        <is>
          <t>风、经济、召唤、发育</t>
        </is>
      </c>
      <c r="G37" s="28" t="inlineStr">
        <is>
          <t>宠物</t>
        </is>
      </c>
      <c r="H37" s="28" t="inlineStr">
        <is>
          <t>启用</t>
        </is>
      </c>
      <c r="I37" s="28" t="n">
        <v>3</v>
      </c>
      <c r="J37" s="28" t="inlineStr">
        <is>
          <t>pT2</t>
        </is>
      </c>
      <c r="K37" s="28" t="n">
        <v>4</v>
      </c>
      <c r="L37" s="28" t="inlineStr">
        <is>
          <t>44</t>
        </is>
      </c>
      <c r="M37" s="28" t="n">
        <v>65</v>
      </c>
      <c r="N37" s="28" t="n">
        <v>70</v>
      </c>
      <c r="O37" s="28" t="n">
        <v>65</v>
      </c>
      <c r="P37" s="28" t="n">
        <v>80</v>
      </c>
      <c r="Q37" s="28" t="n">
        <v>45</v>
      </c>
      <c r="R37" s="29" t="inlineStr">
        <is>
          <t>night_base, elem_风, role_经济, tier_pT2</t>
        </is>
      </c>
      <c r="S37" s="29" t="inlineStr">
        <is>
          <t>reward_pT2</t>
        </is>
      </c>
      <c r="T37" s="28" t="inlineStr">
        <is>
          <t>44</t>
        </is>
      </c>
      <c r="U37" s="28" t="inlineStr">
        <is>
          <t>经济补预算</t>
        </is>
      </c>
    </row>
    <row r="38" ht="22" customHeight="1">
      <c r="A38" s="28" t="inlineStr">
        <is>
          <t>pal_037</t>
        </is>
      </c>
      <c r="B38" s="29" t="inlineStr">
        <is>
          <t>紫霞鹿</t>
        </is>
      </c>
      <c r="C38" s="29" t="inlineStr">
        <is>
          <t>风</t>
        </is>
      </c>
      <c r="D38" s="29" t="inlineStr">
        <is>
          <t>白银</t>
        </is>
      </c>
      <c r="E38" s="29" t="inlineStr">
        <is>
          <t>机动</t>
        </is>
      </c>
      <c r="F38" s="29" t="inlineStr">
        <is>
          <t>风、机动、灵活、泛用</t>
        </is>
      </c>
      <c r="G38" s="28" t="inlineStr">
        <is>
          <t>宠物</t>
        </is>
      </c>
      <c r="H38" s="28" t="inlineStr">
        <is>
          <t>启用</t>
        </is>
      </c>
      <c r="I38" s="28" t="n">
        <v>3</v>
      </c>
      <c r="J38" s="28" t="inlineStr">
        <is>
          <t>pT2</t>
        </is>
      </c>
      <c r="K38" s="28" t="n">
        <v>4</v>
      </c>
      <c r="L38" s="28" t="inlineStr">
        <is>
          <t>44</t>
        </is>
      </c>
      <c r="M38" s="28" t="n">
        <v>65</v>
      </c>
      <c r="N38" s="28" t="n">
        <v>70</v>
      </c>
      <c r="O38" s="28" t="n">
        <v>65</v>
      </c>
      <c r="P38" s="28" t="n">
        <v>80</v>
      </c>
      <c r="Q38" s="28" t="n">
        <v>45</v>
      </c>
      <c r="R38" s="29" t="inlineStr">
        <is>
          <t>night_base, elem_风, role_机动, tier_pT2</t>
        </is>
      </c>
      <c r="S38" s="29" t="inlineStr">
        <is>
          <t>reward_pT2</t>
        </is>
      </c>
      <c r="T38" s="28" t="inlineStr">
        <is>
          <t>44</t>
        </is>
      </c>
      <c r="U38" s="28" t="inlineStr">
        <is>
          <t>44</t>
        </is>
      </c>
    </row>
    <row r="39" ht="22" customHeight="1">
      <c r="A39" s="28" t="inlineStr">
        <is>
          <t>pal_038</t>
        </is>
      </c>
      <c r="B39" s="29" t="inlineStr">
        <is>
          <t>疾风隼</t>
        </is>
      </c>
      <c r="C39" s="29" t="inlineStr">
        <is>
          <t>风</t>
        </is>
      </c>
      <c r="D39" s="29" t="inlineStr">
        <is>
          <t>白银</t>
        </is>
      </c>
      <c r="E39" s="29" t="inlineStr">
        <is>
          <t>机动</t>
        </is>
      </c>
      <c r="F39" s="29" t="inlineStr">
        <is>
          <t>风、机动、灵活、泛用</t>
        </is>
      </c>
      <c r="G39" s="28" t="inlineStr">
        <is>
          <t>宠物</t>
        </is>
      </c>
      <c r="H39" s="28" t="inlineStr">
        <is>
          <t>启用</t>
        </is>
      </c>
      <c r="I39" s="28" t="n">
        <v>3</v>
      </c>
      <c r="J39" s="28" t="inlineStr">
        <is>
          <t>pT2</t>
        </is>
      </c>
      <c r="K39" s="28" t="n">
        <v>4</v>
      </c>
      <c r="L39" s="28" t="inlineStr">
        <is>
          <t>44</t>
        </is>
      </c>
      <c r="M39" s="28" t="n">
        <v>65</v>
      </c>
      <c r="N39" s="28" t="n">
        <v>70</v>
      </c>
      <c r="O39" s="28" t="n">
        <v>65</v>
      </c>
      <c r="P39" s="28" t="n">
        <v>80</v>
      </c>
      <c r="Q39" s="28" t="n">
        <v>45</v>
      </c>
      <c r="R39" s="29" t="inlineStr">
        <is>
          <t>night_base, elem_风, role_机动, tier_pT2</t>
        </is>
      </c>
      <c r="S39" s="29" t="inlineStr">
        <is>
          <t>reward_pT2</t>
        </is>
      </c>
      <c r="T39" s="28" t="inlineStr">
        <is>
          <t>44</t>
        </is>
      </c>
      <c r="U39" s="28" t="inlineStr">
        <is>
          <t>44</t>
        </is>
      </c>
    </row>
    <row r="40" ht="22" customHeight="1">
      <c r="A40" s="28" t="inlineStr">
        <is>
          <t>pal_039</t>
        </is>
      </c>
      <c r="B40" s="29" t="inlineStr">
        <is>
          <t>姬小兔</t>
        </is>
      </c>
      <c r="C40" s="29" t="inlineStr">
        <is>
          <t>风</t>
        </is>
      </c>
      <c r="D40" s="29" t="inlineStr">
        <is>
          <t>白银</t>
        </is>
      </c>
      <c r="E40" s="29" t="inlineStr">
        <is>
          <t>坦克</t>
        </is>
      </c>
      <c r="F40" s="29" t="inlineStr">
        <is>
          <t>风、防御、前排、阻挡</t>
        </is>
      </c>
      <c r="G40" s="28" t="inlineStr">
        <is>
          <t>宠物</t>
        </is>
      </c>
      <c r="H40" s="28" t="inlineStr">
        <is>
          <t>启用</t>
        </is>
      </c>
      <c r="I40" s="28" t="n">
        <v>3</v>
      </c>
      <c r="J40" s="28" t="inlineStr">
        <is>
          <t>pT2</t>
        </is>
      </c>
      <c r="K40" s="28" t="n">
        <v>4</v>
      </c>
      <c r="L40" s="28" t="inlineStr">
        <is>
          <t>44</t>
        </is>
      </c>
      <c r="M40" s="28" t="n">
        <v>65</v>
      </c>
      <c r="N40" s="28" t="n">
        <v>70</v>
      </c>
      <c r="O40" s="28" t="n">
        <v>65</v>
      </c>
      <c r="P40" s="28" t="n">
        <v>80</v>
      </c>
      <c r="Q40" s="28" t="n">
        <v>45</v>
      </c>
      <c r="R40" s="29" t="inlineStr">
        <is>
          <t>night_base, elem_风, role_坦克, tier_pT2</t>
        </is>
      </c>
      <c r="S40" s="29" t="inlineStr">
        <is>
          <t>reward_pT2</t>
        </is>
      </c>
      <c r="T40" s="28" t="inlineStr">
        <is>
          <t>44</t>
        </is>
      </c>
      <c r="U40" s="28" t="inlineStr">
        <is>
          <t>旧定位=防御</t>
        </is>
      </c>
    </row>
    <row r="41" ht="22" customHeight="1">
      <c r="A41" s="28" t="inlineStr">
        <is>
          <t>pal_040</t>
        </is>
      </c>
      <c r="B41" s="29" t="inlineStr">
        <is>
          <t>炎魔羊</t>
        </is>
      </c>
      <c r="C41" s="29" t="inlineStr">
        <is>
          <t>火</t>
        </is>
      </c>
      <c r="D41" s="29" t="inlineStr">
        <is>
          <t>白银</t>
        </is>
      </c>
      <c r="E41" s="29" t="inlineStr">
        <is>
          <t>输出</t>
        </is>
      </c>
      <c r="F41" s="29" t="inlineStr">
        <is>
          <t>火、输出、爆发、前排</t>
        </is>
      </c>
      <c r="G41" s="28" t="inlineStr">
        <is>
          <t>宠物</t>
        </is>
      </c>
      <c r="H41" s="28" t="inlineStr">
        <is>
          <t>启用</t>
        </is>
      </c>
      <c r="I41" s="28" t="n">
        <v>3</v>
      </c>
      <c r="J41" s="28" t="inlineStr">
        <is>
          <t>pT2</t>
        </is>
      </c>
      <c r="K41" s="28" t="n">
        <v>4</v>
      </c>
      <c r="L41" s="28" t="inlineStr">
        <is>
          <t>44</t>
        </is>
      </c>
      <c r="M41" s="28" t="n">
        <v>65</v>
      </c>
      <c r="N41" s="28" t="n">
        <v>70</v>
      </c>
      <c r="O41" s="28" t="n">
        <v>65</v>
      </c>
      <c r="P41" s="28" t="n">
        <v>80</v>
      </c>
      <c r="Q41" s="28" t="n">
        <v>45</v>
      </c>
      <c r="R41" s="29" t="inlineStr">
        <is>
          <t>night_base, elem_火, role_输出, tier_pT2</t>
        </is>
      </c>
      <c r="S41" s="29" t="inlineStr">
        <is>
          <t>reward_pT2</t>
        </is>
      </c>
      <c r="T41" s="28" t="inlineStr">
        <is>
          <t>44</t>
        </is>
      </c>
      <c r="U41" s="28" t="inlineStr">
        <is>
          <t>44</t>
        </is>
      </c>
    </row>
    <row r="42" ht="22" customHeight="1">
      <c r="A42" s="28" t="inlineStr">
        <is>
          <t>pal_041</t>
        </is>
      </c>
      <c r="B42" s="29" t="inlineStr">
        <is>
          <t>幻悦蝶</t>
        </is>
      </c>
      <c r="C42" s="29" t="inlineStr">
        <is>
          <t>风</t>
        </is>
      </c>
      <c r="D42" s="29" t="inlineStr">
        <is>
          <t>白银</t>
        </is>
      </c>
      <c r="E42" s="29" t="inlineStr">
        <is>
          <t>治疗</t>
        </is>
      </c>
      <c r="F42" s="29" t="inlineStr">
        <is>
          <t>风、治疗、后排、增益</t>
        </is>
      </c>
      <c r="G42" s="28" t="inlineStr">
        <is>
          <t>宠物</t>
        </is>
      </c>
      <c r="H42" s="28" t="inlineStr">
        <is>
          <t>启用</t>
        </is>
      </c>
      <c r="I42" s="28" t="n">
        <v>3</v>
      </c>
      <c r="J42" s="28" t="inlineStr">
        <is>
          <t>pT2</t>
        </is>
      </c>
      <c r="K42" s="28" t="n">
        <v>4</v>
      </c>
      <c r="L42" s="28" t="inlineStr">
        <is>
          <t>44</t>
        </is>
      </c>
      <c r="M42" s="28" t="n">
        <v>65</v>
      </c>
      <c r="N42" s="28" t="n">
        <v>70</v>
      </c>
      <c r="O42" s="28" t="n">
        <v>65</v>
      </c>
      <c r="P42" s="28" t="n">
        <v>80</v>
      </c>
      <c r="Q42" s="28" t="n">
        <v>45</v>
      </c>
      <c r="R42" s="29" t="inlineStr">
        <is>
          <t>night_base, elem_风, role_治疗, tier_pT2</t>
        </is>
      </c>
      <c r="S42" s="29" t="inlineStr">
        <is>
          <t>reward_pT2</t>
        </is>
      </c>
      <c r="T42" s="28" t="inlineStr">
        <is>
          <t>44</t>
        </is>
      </c>
      <c r="U42" s="28" t="inlineStr">
        <is>
          <t>治疗补预算</t>
        </is>
      </c>
    </row>
    <row r="43" ht="22" customHeight="1">
      <c r="A43" s="28" t="inlineStr">
        <is>
          <t>pal_042</t>
        </is>
      </c>
      <c r="B43" s="29" t="inlineStr">
        <is>
          <t>炽焰牛</t>
        </is>
      </c>
      <c r="C43" s="29" t="inlineStr">
        <is>
          <t>火</t>
        </is>
      </c>
      <c r="D43" s="29" t="inlineStr">
        <is>
          <t>白银</t>
        </is>
      </c>
      <c r="E43" s="29" t="inlineStr">
        <is>
          <t>输出</t>
        </is>
      </c>
      <c r="F43" s="29" t="inlineStr">
        <is>
          <t>火、输出、爆发、前排</t>
        </is>
      </c>
      <c r="G43" s="28" t="inlineStr">
        <is>
          <t>宠物</t>
        </is>
      </c>
      <c r="H43" s="28" t="inlineStr">
        <is>
          <t>启用</t>
        </is>
      </c>
      <c r="I43" s="28" t="n">
        <v>3</v>
      </c>
      <c r="J43" s="28" t="inlineStr">
        <is>
          <t>pT2</t>
        </is>
      </c>
      <c r="K43" s="28" t="n">
        <v>4</v>
      </c>
      <c r="L43" s="28" t="inlineStr">
        <is>
          <t>44</t>
        </is>
      </c>
      <c r="M43" s="28" t="n">
        <v>65</v>
      </c>
      <c r="N43" s="28" t="n">
        <v>70</v>
      </c>
      <c r="O43" s="28" t="n">
        <v>65</v>
      </c>
      <c r="P43" s="28" t="n">
        <v>80</v>
      </c>
      <c r="Q43" s="28" t="n">
        <v>45</v>
      </c>
      <c r="R43" s="29" t="inlineStr">
        <is>
          <t>night_base, elem_火, role_输出, tier_pT2</t>
        </is>
      </c>
      <c r="S43" s="29" t="inlineStr">
        <is>
          <t>reward_pT2</t>
        </is>
      </c>
      <c r="T43" s="28" t="inlineStr">
        <is>
          <t>44</t>
        </is>
      </c>
      <c r="U43" s="28" t="inlineStr">
        <is>
          <t>44</t>
        </is>
      </c>
    </row>
    <row r="44" ht="22" customHeight="1">
      <c r="A44" s="28" t="inlineStr">
        <is>
          <t>pal_043</t>
        </is>
      </c>
      <c r="B44" s="29" t="inlineStr">
        <is>
          <t>趴趴鲶</t>
        </is>
      </c>
      <c r="C44" s="29" t="inlineStr">
        <is>
          <t>土</t>
        </is>
      </c>
      <c r="D44" s="29" t="inlineStr">
        <is>
          <t>白银</t>
        </is>
      </c>
      <c r="E44" s="29" t="inlineStr">
        <is>
          <t>治疗</t>
        </is>
      </c>
      <c r="F44" s="29" t="inlineStr">
        <is>
          <t>土、治疗、后排、增益</t>
        </is>
      </c>
      <c r="G44" s="28" t="inlineStr">
        <is>
          <t>宠物</t>
        </is>
      </c>
      <c r="H44" s="28" t="inlineStr">
        <is>
          <t>启用</t>
        </is>
      </c>
      <c r="I44" s="28" t="n">
        <v>3</v>
      </c>
      <c r="J44" s="28" t="inlineStr">
        <is>
          <t>pT2</t>
        </is>
      </c>
      <c r="K44" s="28" t="n">
        <v>4</v>
      </c>
      <c r="L44" s="28" t="inlineStr">
        <is>
          <t>44</t>
        </is>
      </c>
      <c r="M44" s="28" t="n">
        <v>65</v>
      </c>
      <c r="N44" s="28" t="n">
        <v>70</v>
      </c>
      <c r="O44" s="28" t="n">
        <v>65</v>
      </c>
      <c r="P44" s="28" t="n">
        <v>80</v>
      </c>
      <c r="Q44" s="28" t="n">
        <v>45</v>
      </c>
      <c r="R44" s="29" t="inlineStr">
        <is>
          <t>night_base, elem_土, role_治疗, tier_pT2</t>
        </is>
      </c>
      <c r="S44" s="29" t="inlineStr">
        <is>
          <t>reward_pT2</t>
        </is>
      </c>
      <c r="T44" s="28" t="inlineStr">
        <is>
          <t>44</t>
        </is>
      </c>
      <c r="U44" s="28" t="inlineStr">
        <is>
          <t>治疗补预算</t>
        </is>
      </c>
    </row>
    <row r="45" ht="22" customHeight="1">
      <c r="A45" s="28" t="inlineStr">
        <is>
          <t>pal_044</t>
        </is>
      </c>
      <c r="B45" s="29" t="inlineStr">
        <is>
          <t>黑鸦隐士</t>
        </is>
      </c>
      <c r="C45" s="29" t="inlineStr">
        <is>
          <t>土</t>
        </is>
      </c>
      <c r="D45" s="29" t="inlineStr">
        <is>
          <t>白银</t>
        </is>
      </c>
      <c r="E45" s="29" t="inlineStr">
        <is>
          <t>坦克</t>
        </is>
      </c>
      <c r="F45" s="29" t="inlineStr">
        <is>
          <t>土、防御、前排、阻挡</t>
        </is>
      </c>
      <c r="G45" s="28" t="inlineStr">
        <is>
          <t>宠物</t>
        </is>
      </c>
      <c r="H45" s="28" t="inlineStr">
        <is>
          <t>启用</t>
        </is>
      </c>
      <c r="I45" s="28" t="n">
        <v>3</v>
      </c>
      <c r="J45" s="28" t="inlineStr">
        <is>
          <t>pT2</t>
        </is>
      </c>
      <c r="K45" s="28" t="n">
        <v>4</v>
      </c>
      <c r="L45" s="28" t="inlineStr">
        <is>
          <t>44</t>
        </is>
      </c>
      <c r="M45" s="28" t="n">
        <v>65</v>
      </c>
      <c r="N45" s="28" t="n">
        <v>70</v>
      </c>
      <c r="O45" s="28" t="n">
        <v>65</v>
      </c>
      <c r="P45" s="28" t="n">
        <v>80</v>
      </c>
      <c r="Q45" s="28" t="n">
        <v>45</v>
      </c>
      <c r="R45" s="29" t="inlineStr">
        <is>
          <t>night_base, elem_土, role_坦克, tier_pT2</t>
        </is>
      </c>
      <c r="S45" s="29" t="inlineStr">
        <is>
          <t>reward_pT2</t>
        </is>
      </c>
      <c r="T45" s="28" t="inlineStr">
        <is>
          <t>44</t>
        </is>
      </c>
      <c r="U45" s="28" t="inlineStr">
        <is>
          <t>旧定位=防御</t>
        </is>
      </c>
    </row>
    <row r="46" ht="22" customHeight="1">
      <c r="A46" s="28" t="inlineStr">
        <is>
          <t>pal_045</t>
        </is>
      </c>
      <c r="B46" s="29" t="inlineStr">
        <is>
          <t>朋克蜥</t>
        </is>
      </c>
      <c r="C46" s="29" t="inlineStr">
        <is>
          <t>土</t>
        </is>
      </c>
      <c r="D46" s="29" t="inlineStr">
        <is>
          <t>白银</t>
        </is>
      </c>
      <c r="E46" s="29" t="inlineStr">
        <is>
          <t>坦克</t>
        </is>
      </c>
      <c r="F46" s="29" t="inlineStr">
        <is>
          <t>土、防御、前排、阻挡</t>
        </is>
      </c>
      <c r="G46" s="28" t="inlineStr">
        <is>
          <t>宠物</t>
        </is>
      </c>
      <c r="H46" s="28" t="inlineStr">
        <is>
          <t>启用</t>
        </is>
      </c>
      <c r="I46" s="28" t="n">
        <v>3</v>
      </c>
      <c r="J46" s="28" t="inlineStr">
        <is>
          <t>pT2</t>
        </is>
      </c>
      <c r="K46" s="28" t="n">
        <v>4</v>
      </c>
      <c r="L46" s="28" t="inlineStr">
        <is>
          <t>44</t>
        </is>
      </c>
      <c r="M46" s="28" t="n">
        <v>65</v>
      </c>
      <c r="N46" s="28" t="n">
        <v>70</v>
      </c>
      <c r="O46" s="28" t="n">
        <v>65</v>
      </c>
      <c r="P46" s="28" t="n">
        <v>80</v>
      </c>
      <c r="Q46" s="28" t="n">
        <v>45</v>
      </c>
      <c r="R46" s="29" t="inlineStr">
        <is>
          <t>night_base, elem_土, role_坦克, tier_pT2</t>
        </is>
      </c>
      <c r="S46" s="29" t="inlineStr">
        <is>
          <t>reward_pT2</t>
        </is>
      </c>
      <c r="T46" s="28" t="inlineStr">
        <is>
          <t>44</t>
        </is>
      </c>
      <c r="U46" s="28" t="inlineStr">
        <is>
          <t>旧定位=防御</t>
        </is>
      </c>
    </row>
    <row r="47" ht="22" customHeight="1">
      <c r="A47" s="28" t="inlineStr">
        <is>
          <t>pal_046</t>
        </is>
      </c>
      <c r="B47" s="29" t="inlineStr">
        <is>
          <t>月镰魔</t>
        </is>
      </c>
      <c r="C47" s="29" t="inlineStr">
        <is>
          <t>土</t>
        </is>
      </c>
      <c r="D47" s="29" t="inlineStr">
        <is>
          <t>白银</t>
        </is>
      </c>
      <c r="E47" s="29" t="inlineStr">
        <is>
          <t>坦克</t>
        </is>
      </c>
      <c r="F47" s="29" t="inlineStr">
        <is>
          <t>土、防御、前排、阻挡</t>
        </is>
      </c>
      <c r="G47" s="28" t="inlineStr">
        <is>
          <t>宠物</t>
        </is>
      </c>
      <c r="H47" s="28" t="inlineStr">
        <is>
          <t>启用</t>
        </is>
      </c>
      <c r="I47" s="28" t="n">
        <v>3</v>
      </c>
      <c r="J47" s="28" t="inlineStr">
        <is>
          <t>pT2</t>
        </is>
      </c>
      <c r="K47" s="28" t="n">
        <v>4</v>
      </c>
      <c r="L47" s="28" t="inlineStr">
        <is>
          <t>44</t>
        </is>
      </c>
      <c r="M47" s="28" t="n">
        <v>65</v>
      </c>
      <c r="N47" s="28" t="n">
        <v>70</v>
      </c>
      <c r="O47" s="28" t="n">
        <v>65</v>
      </c>
      <c r="P47" s="28" t="n">
        <v>80</v>
      </c>
      <c r="Q47" s="28" t="n">
        <v>45</v>
      </c>
      <c r="R47" s="29" t="inlineStr">
        <is>
          <t>night_base, elem_土, role_坦克, tier_pT2</t>
        </is>
      </c>
      <c r="S47" s="29" t="inlineStr">
        <is>
          <t>reward_pT2</t>
        </is>
      </c>
      <c r="T47" s="28" t="inlineStr">
        <is>
          <t>44</t>
        </is>
      </c>
      <c r="U47" s="28" t="inlineStr">
        <is>
          <t>旧定位=防御</t>
        </is>
      </c>
    </row>
    <row r="48" ht="22" customHeight="1">
      <c r="A48" s="28" t="inlineStr">
        <is>
          <t>pal_047</t>
        </is>
      </c>
      <c r="B48" s="29" t="inlineStr">
        <is>
          <t>天擒鸟</t>
        </is>
      </c>
      <c r="C48" s="29" t="inlineStr">
        <is>
          <t>风</t>
        </is>
      </c>
      <c r="D48" s="29" t="inlineStr">
        <is>
          <t>白银</t>
        </is>
      </c>
      <c r="E48" s="29" t="inlineStr">
        <is>
          <t>机动</t>
        </is>
      </c>
      <c r="F48" s="29" t="inlineStr">
        <is>
          <t>风、机动、灵活、泛用</t>
        </is>
      </c>
      <c r="G48" s="28" t="inlineStr">
        <is>
          <t>宠物</t>
        </is>
      </c>
      <c r="H48" s="28" t="inlineStr">
        <is>
          <t>启用</t>
        </is>
      </c>
      <c r="I48" s="28" t="n">
        <v>3</v>
      </c>
      <c r="J48" s="28" t="inlineStr">
        <is>
          <t>pT2</t>
        </is>
      </c>
      <c r="K48" s="28" t="n">
        <v>4</v>
      </c>
      <c r="L48" s="28" t="inlineStr">
        <is>
          <t>44</t>
        </is>
      </c>
      <c r="M48" s="28" t="n">
        <v>65</v>
      </c>
      <c r="N48" s="28" t="n">
        <v>70</v>
      </c>
      <c r="O48" s="28" t="n">
        <v>65</v>
      </c>
      <c r="P48" s="28" t="n">
        <v>80</v>
      </c>
      <c r="Q48" s="28" t="n">
        <v>45</v>
      </c>
      <c r="R48" s="29" t="inlineStr">
        <is>
          <t>night_base, elem_风, role_机动, tier_pT2</t>
        </is>
      </c>
      <c r="S48" s="29" t="inlineStr">
        <is>
          <t>reward_pT2</t>
        </is>
      </c>
      <c r="T48" s="28" t="inlineStr">
        <is>
          <t>44</t>
        </is>
      </c>
      <c r="U48" s="28" t="inlineStr">
        <is>
          <t>44</t>
        </is>
      </c>
    </row>
    <row r="49" ht="22" customHeight="1">
      <c r="A49" s="28" t="inlineStr">
        <is>
          <t>pal_048</t>
        </is>
      </c>
      <c r="B49" s="29" t="inlineStr">
        <is>
          <t>羽箭射手</t>
        </is>
      </c>
      <c r="C49" s="29" t="inlineStr">
        <is>
          <t>风</t>
        </is>
      </c>
      <c r="D49" s="29" t="inlineStr">
        <is>
          <t>白银</t>
        </is>
      </c>
      <c r="E49" s="29" t="inlineStr">
        <is>
          <t>治疗</t>
        </is>
      </c>
      <c r="F49" s="29" t="inlineStr">
        <is>
          <t>风、治疗、后排、增益</t>
        </is>
      </c>
      <c r="G49" s="28" t="inlineStr">
        <is>
          <t>宠物</t>
        </is>
      </c>
      <c r="H49" s="28" t="inlineStr">
        <is>
          <t>启用</t>
        </is>
      </c>
      <c r="I49" s="28" t="n">
        <v>3</v>
      </c>
      <c r="J49" s="28" t="inlineStr">
        <is>
          <t>pT2</t>
        </is>
      </c>
      <c r="K49" s="28" t="n">
        <v>4</v>
      </c>
      <c r="L49" s="28" t="inlineStr">
        <is>
          <t>44</t>
        </is>
      </c>
      <c r="M49" s="28" t="n">
        <v>65</v>
      </c>
      <c r="N49" s="28" t="n">
        <v>70</v>
      </c>
      <c r="O49" s="28" t="n">
        <v>65</v>
      </c>
      <c r="P49" s="28" t="n">
        <v>80</v>
      </c>
      <c r="Q49" s="28" t="n">
        <v>45</v>
      </c>
      <c r="R49" s="29" t="inlineStr">
        <is>
          <t>night_base, elem_风, role_治疗, tier_pT2</t>
        </is>
      </c>
      <c r="S49" s="29" t="inlineStr">
        <is>
          <t>reward_pT2</t>
        </is>
      </c>
      <c r="T49" s="28" t="inlineStr">
        <is>
          <t>44</t>
        </is>
      </c>
      <c r="U49" s="28" t="inlineStr">
        <is>
          <t>治疗补预算</t>
        </is>
      </c>
    </row>
    <row r="50" ht="22" customHeight="1">
      <c r="A50" s="28" t="inlineStr">
        <is>
          <t>pal_049</t>
        </is>
      </c>
      <c r="B50" s="29" t="inlineStr">
        <is>
          <t>铁拳猿</t>
        </is>
      </c>
      <c r="C50" s="29" t="inlineStr">
        <is>
          <t>风</t>
        </is>
      </c>
      <c r="D50" s="29" t="inlineStr">
        <is>
          <t>白银</t>
        </is>
      </c>
      <c r="E50" s="29" t="inlineStr">
        <is>
          <t>坦克</t>
        </is>
      </c>
      <c r="F50" s="29" t="inlineStr">
        <is>
          <t>风、防御、前排、阻挡</t>
        </is>
      </c>
      <c r="G50" s="28" t="inlineStr">
        <is>
          <t>宠物</t>
        </is>
      </c>
      <c r="H50" s="28" t="inlineStr">
        <is>
          <t>启用</t>
        </is>
      </c>
      <c r="I50" s="28" t="n">
        <v>3</v>
      </c>
      <c r="J50" s="28" t="inlineStr">
        <is>
          <t>pT2</t>
        </is>
      </c>
      <c r="K50" s="28" t="n">
        <v>4</v>
      </c>
      <c r="L50" s="28" t="inlineStr">
        <is>
          <t>44</t>
        </is>
      </c>
      <c r="M50" s="28" t="n">
        <v>65</v>
      </c>
      <c r="N50" s="28" t="n">
        <v>70</v>
      </c>
      <c r="O50" s="28" t="n">
        <v>65</v>
      </c>
      <c r="P50" s="28" t="n">
        <v>80</v>
      </c>
      <c r="Q50" s="28" t="n">
        <v>45</v>
      </c>
      <c r="R50" s="29" t="inlineStr">
        <is>
          <t>night_base, elem_风, role_坦克, tier_pT2</t>
        </is>
      </c>
      <c r="S50" s="29" t="inlineStr">
        <is>
          <t>reward_pT2</t>
        </is>
      </c>
      <c r="T50" s="28" t="inlineStr">
        <is>
          <t>44</t>
        </is>
      </c>
      <c r="U50" s="28" t="inlineStr">
        <is>
          <t>旧定位=防御</t>
        </is>
      </c>
    </row>
    <row r="51" ht="22" customHeight="1">
      <c r="A51" s="28" t="inlineStr">
        <is>
          <t>pal_050</t>
        </is>
      </c>
      <c r="B51" s="29" t="inlineStr">
        <is>
          <t>骑士蜂</t>
        </is>
      </c>
      <c r="C51" s="29" t="inlineStr">
        <is>
          <t>风</t>
        </is>
      </c>
      <c r="D51" s="29" t="inlineStr">
        <is>
          <t>白银</t>
        </is>
      </c>
      <c r="E51" s="29" t="inlineStr">
        <is>
          <t>召唤</t>
        </is>
      </c>
      <c r="F51" s="29" t="inlineStr">
        <is>
          <t>风、召唤、成长、核心</t>
        </is>
      </c>
      <c r="G51" s="28" t="inlineStr">
        <is>
          <t>宠物</t>
        </is>
      </c>
      <c r="H51" s="28" t="inlineStr">
        <is>
          <t>启用</t>
        </is>
      </c>
      <c r="I51" s="28" t="n">
        <v>3</v>
      </c>
      <c r="J51" s="28" t="inlineStr">
        <is>
          <t>pT2</t>
        </is>
      </c>
      <c r="K51" s="28" t="n">
        <v>4</v>
      </c>
      <c r="L51" s="28" t="inlineStr">
        <is>
          <t>44</t>
        </is>
      </c>
      <c r="M51" s="28" t="n">
        <v>65</v>
      </c>
      <c r="N51" s="28" t="n">
        <v>70</v>
      </c>
      <c r="O51" s="28" t="n">
        <v>65</v>
      </c>
      <c r="P51" s="28" t="n">
        <v>80</v>
      </c>
      <c r="Q51" s="28" t="n">
        <v>45</v>
      </c>
      <c r="R51" s="29" t="inlineStr">
        <is>
          <t>night_base, elem_风, role_召唤, tier_pT2</t>
        </is>
      </c>
      <c r="S51" s="29" t="inlineStr">
        <is>
          <t>reward_pT2</t>
        </is>
      </c>
      <c r="T51" s="28" t="inlineStr">
        <is>
          <t>44</t>
        </is>
      </c>
      <c r="U51" s="28" t="inlineStr">
        <is>
          <t>召唤补预算</t>
        </is>
      </c>
    </row>
    <row r="52" ht="22" customHeight="1">
      <c r="A52" s="28" t="inlineStr">
        <is>
          <t>pal_051</t>
        </is>
      </c>
      <c r="B52" s="29" t="inlineStr">
        <is>
          <t>女皇蜂</t>
        </is>
      </c>
      <c r="C52" s="29" t="inlineStr">
        <is>
          <t>风</t>
        </is>
      </c>
      <c r="D52" s="29" t="inlineStr">
        <is>
          <t>白银</t>
        </is>
      </c>
      <c r="E52" s="29" t="inlineStr">
        <is>
          <t>治疗</t>
        </is>
      </c>
      <c r="F52" s="29" t="inlineStr">
        <is>
          <t>风、治疗、后排、增益</t>
        </is>
      </c>
      <c r="G52" s="28" t="inlineStr">
        <is>
          <t>宠物</t>
        </is>
      </c>
      <c r="H52" s="28" t="inlineStr">
        <is>
          <t>启用</t>
        </is>
      </c>
      <c r="I52" s="28" t="n">
        <v>3</v>
      </c>
      <c r="J52" s="28" t="inlineStr">
        <is>
          <t>pT2</t>
        </is>
      </c>
      <c r="K52" s="28" t="n">
        <v>4</v>
      </c>
      <c r="L52" s="28" t="inlineStr">
        <is>
          <t>44</t>
        </is>
      </c>
      <c r="M52" s="28" t="n">
        <v>65</v>
      </c>
      <c r="N52" s="28" t="n">
        <v>70</v>
      </c>
      <c r="O52" s="28" t="n">
        <v>65</v>
      </c>
      <c r="P52" s="28" t="n">
        <v>80</v>
      </c>
      <c r="Q52" s="28" t="n">
        <v>45</v>
      </c>
      <c r="R52" s="29" t="inlineStr">
        <is>
          <t>night_base, elem_风, role_治疗, tier_pT2</t>
        </is>
      </c>
      <c r="S52" s="29" t="inlineStr">
        <is>
          <t>reward_pT2</t>
        </is>
      </c>
      <c r="T52" s="28" t="inlineStr">
        <is>
          <t>44</t>
        </is>
      </c>
      <c r="U52" s="28" t="inlineStr">
        <is>
          <t>治疗补预算</t>
        </is>
      </c>
    </row>
    <row r="53" ht="22" customHeight="1">
      <c r="A53" s="28" t="inlineStr">
        <is>
          <t>pal_052</t>
        </is>
      </c>
      <c r="B53" s="29" t="inlineStr">
        <is>
          <t>笑魇猫</t>
        </is>
      </c>
      <c r="C53" s="29" t="inlineStr">
        <is>
          <t>风</t>
        </is>
      </c>
      <c r="D53" s="29" t="inlineStr">
        <is>
          <t>白银</t>
        </is>
      </c>
      <c r="E53" s="29" t="inlineStr">
        <is>
          <t>机动</t>
        </is>
      </c>
      <c r="F53" s="29" t="inlineStr">
        <is>
          <t>风、机动、灵活、泛用</t>
        </is>
      </c>
      <c r="G53" s="28" t="inlineStr">
        <is>
          <t>宠物</t>
        </is>
      </c>
      <c r="H53" s="28" t="inlineStr">
        <is>
          <t>启用</t>
        </is>
      </c>
      <c r="I53" s="28" t="n">
        <v>3</v>
      </c>
      <c r="J53" s="28" t="inlineStr">
        <is>
          <t>pT2</t>
        </is>
      </c>
      <c r="K53" s="28" t="n">
        <v>4</v>
      </c>
      <c r="L53" s="28" t="inlineStr">
        <is>
          <t>44</t>
        </is>
      </c>
      <c r="M53" s="28" t="n">
        <v>65</v>
      </c>
      <c r="N53" s="28" t="n">
        <v>70</v>
      </c>
      <c r="O53" s="28" t="n">
        <v>65</v>
      </c>
      <c r="P53" s="28" t="n">
        <v>80</v>
      </c>
      <c r="Q53" s="28" t="n">
        <v>45</v>
      </c>
      <c r="R53" s="29" t="inlineStr">
        <is>
          <t>night_base, elem_风, role_机动, tier_pT2</t>
        </is>
      </c>
      <c r="S53" s="29" t="inlineStr">
        <is>
          <t>reward_pT2</t>
        </is>
      </c>
      <c r="T53" s="28" t="inlineStr">
        <is>
          <t>44</t>
        </is>
      </c>
      <c r="U53" s="28" t="inlineStr">
        <is>
          <t>44</t>
        </is>
      </c>
    </row>
    <row r="54" ht="22" customHeight="1">
      <c r="A54" s="28" t="inlineStr">
        <is>
          <t>pal_053</t>
        </is>
      </c>
      <c r="B54" s="29" t="inlineStr">
        <is>
          <t>毛掸儿</t>
        </is>
      </c>
      <c r="C54" s="29" t="inlineStr">
        <is>
          <t>水</t>
        </is>
      </c>
      <c r="D54" s="29" t="inlineStr">
        <is>
          <t>白银</t>
        </is>
      </c>
      <c r="E54" s="29" t="inlineStr">
        <is>
          <t>控制</t>
        </is>
      </c>
      <c r="F54" s="29" t="inlineStr">
        <is>
          <t>水、牵制、范围、机动</t>
        </is>
      </c>
      <c r="G54" s="28" t="inlineStr">
        <is>
          <t>宠物</t>
        </is>
      </c>
      <c r="H54" s="28" t="inlineStr">
        <is>
          <t>启用</t>
        </is>
      </c>
      <c r="I54" s="28" t="n">
        <v>3</v>
      </c>
      <c r="J54" s="28" t="inlineStr">
        <is>
          <t>pT2</t>
        </is>
      </c>
      <c r="K54" s="28" t="n">
        <v>4</v>
      </c>
      <c r="L54" s="28" t="inlineStr">
        <is>
          <t>44</t>
        </is>
      </c>
      <c r="M54" s="28" t="n">
        <v>65</v>
      </c>
      <c r="N54" s="28" t="n">
        <v>70</v>
      </c>
      <c r="O54" s="28" t="n">
        <v>65</v>
      </c>
      <c r="P54" s="28" t="n">
        <v>80</v>
      </c>
      <c r="Q54" s="28" t="n">
        <v>45</v>
      </c>
      <c r="R54" s="29" t="inlineStr">
        <is>
          <t>night_base, elem_水, role_控制, tier_pT2</t>
        </is>
      </c>
      <c r="S54" s="29" t="inlineStr">
        <is>
          <t>reward_pT2</t>
        </is>
      </c>
      <c r="T54" s="28" t="inlineStr">
        <is>
          <t>44</t>
        </is>
      </c>
      <c r="U54" s="28" t="inlineStr">
        <is>
          <t>旧定位=牵制；控制补预算</t>
        </is>
      </c>
    </row>
    <row r="55" ht="22" customHeight="1">
      <c r="A55" s="28" t="inlineStr">
        <is>
          <t>pal_054</t>
        </is>
      </c>
      <c r="B55" s="29" t="inlineStr">
        <is>
          <t>毛老爹</t>
        </is>
      </c>
      <c r="C55" s="29" t="inlineStr">
        <is>
          <t>水</t>
        </is>
      </c>
      <c r="D55" s="29" t="inlineStr">
        <is>
          <t>白银</t>
        </is>
      </c>
      <c r="E55" s="29" t="inlineStr">
        <is>
          <t>控制</t>
        </is>
      </c>
      <c r="F55" s="29" t="inlineStr">
        <is>
          <t>水、牵制、范围、机动</t>
        </is>
      </c>
      <c r="G55" s="28" t="inlineStr">
        <is>
          <t>宠物</t>
        </is>
      </c>
      <c r="H55" s="28" t="inlineStr">
        <is>
          <t>启用</t>
        </is>
      </c>
      <c r="I55" s="28" t="n">
        <v>3</v>
      </c>
      <c r="J55" s="28" t="inlineStr">
        <is>
          <t>pT2</t>
        </is>
      </c>
      <c r="K55" s="28" t="n">
        <v>4</v>
      </c>
      <c r="L55" s="28" t="inlineStr">
        <is>
          <t>44</t>
        </is>
      </c>
      <c r="M55" s="28" t="n">
        <v>65</v>
      </c>
      <c r="N55" s="28" t="n">
        <v>70</v>
      </c>
      <c r="O55" s="28" t="n">
        <v>65</v>
      </c>
      <c r="P55" s="28" t="n">
        <v>80</v>
      </c>
      <c r="Q55" s="28" t="n">
        <v>45</v>
      </c>
      <c r="R55" s="29" t="inlineStr">
        <is>
          <t>night_base, elem_水, role_控制, tier_pT2</t>
        </is>
      </c>
      <c r="S55" s="29" t="inlineStr">
        <is>
          <t>reward_pT2</t>
        </is>
      </c>
      <c r="T55" s="28" t="inlineStr">
        <is>
          <t>44</t>
        </is>
      </c>
      <c r="U55" s="28" t="inlineStr">
        <is>
          <t>旧定位=牵制；控制补预算</t>
        </is>
      </c>
    </row>
    <row r="56" ht="22" customHeight="1">
      <c r="A56" s="28" t="inlineStr">
        <is>
          <t>pal_055</t>
        </is>
      </c>
      <c r="B56" s="29" t="inlineStr">
        <is>
          <t>疾旋鼬</t>
        </is>
      </c>
      <c r="C56" s="29" t="inlineStr">
        <is>
          <t>水</t>
        </is>
      </c>
      <c r="D56" s="29" t="inlineStr">
        <is>
          <t>白银</t>
        </is>
      </c>
      <c r="E56" s="29" t="inlineStr">
        <is>
          <t>控制</t>
        </is>
      </c>
      <c r="F56" s="29" t="inlineStr">
        <is>
          <t>水、牵制、范围、机动</t>
        </is>
      </c>
      <c r="G56" s="28" t="inlineStr">
        <is>
          <t>宠物</t>
        </is>
      </c>
      <c r="H56" s="28" t="inlineStr">
        <is>
          <t>启用</t>
        </is>
      </c>
      <c r="I56" s="28" t="n">
        <v>3</v>
      </c>
      <c r="J56" s="28" t="inlineStr">
        <is>
          <t>pT2</t>
        </is>
      </c>
      <c r="K56" s="28" t="n">
        <v>4</v>
      </c>
      <c r="L56" s="28" t="inlineStr">
        <is>
          <t>44</t>
        </is>
      </c>
      <c r="M56" s="28" t="n">
        <v>65</v>
      </c>
      <c r="N56" s="28" t="n">
        <v>70</v>
      </c>
      <c r="O56" s="28" t="n">
        <v>65</v>
      </c>
      <c r="P56" s="28" t="n">
        <v>80</v>
      </c>
      <c r="Q56" s="28" t="n">
        <v>45</v>
      </c>
      <c r="R56" s="29" t="inlineStr">
        <is>
          <t>night_base, elem_水, role_控制, tier_pT2</t>
        </is>
      </c>
      <c r="S56" s="29" t="inlineStr">
        <is>
          <t>reward_pT2</t>
        </is>
      </c>
      <c r="T56" s="28" t="inlineStr">
        <is>
          <t>44</t>
        </is>
      </c>
      <c r="U56" s="28" t="inlineStr">
        <is>
          <t>旧定位=牵制；控制补预算</t>
        </is>
      </c>
    </row>
    <row r="57" ht="22" customHeight="1">
      <c r="A57" s="28" t="inlineStr">
        <is>
          <t>pal_056</t>
        </is>
      </c>
      <c r="B57" s="29" t="inlineStr">
        <is>
          <t>雷角马</t>
        </is>
      </c>
      <c r="C57" s="29" t="inlineStr">
        <is>
          <t>风</t>
        </is>
      </c>
      <c r="D57" s="29" t="inlineStr">
        <is>
          <t>白银</t>
        </is>
      </c>
      <c r="E57" s="29" t="inlineStr">
        <is>
          <t>控制</t>
        </is>
      </c>
      <c r="F57" s="29" t="inlineStr">
        <is>
          <t>风、牵制、范围、机动</t>
        </is>
      </c>
      <c r="G57" s="28" t="inlineStr">
        <is>
          <t>宠物</t>
        </is>
      </c>
      <c r="H57" s="28" t="inlineStr">
        <is>
          <t>启用</t>
        </is>
      </c>
      <c r="I57" s="28" t="n">
        <v>3</v>
      </c>
      <c r="J57" s="28" t="inlineStr">
        <is>
          <t>pT2</t>
        </is>
      </c>
      <c r="K57" s="28" t="n">
        <v>4</v>
      </c>
      <c r="L57" s="28" t="inlineStr">
        <is>
          <t>44</t>
        </is>
      </c>
      <c r="M57" s="28" t="n">
        <v>65</v>
      </c>
      <c r="N57" s="28" t="n">
        <v>70</v>
      </c>
      <c r="O57" s="28" t="n">
        <v>65</v>
      </c>
      <c r="P57" s="28" t="n">
        <v>80</v>
      </c>
      <c r="Q57" s="28" t="n">
        <v>45</v>
      </c>
      <c r="R57" s="29" t="inlineStr">
        <is>
          <t>night_base, elem_风, role_控制, tier_pT2</t>
        </is>
      </c>
      <c r="S57" s="29" t="inlineStr">
        <is>
          <t>reward_pT2</t>
        </is>
      </c>
      <c r="T57" s="28" t="inlineStr">
        <is>
          <t>44</t>
        </is>
      </c>
      <c r="U57" s="28" t="inlineStr">
        <is>
          <t>旧定位=牵制；控制补预算</t>
        </is>
      </c>
    </row>
    <row r="58" ht="22" customHeight="1">
      <c r="A58" s="28" t="inlineStr">
        <is>
          <t>pal_057</t>
        </is>
      </c>
      <c r="B58" s="29" t="inlineStr">
        <is>
          <t>吹雪狐</t>
        </is>
      </c>
      <c r="C58" s="29" t="inlineStr">
        <is>
          <t>水</t>
        </is>
      </c>
      <c r="D58" s="29" t="inlineStr">
        <is>
          <t>白银</t>
        </is>
      </c>
      <c r="E58" s="29" t="inlineStr">
        <is>
          <t>控制</t>
        </is>
      </c>
      <c r="F58" s="29" t="inlineStr">
        <is>
          <t>水、牵制、范围、机动</t>
        </is>
      </c>
      <c r="G58" s="28" t="inlineStr">
        <is>
          <t>宠物</t>
        </is>
      </c>
      <c r="H58" s="28" t="inlineStr">
        <is>
          <t>启用</t>
        </is>
      </c>
      <c r="I58" s="28" t="n">
        <v>3</v>
      </c>
      <c r="J58" s="28" t="inlineStr">
        <is>
          <t>pT2</t>
        </is>
      </c>
      <c r="K58" s="28" t="n">
        <v>4</v>
      </c>
      <c r="L58" s="28" t="inlineStr">
        <is>
          <t>44</t>
        </is>
      </c>
      <c r="M58" s="28" t="n">
        <v>65</v>
      </c>
      <c r="N58" s="28" t="n">
        <v>70</v>
      </c>
      <c r="O58" s="28" t="n">
        <v>65</v>
      </c>
      <c r="P58" s="28" t="n">
        <v>80</v>
      </c>
      <c r="Q58" s="28" t="n">
        <v>45</v>
      </c>
      <c r="R58" s="29" t="inlineStr">
        <is>
          <t>night_base, elem_水, role_控制, tier_pT2</t>
        </is>
      </c>
      <c r="S58" s="29" t="inlineStr">
        <is>
          <t>reward_pT2</t>
        </is>
      </c>
      <c r="T58" s="28" t="inlineStr">
        <is>
          <t>44</t>
        </is>
      </c>
      <c r="U58" s="28" t="inlineStr">
        <is>
          <t>旧定位=牵制；控制补预算</t>
        </is>
      </c>
    </row>
    <row r="59" ht="22" customHeight="1">
      <c r="A59" s="28" t="inlineStr">
        <is>
          <t>pal_058</t>
        </is>
      </c>
      <c r="B59" s="29" t="inlineStr">
        <is>
          <t>火麒麟</t>
        </is>
      </c>
      <c r="C59" s="29" t="inlineStr">
        <is>
          <t>火</t>
        </is>
      </c>
      <c r="D59" s="29" t="inlineStr">
        <is>
          <t>白银</t>
        </is>
      </c>
      <c r="E59" s="29" t="inlineStr">
        <is>
          <t>输出</t>
        </is>
      </c>
      <c r="F59" s="29" t="inlineStr">
        <is>
          <t>火、输出、爆发、前排</t>
        </is>
      </c>
      <c r="G59" s="28" t="inlineStr">
        <is>
          <t>宠物</t>
        </is>
      </c>
      <c r="H59" s="28" t="inlineStr">
        <is>
          <t>启用</t>
        </is>
      </c>
      <c r="I59" s="28" t="n">
        <v>3</v>
      </c>
      <c r="J59" s="28" t="inlineStr">
        <is>
          <t>pT2</t>
        </is>
      </c>
      <c r="K59" s="28" t="n">
        <v>4</v>
      </c>
      <c r="L59" s="28" t="inlineStr">
        <is>
          <t>44</t>
        </is>
      </c>
      <c r="M59" s="28" t="n">
        <v>65</v>
      </c>
      <c r="N59" s="28" t="n">
        <v>70</v>
      </c>
      <c r="O59" s="28" t="n">
        <v>65</v>
      </c>
      <c r="P59" s="28" t="n">
        <v>80</v>
      </c>
      <c r="Q59" s="28" t="n">
        <v>45</v>
      </c>
      <c r="R59" s="29" t="inlineStr">
        <is>
          <t>night_base, elem_火, role_输出, tier_pT2</t>
        </is>
      </c>
      <c r="S59" s="29" t="inlineStr">
        <is>
          <t>reward_pT2</t>
        </is>
      </c>
      <c r="T59" s="28" t="inlineStr">
        <is>
          <t>44</t>
        </is>
      </c>
      <c r="U59" s="28" t="inlineStr">
        <is>
          <t>44</t>
        </is>
      </c>
    </row>
    <row r="60" ht="22" customHeight="1">
      <c r="A60" s="28" t="inlineStr">
        <is>
          <t>pal_059</t>
        </is>
      </c>
      <c r="B60" s="29" t="inlineStr">
        <is>
          <t>严冬鹿</t>
        </is>
      </c>
      <c r="C60" s="29" t="inlineStr">
        <is>
          <t>水</t>
        </is>
      </c>
      <c r="D60" s="29" t="inlineStr">
        <is>
          <t>白银</t>
        </is>
      </c>
      <c r="E60" s="29" t="inlineStr">
        <is>
          <t>控制</t>
        </is>
      </c>
      <c r="F60" s="29" t="inlineStr">
        <is>
          <t>水、牵制、范围、机动</t>
        </is>
      </c>
      <c r="G60" s="28" t="inlineStr">
        <is>
          <t>宠物</t>
        </is>
      </c>
      <c r="H60" s="28" t="inlineStr">
        <is>
          <t>启用</t>
        </is>
      </c>
      <c r="I60" s="28" t="n">
        <v>3</v>
      </c>
      <c r="J60" s="28" t="inlineStr">
        <is>
          <t>pT2</t>
        </is>
      </c>
      <c r="K60" s="28" t="n">
        <v>4</v>
      </c>
      <c r="L60" s="28" t="inlineStr">
        <is>
          <t>44</t>
        </is>
      </c>
      <c r="M60" s="28" t="n">
        <v>65</v>
      </c>
      <c r="N60" s="28" t="n">
        <v>70</v>
      </c>
      <c r="O60" s="28" t="n">
        <v>65</v>
      </c>
      <c r="P60" s="28" t="n">
        <v>80</v>
      </c>
      <c r="Q60" s="28" t="n">
        <v>45</v>
      </c>
      <c r="R60" s="29" t="inlineStr">
        <is>
          <t>night_base, elem_水, role_控制, tier_pT2</t>
        </is>
      </c>
      <c r="S60" s="29" t="inlineStr">
        <is>
          <t>reward_pT2</t>
        </is>
      </c>
      <c r="T60" s="28" t="inlineStr">
        <is>
          <t>44</t>
        </is>
      </c>
      <c r="U60" s="28" t="inlineStr">
        <is>
          <t>旧定位=牵制；控制补预算</t>
        </is>
      </c>
    </row>
    <row r="61" ht="22" customHeight="1">
      <c r="A61" s="28" t="inlineStr">
        <is>
          <t>pal_060</t>
        </is>
      </c>
      <c r="B61" s="29" t="inlineStr">
        <is>
          <t>霹雳犬</t>
        </is>
      </c>
      <c r="C61" s="29" t="inlineStr">
        <is>
          <t>风</t>
        </is>
      </c>
      <c r="D61" s="29" t="inlineStr">
        <is>
          <t>白银</t>
        </is>
      </c>
      <c r="E61" s="29" t="inlineStr">
        <is>
          <t>控制</t>
        </is>
      </c>
      <c r="F61" s="29" t="inlineStr">
        <is>
          <t>风、牵制、范围、机动</t>
        </is>
      </c>
      <c r="G61" s="28" t="inlineStr">
        <is>
          <t>宠物</t>
        </is>
      </c>
      <c r="H61" s="28" t="inlineStr">
        <is>
          <t>启用</t>
        </is>
      </c>
      <c r="I61" s="28" t="n">
        <v>3</v>
      </c>
      <c r="J61" s="28" t="inlineStr">
        <is>
          <t>pT2</t>
        </is>
      </c>
      <c r="K61" s="28" t="n">
        <v>4</v>
      </c>
      <c r="L61" s="28" t="inlineStr">
        <is>
          <t>44</t>
        </is>
      </c>
      <c r="M61" s="28" t="n">
        <v>65</v>
      </c>
      <c r="N61" s="28" t="n">
        <v>70</v>
      </c>
      <c r="O61" s="28" t="n">
        <v>65</v>
      </c>
      <c r="P61" s="28" t="n">
        <v>80</v>
      </c>
      <c r="Q61" s="28" t="n">
        <v>45</v>
      </c>
      <c r="R61" s="29" t="inlineStr">
        <is>
          <t>night_base, elem_风, role_控制, tier_pT2</t>
        </is>
      </c>
      <c r="S61" s="29" t="inlineStr">
        <is>
          <t>reward_pT2</t>
        </is>
      </c>
      <c r="T61" s="28" t="inlineStr">
        <is>
          <t>44</t>
        </is>
      </c>
      <c r="U61" s="28" t="inlineStr">
        <is>
          <t>旧定位=牵制；控制补预算</t>
        </is>
      </c>
    </row>
    <row r="62" ht="22" customHeight="1">
      <c r="A62" s="28" t="inlineStr">
        <is>
          <t>pal_061</t>
        </is>
      </c>
      <c r="B62" s="29" t="inlineStr">
        <is>
          <t>苍焰狼</t>
        </is>
      </c>
      <c r="C62" s="29" t="inlineStr">
        <is>
          <t>火</t>
        </is>
      </c>
      <c r="D62" s="29" t="inlineStr">
        <is>
          <t>白银</t>
        </is>
      </c>
      <c r="E62" s="29" t="inlineStr">
        <is>
          <t>输出</t>
        </is>
      </c>
      <c r="F62" s="29" t="inlineStr">
        <is>
          <t>火、输出、爆发、前排</t>
        </is>
      </c>
      <c r="G62" s="28" t="inlineStr">
        <is>
          <t>宠物</t>
        </is>
      </c>
      <c r="H62" s="28" t="inlineStr">
        <is>
          <t>启用</t>
        </is>
      </c>
      <c r="I62" s="28" t="n">
        <v>3</v>
      </c>
      <c r="J62" s="28" t="inlineStr">
        <is>
          <t>pT2</t>
        </is>
      </c>
      <c r="K62" s="28" t="n">
        <v>4</v>
      </c>
      <c r="L62" s="28" t="inlineStr">
        <is>
          <t>44</t>
        </is>
      </c>
      <c r="M62" s="28" t="n">
        <v>65</v>
      </c>
      <c r="N62" s="28" t="n">
        <v>70</v>
      </c>
      <c r="O62" s="28" t="n">
        <v>65</v>
      </c>
      <c r="P62" s="28" t="n">
        <v>80</v>
      </c>
      <c r="Q62" s="28" t="n">
        <v>45</v>
      </c>
      <c r="R62" s="29" t="inlineStr">
        <is>
          <t>night_base, elem_火, role_输出, tier_pT2</t>
        </is>
      </c>
      <c r="S62" s="29" t="inlineStr">
        <is>
          <t>reward_pT2</t>
        </is>
      </c>
      <c r="T62" s="28" t="inlineStr">
        <is>
          <t>44</t>
        </is>
      </c>
      <c r="U62" s="28" t="inlineStr">
        <is>
          <t>44</t>
        </is>
      </c>
    </row>
    <row r="63" ht="22" customHeight="1">
      <c r="A63" s="28" t="inlineStr">
        <is>
          <t>pal_062</t>
        </is>
      </c>
      <c r="B63" s="29" t="inlineStr">
        <is>
          <t>雷鸣童子</t>
        </is>
      </c>
      <c r="C63" s="29" t="inlineStr">
        <is>
          <t>风</t>
        </is>
      </c>
      <c r="D63" s="29" t="inlineStr">
        <is>
          <t>白银</t>
        </is>
      </c>
      <c r="E63" s="29" t="inlineStr">
        <is>
          <t>控制</t>
        </is>
      </c>
      <c r="F63" s="29" t="inlineStr">
        <is>
          <t>风、牵制、范围、机动</t>
        </is>
      </c>
      <c r="G63" s="28" t="inlineStr">
        <is>
          <t>宠物</t>
        </is>
      </c>
      <c r="H63" s="28" t="inlineStr">
        <is>
          <t>启用</t>
        </is>
      </c>
      <c r="I63" s="28" t="n">
        <v>3</v>
      </c>
      <c r="J63" s="28" t="inlineStr">
        <is>
          <t>pT2</t>
        </is>
      </c>
      <c r="K63" s="28" t="n">
        <v>4</v>
      </c>
      <c r="L63" s="28" t="inlineStr">
        <is>
          <t>44</t>
        </is>
      </c>
      <c r="M63" s="28" t="n">
        <v>65</v>
      </c>
      <c r="N63" s="28" t="n">
        <v>70</v>
      </c>
      <c r="O63" s="28" t="n">
        <v>65</v>
      </c>
      <c r="P63" s="28" t="n">
        <v>80</v>
      </c>
      <c r="Q63" s="28" t="n">
        <v>45</v>
      </c>
      <c r="R63" s="29" t="inlineStr">
        <is>
          <t>night_base, elem_风, role_控制, tier_pT2</t>
        </is>
      </c>
      <c r="S63" s="29" t="inlineStr">
        <is>
          <t>reward_pT2</t>
        </is>
      </c>
      <c r="T63" s="28" t="inlineStr">
        <is>
          <t>44</t>
        </is>
      </c>
      <c r="U63" s="28" t="inlineStr">
        <is>
          <t>旧定位=牵制；控制补预算</t>
        </is>
      </c>
    </row>
    <row r="64" ht="22" customHeight="1">
      <c r="A64" s="28" t="inlineStr">
        <is>
          <t>pal_063</t>
        </is>
      </c>
      <c r="B64" s="29" t="inlineStr">
        <is>
          <t>秘斯媞雅</t>
        </is>
      </c>
      <c r="C64" s="29" t="inlineStr">
        <is>
          <t>风</t>
        </is>
      </c>
      <c r="D64" s="29" t="inlineStr">
        <is>
          <t>白银</t>
        </is>
      </c>
      <c r="E64" s="29" t="inlineStr">
        <is>
          <t>召唤</t>
        </is>
      </c>
      <c r="F64" s="29" t="inlineStr">
        <is>
          <t>风、召唤、成长、核心</t>
        </is>
      </c>
      <c r="G64" s="28" t="inlineStr">
        <is>
          <t>宠物</t>
        </is>
      </c>
      <c r="H64" s="28" t="inlineStr">
        <is>
          <t>启用</t>
        </is>
      </c>
      <c r="I64" s="28" t="n">
        <v>3</v>
      </c>
      <c r="J64" s="28" t="inlineStr">
        <is>
          <t>pT2</t>
        </is>
      </c>
      <c r="K64" s="28" t="n">
        <v>4</v>
      </c>
      <c r="L64" s="28" t="inlineStr">
        <is>
          <t>44</t>
        </is>
      </c>
      <c r="M64" s="28" t="n">
        <v>65</v>
      </c>
      <c r="N64" s="28" t="n">
        <v>70</v>
      </c>
      <c r="O64" s="28" t="n">
        <v>65</v>
      </c>
      <c r="P64" s="28" t="n">
        <v>80</v>
      </c>
      <c r="Q64" s="28" t="n">
        <v>45</v>
      </c>
      <c r="R64" s="29" t="inlineStr">
        <is>
          <t>night_base, elem_风, role_召唤, tier_pT2</t>
        </is>
      </c>
      <c r="S64" s="29" t="inlineStr">
        <is>
          <t>reward_pT2</t>
        </is>
      </c>
      <c r="T64" s="28" t="inlineStr">
        <is>
          <t>44</t>
        </is>
      </c>
      <c r="U64" s="28" t="inlineStr">
        <is>
          <t>召唤补预算</t>
        </is>
      </c>
    </row>
    <row r="65" ht="22" customHeight="1">
      <c r="A65" s="28" t="inlineStr">
        <is>
          <t>pal_064</t>
        </is>
      </c>
      <c r="B65" s="29" t="inlineStr">
        <is>
          <t>花冠龙</t>
        </is>
      </c>
      <c r="C65" s="29" t="inlineStr">
        <is>
          <t>风</t>
        </is>
      </c>
      <c r="D65" s="29" t="inlineStr">
        <is>
          <t>白银</t>
        </is>
      </c>
      <c r="E65" s="29" t="inlineStr">
        <is>
          <t>召唤</t>
        </is>
      </c>
      <c r="F65" s="29" t="inlineStr">
        <is>
          <t>风、召唤、成长、核心</t>
        </is>
      </c>
      <c r="G65" s="28" t="inlineStr">
        <is>
          <t>宠物</t>
        </is>
      </c>
      <c r="H65" s="28" t="inlineStr">
        <is>
          <t>启用</t>
        </is>
      </c>
      <c r="I65" s="28" t="n">
        <v>3</v>
      </c>
      <c r="J65" s="28" t="inlineStr">
        <is>
          <t>pT2</t>
        </is>
      </c>
      <c r="K65" s="28" t="n">
        <v>4</v>
      </c>
      <c r="L65" s="28" t="inlineStr">
        <is>
          <t>44</t>
        </is>
      </c>
      <c r="M65" s="28" t="n">
        <v>65</v>
      </c>
      <c r="N65" s="28" t="n">
        <v>70</v>
      </c>
      <c r="O65" s="28" t="n">
        <v>65</v>
      </c>
      <c r="P65" s="28" t="n">
        <v>80</v>
      </c>
      <c r="Q65" s="28" t="n">
        <v>45</v>
      </c>
      <c r="R65" s="29" t="inlineStr">
        <is>
          <t>night_base, elem_风, role_召唤, tier_pT2</t>
        </is>
      </c>
      <c r="S65" s="29" t="inlineStr">
        <is>
          <t>reward_pT2</t>
        </is>
      </c>
      <c r="T65" s="28" t="inlineStr">
        <is>
          <t>44</t>
        </is>
      </c>
      <c r="U65" s="28" t="inlineStr">
        <is>
          <t>召唤补预算</t>
        </is>
      </c>
    </row>
    <row r="66" ht="22" customHeight="1">
      <c r="A66" s="28" t="inlineStr">
        <is>
          <t>pal_065</t>
        </is>
      </c>
      <c r="B66" s="29" t="inlineStr">
        <is>
          <t>雷冠龙</t>
        </is>
      </c>
      <c r="C66" s="29" t="inlineStr">
        <is>
          <t>风</t>
        </is>
      </c>
      <c r="D66" s="29" t="inlineStr">
        <is>
          <t>白银</t>
        </is>
      </c>
      <c r="E66" s="29" t="inlineStr">
        <is>
          <t>控制</t>
        </is>
      </c>
      <c r="F66" s="29" t="inlineStr">
        <is>
          <t>风、牵制、范围、机动</t>
        </is>
      </c>
      <c r="G66" s="28" t="inlineStr">
        <is>
          <t>宠物</t>
        </is>
      </c>
      <c r="H66" s="28" t="inlineStr">
        <is>
          <t>启用</t>
        </is>
      </c>
      <c r="I66" s="28" t="n">
        <v>3</v>
      </c>
      <c r="J66" s="28" t="inlineStr">
        <is>
          <t>pT2</t>
        </is>
      </c>
      <c r="K66" s="28" t="n">
        <v>4</v>
      </c>
      <c r="L66" s="28" t="inlineStr">
        <is>
          <t>44</t>
        </is>
      </c>
      <c r="M66" s="28" t="n">
        <v>65</v>
      </c>
      <c r="N66" s="28" t="n">
        <v>70</v>
      </c>
      <c r="O66" s="28" t="n">
        <v>65</v>
      </c>
      <c r="P66" s="28" t="n">
        <v>80</v>
      </c>
      <c r="Q66" s="28" t="n">
        <v>45</v>
      </c>
      <c r="R66" s="29" t="inlineStr">
        <is>
          <t>night_base, elem_风, role_控制, tier_pT2</t>
        </is>
      </c>
      <c r="S66" s="29" t="inlineStr">
        <is>
          <t>reward_pT2</t>
        </is>
      </c>
      <c r="T66" s="28" t="inlineStr">
        <is>
          <t>44</t>
        </is>
      </c>
      <c r="U66" s="28" t="inlineStr">
        <is>
          <t>旧定位=牵制；控制补预算</t>
        </is>
      </c>
    </row>
    <row r="67" ht="22" customHeight="1">
      <c r="A67" s="28" t="inlineStr">
        <is>
          <t>pal_066</t>
        </is>
      </c>
      <c r="B67" s="29" t="inlineStr">
        <is>
          <t>滑水蛇</t>
        </is>
      </c>
      <c r="C67" s="29" t="inlineStr">
        <is>
          <t>水</t>
        </is>
      </c>
      <c r="D67" s="29" t="inlineStr">
        <is>
          <t>白银</t>
        </is>
      </c>
      <c r="E67" s="29" t="inlineStr">
        <is>
          <t>治疗</t>
        </is>
      </c>
      <c r="F67" s="29" t="inlineStr">
        <is>
          <t>水、治疗、后排、增益</t>
        </is>
      </c>
      <c r="G67" s="28" t="inlineStr">
        <is>
          <t>宠物</t>
        </is>
      </c>
      <c r="H67" s="28" t="inlineStr">
        <is>
          <t>启用</t>
        </is>
      </c>
      <c r="I67" s="28" t="n">
        <v>3</v>
      </c>
      <c r="J67" s="28" t="inlineStr">
        <is>
          <t>pT2</t>
        </is>
      </c>
      <c r="K67" s="28" t="n">
        <v>4</v>
      </c>
      <c r="L67" s="28" t="inlineStr">
        <is>
          <t>44</t>
        </is>
      </c>
      <c r="M67" s="28" t="n">
        <v>65</v>
      </c>
      <c r="N67" s="28" t="n">
        <v>70</v>
      </c>
      <c r="O67" s="28" t="n">
        <v>65</v>
      </c>
      <c r="P67" s="28" t="n">
        <v>80</v>
      </c>
      <c r="Q67" s="28" t="n">
        <v>45</v>
      </c>
      <c r="R67" s="29" t="inlineStr">
        <is>
          <t>night_base, elem_水, role_治疗, tier_pT2</t>
        </is>
      </c>
      <c r="S67" s="29" t="inlineStr">
        <is>
          <t>reward_pT2</t>
        </is>
      </c>
      <c r="T67" s="28" t="inlineStr">
        <is>
          <t>44</t>
        </is>
      </c>
      <c r="U67" s="28" t="inlineStr">
        <is>
          <t>治疗补预算</t>
        </is>
      </c>
    </row>
    <row r="68" ht="22" customHeight="1">
      <c r="A68" s="28" t="inlineStr">
        <is>
          <t>pal_067</t>
        </is>
      </c>
      <c r="B68" s="29" t="inlineStr">
        <is>
          <t>流沙蛇</t>
        </is>
      </c>
      <c r="C68" s="29" t="inlineStr">
        <is>
          <t>土</t>
        </is>
      </c>
      <c r="D68" s="29" t="inlineStr">
        <is>
          <t>白银</t>
        </is>
      </c>
      <c r="E68" s="29" t="inlineStr">
        <is>
          <t>坦克</t>
        </is>
      </c>
      <c r="F68" s="29" t="inlineStr">
        <is>
          <t>土、防御、前排、阻挡</t>
        </is>
      </c>
      <c r="G68" s="28" t="inlineStr">
        <is>
          <t>宠物</t>
        </is>
      </c>
      <c r="H68" s="28" t="inlineStr">
        <is>
          <t>启用</t>
        </is>
      </c>
      <c r="I68" s="28" t="n">
        <v>3</v>
      </c>
      <c r="J68" s="28" t="inlineStr">
        <is>
          <t>pT2</t>
        </is>
      </c>
      <c r="K68" s="28" t="n">
        <v>4</v>
      </c>
      <c r="L68" s="28" t="inlineStr">
        <is>
          <t>44</t>
        </is>
      </c>
      <c r="M68" s="28" t="n">
        <v>65</v>
      </c>
      <c r="N68" s="28" t="n">
        <v>70</v>
      </c>
      <c r="O68" s="28" t="n">
        <v>65</v>
      </c>
      <c r="P68" s="28" t="n">
        <v>80</v>
      </c>
      <c r="Q68" s="28" t="n">
        <v>45</v>
      </c>
      <c r="R68" s="29" t="inlineStr">
        <is>
          <t>night_base, elem_土, role_坦克, tier_pT2</t>
        </is>
      </c>
      <c r="S68" s="29" t="inlineStr">
        <is>
          <t>reward_pT2</t>
        </is>
      </c>
      <c r="T68" s="28" t="inlineStr">
        <is>
          <t>44</t>
        </is>
      </c>
      <c r="U68" s="28" t="inlineStr">
        <is>
          <t>旧定位=防御</t>
        </is>
      </c>
    </row>
    <row r="69" ht="22" customHeight="1">
      <c r="A69" s="28" t="inlineStr">
        <is>
          <t>pal_068</t>
        </is>
      </c>
      <c r="B69" s="29" t="inlineStr">
        <is>
          <t>噬魂兽</t>
        </is>
      </c>
      <c r="C69" s="29" t="inlineStr">
        <is>
          <t>土</t>
        </is>
      </c>
      <c r="D69" s="29" t="inlineStr">
        <is>
          <t>白银</t>
        </is>
      </c>
      <c r="E69" s="29" t="inlineStr">
        <is>
          <t>坦克</t>
        </is>
      </c>
      <c r="F69" s="29" t="inlineStr">
        <is>
          <t>土、防御、前排、阻挡</t>
        </is>
      </c>
      <c r="G69" s="28" t="inlineStr">
        <is>
          <t>宠物</t>
        </is>
      </c>
      <c r="H69" s="28" t="inlineStr">
        <is>
          <t>启用</t>
        </is>
      </c>
      <c r="I69" s="28" t="n">
        <v>3</v>
      </c>
      <c r="J69" s="28" t="inlineStr">
        <is>
          <t>pT2</t>
        </is>
      </c>
      <c r="K69" s="28" t="n">
        <v>4</v>
      </c>
      <c r="L69" s="28" t="inlineStr">
        <is>
          <t>44</t>
        </is>
      </c>
      <c r="M69" s="28" t="n">
        <v>65</v>
      </c>
      <c r="N69" s="28" t="n">
        <v>70</v>
      </c>
      <c r="O69" s="28" t="n">
        <v>65</v>
      </c>
      <c r="P69" s="28" t="n">
        <v>80</v>
      </c>
      <c r="Q69" s="28" t="n">
        <v>45</v>
      </c>
      <c r="R69" s="29" t="inlineStr">
        <is>
          <t>night_base, elem_土, role_坦克, tier_pT2</t>
        </is>
      </c>
      <c r="S69" s="29" t="inlineStr">
        <is>
          <t>reward_pT2</t>
        </is>
      </c>
      <c r="T69" s="28" t="inlineStr">
        <is>
          <t>44</t>
        </is>
      </c>
      <c r="U69" s="28" t="inlineStr">
        <is>
          <t>旧定位=防御</t>
        </is>
      </c>
    </row>
    <row r="70" ht="22" customHeight="1">
      <c r="A70" s="28" t="inlineStr">
        <is>
          <t>pal_069</t>
        </is>
      </c>
      <c r="B70" s="29" t="inlineStr">
        <is>
          <t>碎岩龟</t>
        </is>
      </c>
      <c r="C70" s="29" t="inlineStr">
        <is>
          <t>土</t>
        </is>
      </c>
      <c r="D70" s="29" t="inlineStr">
        <is>
          <t>白银</t>
        </is>
      </c>
      <c r="E70" s="29" t="inlineStr">
        <is>
          <t>坦克</t>
        </is>
      </c>
      <c r="F70" s="29" t="inlineStr">
        <is>
          <t>土、防御、前排、阻挡</t>
        </is>
      </c>
      <c r="G70" s="28" t="inlineStr">
        <is>
          <t>宠物</t>
        </is>
      </c>
      <c r="H70" s="28" t="inlineStr">
        <is>
          <t>启用</t>
        </is>
      </c>
      <c r="I70" s="28" t="n">
        <v>3</v>
      </c>
      <c r="J70" s="28" t="inlineStr">
        <is>
          <t>pT2</t>
        </is>
      </c>
      <c r="K70" s="28" t="n">
        <v>4</v>
      </c>
      <c r="L70" s="28" t="inlineStr">
        <is>
          <t>44</t>
        </is>
      </c>
      <c r="M70" s="28" t="n">
        <v>65</v>
      </c>
      <c r="N70" s="28" t="n">
        <v>70</v>
      </c>
      <c r="O70" s="28" t="n">
        <v>65</v>
      </c>
      <c r="P70" s="28" t="n">
        <v>80</v>
      </c>
      <c r="Q70" s="28" t="n">
        <v>45</v>
      </c>
      <c r="R70" s="29" t="inlineStr">
        <is>
          <t>night_base, elem_土, role_坦克, tier_pT2</t>
        </is>
      </c>
      <c r="S70" s="29" t="inlineStr">
        <is>
          <t>reward_pT2</t>
        </is>
      </c>
      <c r="T70" s="28" t="inlineStr">
        <is>
          <t>44</t>
        </is>
      </c>
      <c r="U70" s="28" t="inlineStr">
        <is>
          <t>旧定位=防御</t>
        </is>
      </c>
    </row>
    <row r="71" ht="22" customHeight="1">
      <c r="A71" s="28" t="inlineStr">
        <is>
          <t>pal_070</t>
        </is>
      </c>
      <c r="B71" s="29" t="inlineStr">
        <is>
          <t>猫蝠怪</t>
        </is>
      </c>
      <c r="C71" s="29" t="inlineStr">
        <is>
          <t>土</t>
        </is>
      </c>
      <c r="D71" s="29" t="inlineStr">
        <is>
          <t>白银</t>
        </is>
      </c>
      <c r="E71" s="29" t="inlineStr">
        <is>
          <t>坦克</t>
        </is>
      </c>
      <c r="F71" s="29" t="inlineStr">
        <is>
          <t>土、防御、前排、阻挡</t>
        </is>
      </c>
      <c r="G71" s="28" t="inlineStr">
        <is>
          <t>宠物</t>
        </is>
      </c>
      <c r="H71" s="28" t="inlineStr">
        <is>
          <t>启用</t>
        </is>
      </c>
      <c r="I71" s="28" t="n">
        <v>3</v>
      </c>
      <c r="J71" s="28" t="inlineStr">
        <is>
          <t>pT2</t>
        </is>
      </c>
      <c r="K71" s="28" t="n">
        <v>4</v>
      </c>
      <c r="L71" s="28" t="inlineStr">
        <is>
          <t>44</t>
        </is>
      </c>
      <c r="M71" s="28" t="n">
        <v>65</v>
      </c>
      <c r="N71" s="28" t="n">
        <v>70</v>
      </c>
      <c r="O71" s="28" t="n">
        <v>65</v>
      </c>
      <c r="P71" s="28" t="n">
        <v>80</v>
      </c>
      <c r="Q71" s="28" t="n">
        <v>45</v>
      </c>
      <c r="R71" s="29" t="inlineStr">
        <is>
          <t>night_base, elem_土, role_坦克, tier_pT2</t>
        </is>
      </c>
      <c r="S71" s="29" t="inlineStr">
        <is>
          <t>reward_pT2</t>
        </is>
      </c>
      <c r="T71" s="28" t="inlineStr">
        <is>
          <t>44</t>
        </is>
      </c>
      <c r="U71" s="28" t="inlineStr">
        <is>
          <t>旧定位=防御</t>
        </is>
      </c>
    </row>
    <row r="72" ht="22" customHeight="1">
      <c r="A72" s="28" t="inlineStr">
        <is>
          <t>pal_071</t>
        </is>
      </c>
      <c r="B72" s="29" t="inlineStr">
        <is>
          <t>博爱蜥</t>
        </is>
      </c>
      <c r="C72" s="29" t="inlineStr">
        <is>
          <t>风</t>
        </is>
      </c>
      <c r="D72" s="29" t="inlineStr">
        <is>
          <t>白银</t>
        </is>
      </c>
      <c r="E72" s="29" t="inlineStr">
        <is>
          <t>治疗</t>
        </is>
      </c>
      <c r="F72" s="29" t="inlineStr">
        <is>
          <t>风、治疗、后排、增益</t>
        </is>
      </c>
      <c r="G72" s="28" t="inlineStr">
        <is>
          <t>宠物</t>
        </is>
      </c>
      <c r="H72" s="28" t="inlineStr">
        <is>
          <t>启用</t>
        </is>
      </c>
      <c r="I72" s="28" t="n">
        <v>3</v>
      </c>
      <c r="J72" s="28" t="inlineStr">
        <is>
          <t>pT2</t>
        </is>
      </c>
      <c r="K72" s="28" t="n">
        <v>4</v>
      </c>
      <c r="L72" s="28" t="inlineStr">
        <is>
          <t>44</t>
        </is>
      </c>
      <c r="M72" s="28" t="n">
        <v>65</v>
      </c>
      <c r="N72" s="28" t="n">
        <v>70</v>
      </c>
      <c r="O72" s="28" t="n">
        <v>65</v>
      </c>
      <c r="P72" s="28" t="n">
        <v>80</v>
      </c>
      <c r="Q72" s="28" t="n">
        <v>45</v>
      </c>
      <c r="R72" s="29" t="inlineStr">
        <is>
          <t>night_base, elem_风, role_治疗, tier_pT2</t>
        </is>
      </c>
      <c r="S72" s="29" t="inlineStr">
        <is>
          <t>reward_pT2</t>
        </is>
      </c>
      <c r="T72" s="28" t="inlineStr">
        <is>
          <t>44</t>
        </is>
      </c>
      <c r="U72" s="28" t="inlineStr">
        <is>
          <t>治疗补预算</t>
        </is>
      </c>
    </row>
    <row r="73" ht="22" customHeight="1">
      <c r="A73" s="28" t="inlineStr">
        <is>
          <t>pal_072</t>
        </is>
      </c>
      <c r="B73" s="29" t="inlineStr">
        <is>
          <t>融焰娘</t>
        </is>
      </c>
      <c r="C73" s="29" t="inlineStr">
        <is>
          <t>火</t>
        </is>
      </c>
      <c r="D73" s="29" t="inlineStr">
        <is>
          <t>白银</t>
        </is>
      </c>
      <c r="E73" s="29" t="inlineStr">
        <is>
          <t>召唤</t>
        </is>
      </c>
      <c r="F73" s="29" t="inlineStr">
        <is>
          <t>火、召唤、成长、核心</t>
        </is>
      </c>
      <c r="G73" s="28" t="inlineStr">
        <is>
          <t>宠物</t>
        </is>
      </c>
      <c r="H73" s="28" t="inlineStr">
        <is>
          <t>启用</t>
        </is>
      </c>
      <c r="I73" s="28" t="n">
        <v>3</v>
      </c>
      <c r="J73" s="28" t="inlineStr">
        <is>
          <t>pT2</t>
        </is>
      </c>
      <c r="K73" s="28" t="n">
        <v>4</v>
      </c>
      <c r="L73" s="28" t="inlineStr">
        <is>
          <t>44</t>
        </is>
      </c>
      <c r="M73" s="28" t="n">
        <v>65</v>
      </c>
      <c r="N73" s="28" t="n">
        <v>70</v>
      </c>
      <c r="O73" s="28" t="n">
        <v>65</v>
      </c>
      <c r="P73" s="28" t="n">
        <v>80</v>
      </c>
      <c r="Q73" s="28" t="n">
        <v>45</v>
      </c>
      <c r="R73" s="29" t="inlineStr">
        <is>
          <t>night_base, elem_火, role_召唤, tier_pT2</t>
        </is>
      </c>
      <c r="S73" s="29" t="inlineStr">
        <is>
          <t>reward_pT2</t>
        </is>
      </c>
      <c r="T73" s="28" t="inlineStr">
        <is>
          <t>44</t>
        </is>
      </c>
      <c r="U73" s="28" t="inlineStr">
        <is>
          <t>召唤补预算</t>
        </is>
      </c>
    </row>
    <row r="74" ht="22" customHeight="1">
      <c r="A74" s="28" t="inlineStr">
        <is>
          <t>pal_073</t>
        </is>
      </c>
      <c r="B74" s="29" t="inlineStr">
        <is>
          <t>烽歌龙</t>
        </is>
      </c>
      <c r="C74" s="29" t="inlineStr">
        <is>
          <t>火</t>
        </is>
      </c>
      <c r="D74" s="29" t="inlineStr">
        <is>
          <t>白银</t>
        </is>
      </c>
      <c r="E74" s="29" t="inlineStr">
        <is>
          <t>机动</t>
        </is>
      </c>
      <c r="F74" s="29" t="inlineStr">
        <is>
          <t>火、机动、灵活、泛用</t>
        </is>
      </c>
      <c r="G74" s="28" t="inlineStr">
        <is>
          <t>宠物</t>
        </is>
      </c>
      <c r="H74" s="28" t="inlineStr">
        <is>
          <t>启用</t>
        </is>
      </c>
      <c r="I74" s="28" t="n">
        <v>3</v>
      </c>
      <c r="J74" s="28" t="inlineStr">
        <is>
          <t>pT2</t>
        </is>
      </c>
      <c r="K74" s="28" t="n">
        <v>4</v>
      </c>
      <c r="L74" s="28" t="inlineStr">
        <is>
          <t>44</t>
        </is>
      </c>
      <c r="M74" s="28" t="n">
        <v>65</v>
      </c>
      <c r="N74" s="28" t="n">
        <v>70</v>
      </c>
      <c r="O74" s="28" t="n">
        <v>65</v>
      </c>
      <c r="P74" s="28" t="n">
        <v>80</v>
      </c>
      <c r="Q74" s="28" t="n">
        <v>45</v>
      </c>
      <c r="R74" s="29" t="inlineStr">
        <is>
          <t>night_base, elem_火, role_机动, tier_pT2</t>
        </is>
      </c>
      <c r="S74" s="29" t="inlineStr">
        <is>
          <t>reward_pT2</t>
        </is>
      </c>
      <c r="T74" s="28" t="inlineStr">
        <is>
          <t>44</t>
        </is>
      </c>
      <c r="U74" s="28" t="inlineStr">
        <is>
          <t>44</t>
        </is>
      </c>
    </row>
    <row r="75" ht="22" customHeight="1">
      <c r="A75" s="28" t="inlineStr">
        <is>
          <t>pal_074</t>
        </is>
      </c>
      <c r="B75" s="29" t="inlineStr">
        <is>
          <t>霜歌龙</t>
        </is>
      </c>
      <c r="C75" s="29" t="inlineStr">
        <is>
          <t>水</t>
        </is>
      </c>
      <c r="D75" s="29" t="inlineStr">
        <is>
          <t>白银</t>
        </is>
      </c>
      <c r="E75" s="29" t="inlineStr">
        <is>
          <t>控制</t>
        </is>
      </c>
      <c r="F75" s="29" t="inlineStr">
        <is>
          <t>水、牵制、范围、机动</t>
        </is>
      </c>
      <c r="G75" s="28" t="inlineStr">
        <is>
          <t>宠物</t>
        </is>
      </c>
      <c r="H75" s="28" t="inlineStr">
        <is>
          <t>启用</t>
        </is>
      </c>
      <c r="I75" s="28" t="n">
        <v>3</v>
      </c>
      <c r="J75" s="28" t="inlineStr">
        <is>
          <t>pT2</t>
        </is>
      </c>
      <c r="K75" s="28" t="n">
        <v>4</v>
      </c>
      <c r="L75" s="28" t="inlineStr">
        <is>
          <t>44</t>
        </is>
      </c>
      <c r="M75" s="28" t="n">
        <v>65</v>
      </c>
      <c r="N75" s="28" t="n">
        <v>70</v>
      </c>
      <c r="O75" s="28" t="n">
        <v>65</v>
      </c>
      <c r="P75" s="28" t="n">
        <v>80</v>
      </c>
      <c r="Q75" s="28" t="n">
        <v>45</v>
      </c>
      <c r="R75" s="29" t="inlineStr">
        <is>
          <t>night_base, elem_水, role_控制, tier_pT2</t>
        </is>
      </c>
      <c r="S75" s="29" t="inlineStr">
        <is>
          <t>reward_pT2</t>
        </is>
      </c>
      <c r="T75" s="28" t="inlineStr">
        <is>
          <t>44</t>
        </is>
      </c>
      <c r="U75" s="28" t="inlineStr">
        <is>
          <t>旧定位=牵制；控制补预算</t>
        </is>
      </c>
    </row>
    <row r="76" ht="22" customHeight="1">
      <c r="A76" s="28" t="inlineStr">
        <is>
          <t>pal_075</t>
        </is>
      </c>
      <c r="B76" s="29" t="inlineStr">
        <is>
          <t>浪刃武士</t>
        </is>
      </c>
      <c r="C76" s="29" t="inlineStr">
        <is>
          <t>火</t>
        </is>
      </c>
      <c r="D76" s="29" t="inlineStr">
        <is>
          <t>白银</t>
        </is>
      </c>
      <c r="E76" s="29" t="inlineStr">
        <is>
          <t>输出</t>
        </is>
      </c>
      <c r="F76" s="29" t="inlineStr">
        <is>
          <t>火、输出、爆发、前排</t>
        </is>
      </c>
      <c r="G76" s="28" t="inlineStr">
        <is>
          <t>宠物</t>
        </is>
      </c>
      <c r="H76" s="28" t="inlineStr">
        <is>
          <t>启用</t>
        </is>
      </c>
      <c r="I76" s="28" t="n">
        <v>3</v>
      </c>
      <c r="J76" s="28" t="inlineStr">
        <is>
          <t>pT2</t>
        </is>
      </c>
      <c r="K76" s="28" t="n">
        <v>4</v>
      </c>
      <c r="L76" s="28" t="inlineStr">
        <is>
          <t>44</t>
        </is>
      </c>
      <c r="M76" s="28" t="n">
        <v>65</v>
      </c>
      <c r="N76" s="28" t="n">
        <v>70</v>
      </c>
      <c r="O76" s="28" t="n">
        <v>65</v>
      </c>
      <c r="P76" s="28" t="n">
        <v>80</v>
      </c>
      <c r="Q76" s="28" t="n">
        <v>45</v>
      </c>
      <c r="R76" s="29" t="inlineStr">
        <is>
          <t>night_base, elem_火, role_输出, tier_pT2</t>
        </is>
      </c>
      <c r="S76" s="29" t="inlineStr">
        <is>
          <t>reward_pT2</t>
        </is>
      </c>
      <c r="T76" s="28" t="inlineStr">
        <is>
          <t>44</t>
        </is>
      </c>
      <c r="U76" s="28" t="inlineStr">
        <is>
          <t>44</t>
        </is>
      </c>
    </row>
    <row r="77" ht="22" customHeight="1">
      <c r="A77" s="28" t="inlineStr">
        <is>
          <t>pal_076</t>
        </is>
      </c>
      <c r="B77" s="29" t="inlineStr">
        <is>
          <t>迅雷鸟</t>
        </is>
      </c>
      <c r="C77" s="29" t="inlineStr">
        <is>
          <t>风</t>
        </is>
      </c>
      <c r="D77" s="29" t="inlineStr">
        <is>
          <t>白银</t>
        </is>
      </c>
      <c r="E77" s="29" t="inlineStr">
        <is>
          <t>控制</t>
        </is>
      </c>
      <c r="F77" s="29" t="inlineStr">
        <is>
          <t>风、牵制、范围、机动</t>
        </is>
      </c>
      <c r="G77" s="28" t="inlineStr">
        <is>
          <t>宠物</t>
        </is>
      </c>
      <c r="H77" s="28" t="inlineStr">
        <is>
          <t>启用</t>
        </is>
      </c>
      <c r="I77" s="28" t="n">
        <v>3</v>
      </c>
      <c r="J77" s="28" t="inlineStr">
        <is>
          <t>pT2</t>
        </is>
      </c>
      <c r="K77" s="28" t="n">
        <v>4</v>
      </c>
      <c r="L77" s="28" t="inlineStr">
        <is>
          <t>44</t>
        </is>
      </c>
      <c r="M77" s="28" t="n">
        <v>65</v>
      </c>
      <c r="N77" s="28" t="n">
        <v>70</v>
      </c>
      <c r="O77" s="28" t="n">
        <v>65</v>
      </c>
      <c r="P77" s="28" t="n">
        <v>80</v>
      </c>
      <c r="Q77" s="28" t="n">
        <v>45</v>
      </c>
      <c r="R77" s="29" t="inlineStr">
        <is>
          <t>night_base, elem_风, role_控制, tier_pT2</t>
        </is>
      </c>
      <c r="S77" s="29" t="inlineStr">
        <is>
          <t>reward_pT2</t>
        </is>
      </c>
      <c r="T77" s="28" t="inlineStr">
        <is>
          <t>44</t>
        </is>
      </c>
      <c r="U77" s="28" t="inlineStr">
        <is>
          <t>旧定位=牵制；控制补预算</t>
        </is>
      </c>
    </row>
    <row r="78" ht="22" customHeight="1">
      <c r="A78" s="28" t="inlineStr">
        <is>
          <t>pal_077</t>
        </is>
      </c>
      <c r="B78" s="29" t="inlineStr">
        <is>
          <t>燧火鸟</t>
        </is>
      </c>
      <c r="C78" s="29" t="inlineStr">
        <is>
          <t>火</t>
        </is>
      </c>
      <c r="D78" s="29" t="inlineStr">
        <is>
          <t>白银</t>
        </is>
      </c>
      <c r="E78" s="29" t="inlineStr">
        <is>
          <t>机动</t>
        </is>
      </c>
      <c r="F78" s="29" t="inlineStr">
        <is>
          <t>火、机动、灵活、泛用</t>
        </is>
      </c>
      <c r="G78" s="28" t="inlineStr">
        <is>
          <t>宠物</t>
        </is>
      </c>
      <c r="H78" s="28" t="inlineStr">
        <is>
          <t>启用</t>
        </is>
      </c>
      <c r="I78" s="28" t="n">
        <v>3</v>
      </c>
      <c r="J78" s="28" t="inlineStr">
        <is>
          <t>pT2</t>
        </is>
      </c>
      <c r="K78" s="28" t="n">
        <v>4</v>
      </c>
      <c r="L78" s="28" t="inlineStr">
        <is>
          <t>44</t>
        </is>
      </c>
      <c r="M78" s="28" t="n">
        <v>65</v>
      </c>
      <c r="N78" s="28" t="n">
        <v>70</v>
      </c>
      <c r="O78" s="28" t="n">
        <v>65</v>
      </c>
      <c r="P78" s="28" t="n">
        <v>80</v>
      </c>
      <c r="Q78" s="28" t="n">
        <v>45</v>
      </c>
      <c r="R78" s="29" t="inlineStr">
        <is>
          <t>night_base, elem_火, role_机动, tier_pT2</t>
        </is>
      </c>
      <c r="S78" s="29" t="inlineStr">
        <is>
          <t>reward_pT2</t>
        </is>
      </c>
      <c r="T78" s="28" t="inlineStr">
        <is>
          <t>44</t>
        </is>
      </c>
      <c r="U78" s="28" t="inlineStr">
        <is>
          <t>44</t>
        </is>
      </c>
    </row>
    <row r="79" ht="22" customHeight="1">
      <c r="A79" s="28" t="inlineStr">
        <is>
          <t>pal_078</t>
        </is>
      </c>
      <c r="B79" s="29" t="inlineStr">
        <is>
          <t>暗巫猫</t>
        </is>
      </c>
      <c r="C79" s="29" t="inlineStr">
        <is>
          <t>土</t>
        </is>
      </c>
      <c r="D79" s="29" t="inlineStr">
        <is>
          <t>白银</t>
        </is>
      </c>
      <c r="E79" s="29" t="inlineStr">
        <is>
          <t>治疗</t>
        </is>
      </c>
      <c r="F79" s="29" t="inlineStr">
        <is>
          <t>土、治疗、后排、增益</t>
        </is>
      </c>
      <c r="G79" s="28" t="inlineStr">
        <is>
          <t>宠物</t>
        </is>
      </c>
      <c r="H79" s="28" t="inlineStr">
        <is>
          <t>启用</t>
        </is>
      </c>
      <c r="I79" s="28" t="n">
        <v>3</v>
      </c>
      <c r="J79" s="28" t="inlineStr">
        <is>
          <t>pT2</t>
        </is>
      </c>
      <c r="K79" s="28" t="n">
        <v>4</v>
      </c>
      <c r="L79" s="28" t="inlineStr">
        <is>
          <t>44</t>
        </is>
      </c>
      <c r="M79" s="28" t="n">
        <v>65</v>
      </c>
      <c r="N79" s="28" t="n">
        <v>70</v>
      </c>
      <c r="O79" s="28" t="n">
        <v>65</v>
      </c>
      <c r="P79" s="28" t="n">
        <v>80</v>
      </c>
      <c r="Q79" s="28" t="n">
        <v>45</v>
      </c>
      <c r="R79" s="29" t="inlineStr">
        <is>
          <t>night_base, elem_土, role_治疗, tier_pT2</t>
        </is>
      </c>
      <c r="S79" s="29" t="inlineStr">
        <is>
          <t>reward_pT2</t>
        </is>
      </c>
      <c r="T79" s="28" t="inlineStr">
        <is>
          <t>44</t>
        </is>
      </c>
      <c r="U79" s="28" t="inlineStr">
        <is>
          <t>治疗补预算</t>
        </is>
      </c>
    </row>
    <row r="80" ht="22" customHeight="1">
      <c r="A80" s="28" t="inlineStr">
        <is>
          <t>pal_079</t>
        </is>
      </c>
      <c r="B80" s="29" t="inlineStr">
        <is>
          <t>焰巫狐</t>
        </is>
      </c>
      <c r="C80" s="29" t="inlineStr">
        <is>
          <t>火</t>
        </is>
      </c>
      <c r="D80" s="29" t="inlineStr">
        <is>
          <t>白银</t>
        </is>
      </c>
      <c r="E80" s="29" t="inlineStr">
        <is>
          <t>输出</t>
        </is>
      </c>
      <c r="F80" s="29" t="inlineStr">
        <is>
          <t>火、输出、爆发、前排</t>
        </is>
      </c>
      <c r="G80" s="28" t="inlineStr">
        <is>
          <t>宠物</t>
        </is>
      </c>
      <c r="H80" s="28" t="inlineStr">
        <is>
          <t>启用</t>
        </is>
      </c>
      <c r="I80" s="28" t="n">
        <v>3</v>
      </c>
      <c r="J80" s="28" t="inlineStr">
        <is>
          <t>pT2</t>
        </is>
      </c>
      <c r="K80" s="28" t="n">
        <v>4</v>
      </c>
      <c r="L80" s="28" t="inlineStr">
        <is>
          <t>44</t>
        </is>
      </c>
      <c r="M80" s="28" t="n">
        <v>65</v>
      </c>
      <c r="N80" s="28" t="n">
        <v>70</v>
      </c>
      <c r="O80" s="28" t="n">
        <v>65</v>
      </c>
      <c r="P80" s="28" t="n">
        <v>80</v>
      </c>
      <c r="Q80" s="28" t="n">
        <v>45</v>
      </c>
      <c r="R80" s="29" t="inlineStr">
        <is>
          <t>night_base, elem_火, role_输出, tier_pT2</t>
        </is>
      </c>
      <c r="S80" s="29" t="inlineStr">
        <is>
          <t>reward_pT2</t>
        </is>
      </c>
      <c r="T80" s="28" t="inlineStr">
        <is>
          <t>44</t>
        </is>
      </c>
      <c r="U80" s="28" t="inlineStr">
        <is>
          <t>44</t>
        </is>
      </c>
    </row>
    <row r="81" ht="22" customHeight="1">
      <c r="A81" s="28" t="inlineStr">
        <is>
          <t>pal_080</t>
        </is>
      </c>
      <c r="B81" s="29" t="inlineStr">
        <is>
          <t>踏春兔</t>
        </is>
      </c>
      <c r="C81" s="29" t="inlineStr">
        <is>
          <t>风</t>
        </is>
      </c>
      <c r="D81" s="29" t="inlineStr">
        <is>
          <t>白银</t>
        </is>
      </c>
      <c r="E81" s="29" t="inlineStr">
        <is>
          <t>治疗</t>
        </is>
      </c>
      <c r="F81" s="29" t="inlineStr">
        <is>
          <t>风、治疗、后排、增益</t>
        </is>
      </c>
      <c r="G81" s="28" t="inlineStr">
        <is>
          <t>宠物</t>
        </is>
      </c>
      <c r="H81" s="28" t="inlineStr">
        <is>
          <t>启用</t>
        </is>
      </c>
      <c r="I81" s="28" t="n">
        <v>3</v>
      </c>
      <c r="J81" s="28" t="inlineStr">
        <is>
          <t>pT2</t>
        </is>
      </c>
      <c r="K81" s="28" t="n">
        <v>4</v>
      </c>
      <c r="L81" s="28" t="inlineStr">
        <is>
          <t>44</t>
        </is>
      </c>
      <c r="M81" s="28" t="n">
        <v>65</v>
      </c>
      <c r="N81" s="28" t="n">
        <v>70</v>
      </c>
      <c r="O81" s="28" t="n">
        <v>65</v>
      </c>
      <c r="P81" s="28" t="n">
        <v>80</v>
      </c>
      <c r="Q81" s="28" t="n">
        <v>45</v>
      </c>
      <c r="R81" s="29" t="inlineStr">
        <is>
          <t>night_base, elem_风, role_治疗, tier_pT2</t>
        </is>
      </c>
      <c r="S81" s="29" t="inlineStr">
        <is>
          <t>reward_pT2</t>
        </is>
      </c>
      <c r="T81" s="28" t="inlineStr">
        <is>
          <t>44</t>
        </is>
      </c>
      <c r="U81" s="28" t="inlineStr">
        <is>
          <t>治疗补预算</t>
        </is>
      </c>
    </row>
    <row r="82" ht="22" customHeight="1">
      <c r="A82" s="28" t="inlineStr">
        <is>
          <t>pal_081</t>
        </is>
      </c>
      <c r="B82" s="29" t="inlineStr">
        <is>
          <t>薇莉塔</t>
        </is>
      </c>
      <c r="C82" s="29" t="inlineStr">
        <is>
          <t>风</t>
        </is>
      </c>
      <c r="D82" s="29" t="inlineStr">
        <is>
          <t>白银</t>
        </is>
      </c>
      <c r="E82" s="29" t="inlineStr">
        <is>
          <t>治疗</t>
        </is>
      </c>
      <c r="F82" s="29" t="inlineStr">
        <is>
          <t>风、治疗、后排、增益</t>
        </is>
      </c>
      <c r="G82" s="28" t="inlineStr">
        <is>
          <t>宠物</t>
        </is>
      </c>
      <c r="H82" s="28" t="inlineStr">
        <is>
          <t>启用</t>
        </is>
      </c>
      <c r="I82" s="28" t="n">
        <v>3</v>
      </c>
      <c r="J82" s="28" t="inlineStr">
        <is>
          <t>pT2</t>
        </is>
      </c>
      <c r="K82" s="28" t="n">
        <v>4</v>
      </c>
      <c r="L82" s="28" t="inlineStr">
        <is>
          <t>44</t>
        </is>
      </c>
      <c r="M82" s="28" t="n">
        <v>65</v>
      </c>
      <c r="N82" s="28" t="n">
        <v>70</v>
      </c>
      <c r="O82" s="28" t="n">
        <v>65</v>
      </c>
      <c r="P82" s="28" t="n">
        <v>80</v>
      </c>
      <c r="Q82" s="28" t="n">
        <v>45</v>
      </c>
      <c r="R82" s="29" t="inlineStr">
        <is>
          <t>night_base, elem_风, role_治疗, tier_pT2</t>
        </is>
      </c>
      <c r="S82" s="29" t="inlineStr">
        <is>
          <t>reward_pT2</t>
        </is>
      </c>
      <c r="T82" s="28" t="inlineStr">
        <is>
          <t>44</t>
        </is>
      </c>
      <c r="U82" s="28" t="inlineStr">
        <is>
          <t>治疗补预算</t>
        </is>
      </c>
    </row>
    <row r="83" ht="22" customHeight="1">
      <c r="A83" s="28" t="inlineStr">
        <is>
          <t>pal_082</t>
        </is>
      </c>
      <c r="B83" s="29" t="inlineStr">
        <is>
          <t>绸笠蛾</t>
        </is>
      </c>
      <c r="C83" s="29" t="inlineStr">
        <is>
          <t>水</t>
        </is>
      </c>
      <c r="D83" s="29" t="inlineStr">
        <is>
          <t>白银</t>
        </is>
      </c>
      <c r="E83" s="29" t="inlineStr">
        <is>
          <t>治疗</t>
        </is>
      </c>
      <c r="F83" s="29" t="inlineStr">
        <is>
          <t>水、治疗、后排、增益</t>
        </is>
      </c>
      <c r="G83" s="28" t="inlineStr">
        <is>
          <t>宠物</t>
        </is>
      </c>
      <c r="H83" s="28" t="inlineStr">
        <is>
          <t>启用</t>
        </is>
      </c>
      <c r="I83" s="28" t="n">
        <v>3</v>
      </c>
      <c r="J83" s="28" t="inlineStr">
        <is>
          <t>pT2</t>
        </is>
      </c>
      <c r="K83" s="28" t="n">
        <v>4</v>
      </c>
      <c r="L83" s="28" t="inlineStr">
        <is>
          <t>44</t>
        </is>
      </c>
      <c r="M83" s="28" t="n">
        <v>65</v>
      </c>
      <c r="N83" s="28" t="n">
        <v>70</v>
      </c>
      <c r="O83" s="28" t="n">
        <v>65</v>
      </c>
      <c r="P83" s="28" t="n">
        <v>80</v>
      </c>
      <c r="Q83" s="28" t="n">
        <v>45</v>
      </c>
      <c r="R83" s="29" t="inlineStr">
        <is>
          <t>night_base, elem_水, role_治疗, tier_pT2</t>
        </is>
      </c>
      <c r="S83" s="29" t="inlineStr">
        <is>
          <t>reward_pT2</t>
        </is>
      </c>
      <c r="T83" s="28" t="inlineStr">
        <is>
          <t>44</t>
        </is>
      </c>
      <c r="U83" s="28" t="inlineStr">
        <is>
          <t>治疗补预算</t>
        </is>
      </c>
    </row>
    <row r="84" ht="22" customHeight="1">
      <c r="A84" s="28" t="inlineStr">
        <is>
          <t>pal_083</t>
        </is>
      </c>
      <c r="B84" s="29" t="inlineStr">
        <is>
          <t>精灵龙</t>
        </is>
      </c>
      <c r="C84" s="29" t="inlineStr">
        <is>
          <t>风</t>
        </is>
      </c>
      <c r="D84" s="29" t="inlineStr">
        <is>
          <t>白银</t>
        </is>
      </c>
      <c r="E84" s="29" t="inlineStr">
        <is>
          <t>召唤</t>
        </is>
      </c>
      <c r="F84" s="29" t="inlineStr">
        <is>
          <t>风、召唤、成长、核心</t>
        </is>
      </c>
      <c r="G84" s="28" t="inlineStr">
        <is>
          <t>宠物</t>
        </is>
      </c>
      <c r="H84" s="28" t="inlineStr">
        <is>
          <t>启用</t>
        </is>
      </c>
      <c r="I84" s="28" t="n">
        <v>3</v>
      </c>
      <c r="J84" s="28" t="inlineStr">
        <is>
          <t>pT2</t>
        </is>
      </c>
      <c r="K84" s="28" t="n">
        <v>4</v>
      </c>
      <c r="L84" s="28" t="inlineStr">
        <is>
          <t>44</t>
        </is>
      </c>
      <c r="M84" s="28" t="n">
        <v>65</v>
      </c>
      <c r="N84" s="28" t="n">
        <v>70</v>
      </c>
      <c r="O84" s="28" t="n">
        <v>65</v>
      </c>
      <c r="P84" s="28" t="n">
        <v>80</v>
      </c>
      <c r="Q84" s="28" t="n">
        <v>45</v>
      </c>
      <c r="R84" s="29" t="inlineStr">
        <is>
          <t>night_base, elem_风, role_召唤, tier_pT2</t>
        </is>
      </c>
      <c r="S84" s="29" t="inlineStr">
        <is>
          <t>reward_pT2</t>
        </is>
      </c>
      <c r="T84" s="28" t="inlineStr">
        <is>
          <t>44</t>
        </is>
      </c>
      <c r="U84" s="28" t="inlineStr">
        <is>
          <t>召唤补预算</t>
        </is>
      </c>
    </row>
    <row r="85" ht="22" customHeight="1">
      <c r="A85" s="28" t="inlineStr">
        <is>
          <t>pal_084</t>
        </is>
      </c>
      <c r="B85" s="29" t="inlineStr">
        <is>
          <t>水灵龙</t>
        </is>
      </c>
      <c r="C85" s="29" t="inlineStr">
        <is>
          <t>水</t>
        </is>
      </c>
      <c r="D85" s="29" t="inlineStr">
        <is>
          <t>白银</t>
        </is>
      </c>
      <c r="E85" s="29" t="inlineStr">
        <is>
          <t>治疗</t>
        </is>
      </c>
      <c r="F85" s="29" t="inlineStr">
        <is>
          <t>水、治疗、后排、增益</t>
        </is>
      </c>
      <c r="G85" s="28" t="inlineStr">
        <is>
          <t>宠物</t>
        </is>
      </c>
      <c r="H85" s="28" t="inlineStr">
        <is>
          <t>启用</t>
        </is>
      </c>
      <c r="I85" s="28" t="n">
        <v>3</v>
      </c>
      <c r="J85" s="28" t="inlineStr">
        <is>
          <t>pT2</t>
        </is>
      </c>
      <c r="K85" s="28" t="n">
        <v>4</v>
      </c>
      <c r="L85" s="28" t="inlineStr">
        <is>
          <t>44</t>
        </is>
      </c>
      <c r="M85" s="28" t="n">
        <v>65</v>
      </c>
      <c r="N85" s="28" t="n">
        <v>70</v>
      </c>
      <c r="O85" s="28" t="n">
        <v>65</v>
      </c>
      <c r="P85" s="28" t="n">
        <v>80</v>
      </c>
      <c r="Q85" s="28" t="n">
        <v>45</v>
      </c>
      <c r="R85" s="29" t="inlineStr">
        <is>
          <t>night_base, elem_水, role_治疗, tier_pT2</t>
        </is>
      </c>
      <c r="S85" s="29" t="inlineStr">
        <is>
          <t>reward_pT2</t>
        </is>
      </c>
      <c r="T85" s="28" t="inlineStr">
        <is>
          <t>44</t>
        </is>
      </c>
      <c r="U85" s="28" t="inlineStr">
        <is>
          <t>治疗补预算</t>
        </is>
      </c>
    </row>
    <row r="86" ht="22" customHeight="1">
      <c r="A86" s="28" t="inlineStr">
        <is>
          <t>pal_085</t>
        </is>
      </c>
      <c r="B86" s="29" t="inlineStr">
        <is>
          <t>水灵儿</t>
        </is>
      </c>
      <c r="C86" s="29" t="inlineStr">
        <is>
          <t>水</t>
        </is>
      </c>
      <c r="D86" s="29" t="inlineStr">
        <is>
          <t>白银</t>
        </is>
      </c>
      <c r="E86" s="29" t="inlineStr">
        <is>
          <t>治疗</t>
        </is>
      </c>
      <c r="F86" s="29" t="inlineStr">
        <is>
          <t>水、治疗、后排、增益</t>
        </is>
      </c>
      <c r="G86" s="28" t="inlineStr">
        <is>
          <t>宠物</t>
        </is>
      </c>
      <c r="H86" s="28" t="inlineStr">
        <is>
          <t>启用</t>
        </is>
      </c>
      <c r="I86" s="28" t="n">
        <v>3</v>
      </c>
      <c r="J86" s="28" t="inlineStr">
        <is>
          <t>pT2</t>
        </is>
      </c>
      <c r="K86" s="28" t="n">
        <v>4</v>
      </c>
      <c r="L86" s="28" t="inlineStr">
        <is>
          <t>44</t>
        </is>
      </c>
      <c r="M86" s="28" t="n">
        <v>65</v>
      </c>
      <c r="N86" s="28" t="n">
        <v>70</v>
      </c>
      <c r="O86" s="28" t="n">
        <v>65</v>
      </c>
      <c r="P86" s="28" t="n">
        <v>80</v>
      </c>
      <c r="Q86" s="28" t="n">
        <v>45</v>
      </c>
      <c r="R86" s="29" t="inlineStr">
        <is>
          <t>night_base, elem_水, role_治疗, tier_pT2</t>
        </is>
      </c>
      <c r="S86" s="29" t="inlineStr">
        <is>
          <t>reward_pT2</t>
        </is>
      </c>
      <c r="T86" s="28" t="inlineStr">
        <is>
          <t>44</t>
        </is>
      </c>
      <c r="U86" s="28" t="inlineStr">
        <is>
          <t>治疗补预算</t>
        </is>
      </c>
    </row>
    <row r="87" ht="22" customHeight="1">
      <c r="A87" s="28" t="inlineStr">
        <is>
          <t>pal_086</t>
        </is>
      </c>
      <c r="B87" s="29" t="inlineStr">
        <is>
          <t>火灵儿</t>
        </is>
      </c>
      <c r="C87" s="29" t="inlineStr">
        <is>
          <t>火</t>
        </is>
      </c>
      <c r="D87" s="29" t="inlineStr">
        <is>
          <t>白银</t>
        </is>
      </c>
      <c r="E87" s="29" t="inlineStr">
        <is>
          <t>输出</t>
        </is>
      </c>
      <c r="F87" s="29" t="inlineStr">
        <is>
          <t>火、输出、爆发、前排</t>
        </is>
      </c>
      <c r="G87" s="28" t="inlineStr">
        <is>
          <t>宠物</t>
        </is>
      </c>
      <c r="H87" s="28" t="inlineStr">
        <is>
          <t>启用</t>
        </is>
      </c>
      <c r="I87" s="28" t="n">
        <v>3</v>
      </c>
      <c r="J87" s="28" t="inlineStr">
        <is>
          <t>pT2</t>
        </is>
      </c>
      <c r="K87" s="28" t="n">
        <v>4</v>
      </c>
      <c r="L87" s="28" t="inlineStr">
        <is>
          <t>44</t>
        </is>
      </c>
      <c r="M87" s="28" t="n">
        <v>65</v>
      </c>
      <c r="N87" s="28" t="n">
        <v>70</v>
      </c>
      <c r="O87" s="28" t="n">
        <v>65</v>
      </c>
      <c r="P87" s="28" t="n">
        <v>80</v>
      </c>
      <c r="Q87" s="28" t="n">
        <v>45</v>
      </c>
      <c r="R87" s="29" t="inlineStr">
        <is>
          <t>night_base, elem_火, role_输出, tier_pT2</t>
        </is>
      </c>
      <c r="S87" s="29" t="inlineStr">
        <is>
          <t>reward_pT2</t>
        </is>
      </c>
      <c r="T87" s="28" t="inlineStr">
        <is>
          <t>44</t>
        </is>
      </c>
      <c r="U87" s="28" t="inlineStr">
        <is>
          <t>44</t>
        </is>
      </c>
    </row>
    <row r="88" ht="22" customHeight="1">
      <c r="A88" s="28" t="inlineStr">
        <is>
          <t>pal_087</t>
        </is>
      </c>
      <c r="B88" s="29" t="inlineStr">
        <is>
          <t>碧海龙</t>
        </is>
      </c>
      <c r="C88" s="29" t="inlineStr">
        <is>
          <t>水</t>
        </is>
      </c>
      <c r="D88" s="29" t="inlineStr">
        <is>
          <t>白银</t>
        </is>
      </c>
      <c r="E88" s="29" t="inlineStr">
        <is>
          <t>治疗</t>
        </is>
      </c>
      <c r="F88" s="29" t="inlineStr">
        <is>
          <t>水、治疗、后排、增益</t>
        </is>
      </c>
      <c r="G88" s="28" t="inlineStr">
        <is>
          <t>宠物</t>
        </is>
      </c>
      <c r="H88" s="28" t="inlineStr">
        <is>
          <t>启用</t>
        </is>
      </c>
      <c r="I88" s="28" t="n">
        <v>3</v>
      </c>
      <c r="J88" s="28" t="inlineStr">
        <is>
          <t>pT2</t>
        </is>
      </c>
      <c r="K88" s="28" t="n">
        <v>4</v>
      </c>
      <c r="L88" s="28" t="inlineStr">
        <is>
          <t>44</t>
        </is>
      </c>
      <c r="M88" s="28" t="n">
        <v>65</v>
      </c>
      <c r="N88" s="28" t="n">
        <v>70</v>
      </c>
      <c r="O88" s="28" t="n">
        <v>65</v>
      </c>
      <c r="P88" s="28" t="n">
        <v>80</v>
      </c>
      <c r="Q88" s="28" t="n">
        <v>45</v>
      </c>
      <c r="R88" s="29" t="inlineStr">
        <is>
          <t>night_base, elem_水, role_治疗, tier_pT2</t>
        </is>
      </c>
      <c r="S88" s="29" t="inlineStr">
        <is>
          <t>reward_pT2</t>
        </is>
      </c>
      <c r="T88" s="28" t="inlineStr">
        <is>
          <t>44</t>
        </is>
      </c>
      <c r="U88" s="28" t="inlineStr">
        <is>
          <t>治疗补预算</t>
        </is>
      </c>
    </row>
    <row r="89" ht="22" customHeight="1">
      <c r="A89" s="28" t="inlineStr">
        <is>
          <t>pal_088</t>
        </is>
      </c>
      <c r="B89" s="29" t="inlineStr">
        <is>
          <t>冰棘兽</t>
        </is>
      </c>
      <c r="C89" s="29" t="inlineStr">
        <is>
          <t>水</t>
        </is>
      </c>
      <c r="D89" s="29" t="inlineStr">
        <is>
          <t>白银</t>
        </is>
      </c>
      <c r="E89" s="29" t="inlineStr">
        <is>
          <t>坦克</t>
        </is>
      </c>
      <c r="F89" s="29" t="inlineStr">
        <is>
          <t>水、防御、前排、阻挡</t>
        </is>
      </c>
      <c r="G89" s="28" t="inlineStr">
        <is>
          <t>宠物</t>
        </is>
      </c>
      <c r="H89" s="28" t="inlineStr">
        <is>
          <t>启用</t>
        </is>
      </c>
      <c r="I89" s="28" t="n">
        <v>3</v>
      </c>
      <c r="J89" s="28" t="inlineStr">
        <is>
          <t>pT2</t>
        </is>
      </c>
      <c r="K89" s="28" t="n">
        <v>4</v>
      </c>
      <c r="L89" s="28" t="inlineStr">
        <is>
          <t>44</t>
        </is>
      </c>
      <c r="M89" s="28" t="n">
        <v>65</v>
      </c>
      <c r="N89" s="28" t="n">
        <v>70</v>
      </c>
      <c r="O89" s="28" t="n">
        <v>65</v>
      </c>
      <c r="P89" s="28" t="n">
        <v>80</v>
      </c>
      <c r="Q89" s="28" t="n">
        <v>45</v>
      </c>
      <c r="R89" s="29" t="inlineStr">
        <is>
          <t>night_base, elem_水, role_坦克, tier_pT2</t>
        </is>
      </c>
      <c r="S89" s="29" t="inlineStr">
        <is>
          <t>reward_pT2</t>
        </is>
      </c>
      <c r="T89" s="28" t="inlineStr">
        <is>
          <t>44</t>
        </is>
      </c>
      <c r="U89" s="28" t="inlineStr">
        <is>
          <t>旧定位=防御</t>
        </is>
      </c>
    </row>
    <row r="90" ht="22" customHeight="1">
      <c r="A90" s="28" t="inlineStr">
        <is>
          <t>pal_089</t>
        </is>
      </c>
      <c r="B90" s="29" t="inlineStr">
        <is>
          <t>狱焰王</t>
        </is>
      </c>
      <c r="C90" s="29" t="inlineStr">
        <is>
          <t>火</t>
        </is>
      </c>
      <c r="D90" s="29" t="inlineStr">
        <is>
          <t>白银</t>
        </is>
      </c>
      <c r="E90" s="29" t="inlineStr">
        <is>
          <t>输出</t>
        </is>
      </c>
      <c r="F90" s="29" t="inlineStr">
        <is>
          <t>火、输出、爆发、前排</t>
        </is>
      </c>
      <c r="G90" s="28" t="inlineStr">
        <is>
          <t>宠物</t>
        </is>
      </c>
      <c r="H90" s="28" t="inlineStr">
        <is>
          <t>启用</t>
        </is>
      </c>
      <c r="I90" s="28" t="n">
        <v>3</v>
      </c>
      <c r="J90" s="28" t="inlineStr">
        <is>
          <t>pT2</t>
        </is>
      </c>
      <c r="K90" s="28" t="n">
        <v>4</v>
      </c>
      <c r="L90" s="28" t="inlineStr">
        <is>
          <t>44</t>
        </is>
      </c>
      <c r="M90" s="28" t="n">
        <v>65</v>
      </c>
      <c r="N90" s="28" t="n">
        <v>70</v>
      </c>
      <c r="O90" s="28" t="n">
        <v>65</v>
      </c>
      <c r="P90" s="28" t="n">
        <v>80</v>
      </c>
      <c r="Q90" s="28" t="n">
        <v>45</v>
      </c>
      <c r="R90" s="29" t="inlineStr">
        <is>
          <t>night_base, elem_火, role_输出, tier_pT2</t>
        </is>
      </c>
      <c r="S90" s="29" t="inlineStr">
        <is>
          <t>reward_pT2</t>
        </is>
      </c>
      <c r="T90" s="28" t="inlineStr">
        <is>
          <t>44</t>
        </is>
      </c>
      <c r="U90" s="28" t="inlineStr">
        <is>
          <t>44</t>
        </is>
      </c>
    </row>
    <row r="91" ht="22" customHeight="1">
      <c r="A91" s="28" t="inlineStr">
        <is>
          <t>pal_090</t>
        </is>
      </c>
      <c r="B91" s="29" t="inlineStr">
        <is>
          <t>狱阎王</t>
        </is>
      </c>
      <c r="C91" s="29" t="inlineStr">
        <is>
          <t>火</t>
        </is>
      </c>
      <c r="D91" s="29" t="inlineStr">
        <is>
          <t>白银</t>
        </is>
      </c>
      <c r="E91" s="29" t="inlineStr">
        <is>
          <t>输出</t>
        </is>
      </c>
      <c r="F91" s="29" t="inlineStr">
        <is>
          <t>火、输出、爆发、前排</t>
        </is>
      </c>
      <c r="G91" s="28" t="inlineStr">
        <is>
          <t>宠物</t>
        </is>
      </c>
      <c r="H91" s="28" t="inlineStr">
        <is>
          <t>启用</t>
        </is>
      </c>
      <c r="I91" s="28" t="n">
        <v>3</v>
      </c>
      <c r="J91" s="28" t="inlineStr">
        <is>
          <t>pT2</t>
        </is>
      </c>
      <c r="K91" s="28" t="n">
        <v>4</v>
      </c>
      <c r="L91" s="28" t="inlineStr">
        <is>
          <t>44</t>
        </is>
      </c>
      <c r="M91" s="28" t="n">
        <v>65</v>
      </c>
      <c r="N91" s="28" t="n">
        <v>70</v>
      </c>
      <c r="O91" s="28" t="n">
        <v>65</v>
      </c>
      <c r="P91" s="28" t="n">
        <v>80</v>
      </c>
      <c r="Q91" s="28" t="n">
        <v>45</v>
      </c>
      <c r="R91" s="29" t="inlineStr">
        <is>
          <t>night_base, elem_火, role_输出, tier_pT2</t>
        </is>
      </c>
      <c r="S91" s="29" t="inlineStr">
        <is>
          <t>reward_pT2</t>
        </is>
      </c>
      <c r="T91" s="28" t="inlineStr">
        <is>
          <t>44</t>
        </is>
      </c>
      <c r="U91" s="28" t="inlineStr">
        <is>
          <t>44</t>
        </is>
      </c>
    </row>
    <row r="92" ht="22" customHeight="1">
      <c r="A92" s="28" t="inlineStr">
        <is>
          <t>pal_091</t>
        </is>
      </c>
      <c r="B92" s="29" t="inlineStr">
        <is>
          <t>佩克龙</t>
        </is>
      </c>
      <c r="C92" s="29" t="inlineStr">
        <is>
          <t>水</t>
        </is>
      </c>
      <c r="D92" s="29" t="inlineStr">
        <is>
          <t>白银</t>
        </is>
      </c>
      <c r="E92" s="29" t="inlineStr">
        <is>
          <t>坦克</t>
        </is>
      </c>
      <c r="F92" s="29" t="inlineStr">
        <is>
          <t>水、防御、前排、阻挡</t>
        </is>
      </c>
      <c r="G92" s="28" t="inlineStr">
        <is>
          <t>宠物</t>
        </is>
      </c>
      <c r="H92" s="28" t="inlineStr">
        <is>
          <t>启用</t>
        </is>
      </c>
      <c r="I92" s="28" t="n">
        <v>3</v>
      </c>
      <c r="J92" s="28" t="inlineStr">
        <is>
          <t>pT2</t>
        </is>
      </c>
      <c r="K92" s="28" t="n">
        <v>4</v>
      </c>
      <c r="L92" s="28" t="inlineStr">
        <is>
          <t>44</t>
        </is>
      </c>
      <c r="M92" s="28" t="n">
        <v>65</v>
      </c>
      <c r="N92" s="28" t="n">
        <v>70</v>
      </c>
      <c r="O92" s="28" t="n">
        <v>65</v>
      </c>
      <c r="P92" s="28" t="n">
        <v>80</v>
      </c>
      <c r="Q92" s="28" t="n">
        <v>45</v>
      </c>
      <c r="R92" s="29" t="inlineStr">
        <is>
          <t>night_base, elem_水, role_坦克, tier_pT2</t>
        </is>
      </c>
      <c r="S92" s="29" t="inlineStr">
        <is>
          <t>reward_pT2</t>
        </is>
      </c>
      <c r="T92" s="28" t="inlineStr">
        <is>
          <t>44</t>
        </is>
      </c>
      <c r="U92" s="28" t="inlineStr">
        <is>
          <t>旧定位=防御</t>
        </is>
      </c>
    </row>
    <row r="93" ht="22" customHeight="1">
      <c r="A93" s="28" t="inlineStr">
        <is>
          <t>pal_092</t>
        </is>
      </c>
      <c r="B93" s="29" t="inlineStr">
        <is>
          <t>派克龙</t>
        </is>
      </c>
      <c r="C93" s="29" t="inlineStr">
        <is>
          <t>风</t>
        </is>
      </c>
      <c r="D93" s="29" t="inlineStr">
        <is>
          <t>白银</t>
        </is>
      </c>
      <c r="E93" s="29" t="inlineStr">
        <is>
          <t>控制</t>
        </is>
      </c>
      <c r="F93" s="29" t="inlineStr">
        <is>
          <t>风、牵制、范围、机动</t>
        </is>
      </c>
      <c r="G93" s="28" t="inlineStr">
        <is>
          <t>宠物</t>
        </is>
      </c>
      <c r="H93" s="28" t="inlineStr">
        <is>
          <t>启用</t>
        </is>
      </c>
      <c r="I93" s="28" t="n">
        <v>3</v>
      </c>
      <c r="J93" s="28" t="inlineStr">
        <is>
          <t>pT2</t>
        </is>
      </c>
      <c r="K93" s="28" t="n">
        <v>4</v>
      </c>
      <c r="L93" s="28" t="inlineStr">
        <is>
          <t>44</t>
        </is>
      </c>
      <c r="M93" s="28" t="n">
        <v>65</v>
      </c>
      <c r="N93" s="28" t="n">
        <v>70</v>
      </c>
      <c r="O93" s="28" t="n">
        <v>65</v>
      </c>
      <c r="P93" s="28" t="n">
        <v>80</v>
      </c>
      <c r="Q93" s="28" t="n">
        <v>45</v>
      </c>
      <c r="R93" s="29" t="inlineStr">
        <is>
          <t>night_base, elem_风, role_控制, tier_pT2</t>
        </is>
      </c>
      <c r="S93" s="29" t="inlineStr">
        <is>
          <t>reward_pT2</t>
        </is>
      </c>
      <c r="T93" s="28" t="inlineStr">
        <is>
          <t>44</t>
        </is>
      </c>
      <c r="U93" s="28" t="inlineStr">
        <is>
          <t>旧定位=牵制；控制补预算</t>
        </is>
      </c>
    </row>
    <row r="94" ht="22" customHeight="1">
      <c r="A94" s="28" t="inlineStr">
        <is>
          <t>pal_093</t>
        </is>
      </c>
      <c r="B94" s="29" t="inlineStr">
        <is>
          <t>连理龙</t>
        </is>
      </c>
      <c r="C94" s="29" t="inlineStr">
        <is>
          <t>风</t>
        </is>
      </c>
      <c r="D94" s="29" t="inlineStr">
        <is>
          <t>白银</t>
        </is>
      </c>
      <c r="E94" s="29" t="inlineStr">
        <is>
          <t>召唤</t>
        </is>
      </c>
      <c r="F94" s="29" t="inlineStr">
        <is>
          <t>风、召唤、成长、核心</t>
        </is>
      </c>
      <c r="G94" s="28" t="inlineStr">
        <is>
          <t>宠物</t>
        </is>
      </c>
      <c r="H94" s="28" t="inlineStr">
        <is>
          <t>启用</t>
        </is>
      </c>
      <c r="I94" s="28" t="n">
        <v>3</v>
      </c>
      <c r="J94" s="28" t="inlineStr">
        <is>
          <t>pT2</t>
        </is>
      </c>
      <c r="K94" s="28" t="n">
        <v>4</v>
      </c>
      <c r="L94" s="28" t="inlineStr">
        <is>
          <t>44</t>
        </is>
      </c>
      <c r="M94" s="28" t="n">
        <v>65</v>
      </c>
      <c r="N94" s="28" t="n">
        <v>70</v>
      </c>
      <c r="O94" s="28" t="n">
        <v>65</v>
      </c>
      <c r="P94" s="28" t="n">
        <v>80</v>
      </c>
      <c r="Q94" s="28" t="n">
        <v>45</v>
      </c>
      <c r="R94" s="29" t="inlineStr">
        <is>
          <t>night_base, elem_风, role_召唤, tier_pT2</t>
        </is>
      </c>
      <c r="S94" s="29" t="inlineStr">
        <is>
          <t>reward_pT2</t>
        </is>
      </c>
      <c r="T94" s="28" t="inlineStr">
        <is>
          <t>44</t>
        </is>
      </c>
      <c r="U94" s="28" t="inlineStr">
        <is>
          <t>召唤补预算</t>
        </is>
      </c>
    </row>
    <row r="95" ht="22" customHeight="1">
      <c r="A95" s="28" t="inlineStr">
        <is>
          <t>pal_094</t>
        </is>
      </c>
      <c r="B95" s="29" t="inlineStr">
        <is>
          <t>海誓龙</t>
        </is>
      </c>
      <c r="C95" s="29" t="inlineStr">
        <is>
          <t>水</t>
        </is>
      </c>
      <c r="D95" s="29" t="inlineStr">
        <is>
          <t>白银</t>
        </is>
      </c>
      <c r="E95" s="29" t="inlineStr">
        <is>
          <t>治疗</t>
        </is>
      </c>
      <c r="F95" s="29" t="inlineStr">
        <is>
          <t>水、治疗、后排、增益</t>
        </is>
      </c>
      <c r="G95" s="28" t="inlineStr">
        <is>
          <t>宠物</t>
        </is>
      </c>
      <c r="H95" s="28" t="inlineStr">
        <is>
          <t>启用</t>
        </is>
      </c>
      <c r="I95" s="28" t="n">
        <v>3</v>
      </c>
      <c r="J95" s="28" t="inlineStr">
        <is>
          <t>pT2</t>
        </is>
      </c>
      <c r="K95" s="28" t="n">
        <v>4</v>
      </c>
      <c r="L95" s="28" t="inlineStr">
        <is>
          <t>44</t>
        </is>
      </c>
      <c r="M95" s="28" t="n">
        <v>65</v>
      </c>
      <c r="N95" s="28" t="n">
        <v>70</v>
      </c>
      <c r="O95" s="28" t="n">
        <v>65</v>
      </c>
      <c r="P95" s="28" t="n">
        <v>80</v>
      </c>
      <c r="Q95" s="28" t="n">
        <v>45</v>
      </c>
      <c r="R95" s="29" t="inlineStr">
        <is>
          <t>night_base, elem_水, role_治疗, tier_pT2</t>
        </is>
      </c>
      <c r="S95" s="29" t="inlineStr">
        <is>
          <t>reward_pT2</t>
        </is>
      </c>
      <c r="T95" s="28" t="inlineStr">
        <is>
          <t>44</t>
        </is>
      </c>
      <c r="U95" s="28" t="inlineStr">
        <is>
          <t>治疗补预算</t>
        </is>
      </c>
    </row>
    <row r="96" ht="22" customHeight="1">
      <c r="A96" s="28" t="inlineStr">
        <is>
          <t>pal_095</t>
        </is>
      </c>
      <c r="B96" s="29" t="inlineStr">
        <is>
          <t>花丽娜</t>
        </is>
      </c>
      <c r="C96" s="29" t="inlineStr">
        <is>
          <t>风</t>
        </is>
      </c>
      <c r="D96" s="29" t="inlineStr">
        <is>
          <t>白银</t>
        </is>
      </c>
      <c r="E96" s="29" t="inlineStr">
        <is>
          <t>治疗</t>
        </is>
      </c>
      <c r="F96" s="29" t="inlineStr">
        <is>
          <t>风、治疗、后排、增益</t>
        </is>
      </c>
      <c r="G96" s="28" t="inlineStr">
        <is>
          <t>宠物</t>
        </is>
      </c>
      <c r="H96" s="28" t="inlineStr">
        <is>
          <t>启用</t>
        </is>
      </c>
      <c r="I96" s="28" t="n">
        <v>3</v>
      </c>
      <c r="J96" s="28" t="inlineStr">
        <is>
          <t>pT2</t>
        </is>
      </c>
      <c r="K96" s="28" t="n">
        <v>4</v>
      </c>
      <c r="L96" s="28" t="inlineStr">
        <is>
          <t>44</t>
        </is>
      </c>
      <c r="M96" s="28" t="n">
        <v>65</v>
      </c>
      <c r="N96" s="28" t="n">
        <v>70</v>
      </c>
      <c r="O96" s="28" t="n">
        <v>65</v>
      </c>
      <c r="P96" s="28" t="n">
        <v>80</v>
      </c>
      <c r="Q96" s="28" t="n">
        <v>45</v>
      </c>
      <c r="R96" s="29" t="inlineStr">
        <is>
          <t>night_base, elem_风, role_治疗, tier_pT2</t>
        </is>
      </c>
      <c r="S96" s="29" t="inlineStr">
        <is>
          <t>reward_pT2</t>
        </is>
      </c>
      <c r="T96" s="28" t="inlineStr">
        <is>
          <t>44</t>
        </is>
      </c>
      <c r="U96" s="28" t="inlineStr">
        <is>
          <t>治疗补预算</t>
        </is>
      </c>
    </row>
    <row r="97" ht="22" customHeight="1">
      <c r="A97" s="28" t="inlineStr">
        <is>
          <t>pal_096</t>
        </is>
      </c>
      <c r="B97" s="29" t="inlineStr">
        <is>
          <t>熔岩兽</t>
        </is>
      </c>
      <c r="C97" s="29" t="inlineStr">
        <is>
          <t>火</t>
        </is>
      </c>
      <c r="D97" s="29" t="inlineStr">
        <is>
          <t>白银</t>
        </is>
      </c>
      <c r="E97" s="29" t="inlineStr">
        <is>
          <t>坦克</t>
        </is>
      </c>
      <c r="F97" s="29" t="inlineStr">
        <is>
          <t>火、防御、前排、阻挡</t>
        </is>
      </c>
      <c r="G97" s="28" t="inlineStr">
        <is>
          <t>宠物</t>
        </is>
      </c>
      <c r="H97" s="28" t="inlineStr">
        <is>
          <t>启用</t>
        </is>
      </c>
      <c r="I97" s="28" t="n">
        <v>3</v>
      </c>
      <c r="J97" s="28" t="inlineStr">
        <is>
          <t>pT2</t>
        </is>
      </c>
      <c r="K97" s="28" t="n">
        <v>4</v>
      </c>
      <c r="L97" s="28" t="inlineStr">
        <is>
          <t>44</t>
        </is>
      </c>
      <c r="M97" s="28" t="n">
        <v>65</v>
      </c>
      <c r="N97" s="28" t="n">
        <v>70</v>
      </c>
      <c r="O97" s="28" t="n">
        <v>65</v>
      </c>
      <c r="P97" s="28" t="n">
        <v>80</v>
      </c>
      <c r="Q97" s="28" t="n">
        <v>45</v>
      </c>
      <c r="R97" s="29" t="inlineStr">
        <is>
          <t>night_base, elem_火, role_坦克, tier_pT2</t>
        </is>
      </c>
      <c r="S97" s="29" t="inlineStr">
        <is>
          <t>reward_pT2</t>
        </is>
      </c>
      <c r="T97" s="28" t="inlineStr">
        <is>
          <t>44</t>
        </is>
      </c>
      <c r="U97" s="28" t="inlineStr">
        <is>
          <t>旧定位=防御</t>
        </is>
      </c>
    </row>
    <row r="98" ht="22" customHeight="1">
      <c r="A98" s="28" t="inlineStr">
        <is>
          <t>pal_097</t>
        </is>
      </c>
      <c r="B98" s="29" t="inlineStr">
        <is>
          <t>寒霜兽</t>
        </is>
      </c>
      <c r="C98" s="29" t="inlineStr">
        <is>
          <t>水</t>
        </is>
      </c>
      <c r="D98" s="29" t="inlineStr">
        <is>
          <t>白银</t>
        </is>
      </c>
      <c r="E98" s="29" t="inlineStr">
        <is>
          <t>坦克</t>
        </is>
      </c>
      <c r="F98" s="29" t="inlineStr">
        <is>
          <t>水、防御、前排、阻挡</t>
        </is>
      </c>
      <c r="G98" s="28" t="inlineStr">
        <is>
          <t>宠物</t>
        </is>
      </c>
      <c r="H98" s="28" t="inlineStr">
        <is>
          <t>启用</t>
        </is>
      </c>
      <c r="I98" s="28" t="n">
        <v>3</v>
      </c>
      <c r="J98" s="28" t="inlineStr">
        <is>
          <t>pT2</t>
        </is>
      </c>
      <c r="K98" s="28" t="n">
        <v>4</v>
      </c>
      <c r="L98" s="28" t="inlineStr">
        <is>
          <t>44</t>
        </is>
      </c>
      <c r="M98" s="28" t="n">
        <v>65</v>
      </c>
      <c r="N98" s="28" t="n">
        <v>70</v>
      </c>
      <c r="O98" s="28" t="n">
        <v>65</v>
      </c>
      <c r="P98" s="28" t="n">
        <v>80</v>
      </c>
      <c r="Q98" s="28" t="n">
        <v>45</v>
      </c>
      <c r="R98" s="29" t="inlineStr">
        <is>
          <t>night_base, elem_水, role_坦克, tier_pT2</t>
        </is>
      </c>
      <c r="S98" s="29" t="inlineStr">
        <is>
          <t>reward_pT2</t>
        </is>
      </c>
      <c r="T98" s="28" t="inlineStr">
        <is>
          <t>44</t>
        </is>
      </c>
      <c r="U98" s="28" t="inlineStr">
        <is>
          <t>旧定位=防御</t>
        </is>
      </c>
    </row>
    <row r="99" ht="22" customHeight="1">
      <c r="A99" s="28" t="inlineStr">
        <is>
          <t>pal_098</t>
        </is>
      </c>
      <c r="B99" s="29" t="inlineStr">
        <is>
          <t>君王美露帕</t>
        </is>
      </c>
      <c r="C99" s="29" t="inlineStr">
        <is>
          <t>风</t>
        </is>
      </c>
      <c r="D99" s="29" t="inlineStr">
        <is>
          <t>白银</t>
        </is>
      </c>
      <c r="E99" s="29" t="inlineStr">
        <is>
          <t>经济</t>
        </is>
      </c>
      <c r="F99" s="29" t="inlineStr">
        <is>
          <t>风、经济、召唤、发育</t>
        </is>
      </c>
      <c r="G99" s="28" t="inlineStr">
        <is>
          <t>宠物</t>
        </is>
      </c>
      <c r="H99" s="28" t="inlineStr">
        <is>
          <t>启用</t>
        </is>
      </c>
      <c r="I99" s="28" t="n">
        <v>3</v>
      </c>
      <c r="J99" s="28" t="inlineStr">
        <is>
          <t>pT2</t>
        </is>
      </c>
      <c r="K99" s="28" t="n">
        <v>4</v>
      </c>
      <c r="L99" s="28" t="inlineStr">
        <is>
          <t>44</t>
        </is>
      </c>
      <c r="M99" s="28" t="n">
        <v>65</v>
      </c>
      <c r="N99" s="28" t="n">
        <v>70</v>
      </c>
      <c r="O99" s="28" t="n">
        <v>65</v>
      </c>
      <c r="P99" s="28" t="n">
        <v>80</v>
      </c>
      <c r="Q99" s="28" t="n">
        <v>45</v>
      </c>
      <c r="R99" s="29" t="inlineStr">
        <is>
          <t>night_base, elem_风, role_经济, tier_pT2</t>
        </is>
      </c>
      <c r="S99" s="29" t="inlineStr">
        <is>
          <t>reward_pT2</t>
        </is>
      </c>
      <c r="T99" s="28" t="inlineStr">
        <is>
          <t>44</t>
        </is>
      </c>
      <c r="U99" s="28" t="inlineStr">
        <is>
          <t>经济补预算</t>
        </is>
      </c>
    </row>
    <row r="100" ht="22" customHeight="1">
      <c r="A100" s="28" t="inlineStr">
        <is>
          <t>pal_099</t>
        </is>
      </c>
      <c r="B100" s="29" t="inlineStr">
        <is>
          <t>冰帝美露帕</t>
        </is>
      </c>
      <c r="C100" s="29" t="inlineStr">
        <is>
          <t>水</t>
        </is>
      </c>
      <c r="D100" s="29" t="inlineStr">
        <is>
          <t>白银</t>
        </is>
      </c>
      <c r="E100" s="29" t="inlineStr">
        <is>
          <t>坦克</t>
        </is>
      </c>
      <c r="F100" s="29" t="inlineStr">
        <is>
          <t>水、防御、前排、阻挡</t>
        </is>
      </c>
      <c r="G100" s="28" t="inlineStr">
        <is>
          <t>宠物</t>
        </is>
      </c>
      <c r="H100" s="28" t="inlineStr">
        <is>
          <t>启用</t>
        </is>
      </c>
      <c r="I100" s="28" t="n">
        <v>3</v>
      </c>
      <c r="J100" s="28" t="inlineStr">
        <is>
          <t>pT2</t>
        </is>
      </c>
      <c r="K100" s="28" t="n">
        <v>4</v>
      </c>
      <c r="L100" s="28" t="inlineStr">
        <is>
          <t>44</t>
        </is>
      </c>
      <c r="M100" s="28" t="n">
        <v>65</v>
      </c>
      <c r="N100" s="28" t="n">
        <v>70</v>
      </c>
      <c r="O100" s="28" t="n">
        <v>65</v>
      </c>
      <c r="P100" s="28" t="n">
        <v>80</v>
      </c>
      <c r="Q100" s="28" t="n">
        <v>45</v>
      </c>
      <c r="R100" s="29" t="inlineStr">
        <is>
          <t>night_base, elem_水, role_坦克, tier_pT2</t>
        </is>
      </c>
      <c r="S100" s="29" t="inlineStr">
        <is>
          <t>reward_pT2</t>
        </is>
      </c>
      <c r="T100" s="28" t="inlineStr">
        <is>
          <t>44</t>
        </is>
      </c>
      <c r="U100" s="28" t="inlineStr">
        <is>
          <t>旧定位=防御</t>
        </is>
      </c>
    </row>
    <row r="101" ht="22" customHeight="1">
      <c r="A101" s="28" t="inlineStr">
        <is>
          <t>pal_100</t>
        </is>
      </c>
      <c r="B101" s="29" t="inlineStr">
        <is>
          <t>森猛犸</t>
        </is>
      </c>
      <c r="C101" s="29" t="inlineStr">
        <is>
          <t>风</t>
        </is>
      </c>
      <c r="D101" s="29" t="inlineStr">
        <is>
          <t>白银</t>
        </is>
      </c>
      <c r="E101" s="29" t="inlineStr">
        <is>
          <t>坦克</t>
        </is>
      </c>
      <c r="F101" s="29" t="inlineStr">
        <is>
          <t>风、防御、前排、阻挡</t>
        </is>
      </c>
      <c r="G101" s="28" t="inlineStr">
        <is>
          <t>宠物</t>
        </is>
      </c>
      <c r="H101" s="28" t="inlineStr">
        <is>
          <t>启用</t>
        </is>
      </c>
      <c r="I101" s="28" t="n">
        <v>3</v>
      </c>
      <c r="J101" s="28" t="inlineStr">
        <is>
          <t>pT2</t>
        </is>
      </c>
      <c r="K101" s="28" t="n">
        <v>4</v>
      </c>
      <c r="L101" s="28" t="inlineStr">
        <is>
          <t>44</t>
        </is>
      </c>
      <c r="M101" s="28" t="n">
        <v>65</v>
      </c>
      <c r="N101" s="28" t="n">
        <v>70</v>
      </c>
      <c r="O101" s="28" t="n">
        <v>65</v>
      </c>
      <c r="P101" s="28" t="n">
        <v>80</v>
      </c>
      <c r="Q101" s="28" t="n">
        <v>45</v>
      </c>
      <c r="R101" s="29" t="inlineStr">
        <is>
          <t>night_base, elem_风, role_坦克, tier_pT2</t>
        </is>
      </c>
      <c r="S101" s="29" t="inlineStr">
        <is>
          <t>reward_pT2</t>
        </is>
      </c>
      <c r="T101" s="28" t="inlineStr">
        <is>
          <t>44</t>
        </is>
      </c>
      <c r="U101" s="28" t="inlineStr">
        <is>
          <t>旧定位=防御</t>
        </is>
      </c>
    </row>
    <row r="102" ht="22" customHeight="1">
      <c r="A102" s="28" t="inlineStr">
        <is>
          <t>pal_101</t>
        </is>
      </c>
      <c r="B102" s="29" t="inlineStr">
        <is>
          <t>雪猛犸</t>
        </is>
      </c>
      <c r="C102" s="29" t="inlineStr">
        <is>
          <t>水</t>
        </is>
      </c>
      <c r="D102" s="29" t="inlineStr">
        <is>
          <t>白银</t>
        </is>
      </c>
      <c r="E102" s="29" t="inlineStr">
        <is>
          <t>坦克</t>
        </is>
      </c>
      <c r="F102" s="29" t="inlineStr">
        <is>
          <t>水、防御、前排、阻挡</t>
        </is>
      </c>
      <c r="G102" s="28" t="inlineStr">
        <is>
          <t>宠物</t>
        </is>
      </c>
      <c r="H102" s="28" t="inlineStr">
        <is>
          <t>启用</t>
        </is>
      </c>
      <c r="I102" s="28" t="n">
        <v>3</v>
      </c>
      <c r="J102" s="28" t="inlineStr">
        <is>
          <t>pT2</t>
        </is>
      </c>
      <c r="K102" s="28" t="n">
        <v>4</v>
      </c>
      <c r="L102" s="28" t="inlineStr">
        <is>
          <t>44</t>
        </is>
      </c>
      <c r="M102" s="28" t="n">
        <v>65</v>
      </c>
      <c r="N102" s="28" t="n">
        <v>70</v>
      </c>
      <c r="O102" s="28" t="n">
        <v>65</v>
      </c>
      <c r="P102" s="28" t="n">
        <v>80</v>
      </c>
      <c r="Q102" s="28" t="n">
        <v>45</v>
      </c>
      <c r="R102" s="29" t="inlineStr">
        <is>
          <t>night_base, elem_水, role_坦克, tier_pT2</t>
        </is>
      </c>
      <c r="S102" s="29" t="inlineStr">
        <is>
          <t>reward_pT2</t>
        </is>
      </c>
      <c r="T102" s="28" t="inlineStr">
        <is>
          <t>44</t>
        </is>
      </c>
      <c r="U102" s="28" t="inlineStr">
        <is>
          <t>旧定位=防御</t>
        </is>
      </c>
    </row>
    <row r="103" ht="22" customHeight="1">
      <c r="A103" s="28" t="inlineStr">
        <is>
          <t>pal_102</t>
        </is>
      </c>
      <c r="B103" s="29" t="inlineStr">
        <is>
          <t>白绒雪怪</t>
        </is>
      </c>
      <c r="C103" s="29" t="inlineStr">
        <is>
          <t>水</t>
        </is>
      </c>
      <c r="D103" s="29" t="inlineStr">
        <is>
          <t>白银</t>
        </is>
      </c>
      <c r="E103" s="29" t="inlineStr">
        <is>
          <t>坦克</t>
        </is>
      </c>
      <c r="F103" s="29" t="inlineStr">
        <is>
          <t>水、防御、前排、阻挡</t>
        </is>
      </c>
      <c r="G103" s="28" t="inlineStr">
        <is>
          <t>宠物</t>
        </is>
      </c>
      <c r="H103" s="28" t="inlineStr">
        <is>
          <t>启用</t>
        </is>
      </c>
      <c r="I103" s="28" t="n">
        <v>3</v>
      </c>
      <c r="J103" s="28" t="inlineStr">
        <is>
          <t>pT2</t>
        </is>
      </c>
      <c r="K103" s="28" t="n">
        <v>4</v>
      </c>
      <c r="L103" s="28" t="inlineStr">
        <is>
          <t>44</t>
        </is>
      </c>
      <c r="M103" s="28" t="n">
        <v>65</v>
      </c>
      <c r="N103" s="28" t="n">
        <v>70</v>
      </c>
      <c r="O103" s="28" t="n">
        <v>65</v>
      </c>
      <c r="P103" s="28" t="n">
        <v>80</v>
      </c>
      <c r="Q103" s="28" t="n">
        <v>45</v>
      </c>
      <c r="R103" s="29" t="inlineStr">
        <is>
          <t>night_base, elem_水, role_坦克, tier_pT2</t>
        </is>
      </c>
      <c r="S103" s="29" t="inlineStr">
        <is>
          <t>reward_pT2</t>
        </is>
      </c>
      <c r="T103" s="28" t="inlineStr">
        <is>
          <t>44</t>
        </is>
      </c>
      <c r="U103" s="28" t="inlineStr">
        <is>
          <t>旧定位=防御</t>
        </is>
      </c>
    </row>
    <row r="104" ht="22" customHeight="1">
      <c r="A104" s="28" t="inlineStr">
        <is>
          <t>pal_103</t>
        </is>
      </c>
      <c r="B104" s="29" t="inlineStr">
        <is>
          <t>绿苔绒怪</t>
        </is>
      </c>
      <c r="C104" s="29" t="inlineStr">
        <is>
          <t>风</t>
        </is>
      </c>
      <c r="D104" s="29" t="inlineStr">
        <is>
          <t>白银</t>
        </is>
      </c>
      <c r="E104" s="29" t="inlineStr">
        <is>
          <t>坦克</t>
        </is>
      </c>
      <c r="F104" s="29" t="inlineStr">
        <is>
          <t>风、防御、前排、阻挡</t>
        </is>
      </c>
      <c r="G104" s="28" t="inlineStr">
        <is>
          <t>宠物</t>
        </is>
      </c>
      <c r="H104" s="28" t="inlineStr">
        <is>
          <t>启用</t>
        </is>
      </c>
      <c r="I104" s="28" t="n">
        <v>3</v>
      </c>
      <c r="J104" s="28" t="inlineStr">
        <is>
          <t>pT2</t>
        </is>
      </c>
      <c r="K104" s="28" t="n">
        <v>4</v>
      </c>
      <c r="L104" s="28" t="inlineStr">
        <is>
          <t>44</t>
        </is>
      </c>
      <c r="M104" s="28" t="n">
        <v>65</v>
      </c>
      <c r="N104" s="28" t="n">
        <v>70</v>
      </c>
      <c r="O104" s="28" t="n">
        <v>65</v>
      </c>
      <c r="P104" s="28" t="n">
        <v>80</v>
      </c>
      <c r="Q104" s="28" t="n">
        <v>45</v>
      </c>
      <c r="R104" s="29" t="inlineStr">
        <is>
          <t>night_base, elem_风, role_坦克, tier_pT2</t>
        </is>
      </c>
      <c r="S104" s="29" t="inlineStr">
        <is>
          <t>reward_pT2</t>
        </is>
      </c>
      <c r="T104" s="28" t="inlineStr">
        <is>
          <t>44</t>
        </is>
      </c>
      <c r="U104" s="28" t="inlineStr">
        <is>
          <t>旧定位=防御</t>
        </is>
      </c>
    </row>
    <row r="105" ht="22" customHeight="1">
      <c r="A105" s="28" t="inlineStr">
        <is>
          <t>pal_104</t>
        </is>
      </c>
      <c r="B105" s="29" t="inlineStr">
        <is>
          <t>铠格力斯</t>
        </is>
      </c>
      <c r="C105" s="29" t="inlineStr">
        <is>
          <t>土</t>
        </is>
      </c>
      <c r="D105" s="29" t="inlineStr">
        <is>
          <t>白银</t>
        </is>
      </c>
      <c r="E105" s="29" t="inlineStr">
        <is>
          <t>坦克</t>
        </is>
      </c>
      <c r="F105" s="29" t="inlineStr">
        <is>
          <t>土、防御、前排、阻挡</t>
        </is>
      </c>
      <c r="G105" s="28" t="inlineStr">
        <is>
          <t>宠物</t>
        </is>
      </c>
      <c r="H105" s="28" t="inlineStr">
        <is>
          <t>启用</t>
        </is>
      </c>
      <c r="I105" s="28" t="n">
        <v>3</v>
      </c>
      <c r="J105" s="28" t="inlineStr">
        <is>
          <t>pT2</t>
        </is>
      </c>
      <c r="K105" s="28" t="n">
        <v>4</v>
      </c>
      <c r="L105" s="28" t="inlineStr">
        <is>
          <t>44</t>
        </is>
      </c>
      <c r="M105" s="28" t="n">
        <v>65</v>
      </c>
      <c r="N105" s="28" t="n">
        <v>70</v>
      </c>
      <c r="O105" s="28" t="n">
        <v>65</v>
      </c>
      <c r="P105" s="28" t="n">
        <v>80</v>
      </c>
      <c r="Q105" s="28" t="n">
        <v>45</v>
      </c>
      <c r="R105" s="29" t="inlineStr">
        <is>
          <t>night_base, elem_土, role_坦克, tier_pT2</t>
        </is>
      </c>
      <c r="S105" s="29" t="inlineStr">
        <is>
          <t>reward_pT2</t>
        </is>
      </c>
      <c r="T105" s="28" t="inlineStr">
        <is>
          <t>44</t>
        </is>
      </c>
      <c r="U105" s="28" t="inlineStr">
        <is>
          <t>旧定位=防御</t>
        </is>
      </c>
    </row>
    <row r="106" ht="22" customHeight="1">
      <c r="A106" s="28" t="inlineStr">
        <is>
          <t>pal_105</t>
        </is>
      </c>
      <c r="B106" s="29" t="inlineStr">
        <is>
          <t>云海鹿</t>
        </is>
      </c>
      <c r="C106" s="29" t="inlineStr">
        <is>
          <t>风</t>
        </is>
      </c>
      <c r="D106" s="29" t="inlineStr">
        <is>
          <t>白银</t>
        </is>
      </c>
      <c r="E106" s="29" t="inlineStr">
        <is>
          <t>机动</t>
        </is>
      </c>
      <c r="F106" s="29" t="inlineStr">
        <is>
          <t>风、机动、灵活、泛用</t>
        </is>
      </c>
      <c r="G106" s="28" t="inlineStr">
        <is>
          <t>宠物</t>
        </is>
      </c>
      <c r="H106" s="28" t="inlineStr">
        <is>
          <t>启用</t>
        </is>
      </c>
      <c r="I106" s="28" t="n">
        <v>3</v>
      </c>
      <c r="J106" s="28" t="inlineStr">
        <is>
          <t>pT2</t>
        </is>
      </c>
      <c r="K106" s="28" t="n">
        <v>4</v>
      </c>
      <c r="L106" s="28" t="inlineStr">
        <is>
          <t>44</t>
        </is>
      </c>
      <c r="M106" s="28" t="n">
        <v>65</v>
      </c>
      <c r="N106" s="28" t="n">
        <v>70</v>
      </c>
      <c r="O106" s="28" t="n">
        <v>65</v>
      </c>
      <c r="P106" s="28" t="n">
        <v>80</v>
      </c>
      <c r="Q106" s="28" t="n">
        <v>45</v>
      </c>
      <c r="R106" s="29" t="inlineStr">
        <is>
          <t>night_base, elem_风, role_机动, tier_pT2</t>
        </is>
      </c>
      <c r="S106" s="29" t="inlineStr">
        <is>
          <t>reward_pT2</t>
        </is>
      </c>
      <c r="T106" s="28" t="inlineStr">
        <is>
          <t>44</t>
        </is>
      </c>
      <c r="U106" s="28" t="inlineStr">
        <is>
          <t>44</t>
        </is>
      </c>
    </row>
    <row r="107" ht="22" customHeight="1">
      <c r="A107" s="28" t="inlineStr">
        <is>
          <t>pal_106</t>
        </is>
      </c>
      <c r="B107" s="29" t="inlineStr">
        <is>
          <t>夜幕魔蝠</t>
        </is>
      </c>
      <c r="C107" s="29" t="inlineStr">
        <is>
          <t>土</t>
        </is>
      </c>
      <c r="D107" s="29" t="inlineStr">
        <is>
          <t>白银</t>
        </is>
      </c>
      <c r="E107" s="29" t="inlineStr">
        <is>
          <t>坦克</t>
        </is>
      </c>
      <c r="F107" s="29" t="inlineStr">
        <is>
          <t>土、防御、前排、阻挡</t>
        </is>
      </c>
      <c r="G107" s="28" t="inlineStr">
        <is>
          <t>宠物</t>
        </is>
      </c>
      <c r="H107" s="28" t="inlineStr">
        <is>
          <t>启用</t>
        </is>
      </c>
      <c r="I107" s="28" t="n">
        <v>3</v>
      </c>
      <c r="J107" s="28" t="inlineStr">
        <is>
          <t>pT2</t>
        </is>
      </c>
      <c r="K107" s="28" t="n">
        <v>4</v>
      </c>
      <c r="L107" s="28" t="inlineStr">
        <is>
          <t>44</t>
        </is>
      </c>
      <c r="M107" s="28" t="n">
        <v>65</v>
      </c>
      <c r="N107" s="28" t="n">
        <v>70</v>
      </c>
      <c r="O107" s="28" t="n">
        <v>65</v>
      </c>
      <c r="P107" s="28" t="n">
        <v>80</v>
      </c>
      <c r="Q107" s="28" t="n">
        <v>45</v>
      </c>
      <c r="R107" s="29" t="inlineStr">
        <is>
          <t>night_base, elem_土, role_坦克, tier_pT2</t>
        </is>
      </c>
      <c r="S107" s="29" t="inlineStr">
        <is>
          <t>reward_pT2</t>
        </is>
      </c>
      <c r="T107" s="28" t="inlineStr">
        <is>
          <t>44</t>
        </is>
      </c>
      <c r="U107" s="28" t="inlineStr">
        <is>
          <t>旧定位=防御</t>
        </is>
      </c>
    </row>
    <row r="108" ht="22" customHeight="1">
      <c r="A108" s="28" t="inlineStr">
        <is>
          <t>pal_107</t>
        </is>
      </c>
      <c r="B108" s="29" t="inlineStr">
        <is>
          <t>天羽龙</t>
        </is>
      </c>
      <c r="C108" s="29" t="inlineStr">
        <is>
          <t>风</t>
        </is>
      </c>
      <c r="D108" s="29" t="inlineStr">
        <is>
          <t>白银</t>
        </is>
      </c>
      <c r="E108" s="29" t="inlineStr">
        <is>
          <t>机动</t>
        </is>
      </c>
      <c r="F108" s="29" t="inlineStr">
        <is>
          <t>风、机动、灵活、泛用</t>
        </is>
      </c>
      <c r="G108" s="28" t="inlineStr">
        <is>
          <t>宠物</t>
        </is>
      </c>
      <c r="H108" s="28" t="inlineStr">
        <is>
          <t>启用</t>
        </is>
      </c>
      <c r="I108" s="28" t="n">
        <v>3</v>
      </c>
      <c r="J108" s="28" t="inlineStr">
        <is>
          <t>pT2</t>
        </is>
      </c>
      <c r="K108" s="28" t="n">
        <v>4</v>
      </c>
      <c r="L108" s="28" t="inlineStr">
        <is>
          <t>44</t>
        </is>
      </c>
      <c r="M108" s="28" t="n">
        <v>65</v>
      </c>
      <c r="N108" s="28" t="n">
        <v>70</v>
      </c>
      <c r="O108" s="28" t="n">
        <v>65</v>
      </c>
      <c r="P108" s="28" t="n">
        <v>80</v>
      </c>
      <c r="Q108" s="28" t="n">
        <v>45</v>
      </c>
      <c r="R108" s="29" t="inlineStr">
        <is>
          <t>night_base, elem_风, role_机动, tier_pT2</t>
        </is>
      </c>
      <c r="S108" s="29" t="inlineStr">
        <is>
          <t>reward_pT2</t>
        </is>
      </c>
      <c r="T108" s="28" t="inlineStr">
        <is>
          <t>44</t>
        </is>
      </c>
      <c r="U108" s="28" t="inlineStr">
        <is>
          <t>44</t>
        </is>
      </c>
    </row>
    <row r="109" ht="22" customHeight="1">
      <c r="A109" s="28" t="inlineStr">
        <is>
          <t>pal_108</t>
        </is>
      </c>
      <c r="B109" s="29" t="inlineStr">
        <is>
          <t>焰煌</t>
        </is>
      </c>
      <c r="C109" s="29" t="inlineStr">
        <is>
          <t>火</t>
        </is>
      </c>
      <c r="D109" s="29" t="inlineStr">
        <is>
          <t>白银</t>
        </is>
      </c>
      <c r="E109" s="29" t="inlineStr">
        <is>
          <t>输出</t>
        </is>
      </c>
      <c r="F109" s="29" t="inlineStr">
        <is>
          <t>火、输出、爆发、前排</t>
        </is>
      </c>
      <c r="G109" s="28" t="inlineStr">
        <is>
          <t>宠物</t>
        </is>
      </c>
      <c r="H109" s="28" t="inlineStr">
        <is>
          <t>启用</t>
        </is>
      </c>
      <c r="I109" s="28" t="n">
        <v>3</v>
      </c>
      <c r="J109" s="28" t="inlineStr">
        <is>
          <t>pT2</t>
        </is>
      </c>
      <c r="K109" s="28" t="n">
        <v>4</v>
      </c>
      <c r="L109" s="28" t="inlineStr">
        <is>
          <t>44</t>
        </is>
      </c>
      <c r="M109" s="28" t="n">
        <v>65</v>
      </c>
      <c r="N109" s="28" t="n">
        <v>70</v>
      </c>
      <c r="O109" s="28" t="n">
        <v>65</v>
      </c>
      <c r="P109" s="28" t="n">
        <v>80</v>
      </c>
      <c r="Q109" s="28" t="n">
        <v>45</v>
      </c>
      <c r="R109" s="29" t="inlineStr">
        <is>
          <t>night_base, elem_火, role_输出, tier_pT2</t>
        </is>
      </c>
      <c r="S109" s="29" t="inlineStr">
        <is>
          <t>reward_pT2</t>
        </is>
      </c>
      <c r="T109" s="28" t="inlineStr">
        <is>
          <t>44</t>
        </is>
      </c>
      <c r="U109" s="28" t="inlineStr">
        <is>
          <t>44</t>
        </is>
      </c>
    </row>
    <row r="110" ht="22" customHeight="1">
      <c r="A110" s="28" t="inlineStr">
        <is>
          <t>pal_109</t>
        </is>
      </c>
      <c r="B110" s="29" t="inlineStr">
        <is>
          <t>雷冥鸟</t>
        </is>
      </c>
      <c r="C110" s="29" t="inlineStr">
        <is>
          <t>土</t>
        </is>
      </c>
      <c r="D110" s="29" t="inlineStr">
        <is>
          <t>白银</t>
        </is>
      </c>
      <c r="E110" s="29" t="inlineStr">
        <is>
          <t>机动</t>
        </is>
      </c>
      <c r="F110" s="29" t="inlineStr">
        <is>
          <t>土、机动、灵活、泛用</t>
        </is>
      </c>
      <c r="G110" s="28" t="inlineStr">
        <is>
          <t>宠物</t>
        </is>
      </c>
      <c r="H110" s="28" t="inlineStr">
        <is>
          <t>启用</t>
        </is>
      </c>
      <c r="I110" s="28" t="n">
        <v>3</v>
      </c>
      <c r="J110" s="28" t="inlineStr">
        <is>
          <t>pT2</t>
        </is>
      </c>
      <c r="K110" s="28" t="n">
        <v>4</v>
      </c>
      <c r="L110" s="28" t="inlineStr">
        <is>
          <t>44</t>
        </is>
      </c>
      <c r="M110" s="28" t="n">
        <v>65</v>
      </c>
      <c r="N110" s="28" t="n">
        <v>70</v>
      </c>
      <c r="O110" s="28" t="n">
        <v>65</v>
      </c>
      <c r="P110" s="28" t="n">
        <v>80</v>
      </c>
      <c r="Q110" s="28" t="n">
        <v>45</v>
      </c>
      <c r="R110" s="29" t="inlineStr">
        <is>
          <t>night_base, elem_土, role_机动, tier_pT2</t>
        </is>
      </c>
      <c r="S110" s="29" t="inlineStr">
        <is>
          <t>reward_pT2</t>
        </is>
      </c>
      <c r="T110" s="28" t="inlineStr">
        <is>
          <t>44</t>
        </is>
      </c>
      <c r="U110" s="28" t="inlineStr">
        <is>
          <t>44</t>
        </is>
      </c>
    </row>
    <row r="111" ht="22" customHeight="1">
      <c r="A111" s="28" t="inlineStr">
        <is>
          <t>pal_110</t>
        </is>
      </c>
      <c r="B111" s="29" t="inlineStr">
        <is>
          <t>魔渊龙</t>
        </is>
      </c>
      <c r="C111" s="29" t="inlineStr">
        <is>
          <t>土</t>
        </is>
      </c>
      <c r="D111" s="29" t="inlineStr">
        <is>
          <t>白银</t>
        </is>
      </c>
      <c r="E111" s="29" t="inlineStr">
        <is>
          <t>坦克</t>
        </is>
      </c>
      <c r="F111" s="29" t="inlineStr">
        <is>
          <t>土、防御、前排、阻挡</t>
        </is>
      </c>
      <c r="G111" s="28" t="inlineStr">
        <is>
          <t>宠物</t>
        </is>
      </c>
      <c r="H111" s="28" t="inlineStr">
        <is>
          <t>启用</t>
        </is>
      </c>
      <c r="I111" s="28" t="n">
        <v>3</v>
      </c>
      <c r="J111" s="28" t="inlineStr">
        <is>
          <t>pT2</t>
        </is>
      </c>
      <c r="K111" s="28" t="n">
        <v>4</v>
      </c>
      <c r="L111" s="28" t="inlineStr">
        <is>
          <t>44</t>
        </is>
      </c>
      <c r="M111" s="28" t="n">
        <v>65</v>
      </c>
      <c r="N111" s="28" t="n">
        <v>70</v>
      </c>
      <c r="O111" s="28" t="n">
        <v>65</v>
      </c>
      <c r="P111" s="28" t="n">
        <v>80</v>
      </c>
      <c r="Q111" s="28" t="n">
        <v>45</v>
      </c>
      <c r="R111" s="29" t="inlineStr">
        <is>
          <t>night_base, elem_土, role_坦克, tier_pT2</t>
        </is>
      </c>
      <c r="S111" s="29" t="inlineStr">
        <is>
          <t>reward_pT2</t>
        </is>
      </c>
      <c r="T111" s="28" t="inlineStr">
        <is>
          <t>44</t>
        </is>
      </c>
      <c r="U111" s="28" t="inlineStr">
        <is>
          <t>旧定位=防御</t>
        </is>
      </c>
    </row>
    <row r="112" ht="22" customHeight="1">
      <c r="A112" s="28" t="inlineStr">
        <is>
          <t>pal_111</t>
        </is>
      </c>
      <c r="B112" s="29" t="inlineStr">
        <is>
          <t>冥铠蝎</t>
        </is>
      </c>
      <c r="C112" s="29" t="inlineStr">
        <is>
          <t>土</t>
        </is>
      </c>
      <c r="D112" s="29" t="inlineStr">
        <is>
          <t>黄金</t>
        </is>
      </c>
      <c r="E112" s="29" t="inlineStr">
        <is>
          <t>坦克</t>
        </is>
      </c>
      <c r="F112" s="29" t="inlineStr">
        <is>
          <t>土、防御、前排、阻挡</t>
        </is>
      </c>
      <c r="G112" s="28" t="inlineStr">
        <is>
          <t>宠物</t>
        </is>
      </c>
      <c r="H112" s="28" t="inlineStr">
        <is>
          <t>启用</t>
        </is>
      </c>
      <c r="I112" s="28" t="n">
        <v>5</v>
      </c>
      <c r="J112" s="28" t="inlineStr">
        <is>
          <t>pT3</t>
        </is>
      </c>
      <c r="K112" s="28" t="n">
        <v>6</v>
      </c>
      <c r="L112" s="28" t="inlineStr">
        <is>
          <t>44</t>
        </is>
      </c>
      <c r="M112" s="28" t="n">
        <v>28</v>
      </c>
      <c r="N112" s="28" t="n">
        <v>32</v>
      </c>
      <c r="O112" s="28" t="n">
        <v>30</v>
      </c>
      <c r="P112" s="28" t="n">
        <v>45</v>
      </c>
      <c r="Q112" s="28" t="n">
        <v>28</v>
      </c>
      <c r="R112" s="29" t="inlineStr">
        <is>
          <t>night_base, elem_土, role_坦克, tier_pT3</t>
        </is>
      </c>
      <c r="S112" s="29" t="inlineStr">
        <is>
          <t>reward_pT3</t>
        </is>
      </c>
      <c r="T112" s="28" t="inlineStr">
        <is>
          <t>44</t>
        </is>
      </c>
      <c r="U112" s="28" t="inlineStr">
        <is>
          <t>旧定位=防御</t>
        </is>
      </c>
    </row>
    <row r="113" ht="22" customHeight="1">
      <c r="A113" s="28" t="inlineStr">
        <is>
          <t>pal_112</t>
        </is>
      </c>
      <c r="B113" s="29" t="inlineStr">
        <is>
          <t>阿努比斯</t>
        </is>
      </c>
      <c r="C113" s="29" t="inlineStr">
        <is>
          <t>土</t>
        </is>
      </c>
      <c r="D113" s="29" t="inlineStr">
        <is>
          <t>黄金</t>
        </is>
      </c>
      <c r="E113" s="29" t="inlineStr">
        <is>
          <t>输出</t>
        </is>
      </c>
      <c r="F113" s="29" t="inlineStr">
        <is>
          <t>土、输出、爆发、前排</t>
        </is>
      </c>
      <c r="G113" s="28" t="inlineStr">
        <is>
          <t>宠物</t>
        </is>
      </c>
      <c r="H113" s="28" t="inlineStr">
        <is>
          <t>启用</t>
        </is>
      </c>
      <c r="I113" s="28" t="n">
        <v>5</v>
      </c>
      <c r="J113" s="28" t="inlineStr">
        <is>
          <t>pT3</t>
        </is>
      </c>
      <c r="K113" s="28" t="n">
        <v>6</v>
      </c>
      <c r="L113" s="28" t="inlineStr">
        <is>
          <t>44</t>
        </is>
      </c>
      <c r="M113" s="28" t="n">
        <v>28</v>
      </c>
      <c r="N113" s="28" t="n">
        <v>32</v>
      </c>
      <c r="O113" s="28" t="n">
        <v>30</v>
      </c>
      <c r="P113" s="28" t="n">
        <v>45</v>
      </c>
      <c r="Q113" s="28" t="n">
        <v>28</v>
      </c>
      <c r="R113" s="29" t="inlineStr">
        <is>
          <t>night_base, elem_土, role_输出, tier_pT3</t>
        </is>
      </c>
      <c r="S113" s="29" t="inlineStr">
        <is>
          <t>reward_pT3</t>
        </is>
      </c>
      <c r="T113" s="28" t="inlineStr">
        <is>
          <t>44</t>
        </is>
      </c>
      <c r="U113" s="28" t="inlineStr">
        <is>
          <t>44</t>
        </is>
      </c>
    </row>
    <row r="114" ht="22" customHeight="1">
      <c r="A114" s="28" t="inlineStr">
        <is>
          <t>pal_113</t>
        </is>
      </c>
      <c r="B114" s="29" t="inlineStr">
        <is>
          <t>覆海龙</t>
        </is>
      </c>
      <c r="C114" s="29" t="inlineStr">
        <is>
          <t>水</t>
        </is>
      </c>
      <c r="D114" s="29" t="inlineStr">
        <is>
          <t>黄金</t>
        </is>
      </c>
      <c r="E114" s="29" t="inlineStr">
        <is>
          <t>治疗</t>
        </is>
      </c>
      <c r="F114" s="29" t="inlineStr">
        <is>
          <t>水、治疗、后排、增益</t>
        </is>
      </c>
      <c r="G114" s="28" t="inlineStr">
        <is>
          <t>宠物</t>
        </is>
      </c>
      <c r="H114" s="28" t="inlineStr">
        <is>
          <t>启用</t>
        </is>
      </c>
      <c r="I114" s="28" t="n">
        <v>5</v>
      </c>
      <c r="J114" s="28" t="inlineStr">
        <is>
          <t>pT3</t>
        </is>
      </c>
      <c r="K114" s="28" t="n">
        <v>6</v>
      </c>
      <c r="L114" s="28" t="inlineStr">
        <is>
          <t>44</t>
        </is>
      </c>
      <c r="M114" s="28" t="n">
        <v>28</v>
      </c>
      <c r="N114" s="28" t="n">
        <v>32</v>
      </c>
      <c r="O114" s="28" t="n">
        <v>30</v>
      </c>
      <c r="P114" s="28" t="n">
        <v>45</v>
      </c>
      <c r="Q114" s="28" t="n">
        <v>28</v>
      </c>
      <c r="R114" s="29" t="inlineStr">
        <is>
          <t>night_base, elem_水, role_治疗, tier_pT3</t>
        </is>
      </c>
      <c r="S114" s="29" t="inlineStr">
        <is>
          <t>reward_pT3</t>
        </is>
      </c>
      <c r="T114" s="28" t="inlineStr">
        <is>
          <t>44</t>
        </is>
      </c>
      <c r="U114" s="28" t="inlineStr">
        <is>
          <t>治疗补预算</t>
        </is>
      </c>
    </row>
    <row r="115" ht="22" customHeight="1">
      <c r="A115" s="28" t="inlineStr">
        <is>
          <t>pal_114</t>
        </is>
      </c>
      <c r="B115" s="29" t="inlineStr">
        <is>
          <t>腾炎龙</t>
        </is>
      </c>
      <c r="C115" s="29" t="inlineStr">
        <is>
          <t>火</t>
        </is>
      </c>
      <c r="D115" s="29" t="inlineStr">
        <is>
          <t>黄金</t>
        </is>
      </c>
      <c r="E115" s="29" t="inlineStr">
        <is>
          <t>输出</t>
        </is>
      </c>
      <c r="F115" s="29" t="inlineStr">
        <is>
          <t>火、输出、爆发、前排</t>
        </is>
      </c>
      <c r="G115" s="28" t="inlineStr">
        <is>
          <t>宠物</t>
        </is>
      </c>
      <c r="H115" s="28" t="inlineStr">
        <is>
          <t>启用</t>
        </is>
      </c>
      <c r="I115" s="28" t="n">
        <v>5</v>
      </c>
      <c r="J115" s="28" t="inlineStr">
        <is>
          <t>pT3</t>
        </is>
      </c>
      <c r="K115" s="28" t="n">
        <v>6</v>
      </c>
      <c r="L115" s="28" t="inlineStr">
        <is>
          <t>44</t>
        </is>
      </c>
      <c r="M115" s="28" t="n">
        <v>28</v>
      </c>
      <c r="N115" s="28" t="n">
        <v>32</v>
      </c>
      <c r="O115" s="28" t="n">
        <v>30</v>
      </c>
      <c r="P115" s="28" t="n">
        <v>45</v>
      </c>
      <c r="Q115" s="28" t="n">
        <v>28</v>
      </c>
      <c r="R115" s="29" t="inlineStr">
        <is>
          <t>night_base, elem_火, role_输出, tier_pT3</t>
        </is>
      </c>
      <c r="S115" s="29" t="inlineStr">
        <is>
          <t>reward_pT3</t>
        </is>
      </c>
      <c r="T115" s="28" t="inlineStr">
        <is>
          <t>44</t>
        </is>
      </c>
      <c r="U115" s="28" t="inlineStr">
        <is>
          <t>44</t>
        </is>
      </c>
    </row>
    <row r="116" ht="22" customHeight="1">
      <c r="A116" s="28" t="inlineStr">
        <is>
          <t>pal_115</t>
        </is>
      </c>
      <c r="B116" s="29" t="inlineStr">
        <is>
          <t>朱雀</t>
        </is>
      </c>
      <c r="C116" s="29" t="inlineStr">
        <is>
          <t>火</t>
        </is>
      </c>
      <c r="D116" s="29" t="inlineStr">
        <is>
          <t>黄金</t>
        </is>
      </c>
      <c r="E116" s="29" t="inlineStr">
        <is>
          <t>机动</t>
        </is>
      </c>
      <c r="F116" s="29" t="inlineStr">
        <is>
          <t>火、机动、灵活、泛用</t>
        </is>
      </c>
      <c r="G116" s="28" t="inlineStr">
        <is>
          <t>宠物</t>
        </is>
      </c>
      <c r="H116" s="28" t="inlineStr">
        <is>
          <t>启用</t>
        </is>
      </c>
      <c r="I116" s="28" t="n">
        <v>5</v>
      </c>
      <c r="J116" s="28" t="inlineStr">
        <is>
          <t>pT3</t>
        </is>
      </c>
      <c r="K116" s="28" t="n">
        <v>6</v>
      </c>
      <c r="L116" s="28" t="inlineStr">
        <is>
          <t>44</t>
        </is>
      </c>
      <c r="M116" s="28" t="n">
        <v>28</v>
      </c>
      <c r="N116" s="28" t="n">
        <v>32</v>
      </c>
      <c r="O116" s="28" t="n">
        <v>30</v>
      </c>
      <c r="P116" s="28" t="n">
        <v>45</v>
      </c>
      <c r="Q116" s="28" t="n">
        <v>28</v>
      </c>
      <c r="R116" s="29" t="inlineStr">
        <is>
          <t>night_base, elem_火, role_机动, tier_pT3</t>
        </is>
      </c>
      <c r="S116" s="29" t="inlineStr">
        <is>
          <t>reward_pT3</t>
        </is>
      </c>
      <c r="T116" s="28" t="inlineStr">
        <is>
          <t>44</t>
        </is>
      </c>
      <c r="U116" s="28" t="inlineStr">
        <is>
          <t>44</t>
        </is>
      </c>
    </row>
    <row r="117" ht="22" customHeight="1">
      <c r="A117" s="28" t="inlineStr">
        <is>
          <t>pal_116</t>
        </is>
      </c>
      <c r="B117" s="29" t="inlineStr">
        <is>
          <t>清雀</t>
        </is>
      </c>
      <c r="C117" s="29" t="inlineStr">
        <is>
          <t>水</t>
        </is>
      </c>
      <c r="D117" s="29" t="inlineStr">
        <is>
          <t>黄金</t>
        </is>
      </c>
      <c r="E117" s="29" t="inlineStr">
        <is>
          <t>治疗</t>
        </is>
      </c>
      <c r="F117" s="29" t="inlineStr">
        <is>
          <t>水、治疗、后排、增益</t>
        </is>
      </c>
      <c r="G117" s="28" t="inlineStr">
        <is>
          <t>宠物</t>
        </is>
      </c>
      <c r="H117" s="28" t="inlineStr">
        <is>
          <t>启用</t>
        </is>
      </c>
      <c r="I117" s="28" t="n">
        <v>5</v>
      </c>
      <c r="J117" s="28" t="inlineStr">
        <is>
          <t>pT3</t>
        </is>
      </c>
      <c r="K117" s="28" t="n">
        <v>6</v>
      </c>
      <c r="L117" s="28" t="inlineStr">
        <is>
          <t>44</t>
        </is>
      </c>
      <c r="M117" s="28" t="n">
        <v>28</v>
      </c>
      <c r="N117" s="28" t="n">
        <v>32</v>
      </c>
      <c r="O117" s="28" t="n">
        <v>30</v>
      </c>
      <c r="P117" s="28" t="n">
        <v>45</v>
      </c>
      <c r="Q117" s="28" t="n">
        <v>28</v>
      </c>
      <c r="R117" s="29" t="inlineStr">
        <is>
          <t>night_base, elem_水, role_治疗, tier_pT3</t>
        </is>
      </c>
      <c r="S117" s="29" t="inlineStr">
        <is>
          <t>reward_pT3</t>
        </is>
      </c>
      <c r="T117" s="28" t="inlineStr">
        <is>
          <t>44</t>
        </is>
      </c>
      <c r="U117" s="28" t="inlineStr">
        <is>
          <t>治疗补预算</t>
        </is>
      </c>
    </row>
    <row r="118" ht="22" customHeight="1">
      <c r="A118" s="28" t="inlineStr">
        <is>
          <t>pal_117</t>
        </is>
      </c>
      <c r="B118" s="29" t="inlineStr">
        <is>
          <t>暴电熊</t>
        </is>
      </c>
      <c r="C118" s="29" t="inlineStr">
        <is>
          <t>风</t>
        </is>
      </c>
      <c r="D118" s="29" t="inlineStr">
        <is>
          <t>黄金</t>
        </is>
      </c>
      <c r="E118" s="29" t="inlineStr">
        <is>
          <t>控制</t>
        </is>
      </c>
      <c r="F118" s="29" t="inlineStr">
        <is>
          <t>风、牵制、范围、机动</t>
        </is>
      </c>
      <c r="G118" s="28" t="inlineStr">
        <is>
          <t>宠物</t>
        </is>
      </c>
      <c r="H118" s="28" t="inlineStr">
        <is>
          <t>启用</t>
        </is>
      </c>
      <c r="I118" s="28" t="n">
        <v>5</v>
      </c>
      <c r="J118" s="28" t="inlineStr">
        <is>
          <t>pT3</t>
        </is>
      </c>
      <c r="K118" s="28" t="n">
        <v>6</v>
      </c>
      <c r="L118" s="28" t="inlineStr">
        <is>
          <t>44</t>
        </is>
      </c>
      <c r="M118" s="28" t="n">
        <v>28</v>
      </c>
      <c r="N118" s="28" t="n">
        <v>32</v>
      </c>
      <c r="O118" s="28" t="n">
        <v>30</v>
      </c>
      <c r="P118" s="28" t="n">
        <v>45</v>
      </c>
      <c r="Q118" s="28" t="n">
        <v>28</v>
      </c>
      <c r="R118" s="29" t="inlineStr">
        <is>
          <t>night_base, elem_风, role_控制, tier_pT3</t>
        </is>
      </c>
      <c r="S118" s="29" t="inlineStr">
        <is>
          <t>reward_pT3</t>
        </is>
      </c>
      <c r="T118" s="28" t="inlineStr">
        <is>
          <t>44</t>
        </is>
      </c>
      <c r="U118" s="28" t="inlineStr">
        <is>
          <t>旧定位=牵制；控制补预算</t>
        </is>
      </c>
    </row>
    <row r="119" ht="22" customHeight="1">
      <c r="A119" s="28" t="inlineStr">
        <is>
          <t>pal_118</t>
        </is>
      </c>
      <c r="B119" s="29" t="inlineStr">
        <is>
          <t>百合女王</t>
        </is>
      </c>
      <c r="C119" s="29" t="inlineStr">
        <is>
          <t>风</t>
        </is>
      </c>
      <c r="D119" s="29" t="inlineStr">
        <is>
          <t>黄金</t>
        </is>
      </c>
      <c r="E119" s="29" t="inlineStr">
        <is>
          <t>治疗</t>
        </is>
      </c>
      <c r="F119" s="29" t="inlineStr">
        <is>
          <t>风、治疗、后排、增益</t>
        </is>
      </c>
      <c r="G119" s="28" t="inlineStr">
        <is>
          <t>宠物</t>
        </is>
      </c>
      <c r="H119" s="28" t="inlineStr">
        <is>
          <t>启用</t>
        </is>
      </c>
      <c r="I119" s="28" t="n">
        <v>5</v>
      </c>
      <c r="J119" s="28" t="inlineStr">
        <is>
          <t>pT3</t>
        </is>
      </c>
      <c r="K119" s="28" t="n">
        <v>6</v>
      </c>
      <c r="L119" s="28" t="inlineStr">
        <is>
          <t>44</t>
        </is>
      </c>
      <c r="M119" s="28" t="n">
        <v>28</v>
      </c>
      <c r="N119" s="28" t="n">
        <v>32</v>
      </c>
      <c r="O119" s="28" t="n">
        <v>30</v>
      </c>
      <c r="P119" s="28" t="n">
        <v>45</v>
      </c>
      <c r="Q119" s="28" t="n">
        <v>28</v>
      </c>
      <c r="R119" s="29" t="inlineStr">
        <is>
          <t>night_base, elem_风, role_治疗, tier_pT3</t>
        </is>
      </c>
      <c r="S119" s="29" t="inlineStr">
        <is>
          <t>reward_pT3</t>
        </is>
      </c>
      <c r="T119" s="28" t="inlineStr">
        <is>
          <t>44</t>
        </is>
      </c>
      <c r="U119" s="28" t="inlineStr">
        <is>
          <t>治疗补预算</t>
        </is>
      </c>
    </row>
    <row r="120" ht="22" customHeight="1">
      <c r="A120" s="28" t="inlineStr">
        <is>
          <t>pal_119</t>
        </is>
      </c>
      <c r="B120" s="29" t="inlineStr">
        <is>
          <t>黑月女王</t>
        </is>
      </c>
      <c r="C120" s="29" t="inlineStr">
        <is>
          <t>土</t>
        </is>
      </c>
      <c r="D120" s="29" t="inlineStr">
        <is>
          <t>黄金</t>
        </is>
      </c>
      <c r="E120" s="29" t="inlineStr">
        <is>
          <t>治疗</t>
        </is>
      </c>
      <c r="F120" s="29" t="inlineStr">
        <is>
          <t>土、治疗、后排、增益</t>
        </is>
      </c>
      <c r="G120" s="28" t="inlineStr">
        <is>
          <t>宠物</t>
        </is>
      </c>
      <c r="H120" s="28" t="inlineStr">
        <is>
          <t>启用</t>
        </is>
      </c>
      <c r="I120" s="28" t="n">
        <v>5</v>
      </c>
      <c r="J120" s="28" t="inlineStr">
        <is>
          <t>pT3</t>
        </is>
      </c>
      <c r="K120" s="28" t="n">
        <v>6</v>
      </c>
      <c r="L120" s="28" t="inlineStr">
        <is>
          <t>44</t>
        </is>
      </c>
      <c r="M120" s="28" t="n">
        <v>28</v>
      </c>
      <c r="N120" s="28" t="n">
        <v>32</v>
      </c>
      <c r="O120" s="28" t="n">
        <v>30</v>
      </c>
      <c r="P120" s="28" t="n">
        <v>45</v>
      </c>
      <c r="Q120" s="28" t="n">
        <v>28</v>
      </c>
      <c r="R120" s="29" t="inlineStr">
        <is>
          <t>night_base, elem_土, role_治疗, tier_pT3</t>
        </is>
      </c>
      <c r="S120" s="29" t="inlineStr">
        <is>
          <t>reward_pT3</t>
        </is>
      </c>
      <c r="T120" s="28" t="inlineStr">
        <is>
          <t>44</t>
        </is>
      </c>
      <c r="U120" s="28" t="inlineStr">
        <is>
          <t>治疗补预算</t>
        </is>
      </c>
    </row>
    <row r="121" ht="22" customHeight="1">
      <c r="A121" s="28" t="inlineStr">
        <is>
          <t>pal_120</t>
        </is>
      </c>
      <c r="B121" s="29" t="inlineStr">
        <is>
          <t>荷鲁斯</t>
        </is>
      </c>
      <c r="C121" s="29" t="inlineStr">
        <is>
          <t>火</t>
        </is>
      </c>
      <c r="D121" s="29" t="inlineStr">
        <is>
          <t>黄金</t>
        </is>
      </c>
      <c r="E121" s="29" t="inlineStr">
        <is>
          <t>机动</t>
        </is>
      </c>
      <c r="F121" s="29" t="inlineStr">
        <is>
          <t>火、机动、灵活、泛用</t>
        </is>
      </c>
      <c r="G121" s="28" t="inlineStr">
        <is>
          <t>宠物</t>
        </is>
      </c>
      <c r="H121" s="28" t="inlineStr">
        <is>
          <t>启用</t>
        </is>
      </c>
      <c r="I121" s="28" t="n">
        <v>5</v>
      </c>
      <c r="J121" s="28" t="inlineStr">
        <is>
          <t>pT3</t>
        </is>
      </c>
      <c r="K121" s="28" t="n">
        <v>6</v>
      </c>
      <c r="L121" s="28" t="inlineStr">
        <is>
          <t>44</t>
        </is>
      </c>
      <c r="M121" s="28" t="n">
        <v>28</v>
      </c>
      <c r="N121" s="28" t="n">
        <v>32</v>
      </c>
      <c r="O121" s="28" t="n">
        <v>30</v>
      </c>
      <c r="P121" s="28" t="n">
        <v>45</v>
      </c>
      <c r="Q121" s="28" t="n">
        <v>28</v>
      </c>
      <c r="R121" s="29" t="inlineStr">
        <is>
          <t>night_base, elem_火, role_机动, tier_pT3</t>
        </is>
      </c>
      <c r="S121" s="29" t="inlineStr">
        <is>
          <t>reward_pT3</t>
        </is>
      </c>
      <c r="T121" s="28" t="inlineStr">
        <is>
          <t>44</t>
        </is>
      </c>
      <c r="U121" s="28" t="inlineStr">
        <is>
          <t>44</t>
        </is>
      </c>
    </row>
    <row r="122" ht="22" customHeight="1">
      <c r="A122" s="28" t="inlineStr">
        <is>
          <t>pal_121</t>
        </is>
      </c>
      <c r="B122" s="29" t="inlineStr">
        <is>
          <t>波鲁杰克斯</t>
        </is>
      </c>
      <c r="C122" s="29" t="inlineStr">
        <is>
          <t>风</t>
        </is>
      </c>
      <c r="D122" s="29" t="inlineStr">
        <is>
          <t>黄金</t>
        </is>
      </c>
      <c r="E122" s="29" t="inlineStr">
        <is>
          <t>控制</t>
        </is>
      </c>
      <c r="F122" s="29" t="inlineStr">
        <is>
          <t>风、牵制、范围、机动</t>
        </is>
      </c>
      <c r="G122" s="28" t="inlineStr">
        <is>
          <t>宠物</t>
        </is>
      </c>
      <c r="H122" s="28" t="inlineStr">
        <is>
          <t>启用</t>
        </is>
      </c>
      <c r="I122" s="28" t="n">
        <v>5</v>
      </c>
      <c r="J122" s="28" t="inlineStr">
        <is>
          <t>pT3</t>
        </is>
      </c>
      <c r="K122" s="28" t="n">
        <v>6</v>
      </c>
      <c r="L122" s="28" t="inlineStr">
        <is>
          <t>44</t>
        </is>
      </c>
      <c r="M122" s="28" t="n">
        <v>28</v>
      </c>
      <c r="N122" s="28" t="n">
        <v>32</v>
      </c>
      <c r="O122" s="28" t="n">
        <v>30</v>
      </c>
      <c r="P122" s="28" t="n">
        <v>45</v>
      </c>
      <c r="Q122" s="28" t="n">
        <v>28</v>
      </c>
      <c r="R122" s="29" t="inlineStr">
        <is>
          <t>night_base, elem_风, role_控制, tier_pT3</t>
        </is>
      </c>
      <c r="S122" s="29" t="inlineStr">
        <is>
          <t>reward_pT3</t>
        </is>
      </c>
      <c r="T122" s="28" t="inlineStr">
        <is>
          <t>44</t>
        </is>
      </c>
      <c r="U122" s="28" t="inlineStr">
        <is>
          <t>旧定位=牵制；控制补预算</t>
        </is>
      </c>
    </row>
    <row r="123" ht="22" customHeight="1">
      <c r="A123" s="28" t="inlineStr">
        <is>
          <t>pal_122</t>
        </is>
      </c>
      <c r="B123" s="29" t="inlineStr">
        <is>
          <t>异构格里芬</t>
        </is>
      </c>
      <c r="C123" s="29" t="inlineStr">
        <is>
          <t>土</t>
        </is>
      </c>
      <c r="D123" s="29" t="inlineStr">
        <is>
          <t>黄金</t>
        </is>
      </c>
      <c r="E123" s="29" t="inlineStr">
        <is>
          <t>机动</t>
        </is>
      </c>
      <c r="F123" s="29" t="inlineStr">
        <is>
          <t>土、机动、灵活、泛用</t>
        </is>
      </c>
      <c r="G123" s="28" t="inlineStr">
        <is>
          <t>宠物</t>
        </is>
      </c>
      <c r="H123" s="28" t="inlineStr">
        <is>
          <t>启用</t>
        </is>
      </c>
      <c r="I123" s="28" t="n">
        <v>5</v>
      </c>
      <c r="J123" s="28" t="inlineStr">
        <is>
          <t>pT3</t>
        </is>
      </c>
      <c r="K123" s="28" t="n">
        <v>6</v>
      </c>
      <c r="L123" s="28" t="inlineStr">
        <is>
          <t>44</t>
        </is>
      </c>
      <c r="M123" s="28" t="n">
        <v>28</v>
      </c>
      <c r="N123" s="28" t="n">
        <v>32</v>
      </c>
      <c r="O123" s="28" t="n">
        <v>30</v>
      </c>
      <c r="P123" s="28" t="n">
        <v>45</v>
      </c>
      <c r="Q123" s="28" t="n">
        <v>28</v>
      </c>
      <c r="R123" s="29" t="inlineStr">
        <is>
          <t>night_base, elem_土, role_机动, tier_pT3</t>
        </is>
      </c>
      <c r="S123" s="29" t="inlineStr">
        <is>
          <t>reward_pT3</t>
        </is>
      </c>
      <c r="T123" s="28" t="inlineStr">
        <is>
          <t>44</t>
        </is>
      </c>
      <c r="U123" s="28" t="inlineStr">
        <is>
          <t>44</t>
        </is>
      </c>
    </row>
    <row r="124" ht="22" customHeight="1">
      <c r="A124" s="28" t="inlineStr">
        <is>
          <t>pal_123</t>
        </is>
      </c>
      <c r="B124" s="29" t="inlineStr">
        <is>
          <t>圣光骑士</t>
        </is>
      </c>
      <c r="C124" s="29" t="inlineStr">
        <is>
          <t>风</t>
        </is>
      </c>
      <c r="D124" s="29" t="inlineStr">
        <is>
          <t>黄金</t>
        </is>
      </c>
      <c r="E124" s="29" t="inlineStr">
        <is>
          <t>坦克</t>
        </is>
      </c>
      <c r="F124" s="29" t="inlineStr">
        <is>
          <t>风、防御、前排、阻挡</t>
        </is>
      </c>
      <c r="G124" s="28" t="inlineStr">
        <is>
          <t>宠物</t>
        </is>
      </c>
      <c r="H124" s="28" t="inlineStr">
        <is>
          <t>启用</t>
        </is>
      </c>
      <c r="I124" s="28" t="n">
        <v>5</v>
      </c>
      <c r="J124" s="28" t="inlineStr">
        <is>
          <t>pT3</t>
        </is>
      </c>
      <c r="K124" s="28" t="n">
        <v>6</v>
      </c>
      <c r="L124" s="28" t="inlineStr">
        <is>
          <t>44</t>
        </is>
      </c>
      <c r="M124" s="28" t="n">
        <v>28</v>
      </c>
      <c r="N124" s="28" t="n">
        <v>32</v>
      </c>
      <c r="O124" s="28" t="n">
        <v>30</v>
      </c>
      <c r="P124" s="28" t="n">
        <v>45</v>
      </c>
      <c r="Q124" s="28" t="n">
        <v>28</v>
      </c>
      <c r="R124" s="29" t="inlineStr">
        <is>
          <t>night_base, elem_风, role_坦克, tier_pT3</t>
        </is>
      </c>
      <c r="S124" s="29" t="inlineStr">
        <is>
          <t>reward_pT3</t>
        </is>
      </c>
      <c r="T124" s="28" t="inlineStr">
        <is>
          <t>44</t>
        </is>
      </c>
      <c r="U124" s="28" t="inlineStr">
        <is>
          <t>旧定位=防御</t>
        </is>
      </c>
    </row>
    <row r="125" ht="22" customHeight="1">
      <c r="A125" s="28" t="inlineStr">
        <is>
          <t>pal_124</t>
        </is>
      </c>
      <c r="B125" s="29" t="inlineStr">
        <is>
          <t>混沌骑士</t>
        </is>
      </c>
      <c r="C125" s="29" t="inlineStr">
        <is>
          <t>土</t>
        </is>
      </c>
      <c r="D125" s="29" t="inlineStr">
        <is>
          <t>黄金</t>
        </is>
      </c>
      <c r="E125" s="29" t="inlineStr">
        <is>
          <t>坦克</t>
        </is>
      </c>
      <c r="F125" s="29" t="inlineStr">
        <is>
          <t>土、防御、前排、阻挡</t>
        </is>
      </c>
      <c r="G125" s="28" t="inlineStr">
        <is>
          <t>宠物</t>
        </is>
      </c>
      <c r="H125" s="28" t="inlineStr">
        <is>
          <t>启用</t>
        </is>
      </c>
      <c r="I125" s="28" t="n">
        <v>5</v>
      </c>
      <c r="J125" s="28" t="inlineStr">
        <is>
          <t>pT3</t>
        </is>
      </c>
      <c r="K125" s="28" t="n">
        <v>6</v>
      </c>
      <c r="L125" s="28" t="inlineStr">
        <is>
          <t>44</t>
        </is>
      </c>
      <c r="M125" s="28" t="n">
        <v>28</v>
      </c>
      <c r="N125" s="28" t="n">
        <v>32</v>
      </c>
      <c r="O125" s="28" t="n">
        <v>30</v>
      </c>
      <c r="P125" s="28" t="n">
        <v>45</v>
      </c>
      <c r="Q125" s="28" t="n">
        <v>28</v>
      </c>
      <c r="R125" s="29" t="inlineStr">
        <is>
          <t>night_base, elem_土, role_坦克, tier_pT3</t>
        </is>
      </c>
      <c r="S125" s="29" t="inlineStr">
        <is>
          <t>reward_pT3</t>
        </is>
      </c>
      <c r="T125" s="28" t="inlineStr">
        <is>
          <t>44</t>
        </is>
      </c>
      <c r="U125" s="28" t="inlineStr">
        <is>
          <t>旧定位=防御</t>
        </is>
      </c>
    </row>
    <row r="126" ht="22" customHeight="1">
      <c r="A126" s="28" t="inlineStr">
        <is>
          <t>pal_125</t>
        </is>
      </c>
      <c r="B126" s="29" t="inlineStr">
        <is>
          <t>唤冬兽</t>
        </is>
      </c>
      <c r="C126" s="29" t="inlineStr">
        <is>
          <t>水</t>
        </is>
      </c>
      <c r="D126" s="29" t="inlineStr">
        <is>
          <t>黄金</t>
        </is>
      </c>
      <c r="E126" s="29" t="inlineStr">
        <is>
          <t>控制</t>
        </is>
      </c>
      <c r="F126" s="29" t="inlineStr">
        <is>
          <t>水、牵制、范围、机动</t>
        </is>
      </c>
      <c r="G126" s="28" t="inlineStr">
        <is>
          <t>宠物</t>
        </is>
      </c>
      <c r="H126" s="28" t="inlineStr">
        <is>
          <t>启用</t>
        </is>
      </c>
      <c r="I126" s="28" t="n">
        <v>5</v>
      </c>
      <c r="J126" s="28" t="inlineStr">
        <is>
          <t>pT3</t>
        </is>
      </c>
      <c r="K126" s="28" t="n">
        <v>6</v>
      </c>
      <c r="L126" s="28" t="inlineStr">
        <is>
          <t>44</t>
        </is>
      </c>
      <c r="M126" s="28" t="n">
        <v>28</v>
      </c>
      <c r="N126" s="28" t="n">
        <v>32</v>
      </c>
      <c r="O126" s="28" t="n">
        <v>30</v>
      </c>
      <c r="P126" s="28" t="n">
        <v>45</v>
      </c>
      <c r="Q126" s="28" t="n">
        <v>28</v>
      </c>
      <c r="R126" s="29" t="inlineStr">
        <is>
          <t>night_base, elem_水, role_控制, tier_pT3</t>
        </is>
      </c>
      <c r="S126" s="29" t="inlineStr">
        <is>
          <t>reward_pT3</t>
        </is>
      </c>
      <c r="T126" s="28" t="inlineStr">
        <is>
          <t>44</t>
        </is>
      </c>
      <c r="U126" s="28" t="inlineStr">
        <is>
          <t>旧定位=牵制；控制补预算</t>
        </is>
      </c>
    </row>
    <row r="127" ht="22" customHeight="1">
      <c r="A127" s="28" t="inlineStr">
        <is>
          <t>pal_126</t>
        </is>
      </c>
      <c r="B127" s="29" t="inlineStr">
        <is>
          <t>唤夜兽</t>
        </is>
      </c>
      <c r="C127" s="29" t="inlineStr">
        <is>
          <t>土</t>
        </is>
      </c>
      <c r="D127" s="29" t="inlineStr">
        <is>
          <t>黄金</t>
        </is>
      </c>
      <c r="E127" s="29" t="inlineStr">
        <is>
          <t>控制</t>
        </is>
      </c>
      <c r="F127" s="29" t="inlineStr">
        <is>
          <t>土、牵制、范围、机动</t>
        </is>
      </c>
      <c r="G127" s="28" t="inlineStr">
        <is>
          <t>宠物</t>
        </is>
      </c>
      <c r="H127" s="28" t="inlineStr">
        <is>
          <t>启用</t>
        </is>
      </c>
      <c r="I127" s="28" t="n">
        <v>5</v>
      </c>
      <c r="J127" s="28" t="inlineStr">
        <is>
          <t>pT3</t>
        </is>
      </c>
      <c r="K127" s="28" t="n">
        <v>6</v>
      </c>
      <c r="L127" s="28" t="inlineStr">
        <is>
          <t>44</t>
        </is>
      </c>
      <c r="M127" s="28" t="n">
        <v>28</v>
      </c>
      <c r="N127" s="28" t="n">
        <v>32</v>
      </c>
      <c r="O127" s="28" t="n">
        <v>30</v>
      </c>
      <c r="P127" s="28" t="n">
        <v>45</v>
      </c>
      <c r="Q127" s="28" t="n">
        <v>28</v>
      </c>
      <c r="R127" s="29" t="inlineStr">
        <is>
          <t>night_base, elem_土, role_控制, tier_pT3</t>
        </is>
      </c>
      <c r="S127" s="29" t="inlineStr">
        <is>
          <t>reward_pT3</t>
        </is>
      </c>
      <c r="T127" s="28" t="inlineStr">
        <is>
          <t>44</t>
        </is>
      </c>
      <c r="U127" s="28" t="inlineStr">
        <is>
          <t>旧定位=牵制；控制补预算</t>
        </is>
      </c>
    </row>
    <row r="128" ht="22" customHeight="1">
      <c r="A128" s="28" t="inlineStr">
        <is>
          <t>pal_127</t>
        </is>
      </c>
      <c r="B128" s="29" t="inlineStr">
        <is>
          <t>空涡龙</t>
        </is>
      </c>
      <c r="C128" s="29" t="inlineStr">
        <is>
          <t>风</t>
        </is>
      </c>
      <c r="D128" s="29" t="inlineStr">
        <is>
          <t>黄金</t>
        </is>
      </c>
      <c r="E128" s="29" t="inlineStr">
        <is>
          <t>机动</t>
        </is>
      </c>
      <c r="F128" s="29" t="inlineStr">
        <is>
          <t>风、机动、灵活、泛用</t>
        </is>
      </c>
      <c r="G128" s="28" t="inlineStr">
        <is>
          <t>宠物</t>
        </is>
      </c>
      <c r="H128" s="28" t="inlineStr">
        <is>
          <t>启用</t>
        </is>
      </c>
      <c r="I128" s="28" t="n">
        <v>5</v>
      </c>
      <c r="J128" s="28" t="inlineStr">
        <is>
          <t>pT3</t>
        </is>
      </c>
      <c r="K128" s="28" t="n">
        <v>6</v>
      </c>
      <c r="L128" s="28" t="inlineStr">
        <is>
          <t>44</t>
        </is>
      </c>
      <c r="M128" s="28" t="n">
        <v>28</v>
      </c>
      <c r="N128" s="28" t="n">
        <v>32</v>
      </c>
      <c r="O128" s="28" t="n">
        <v>30</v>
      </c>
      <c r="P128" s="28" t="n">
        <v>45</v>
      </c>
      <c r="Q128" s="28" t="n">
        <v>28</v>
      </c>
      <c r="R128" s="29" t="inlineStr">
        <is>
          <t>night_base, elem_风, role_机动, tier_pT3</t>
        </is>
      </c>
      <c r="S128" s="29" t="inlineStr">
        <is>
          <t>reward_pT3</t>
        </is>
      </c>
      <c r="T128" s="28" t="inlineStr">
        <is>
          <t>44</t>
        </is>
      </c>
      <c r="U128" s="28" t="inlineStr">
        <is>
          <t>44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3" max="3"/>
    <col width="18" customWidth="1" min="6" max="6"/>
    <col width="14" customWidth="1" min="8" max="8"/>
    <col width="18" customWidth="1" min="9" max="9"/>
    <col width="14" customWidth="1" min="13" max="13"/>
    <col width="10" customWidth="1" min="14" max="14"/>
    <col width="14" customWidth="1" min="15" max="15"/>
    <col width="32" customWidth="1" min="16" max="16"/>
  </cols>
  <sheetData>
    <row r="1" ht="28" customHeight="1">
      <c r="A1" s="27" t="inlineStr">
        <is>
          <t>遗物ID</t>
        </is>
      </c>
      <c r="B1" s="27" t="inlineStr">
        <is>
          <t>遗物名</t>
        </is>
      </c>
      <c r="C1" s="27" t="inlineStr">
        <is>
          <t>类型</t>
        </is>
      </c>
      <c r="D1" s="27" t="inlineStr">
        <is>
          <t>品质</t>
        </is>
      </c>
      <c r="E1" s="27" t="inlineStr">
        <is>
          <t>触发</t>
        </is>
      </c>
      <c r="F1" s="27" t="inlineStr">
        <is>
          <t>机制ID</t>
        </is>
      </c>
      <c r="G1" s="27" t="inlineStr">
        <is>
          <t>机制名(自动)</t>
        </is>
      </c>
      <c r="H1" s="27" t="inlineStr">
        <is>
          <t>参数</t>
        </is>
      </c>
      <c r="I1" s="27" t="inlineStr">
        <is>
          <t>关联宠物ID</t>
        </is>
      </c>
      <c r="J1" s="27" t="inlineStr">
        <is>
          <t>名称(自动)</t>
        </is>
      </c>
      <c r="K1" s="27" t="inlineStr">
        <is>
          <t>关联商店池</t>
        </is>
      </c>
      <c r="L1" s="27" t="inlineStr">
        <is>
          <t>关联奖励池</t>
        </is>
      </c>
      <c r="M1" s="27" t="inlineStr">
        <is>
          <t>解锁日</t>
        </is>
      </c>
      <c r="N1" s="27" t="inlineStr">
        <is>
          <t>权重</t>
        </is>
      </c>
      <c r="O1" s="27" t="inlineStr">
        <is>
          <t>状态</t>
        </is>
      </c>
      <c r="P1" s="27" t="inlineStr">
        <is>
          <t>备注</t>
        </is>
      </c>
    </row>
    <row r="2" ht="22" customHeight="1">
      <c r="A2" s="28" t="inlineStr">
        <is>
          <t>relic_001</t>
        </is>
      </c>
      <c r="B2" s="28" t="inlineStr">
        <is>
          <t>风系遗物01</t>
        </is>
      </c>
      <c r="C2" s="28" t="inlineStr">
        <is>
          <t>遗物</t>
        </is>
      </c>
      <c r="D2" s="28" t="inlineStr">
        <is>
          <t>青铜</t>
        </is>
      </c>
      <c r="E2" s="28" t="inlineStr">
        <is>
          <t>战斗开始</t>
        </is>
      </c>
      <c r="F2" s="28" t="inlineStr">
        <is>
          <t>none</t>
        </is>
      </c>
      <c r="G2" s="29">
        <f>IFERROR(VLOOKUP($F2,'04_机制词条库_60条'!$B:$S,2,FALSE),"")</f>
        <v/>
      </c>
      <c r="H2" s="28" t="inlineStr">
        <is>
          <t>{value:1}</t>
        </is>
      </c>
      <c r="I2" s="28" t="inlineStr">
        <is>
          <t>pal_001</t>
        </is>
      </c>
      <c r="J2" s="29">
        <f>IFERROR(VLOOKUP($I2,'01_宠物主表_好读版'!$A:$V,3,FALSE),"")</f>
        <v/>
      </c>
      <c r="K2" s="28" t="inlineStr">
        <is>
          <t>elem_土</t>
        </is>
      </c>
      <c r="L2" s="28" t="inlineStr">
        <is>
          <t>reward_pT3</t>
        </is>
      </c>
      <c r="M2" s="28" t="n">
        <v>1</v>
      </c>
      <c r="N2" s="28" t="n">
        <v>100</v>
      </c>
      <c r="O2" s="28" t="inlineStr">
        <is>
          <t>正式</t>
        </is>
      </c>
      <c r="P2" s="28" t="inlineStr">
        <is>
          <t>引用宠物ID/机制ID/池ID，后续可改成更具体美术名</t>
        </is>
      </c>
    </row>
    <row r="3" ht="22" customHeight="1">
      <c r="A3" s="28" t="inlineStr">
        <is>
          <t>relic_002</t>
        </is>
      </c>
      <c r="B3" s="28" t="inlineStr">
        <is>
          <t>风系祝福02</t>
        </is>
      </c>
      <c r="C3" s="28" t="inlineStr">
        <is>
          <t>祝福</t>
        </is>
      </c>
      <c r="D3" s="28" t="inlineStr">
        <is>
          <t>白银</t>
        </is>
      </c>
      <c r="E3" s="28" t="inlineStr">
        <is>
          <t>攻击后</t>
        </is>
      </c>
      <c r="F3" s="28" t="inlineStr">
        <is>
          <t>mech_counter_damage</t>
        </is>
      </c>
      <c r="G3" s="29">
        <f>IFERROR(VLOOKUP($F3,'04_机制词条库_60条'!$B:$S,2,FALSE),"")</f>
        <v/>
      </c>
      <c r="H3" s="28" t="inlineStr">
        <is>
          <t>{value:1}</t>
        </is>
      </c>
      <c r="I3" s="28" t="inlineStr">
        <is>
          <t>pal_004</t>
        </is>
      </c>
      <c r="J3" s="29">
        <f>IFERROR(VLOOKUP($I3,'01_宠物主表_好读版'!$A:$V,3,FALSE),"")</f>
        <v/>
      </c>
      <c r="K3" s="28" t="inlineStr">
        <is>
          <t>elem_水</t>
        </is>
      </c>
      <c r="L3" s="28" t="inlineStr">
        <is>
          <t>reward_pT1</t>
        </is>
      </c>
      <c r="M3" s="28" t="n">
        <v>2</v>
      </c>
      <c r="N3" s="28" t="n">
        <v>99</v>
      </c>
      <c r="O3" s="28" t="inlineStr">
        <is>
          <t>正式</t>
        </is>
      </c>
      <c r="P3" s="28" t="inlineStr">
        <is>
          <t>引用宠物ID/机制ID/池ID，后续可改成更具体美术名</t>
        </is>
      </c>
    </row>
    <row r="4" ht="22" customHeight="1">
      <c r="A4" s="28" t="inlineStr">
        <is>
          <t>relic_003</t>
        </is>
      </c>
      <c r="B4" s="28" t="inlineStr">
        <is>
          <t>风系装备03</t>
        </is>
      </c>
      <c r="C4" s="28" t="inlineStr">
        <is>
          <t>装备</t>
        </is>
      </c>
      <c r="D4" s="28" t="inlineStr">
        <is>
          <t>黄金</t>
        </is>
      </c>
      <c r="E4" s="28" t="inlineStr">
        <is>
          <t>受击后</t>
        </is>
      </c>
      <c r="F4" s="28" t="inlineStr">
        <is>
          <t>none</t>
        </is>
      </c>
      <c r="G4" s="29">
        <f>IFERROR(VLOOKUP($F4,'04_机制词条库_60条'!$B:$S,2,FALSE),"")</f>
        <v/>
      </c>
      <c r="H4" s="28" t="inlineStr">
        <is>
          <t>{value:1}</t>
        </is>
      </c>
      <c r="I4" s="28" t="inlineStr">
        <is>
          <t>pal_007</t>
        </is>
      </c>
      <c r="J4" s="29">
        <f>IFERROR(VLOOKUP($I4,'01_宠物主表_好读版'!$A:$V,3,FALSE),"")</f>
        <v/>
      </c>
      <c r="K4" s="28" t="inlineStr">
        <is>
          <t>elem_火</t>
        </is>
      </c>
      <c r="L4" s="28" t="inlineStr">
        <is>
          <t>reward_pT2</t>
        </is>
      </c>
      <c r="M4" s="28" t="n">
        <v>3</v>
      </c>
      <c r="N4" s="28" t="n">
        <v>98</v>
      </c>
      <c r="O4" s="28" t="inlineStr">
        <is>
          <t>正式</t>
        </is>
      </c>
      <c r="P4" s="28" t="inlineStr">
        <is>
          <t>引用宠物ID/机制ID/池ID，后续可改成更具体美术名</t>
        </is>
      </c>
    </row>
    <row r="5" ht="22" customHeight="1">
      <c r="A5" s="28" t="inlineStr">
        <is>
          <t>relic_004</t>
        </is>
      </c>
      <c r="B5" s="28" t="inlineStr">
        <is>
          <t>水系诅咒04</t>
        </is>
      </c>
      <c r="C5" s="28" t="inlineStr">
        <is>
          <t>诅咒</t>
        </is>
      </c>
      <c r="D5" s="28" t="inlineStr">
        <is>
          <t>钻石</t>
        </is>
      </c>
      <c r="E5" s="28" t="inlineStr">
        <is>
          <t>死亡时</t>
        </is>
      </c>
      <c r="F5" s="28" t="inlineStr">
        <is>
          <t>none</t>
        </is>
      </c>
      <c r="G5" s="29">
        <f>IFERROR(VLOOKUP($F5,'04_机制词条库_60条'!$B:$S,2,FALSE),"")</f>
        <v/>
      </c>
      <c r="H5" s="28" t="inlineStr">
        <is>
          <t>{value:1}</t>
        </is>
      </c>
      <c r="I5" s="28" t="inlineStr">
        <is>
          <t>pal_010</t>
        </is>
      </c>
      <c r="J5" s="29">
        <f>IFERROR(VLOOKUP($I5,'01_宠物主表_好读版'!$A:$V,3,FALSE),"")</f>
        <v/>
      </c>
      <c r="K5" s="28" t="inlineStr">
        <is>
          <t>elem_风</t>
        </is>
      </c>
      <c r="L5" s="28" t="inlineStr">
        <is>
          <t>reward_pT3</t>
        </is>
      </c>
      <c r="M5" s="28" t="n">
        <v>4</v>
      </c>
      <c r="N5" s="28" t="n">
        <v>97</v>
      </c>
      <c r="O5" s="28" t="inlineStr">
        <is>
          <t>正式</t>
        </is>
      </c>
      <c r="P5" s="28" t="inlineStr">
        <is>
          <t>引用宠物ID/机制ID/池ID，后续可改成更具体美术名</t>
        </is>
      </c>
    </row>
    <row r="6" ht="22" customHeight="1">
      <c r="A6" s="28" t="inlineStr">
        <is>
          <t>relic_005</t>
        </is>
      </c>
      <c r="B6" s="28" t="inlineStr">
        <is>
          <t>土系商店券05</t>
        </is>
      </c>
      <c r="C6" s="28" t="inlineStr">
        <is>
          <t>商店券</t>
        </is>
      </c>
      <c r="D6" s="28" t="inlineStr">
        <is>
          <t>青铜</t>
        </is>
      </c>
      <c r="E6" s="28" t="inlineStr">
        <is>
          <t>商店刷新</t>
        </is>
      </c>
      <c r="F6" s="28" t="inlineStr">
        <is>
          <t>none</t>
        </is>
      </c>
      <c r="G6" s="29">
        <f>IFERROR(VLOOKUP($F6,'04_机制词条库_60条'!$B:$S,2,FALSE),"")</f>
        <v/>
      </c>
      <c r="H6" s="28" t="inlineStr">
        <is>
          <t>{value:1}</t>
        </is>
      </c>
      <c r="I6" s="28" t="inlineStr">
        <is>
          <t>pal_013</t>
        </is>
      </c>
      <c r="J6" s="29">
        <f>IFERROR(VLOOKUP($I6,'01_宠物主表_好读版'!$A:$V,3,FALSE),"")</f>
        <v/>
      </c>
      <c r="K6" s="28" t="inlineStr">
        <is>
          <t>night_base</t>
        </is>
      </c>
      <c r="L6" s="28" t="inlineStr">
        <is>
          <t>reward_pT1</t>
        </is>
      </c>
      <c r="M6" s="28" t="n">
        <v>5</v>
      </c>
      <c r="N6" s="28" t="n">
        <v>96</v>
      </c>
      <c r="O6" s="28" t="inlineStr">
        <is>
          <t>正式</t>
        </is>
      </c>
      <c r="P6" s="28" t="inlineStr">
        <is>
          <t>引用宠物ID/机制ID/池ID，后续可改成更具体美术名</t>
        </is>
      </c>
    </row>
    <row r="7" ht="22" customHeight="1">
      <c r="A7" s="28" t="inlineStr">
        <is>
          <t>relic_006</t>
        </is>
      </c>
      <c r="B7" s="28" t="inlineStr">
        <is>
          <t>水系遗物06</t>
        </is>
      </c>
      <c r="C7" s="28" t="inlineStr">
        <is>
          <t>遗物</t>
        </is>
      </c>
      <c r="D7" s="28" t="inlineStr">
        <is>
          <t>白银</t>
        </is>
      </c>
      <c r="E7" s="28" t="inlineStr">
        <is>
          <t>战斗结算</t>
        </is>
      </c>
      <c r="F7" s="28" t="inlineStr">
        <is>
          <t>none</t>
        </is>
      </c>
      <c r="G7" s="29">
        <f>IFERROR(VLOOKUP($F7,'04_机制词条库_60条'!$B:$S,2,FALSE),"")</f>
        <v/>
      </c>
      <c r="H7" s="28" t="inlineStr">
        <is>
          <t>{value:1}</t>
        </is>
      </c>
      <c r="I7" s="28" t="inlineStr">
        <is>
          <t>pal_016</t>
        </is>
      </c>
      <c r="J7" s="29">
        <f>IFERROR(VLOOKUP($I7,'01_宠物主表_好读版'!$A:$V,3,FALSE),"")</f>
        <v/>
      </c>
      <c r="K7" s="28" t="inlineStr">
        <is>
          <t>role_召唤</t>
        </is>
      </c>
      <c r="L7" s="28" t="inlineStr">
        <is>
          <t>reward_pT2</t>
        </is>
      </c>
      <c r="M7" s="28" t="n">
        <v>6</v>
      </c>
      <c r="N7" s="28" t="n">
        <v>95</v>
      </c>
      <c r="O7" s="28" t="inlineStr">
        <is>
          <t>正式</t>
        </is>
      </c>
      <c r="P7" s="28" t="inlineStr">
        <is>
          <t>引用宠物ID/机制ID/池ID，后续可改成更具体美术名</t>
        </is>
      </c>
    </row>
    <row r="8" ht="22" customHeight="1">
      <c r="A8" s="28" t="inlineStr">
        <is>
          <t>relic_007</t>
        </is>
      </c>
      <c r="B8" s="28" t="inlineStr">
        <is>
          <t>土系祝福07</t>
        </is>
      </c>
      <c r="C8" s="28" t="inlineStr">
        <is>
          <t>祝福</t>
        </is>
      </c>
      <c r="D8" s="28" t="inlineStr">
        <is>
          <t>黄金</t>
        </is>
      </c>
      <c r="E8" s="28" t="inlineStr">
        <is>
          <t>战斗开始</t>
        </is>
      </c>
      <c r="F8" s="28" t="inlineStr">
        <is>
          <t>none</t>
        </is>
      </c>
      <c r="G8" s="29">
        <f>IFERROR(VLOOKUP($F8,'04_机制词条库_60条'!$B:$S,2,FALSE),"")</f>
        <v/>
      </c>
      <c r="H8" s="28" t="inlineStr">
        <is>
          <t>{value:1}</t>
        </is>
      </c>
      <c r="I8" s="28" t="inlineStr">
        <is>
          <t>pal_019</t>
        </is>
      </c>
      <c r="J8" s="29">
        <f>IFERROR(VLOOKUP($I8,'01_宠物主表_好读版'!$A:$V,3,FALSE),"")</f>
        <v/>
      </c>
      <c r="K8" s="28" t="inlineStr">
        <is>
          <t>role_坦克</t>
        </is>
      </c>
      <c r="L8" s="28" t="inlineStr">
        <is>
          <t>reward_pT3</t>
        </is>
      </c>
      <c r="M8" s="28" t="n">
        <v>7</v>
      </c>
      <c r="N8" s="28" t="n">
        <v>94</v>
      </c>
      <c r="O8" s="28" t="inlineStr">
        <is>
          <t>正式</t>
        </is>
      </c>
      <c r="P8" s="28" t="inlineStr">
        <is>
          <t>引用宠物ID/机制ID/池ID，后续可改成更具体美术名</t>
        </is>
      </c>
    </row>
    <row r="9" ht="22" customHeight="1">
      <c r="A9" s="28" t="inlineStr">
        <is>
          <t>relic_008</t>
        </is>
      </c>
      <c r="B9" s="28" t="inlineStr">
        <is>
          <t>土系装备08</t>
        </is>
      </c>
      <c r="C9" s="28" t="inlineStr">
        <is>
          <t>装备</t>
        </is>
      </c>
      <c r="D9" s="28" t="inlineStr">
        <is>
          <t>钻石</t>
        </is>
      </c>
      <c r="E9" s="28" t="inlineStr">
        <is>
          <t>攻击后</t>
        </is>
      </c>
      <c r="F9" s="28" t="inlineStr">
        <is>
          <t>none</t>
        </is>
      </c>
      <c r="G9" s="29">
        <f>IFERROR(VLOOKUP($F9,'04_机制词条库_60条'!$B:$S,2,FALSE),"")</f>
        <v/>
      </c>
      <c r="H9" s="28" t="inlineStr">
        <is>
          <t>{value:1}</t>
        </is>
      </c>
      <c r="I9" s="28" t="inlineStr">
        <is>
          <t>pal_022</t>
        </is>
      </c>
      <c r="J9" s="29">
        <f>IFERROR(VLOOKUP($I9,'01_宠物主表_好读版'!$A:$V,3,FALSE),"")</f>
        <v/>
      </c>
      <c r="K9" s="28" t="inlineStr">
        <is>
          <t>role_控制</t>
        </is>
      </c>
      <c r="L9" s="28" t="inlineStr">
        <is>
          <t>reward_pT1</t>
        </is>
      </c>
      <c r="M9" s="28" t="n">
        <v>1</v>
      </c>
      <c r="N9" s="28" t="n">
        <v>93</v>
      </c>
      <c r="O9" s="28" t="inlineStr">
        <is>
          <t>正式</t>
        </is>
      </c>
      <c r="P9" s="28" t="inlineStr">
        <is>
          <t>引用宠物ID/机制ID/池ID，后续可改成更具体美术名</t>
        </is>
      </c>
    </row>
    <row r="10" ht="22" customHeight="1">
      <c r="A10" s="28" t="inlineStr">
        <is>
          <t>relic_009</t>
        </is>
      </c>
      <c r="B10" s="28" t="inlineStr">
        <is>
          <t>水系诅咒09</t>
        </is>
      </c>
      <c r="C10" s="28" t="inlineStr">
        <is>
          <t>诅咒</t>
        </is>
      </c>
      <c r="D10" s="28" t="inlineStr">
        <is>
          <t>青铜</t>
        </is>
      </c>
      <c r="E10" s="28" t="inlineStr">
        <is>
          <t>受击后</t>
        </is>
      </c>
      <c r="F10" s="28" t="inlineStr">
        <is>
          <t>none</t>
        </is>
      </c>
      <c r="G10" s="29">
        <f>IFERROR(VLOOKUP($F10,'04_机制词条库_60条'!$B:$S,2,FALSE),"")</f>
        <v/>
      </c>
      <c r="H10" s="28" t="inlineStr">
        <is>
          <t>{value:1}</t>
        </is>
      </c>
      <c r="I10" s="28" t="inlineStr">
        <is>
          <t>pal_025</t>
        </is>
      </c>
      <c r="J10" s="29">
        <f>IFERROR(VLOOKUP($I10,'01_宠物主表_好读版'!$A:$V,3,FALSE),"")</f>
        <v/>
      </c>
      <c r="K10" s="28" t="inlineStr">
        <is>
          <t>role_机动</t>
        </is>
      </c>
      <c r="L10" s="28" t="inlineStr">
        <is>
          <t>reward_pT2</t>
        </is>
      </c>
      <c r="M10" s="28" t="n">
        <v>2</v>
      </c>
      <c r="N10" s="28" t="n">
        <v>92</v>
      </c>
      <c r="O10" s="28" t="inlineStr">
        <is>
          <t>正式</t>
        </is>
      </c>
      <c r="P10" s="28" t="inlineStr">
        <is>
          <t>引用宠物ID/机制ID/池ID，后续可改成更具体美术名</t>
        </is>
      </c>
    </row>
    <row r="11" ht="22" customHeight="1">
      <c r="A11" s="28" t="inlineStr">
        <is>
          <t>relic_010</t>
        </is>
      </c>
      <c r="B11" s="28" t="inlineStr">
        <is>
          <t>风系商店券10</t>
        </is>
      </c>
      <c r="C11" s="28" t="inlineStr">
        <is>
          <t>商店券</t>
        </is>
      </c>
      <c r="D11" s="28" t="inlineStr">
        <is>
          <t>白银</t>
        </is>
      </c>
      <c r="E11" s="28" t="inlineStr">
        <is>
          <t>死亡时</t>
        </is>
      </c>
      <c r="F11" s="28" t="inlineStr">
        <is>
          <t>none</t>
        </is>
      </c>
      <c r="G11" s="29">
        <f>IFERROR(VLOOKUP($F11,'04_机制词条库_60条'!$B:$S,2,FALSE),"")</f>
        <v/>
      </c>
      <c r="H11" s="28" t="inlineStr">
        <is>
          <t>{value:1}</t>
        </is>
      </c>
      <c r="I11" s="28" t="inlineStr">
        <is>
          <t>pal_028</t>
        </is>
      </c>
      <c r="J11" s="29">
        <f>IFERROR(VLOOKUP($I11,'01_宠物主表_好读版'!$A:$V,3,FALSE),"")</f>
        <v/>
      </c>
      <c r="K11" s="28" t="inlineStr">
        <is>
          <t>role_治疗</t>
        </is>
      </c>
      <c r="L11" s="28" t="inlineStr">
        <is>
          <t>reward_pT3</t>
        </is>
      </c>
      <c r="M11" s="28" t="n">
        <v>3</v>
      </c>
      <c r="N11" s="28" t="n">
        <v>91</v>
      </c>
      <c r="O11" s="28" t="inlineStr">
        <is>
          <t>正式</t>
        </is>
      </c>
      <c r="P11" s="28" t="inlineStr">
        <is>
          <t>引用宠物ID/机制ID/池ID，后续可改成更具体美术名</t>
        </is>
      </c>
    </row>
    <row r="12" ht="22" customHeight="1">
      <c r="A12" s="28" t="inlineStr">
        <is>
          <t>relic_011</t>
        </is>
      </c>
      <c r="B12" s="28" t="inlineStr">
        <is>
          <t>水系遗物11</t>
        </is>
      </c>
      <c r="C12" s="28" t="inlineStr">
        <is>
          <t>遗物</t>
        </is>
      </c>
      <c r="D12" s="28" t="inlineStr">
        <is>
          <t>黄金</t>
        </is>
      </c>
      <c r="E12" s="28" t="inlineStr">
        <is>
          <t>商店刷新</t>
        </is>
      </c>
      <c r="F12" s="28" t="inlineStr">
        <is>
          <t>none</t>
        </is>
      </c>
      <c r="G12" s="29">
        <f>IFERROR(VLOOKUP($F12,'04_机制词条库_60条'!$B:$S,2,FALSE),"")</f>
        <v/>
      </c>
      <c r="H12" s="28" t="inlineStr">
        <is>
          <t>{value:1}</t>
        </is>
      </c>
      <c r="I12" s="28" t="inlineStr">
        <is>
          <t>pal_031</t>
        </is>
      </c>
      <c r="J12" s="29">
        <f>IFERROR(VLOOKUP($I12,'01_宠物主表_好读版'!$A:$V,3,FALSE),"")</f>
        <v/>
      </c>
      <c r="K12" s="28" t="inlineStr">
        <is>
          <t>role_经济</t>
        </is>
      </c>
      <c r="L12" s="28" t="inlineStr">
        <is>
          <t>reward_pT1</t>
        </is>
      </c>
      <c r="M12" s="28" t="n">
        <v>4</v>
      </c>
      <c r="N12" s="28" t="n">
        <v>90</v>
      </c>
      <c r="O12" s="28" t="inlineStr">
        <is>
          <t>正式</t>
        </is>
      </c>
      <c r="P12" s="28" t="inlineStr">
        <is>
          <t>引用宠物ID/机制ID/池ID，后续可改成更具体美术名</t>
        </is>
      </c>
    </row>
    <row r="13" ht="22" customHeight="1">
      <c r="A13" s="28" t="inlineStr">
        <is>
          <t>relic_012</t>
        </is>
      </c>
      <c r="B13" s="28" t="inlineStr">
        <is>
          <t>风系祝福12</t>
        </is>
      </c>
      <c r="C13" s="28" t="inlineStr">
        <is>
          <t>祝福</t>
        </is>
      </c>
      <c r="D13" s="28" t="inlineStr">
        <is>
          <t>钻石</t>
        </is>
      </c>
      <c r="E13" s="28" t="inlineStr">
        <is>
          <t>战斗结算</t>
        </is>
      </c>
      <c r="F13" s="28" t="inlineStr">
        <is>
          <t>none</t>
        </is>
      </c>
      <c r="G13" s="29">
        <f>IFERROR(VLOOKUP($F13,'04_机制词条库_60条'!$B:$S,2,FALSE),"")</f>
        <v/>
      </c>
      <c r="H13" s="28" t="inlineStr">
        <is>
          <t>{value:1}</t>
        </is>
      </c>
      <c r="I13" s="28" t="inlineStr">
        <is>
          <t>pal_034</t>
        </is>
      </c>
      <c r="J13" s="29">
        <f>IFERROR(VLOOKUP($I13,'01_宠物主表_好读版'!$A:$V,3,FALSE),"")</f>
        <v/>
      </c>
      <c r="K13" s="28" t="inlineStr">
        <is>
          <t>role_输出</t>
        </is>
      </c>
      <c r="L13" s="28" t="inlineStr">
        <is>
          <t>reward_pT2</t>
        </is>
      </c>
      <c r="M13" s="28" t="n">
        <v>5</v>
      </c>
      <c r="N13" s="28" t="n">
        <v>89</v>
      </c>
      <c r="O13" s="28" t="inlineStr">
        <is>
          <t>正式</t>
        </is>
      </c>
      <c r="P13" s="28" t="inlineStr">
        <is>
          <t>引用宠物ID/机制ID/池ID，后续可改成更具体美术名</t>
        </is>
      </c>
    </row>
    <row r="14" ht="22" customHeight="1">
      <c r="A14" s="28" t="inlineStr">
        <is>
          <t>relic_013</t>
        </is>
      </c>
      <c r="B14" s="28" t="inlineStr">
        <is>
          <t>风系装备13</t>
        </is>
      </c>
      <c r="C14" s="28" t="inlineStr">
        <is>
          <t>装备</t>
        </is>
      </c>
      <c r="D14" s="28" t="inlineStr">
        <is>
          <t>青铜</t>
        </is>
      </c>
      <c r="E14" s="28" t="inlineStr">
        <is>
          <t>战斗开始</t>
        </is>
      </c>
      <c r="F14" s="28" t="inlineStr">
        <is>
          <t>none</t>
        </is>
      </c>
      <c r="G14" s="29">
        <f>IFERROR(VLOOKUP($F14,'04_机制词条库_60条'!$B:$S,2,FALSE),"")</f>
        <v/>
      </c>
      <c r="H14" s="28" t="inlineStr">
        <is>
          <t>{value:1}</t>
        </is>
      </c>
      <c r="I14" s="28" t="inlineStr">
        <is>
          <t>pal_037</t>
        </is>
      </c>
      <c r="J14" s="29">
        <f>IFERROR(VLOOKUP($I14,'01_宠物主表_好读版'!$A:$V,3,FALSE),"")</f>
        <v/>
      </c>
      <c r="K14" s="28" t="inlineStr">
        <is>
          <t>tier_pT1</t>
        </is>
      </c>
      <c r="L14" s="28" t="inlineStr">
        <is>
          <t>reward_pT3</t>
        </is>
      </c>
      <c r="M14" s="28" t="n">
        <v>6</v>
      </c>
      <c r="N14" s="28" t="n">
        <v>88</v>
      </c>
      <c r="O14" s="28" t="inlineStr">
        <is>
          <t>正式</t>
        </is>
      </c>
      <c r="P14" s="28" t="inlineStr">
        <is>
          <t>引用宠物ID/机制ID/池ID，后续可改成更具体美术名</t>
        </is>
      </c>
    </row>
    <row r="15" ht="22" customHeight="1">
      <c r="A15" s="28" t="inlineStr">
        <is>
          <t>relic_014</t>
        </is>
      </c>
      <c r="B15" s="28" t="inlineStr">
        <is>
          <t>火系诅咒14</t>
        </is>
      </c>
      <c r="C15" s="28" t="inlineStr">
        <is>
          <t>诅咒</t>
        </is>
      </c>
      <c r="D15" s="28" t="inlineStr">
        <is>
          <t>白银</t>
        </is>
      </c>
      <c r="E15" s="28" t="inlineStr">
        <is>
          <t>攻击后</t>
        </is>
      </c>
      <c r="F15" s="28" t="inlineStr">
        <is>
          <t>none</t>
        </is>
      </c>
      <c r="G15" s="29">
        <f>IFERROR(VLOOKUP($F15,'04_机制词条库_60条'!$B:$S,2,FALSE),"")</f>
        <v/>
      </c>
      <c r="H15" s="28" t="inlineStr">
        <is>
          <t>{value:1}</t>
        </is>
      </c>
      <c r="I15" s="28" t="inlineStr">
        <is>
          <t>pal_040</t>
        </is>
      </c>
      <c r="J15" s="29">
        <f>IFERROR(VLOOKUP($I15,'01_宠物主表_好读版'!$A:$V,3,FALSE),"")</f>
        <v/>
      </c>
      <c r="K15" s="28" t="inlineStr">
        <is>
          <t>tier_pT2</t>
        </is>
      </c>
      <c r="L15" s="28" t="inlineStr">
        <is>
          <t>reward_pT1</t>
        </is>
      </c>
      <c r="M15" s="28" t="n">
        <v>7</v>
      </c>
      <c r="N15" s="28" t="n">
        <v>87</v>
      </c>
      <c r="O15" s="28" t="inlineStr">
        <is>
          <t>正式</t>
        </is>
      </c>
      <c r="P15" s="28" t="inlineStr">
        <is>
          <t>引用宠物ID/机制ID/池ID，后续可改成更具体美术名</t>
        </is>
      </c>
    </row>
    <row r="16" ht="22" customHeight="1">
      <c r="A16" s="28" t="inlineStr">
        <is>
          <t>relic_015</t>
        </is>
      </c>
      <c r="B16" s="28" t="inlineStr">
        <is>
          <t>土系商店券15</t>
        </is>
      </c>
      <c r="C16" s="28" t="inlineStr">
        <is>
          <t>商店券</t>
        </is>
      </c>
      <c r="D16" s="28" t="inlineStr">
        <is>
          <t>黄金</t>
        </is>
      </c>
      <c r="E16" s="28" t="inlineStr">
        <is>
          <t>受击后</t>
        </is>
      </c>
      <c r="F16" s="28" t="inlineStr">
        <is>
          <t>none</t>
        </is>
      </c>
      <c r="G16" s="29">
        <f>IFERROR(VLOOKUP($F16,'04_机制词条库_60条'!$B:$S,2,FALSE),"")</f>
        <v/>
      </c>
      <c r="H16" s="28" t="inlineStr">
        <is>
          <t>{value:1}</t>
        </is>
      </c>
      <c r="I16" s="28" t="inlineStr">
        <is>
          <t>pal_043</t>
        </is>
      </c>
      <c r="J16" s="29">
        <f>IFERROR(VLOOKUP($I16,'01_宠物主表_好读版'!$A:$V,3,FALSE),"")</f>
        <v/>
      </c>
      <c r="K16" s="28" t="inlineStr">
        <is>
          <t>tier_pT3</t>
        </is>
      </c>
      <c r="L16" s="28" t="inlineStr">
        <is>
          <t>reward_pT2</t>
        </is>
      </c>
      <c r="M16" s="28" t="n">
        <v>1</v>
      </c>
      <c r="N16" s="28" t="n">
        <v>86</v>
      </c>
      <c r="O16" s="28" t="inlineStr">
        <is>
          <t>正式</t>
        </is>
      </c>
      <c r="P16" s="28" t="inlineStr">
        <is>
          <t>引用宠物ID/机制ID/池ID，后续可改成更具体美术名</t>
        </is>
      </c>
    </row>
    <row r="17" ht="22" customHeight="1">
      <c r="A17" s="28" t="inlineStr">
        <is>
          <t>relic_016</t>
        </is>
      </c>
      <c r="B17" s="28" t="inlineStr">
        <is>
          <t>土系遗物16</t>
        </is>
      </c>
      <c r="C17" s="28" t="inlineStr">
        <is>
          <t>遗物</t>
        </is>
      </c>
      <c r="D17" s="28" t="inlineStr">
        <is>
          <t>钻石</t>
        </is>
      </c>
      <c r="E17" s="28" t="inlineStr">
        <is>
          <t>死亡时</t>
        </is>
      </c>
      <c r="F17" s="28" t="inlineStr">
        <is>
          <t>none</t>
        </is>
      </c>
      <c r="G17" s="29">
        <f>IFERROR(VLOOKUP($F17,'04_机制词条库_60条'!$B:$S,2,FALSE),"")</f>
        <v/>
      </c>
      <c r="H17" s="28" t="inlineStr">
        <is>
          <t>{value:1}</t>
        </is>
      </c>
      <c r="I17" s="28" t="inlineStr">
        <is>
          <t>pal_046</t>
        </is>
      </c>
      <c r="J17" s="29">
        <f>IFERROR(VLOOKUP($I17,'01_宠物主表_好读版'!$A:$V,3,FALSE),"")</f>
        <v/>
      </c>
      <c r="K17" s="28" t="inlineStr">
        <is>
          <t>elem_土</t>
        </is>
      </c>
      <c r="L17" s="28" t="inlineStr">
        <is>
          <t>reward_pT3</t>
        </is>
      </c>
      <c r="M17" s="28" t="n">
        <v>2</v>
      </c>
      <c r="N17" s="28" t="n">
        <v>85</v>
      </c>
      <c r="O17" s="28" t="inlineStr">
        <is>
          <t>正式</t>
        </is>
      </c>
      <c r="P17" s="28" t="inlineStr">
        <is>
          <t>引用宠物ID/机制ID/池ID，后续可改成更具体美术名</t>
        </is>
      </c>
    </row>
    <row r="18" ht="22" customHeight="1">
      <c r="A18" s="28" t="inlineStr">
        <is>
          <t>relic_017</t>
        </is>
      </c>
      <c r="B18" s="28" t="inlineStr">
        <is>
          <t>风系祝福17</t>
        </is>
      </c>
      <c r="C18" s="28" t="inlineStr">
        <is>
          <t>祝福</t>
        </is>
      </c>
      <c r="D18" s="28" t="inlineStr">
        <is>
          <t>青铜</t>
        </is>
      </c>
      <c r="E18" s="28" t="inlineStr">
        <is>
          <t>商店刷新</t>
        </is>
      </c>
      <c r="F18" s="28" t="inlineStr">
        <is>
          <t>mech_counter_damage</t>
        </is>
      </c>
      <c r="G18" s="29">
        <f>IFERROR(VLOOKUP($F18,'04_机制词条库_60条'!$B:$S,2,FALSE),"")</f>
        <v/>
      </c>
      <c r="H18" s="28" t="inlineStr">
        <is>
          <t>{value:1}</t>
        </is>
      </c>
      <c r="I18" s="28" t="inlineStr">
        <is>
          <t>pal_049</t>
        </is>
      </c>
      <c r="J18" s="29">
        <f>IFERROR(VLOOKUP($I18,'01_宠物主表_好读版'!$A:$V,3,FALSE),"")</f>
        <v/>
      </c>
      <c r="K18" s="28" t="inlineStr">
        <is>
          <t>elem_水</t>
        </is>
      </c>
      <c r="L18" s="28" t="inlineStr">
        <is>
          <t>reward_pT1</t>
        </is>
      </c>
      <c r="M18" s="28" t="n">
        <v>3</v>
      </c>
      <c r="N18" s="28" t="n">
        <v>84</v>
      </c>
      <c r="O18" s="28" t="inlineStr">
        <is>
          <t>正式</t>
        </is>
      </c>
      <c r="P18" s="28" t="inlineStr">
        <is>
          <t>引用宠物ID/机制ID/池ID，后续可改成更具体美术名</t>
        </is>
      </c>
    </row>
    <row r="19" ht="22" customHeight="1">
      <c r="A19" s="28" t="inlineStr">
        <is>
          <t>relic_018</t>
        </is>
      </c>
      <c r="B19" s="28" t="inlineStr">
        <is>
          <t>风系装备18</t>
        </is>
      </c>
      <c r="C19" s="28" t="inlineStr">
        <is>
          <t>装备</t>
        </is>
      </c>
      <c r="D19" s="28" t="inlineStr">
        <is>
          <t>白银</t>
        </is>
      </c>
      <c r="E19" s="28" t="inlineStr">
        <is>
          <t>战斗结算</t>
        </is>
      </c>
      <c r="F19" s="28" t="inlineStr">
        <is>
          <t>none</t>
        </is>
      </c>
      <c r="G19" s="29">
        <f>IFERROR(VLOOKUP($F19,'04_机制词条库_60条'!$B:$S,2,FALSE),"")</f>
        <v/>
      </c>
      <c r="H19" s="28" t="inlineStr">
        <is>
          <t>{value:1}</t>
        </is>
      </c>
      <c r="I19" s="28" t="inlineStr">
        <is>
          <t>pal_052</t>
        </is>
      </c>
      <c r="J19" s="29">
        <f>IFERROR(VLOOKUP($I19,'01_宠物主表_好读版'!$A:$V,3,FALSE),"")</f>
        <v/>
      </c>
      <c r="K19" s="28" t="inlineStr">
        <is>
          <t>elem_火</t>
        </is>
      </c>
      <c r="L19" s="28" t="inlineStr">
        <is>
          <t>reward_pT2</t>
        </is>
      </c>
      <c r="M19" s="28" t="n">
        <v>4</v>
      </c>
      <c r="N19" s="28" t="n">
        <v>83</v>
      </c>
      <c r="O19" s="28" t="inlineStr">
        <is>
          <t>正式</t>
        </is>
      </c>
      <c r="P19" s="28" t="inlineStr">
        <is>
          <t>引用宠物ID/机制ID/池ID，后续可改成更具体美术名</t>
        </is>
      </c>
    </row>
    <row r="20" ht="22" customHeight="1">
      <c r="A20" s="28" t="inlineStr">
        <is>
          <t>relic_019</t>
        </is>
      </c>
      <c r="B20" s="28" t="inlineStr">
        <is>
          <t>水系诅咒19</t>
        </is>
      </c>
      <c r="C20" s="28" t="inlineStr">
        <is>
          <t>诅咒</t>
        </is>
      </c>
      <c r="D20" s="28" t="inlineStr">
        <is>
          <t>黄金</t>
        </is>
      </c>
      <c r="E20" s="28" t="inlineStr">
        <is>
          <t>战斗开始</t>
        </is>
      </c>
      <c r="F20" s="28" t="inlineStr">
        <is>
          <t>none</t>
        </is>
      </c>
      <c r="G20" s="29">
        <f>IFERROR(VLOOKUP($F20,'04_机制词条库_60条'!$B:$S,2,FALSE),"")</f>
        <v/>
      </c>
      <c r="H20" s="28" t="inlineStr">
        <is>
          <t>{value:1}</t>
        </is>
      </c>
      <c r="I20" s="28" t="inlineStr">
        <is>
          <t>pal_055</t>
        </is>
      </c>
      <c r="J20" s="29">
        <f>IFERROR(VLOOKUP($I20,'01_宠物主表_好读版'!$A:$V,3,FALSE),"")</f>
        <v/>
      </c>
      <c r="K20" s="28" t="inlineStr">
        <is>
          <t>elem_风</t>
        </is>
      </c>
      <c r="L20" s="28" t="inlineStr">
        <is>
          <t>reward_pT3</t>
        </is>
      </c>
      <c r="M20" s="28" t="n">
        <v>5</v>
      </c>
      <c r="N20" s="28" t="n">
        <v>82</v>
      </c>
      <c r="O20" s="28" t="inlineStr">
        <is>
          <t>正式</t>
        </is>
      </c>
      <c r="P20" s="28" t="inlineStr">
        <is>
          <t>引用宠物ID/机制ID/池ID，后续可改成更具体美术名</t>
        </is>
      </c>
    </row>
    <row r="21" ht="22" customHeight="1">
      <c r="A21" s="28" t="inlineStr">
        <is>
          <t>relic_020</t>
        </is>
      </c>
      <c r="B21" s="28" t="inlineStr">
        <is>
          <t>火系商店券20</t>
        </is>
      </c>
      <c r="C21" s="28" t="inlineStr">
        <is>
          <t>商店券</t>
        </is>
      </c>
      <c r="D21" s="28" t="inlineStr">
        <is>
          <t>钻石</t>
        </is>
      </c>
      <c r="E21" s="28" t="inlineStr">
        <is>
          <t>攻击后</t>
        </is>
      </c>
      <c r="F21" s="28" t="inlineStr">
        <is>
          <t>none</t>
        </is>
      </c>
      <c r="G21" s="29">
        <f>IFERROR(VLOOKUP($F21,'04_机制词条库_60条'!$B:$S,2,FALSE),"")</f>
        <v/>
      </c>
      <c r="H21" s="28" t="inlineStr">
        <is>
          <t>{value:1}</t>
        </is>
      </c>
      <c r="I21" s="28" t="inlineStr">
        <is>
          <t>pal_058</t>
        </is>
      </c>
      <c r="J21" s="29">
        <f>IFERROR(VLOOKUP($I21,'01_宠物主表_好读版'!$A:$V,3,FALSE),"")</f>
        <v/>
      </c>
      <c r="K21" s="28" t="inlineStr">
        <is>
          <t>night_base</t>
        </is>
      </c>
      <c r="L21" s="28" t="inlineStr">
        <is>
          <t>reward_pT1</t>
        </is>
      </c>
      <c r="M21" s="28" t="n">
        <v>6</v>
      </c>
      <c r="N21" s="28" t="n">
        <v>81</v>
      </c>
      <c r="O21" s="28" t="inlineStr">
        <is>
          <t>正式</t>
        </is>
      </c>
      <c r="P21" s="28" t="inlineStr">
        <is>
          <t>引用宠物ID/机制ID/池ID，后续可改成更具体美术名</t>
        </is>
      </c>
    </row>
    <row r="22" ht="22" customHeight="1">
      <c r="A22" s="28" t="inlineStr">
        <is>
          <t>relic_021</t>
        </is>
      </c>
      <c r="B22" s="28" t="inlineStr">
        <is>
          <t>火系遗物21</t>
        </is>
      </c>
      <c r="C22" s="28" t="inlineStr">
        <is>
          <t>遗物</t>
        </is>
      </c>
      <c r="D22" s="28" t="inlineStr">
        <is>
          <t>青铜</t>
        </is>
      </c>
      <c r="E22" s="28" t="inlineStr">
        <is>
          <t>受击后</t>
        </is>
      </c>
      <c r="F22" s="28" t="inlineStr">
        <is>
          <t>none</t>
        </is>
      </c>
      <c r="G22" s="29">
        <f>IFERROR(VLOOKUP($F22,'04_机制词条库_60条'!$B:$S,2,FALSE),"")</f>
        <v/>
      </c>
      <c r="H22" s="28" t="inlineStr">
        <is>
          <t>{value:1}</t>
        </is>
      </c>
      <c r="I22" s="28" t="inlineStr">
        <is>
          <t>pal_061</t>
        </is>
      </c>
      <c r="J22" s="29">
        <f>IFERROR(VLOOKUP($I22,'01_宠物主表_好读版'!$A:$V,3,FALSE),"")</f>
        <v/>
      </c>
      <c r="K22" s="28" t="inlineStr">
        <is>
          <t>role_召唤</t>
        </is>
      </c>
      <c r="L22" s="28" t="inlineStr">
        <is>
          <t>reward_pT2</t>
        </is>
      </c>
      <c r="M22" s="28" t="n">
        <v>7</v>
      </c>
      <c r="N22" s="28" t="n">
        <v>80</v>
      </c>
      <c r="O22" s="28" t="inlineStr">
        <is>
          <t>正式</t>
        </is>
      </c>
      <c r="P22" s="28" t="inlineStr">
        <is>
          <t>引用宠物ID/机制ID/池ID，后续可改成更具体美术名</t>
        </is>
      </c>
    </row>
    <row r="23" ht="22" customHeight="1">
      <c r="A23" s="28" t="inlineStr">
        <is>
          <t>relic_022</t>
        </is>
      </c>
      <c r="B23" s="28" t="inlineStr">
        <is>
          <t>风系祝福22</t>
        </is>
      </c>
      <c r="C23" s="28" t="inlineStr">
        <is>
          <t>祝福</t>
        </is>
      </c>
      <c r="D23" s="28" t="inlineStr">
        <is>
          <t>白银</t>
        </is>
      </c>
      <c r="E23" s="28" t="inlineStr">
        <is>
          <t>死亡时</t>
        </is>
      </c>
      <c r="F23" s="28" t="inlineStr">
        <is>
          <t>none</t>
        </is>
      </c>
      <c r="G23" s="29">
        <f>IFERROR(VLOOKUP($F23,'04_机制词条库_60条'!$B:$S,2,FALSE),"")</f>
        <v/>
      </c>
      <c r="H23" s="28" t="inlineStr">
        <is>
          <t>{value:1}</t>
        </is>
      </c>
      <c r="I23" s="28" t="inlineStr">
        <is>
          <t>pal_064</t>
        </is>
      </c>
      <c r="J23" s="29">
        <f>IFERROR(VLOOKUP($I23,'01_宠物主表_好读版'!$A:$V,3,FALSE),"")</f>
        <v/>
      </c>
      <c r="K23" s="28" t="inlineStr">
        <is>
          <t>role_坦克</t>
        </is>
      </c>
      <c r="L23" s="28" t="inlineStr">
        <is>
          <t>reward_pT3</t>
        </is>
      </c>
      <c r="M23" s="28" t="n">
        <v>1</v>
      </c>
      <c r="N23" s="28" t="n">
        <v>79</v>
      </c>
      <c r="O23" s="28" t="inlineStr">
        <is>
          <t>正式</t>
        </is>
      </c>
      <c r="P23" s="28" t="inlineStr">
        <is>
          <t>引用宠物ID/机制ID/池ID，后续可改成更具体美术名</t>
        </is>
      </c>
    </row>
    <row r="24" ht="22" customHeight="1">
      <c r="A24" s="28" t="inlineStr">
        <is>
          <t>relic_023</t>
        </is>
      </c>
      <c r="B24" s="28" t="inlineStr">
        <is>
          <t>土系装备23</t>
        </is>
      </c>
      <c r="C24" s="28" t="inlineStr">
        <is>
          <t>装备</t>
        </is>
      </c>
      <c r="D24" s="28" t="inlineStr">
        <is>
          <t>黄金</t>
        </is>
      </c>
      <c r="E24" s="28" t="inlineStr">
        <is>
          <t>商店刷新</t>
        </is>
      </c>
      <c r="F24" s="28" t="inlineStr">
        <is>
          <t>none</t>
        </is>
      </c>
      <c r="G24" s="29">
        <f>IFERROR(VLOOKUP($F24,'04_机制词条库_60条'!$B:$S,2,FALSE),"")</f>
        <v/>
      </c>
      <c r="H24" s="28" t="inlineStr">
        <is>
          <t>{value:1}</t>
        </is>
      </c>
      <c r="I24" s="28" t="inlineStr">
        <is>
          <t>pal_067</t>
        </is>
      </c>
      <c r="J24" s="29">
        <f>IFERROR(VLOOKUP($I24,'01_宠物主表_好读版'!$A:$V,3,FALSE),"")</f>
        <v/>
      </c>
      <c r="K24" s="28" t="inlineStr">
        <is>
          <t>role_控制</t>
        </is>
      </c>
      <c r="L24" s="28" t="inlineStr">
        <is>
          <t>reward_pT1</t>
        </is>
      </c>
      <c r="M24" s="28" t="n">
        <v>2</v>
      </c>
      <c r="N24" s="28" t="n">
        <v>78</v>
      </c>
      <c r="O24" s="28" t="inlineStr">
        <is>
          <t>正式</t>
        </is>
      </c>
      <c r="P24" s="28" t="inlineStr">
        <is>
          <t>引用宠物ID/机制ID/池ID，后续可改成更具体美术名</t>
        </is>
      </c>
    </row>
    <row r="25" ht="22" customHeight="1">
      <c r="A25" s="28" t="inlineStr">
        <is>
          <t>relic_024</t>
        </is>
      </c>
      <c r="B25" s="28" t="inlineStr">
        <is>
          <t>土系诅咒24</t>
        </is>
      </c>
      <c r="C25" s="28" t="inlineStr">
        <is>
          <t>诅咒</t>
        </is>
      </c>
      <c r="D25" s="28" t="inlineStr">
        <is>
          <t>钻石</t>
        </is>
      </c>
      <c r="E25" s="28" t="inlineStr">
        <is>
          <t>战斗结算</t>
        </is>
      </c>
      <c r="F25" s="28" t="inlineStr">
        <is>
          <t>none</t>
        </is>
      </c>
      <c r="G25" s="29">
        <f>IFERROR(VLOOKUP($F25,'04_机制词条库_60条'!$B:$S,2,FALSE),"")</f>
        <v/>
      </c>
      <c r="H25" s="28" t="inlineStr">
        <is>
          <t>{value:1}</t>
        </is>
      </c>
      <c r="I25" s="28" t="inlineStr">
        <is>
          <t>pal_070</t>
        </is>
      </c>
      <c r="J25" s="29">
        <f>IFERROR(VLOOKUP($I25,'01_宠物主表_好读版'!$A:$V,3,FALSE),"")</f>
        <v/>
      </c>
      <c r="K25" s="28" t="inlineStr">
        <is>
          <t>role_机动</t>
        </is>
      </c>
      <c r="L25" s="28" t="inlineStr">
        <is>
          <t>reward_pT2</t>
        </is>
      </c>
      <c r="M25" s="28" t="n">
        <v>3</v>
      </c>
      <c r="N25" s="28" t="n">
        <v>77</v>
      </c>
      <c r="O25" s="28" t="inlineStr">
        <is>
          <t>正式</t>
        </is>
      </c>
      <c r="P25" s="28" t="inlineStr">
        <is>
          <t>引用宠物ID/机制ID/池ID，后续可改成更具体美术名</t>
        </is>
      </c>
    </row>
    <row r="26" ht="22" customHeight="1">
      <c r="A26" s="28" t="inlineStr">
        <is>
          <t>relic_025</t>
        </is>
      </c>
      <c r="B26" s="28" t="inlineStr">
        <is>
          <t>火系商店券25</t>
        </is>
      </c>
      <c r="C26" s="28" t="inlineStr">
        <is>
          <t>商店券</t>
        </is>
      </c>
      <c r="D26" s="28" t="inlineStr">
        <is>
          <t>青铜</t>
        </is>
      </c>
      <c r="E26" s="28" t="inlineStr">
        <is>
          <t>战斗开始</t>
        </is>
      </c>
      <c r="F26" s="28" t="inlineStr">
        <is>
          <t>none</t>
        </is>
      </c>
      <c r="G26" s="29">
        <f>IFERROR(VLOOKUP($F26,'04_机制词条库_60条'!$B:$S,2,FALSE),"")</f>
        <v/>
      </c>
      <c r="H26" s="28" t="inlineStr">
        <is>
          <t>{value:1}</t>
        </is>
      </c>
      <c r="I26" s="28" t="inlineStr">
        <is>
          <t>pal_073</t>
        </is>
      </c>
      <c r="J26" s="29">
        <f>IFERROR(VLOOKUP($I26,'01_宠物主表_好读版'!$A:$V,3,FALSE),"")</f>
        <v/>
      </c>
      <c r="K26" s="28" t="inlineStr">
        <is>
          <t>role_治疗</t>
        </is>
      </c>
      <c r="L26" s="28" t="inlineStr">
        <is>
          <t>reward_pT3</t>
        </is>
      </c>
      <c r="M26" s="28" t="n">
        <v>4</v>
      </c>
      <c r="N26" s="28" t="n">
        <v>76</v>
      </c>
      <c r="O26" s="28" t="inlineStr">
        <is>
          <t>待接入</t>
        </is>
      </c>
      <c r="P26" s="28" t="inlineStr">
        <is>
          <t>引用宠物ID/机制ID/池ID，后续可改成更具体美术名</t>
        </is>
      </c>
    </row>
    <row r="27" ht="22" customHeight="1">
      <c r="A27" s="28" t="inlineStr">
        <is>
          <t>relic_026</t>
        </is>
      </c>
      <c r="B27" s="28" t="inlineStr">
        <is>
          <t>风系遗物26</t>
        </is>
      </c>
      <c r="C27" s="28" t="inlineStr">
        <is>
          <t>遗物</t>
        </is>
      </c>
      <c r="D27" s="28" t="inlineStr">
        <is>
          <t>白银</t>
        </is>
      </c>
      <c r="E27" s="28" t="inlineStr">
        <is>
          <t>攻击后</t>
        </is>
      </c>
      <c r="F27" s="28" t="inlineStr">
        <is>
          <t>none</t>
        </is>
      </c>
      <c r="G27" s="29">
        <f>IFERROR(VLOOKUP($F27,'04_机制词条库_60条'!$B:$S,2,FALSE),"")</f>
        <v/>
      </c>
      <c r="H27" s="28" t="inlineStr">
        <is>
          <t>{value:1}</t>
        </is>
      </c>
      <c r="I27" s="28" t="inlineStr">
        <is>
          <t>pal_076</t>
        </is>
      </c>
      <c r="J27" s="29">
        <f>IFERROR(VLOOKUP($I27,'01_宠物主表_好读版'!$A:$V,3,FALSE),"")</f>
        <v/>
      </c>
      <c r="K27" s="28" t="inlineStr">
        <is>
          <t>role_经济</t>
        </is>
      </c>
      <c r="L27" s="28" t="inlineStr">
        <is>
          <t>reward_pT1</t>
        </is>
      </c>
      <c r="M27" s="28" t="n">
        <v>5</v>
      </c>
      <c r="N27" s="28" t="n">
        <v>75</v>
      </c>
      <c r="O27" s="28" t="inlineStr">
        <is>
          <t>待接入</t>
        </is>
      </c>
      <c r="P27" s="28" t="inlineStr">
        <is>
          <t>引用宠物ID/机制ID/池ID，后续可改成更具体美术名</t>
        </is>
      </c>
    </row>
    <row r="28" ht="22" customHeight="1">
      <c r="A28" s="28" t="inlineStr">
        <is>
          <t>relic_027</t>
        </is>
      </c>
      <c r="B28" s="28" t="inlineStr">
        <is>
          <t>火系祝福27</t>
        </is>
      </c>
      <c r="C28" s="28" t="inlineStr">
        <is>
          <t>祝福</t>
        </is>
      </c>
      <c r="D28" s="28" t="inlineStr">
        <is>
          <t>黄金</t>
        </is>
      </c>
      <c r="E28" s="28" t="inlineStr">
        <is>
          <t>受击后</t>
        </is>
      </c>
      <c r="F28" s="28" t="inlineStr">
        <is>
          <t>none</t>
        </is>
      </c>
      <c r="G28" s="29">
        <f>IFERROR(VLOOKUP($F28,'04_机制词条库_60条'!$B:$S,2,FALSE),"")</f>
        <v/>
      </c>
      <c r="H28" s="28" t="inlineStr">
        <is>
          <t>{value:1}</t>
        </is>
      </c>
      <c r="I28" s="28" t="inlineStr">
        <is>
          <t>pal_079</t>
        </is>
      </c>
      <c r="J28" s="29">
        <f>IFERROR(VLOOKUP($I28,'01_宠物主表_好读版'!$A:$V,3,FALSE),"")</f>
        <v/>
      </c>
      <c r="K28" s="28" t="inlineStr">
        <is>
          <t>role_输出</t>
        </is>
      </c>
      <c r="L28" s="28" t="inlineStr">
        <is>
          <t>reward_pT2</t>
        </is>
      </c>
      <c r="M28" s="28" t="n">
        <v>6</v>
      </c>
      <c r="N28" s="28" t="n">
        <v>74</v>
      </c>
      <c r="O28" s="28" t="inlineStr">
        <is>
          <t>待接入</t>
        </is>
      </c>
      <c r="P28" s="28" t="inlineStr">
        <is>
          <t>引用宠物ID/机制ID/池ID，后续可改成更具体美术名</t>
        </is>
      </c>
    </row>
    <row r="29" ht="22" customHeight="1">
      <c r="A29" s="28" t="inlineStr">
        <is>
          <t>relic_028</t>
        </is>
      </c>
      <c r="B29" s="28" t="inlineStr">
        <is>
          <t>水系装备28</t>
        </is>
      </c>
      <c r="C29" s="28" t="inlineStr">
        <is>
          <t>装备</t>
        </is>
      </c>
      <c r="D29" s="28" t="inlineStr">
        <is>
          <t>钻石</t>
        </is>
      </c>
      <c r="E29" s="28" t="inlineStr">
        <is>
          <t>死亡时</t>
        </is>
      </c>
      <c r="F29" s="28" t="inlineStr">
        <is>
          <t>none</t>
        </is>
      </c>
      <c r="G29" s="29">
        <f>IFERROR(VLOOKUP($F29,'04_机制词条库_60条'!$B:$S,2,FALSE),"")</f>
        <v/>
      </c>
      <c r="H29" s="28" t="inlineStr">
        <is>
          <t>{value:1}</t>
        </is>
      </c>
      <c r="I29" s="28" t="inlineStr">
        <is>
          <t>pal_082</t>
        </is>
      </c>
      <c r="J29" s="29">
        <f>IFERROR(VLOOKUP($I29,'01_宠物主表_好读版'!$A:$V,3,FALSE),"")</f>
        <v/>
      </c>
      <c r="K29" s="28" t="inlineStr">
        <is>
          <t>tier_pT1</t>
        </is>
      </c>
      <c r="L29" s="28" t="inlineStr">
        <is>
          <t>reward_pT3</t>
        </is>
      </c>
      <c r="M29" s="28" t="n">
        <v>7</v>
      </c>
      <c r="N29" s="28" t="n">
        <v>73</v>
      </c>
      <c r="O29" s="28" t="inlineStr">
        <is>
          <t>待接入</t>
        </is>
      </c>
      <c r="P29" s="28" t="inlineStr">
        <is>
          <t>引用宠物ID/机制ID/池ID，后续可改成更具体美术名</t>
        </is>
      </c>
    </row>
    <row r="30" ht="22" customHeight="1">
      <c r="A30" s="28" t="inlineStr">
        <is>
          <t>relic_029</t>
        </is>
      </c>
      <c r="B30" s="28" t="inlineStr">
        <is>
          <t>水系诅咒29</t>
        </is>
      </c>
      <c r="C30" s="28" t="inlineStr">
        <is>
          <t>诅咒</t>
        </is>
      </c>
      <c r="D30" s="28" t="inlineStr">
        <is>
          <t>青铜</t>
        </is>
      </c>
      <c r="E30" s="28" t="inlineStr">
        <is>
          <t>商店刷新</t>
        </is>
      </c>
      <c r="F30" s="28" t="inlineStr">
        <is>
          <t>none</t>
        </is>
      </c>
      <c r="G30" s="29">
        <f>IFERROR(VLOOKUP($F30,'04_机制词条库_60条'!$B:$S,2,FALSE),"")</f>
        <v/>
      </c>
      <c r="H30" s="28" t="inlineStr">
        <is>
          <t>{value:1}</t>
        </is>
      </c>
      <c r="I30" s="28" t="inlineStr">
        <is>
          <t>pal_085</t>
        </is>
      </c>
      <c r="J30" s="29">
        <f>IFERROR(VLOOKUP($I30,'01_宠物主表_好读版'!$A:$V,3,FALSE),"")</f>
        <v/>
      </c>
      <c r="K30" s="28" t="inlineStr">
        <is>
          <t>tier_pT2</t>
        </is>
      </c>
      <c r="L30" s="28" t="inlineStr">
        <is>
          <t>reward_pT1</t>
        </is>
      </c>
      <c r="M30" s="28" t="n">
        <v>1</v>
      </c>
      <c r="N30" s="28" t="n">
        <v>72</v>
      </c>
      <c r="O30" s="28" t="inlineStr">
        <is>
          <t>待接入</t>
        </is>
      </c>
      <c r="P30" s="28" t="inlineStr">
        <is>
          <t>引用宠物ID/机制ID/池ID，后续可改成更具体美术名</t>
        </is>
      </c>
    </row>
    <row r="31" ht="22" customHeight="1">
      <c r="A31" s="28" t="inlineStr">
        <is>
          <t>relic_030</t>
        </is>
      </c>
      <c r="B31" s="28" t="inlineStr">
        <is>
          <t>水系商店券30</t>
        </is>
      </c>
      <c r="C31" s="28" t="inlineStr">
        <is>
          <t>商店券</t>
        </is>
      </c>
      <c r="D31" s="28" t="inlineStr">
        <is>
          <t>白银</t>
        </is>
      </c>
      <c r="E31" s="28" t="inlineStr">
        <is>
          <t>战斗结算</t>
        </is>
      </c>
      <c r="F31" s="28" t="inlineStr">
        <is>
          <t>none</t>
        </is>
      </c>
      <c r="G31" s="29">
        <f>IFERROR(VLOOKUP($F31,'04_机制词条库_60条'!$B:$S,2,FALSE),"")</f>
        <v/>
      </c>
      <c r="H31" s="28" t="inlineStr">
        <is>
          <t>{value:1}</t>
        </is>
      </c>
      <c r="I31" s="28" t="inlineStr">
        <is>
          <t>pal_088</t>
        </is>
      </c>
      <c r="J31" s="29">
        <f>IFERROR(VLOOKUP($I31,'01_宠物主表_好读版'!$A:$V,3,FALSE),"")</f>
        <v/>
      </c>
      <c r="K31" s="28" t="inlineStr">
        <is>
          <t>tier_pT3</t>
        </is>
      </c>
      <c r="L31" s="28" t="inlineStr">
        <is>
          <t>reward_pT2</t>
        </is>
      </c>
      <c r="M31" s="28" t="n">
        <v>2</v>
      </c>
      <c r="N31" s="28" t="n">
        <v>71</v>
      </c>
      <c r="O31" s="28" t="inlineStr">
        <is>
          <t>待接入</t>
        </is>
      </c>
      <c r="P31" s="28" t="inlineStr">
        <is>
          <t>引用宠物ID/机制ID/池ID，后续可改成更具体美术名</t>
        </is>
      </c>
    </row>
    <row r="32" ht="22" customHeight="1">
      <c r="A32" s="28" t="inlineStr">
        <is>
          <t>relic_031</t>
        </is>
      </c>
      <c r="B32" s="28" t="inlineStr">
        <is>
          <t>水系遗物31</t>
        </is>
      </c>
      <c r="C32" s="28" t="inlineStr">
        <is>
          <t>遗物</t>
        </is>
      </c>
      <c r="D32" s="28" t="inlineStr">
        <is>
          <t>黄金</t>
        </is>
      </c>
      <c r="E32" s="28" t="inlineStr">
        <is>
          <t>战斗开始</t>
        </is>
      </c>
      <c r="F32" s="28" t="inlineStr">
        <is>
          <t>none</t>
        </is>
      </c>
      <c r="G32" s="29">
        <f>IFERROR(VLOOKUP($F32,'04_机制词条库_60条'!$B:$S,2,FALSE),"")</f>
        <v/>
      </c>
      <c r="H32" s="28" t="inlineStr">
        <is>
          <t>{value:1}</t>
        </is>
      </c>
      <c r="I32" s="28" t="inlineStr">
        <is>
          <t>pal_091</t>
        </is>
      </c>
      <c r="J32" s="29">
        <f>IFERROR(VLOOKUP($I32,'01_宠物主表_好读版'!$A:$V,3,FALSE),"")</f>
        <v/>
      </c>
      <c r="K32" s="28" t="inlineStr">
        <is>
          <t>elem_土</t>
        </is>
      </c>
      <c r="L32" s="28" t="inlineStr">
        <is>
          <t>reward_pT3</t>
        </is>
      </c>
      <c r="M32" s="28" t="n">
        <v>3</v>
      </c>
      <c r="N32" s="28" t="n">
        <v>70</v>
      </c>
      <c r="O32" s="28" t="inlineStr">
        <is>
          <t>待接入</t>
        </is>
      </c>
      <c r="P32" s="28" t="inlineStr">
        <is>
          <t>引用宠物ID/机制ID/池ID，后续可改成更具体美术名</t>
        </is>
      </c>
    </row>
    <row r="33" ht="22" customHeight="1">
      <c r="A33" s="28" t="inlineStr">
        <is>
          <t>relic_032</t>
        </is>
      </c>
      <c r="B33" s="28" t="inlineStr">
        <is>
          <t>水系祝福32</t>
        </is>
      </c>
      <c r="C33" s="28" t="inlineStr">
        <is>
          <t>祝福</t>
        </is>
      </c>
      <c r="D33" s="28" t="inlineStr">
        <is>
          <t>钻石</t>
        </is>
      </c>
      <c r="E33" s="28" t="inlineStr">
        <is>
          <t>攻击后</t>
        </is>
      </c>
      <c r="F33" s="28" t="inlineStr">
        <is>
          <t>mech_counter_damage</t>
        </is>
      </c>
      <c r="G33" s="29">
        <f>IFERROR(VLOOKUP($F33,'04_机制词条库_60条'!$B:$S,2,FALSE),"")</f>
        <v/>
      </c>
      <c r="H33" s="28" t="inlineStr">
        <is>
          <t>{value:1}</t>
        </is>
      </c>
      <c r="I33" s="28" t="inlineStr">
        <is>
          <t>pal_094</t>
        </is>
      </c>
      <c r="J33" s="29">
        <f>IFERROR(VLOOKUP($I33,'01_宠物主表_好读版'!$A:$V,3,FALSE),"")</f>
        <v/>
      </c>
      <c r="K33" s="28" t="inlineStr">
        <is>
          <t>elem_水</t>
        </is>
      </c>
      <c r="L33" s="28" t="inlineStr">
        <is>
          <t>reward_pT1</t>
        </is>
      </c>
      <c r="M33" s="28" t="n">
        <v>4</v>
      </c>
      <c r="N33" s="28" t="n">
        <v>69</v>
      </c>
      <c r="O33" s="28" t="inlineStr">
        <is>
          <t>待接入</t>
        </is>
      </c>
      <c r="P33" s="28" t="inlineStr">
        <is>
          <t>引用宠物ID/机制ID/池ID，后续可改成更具体美术名</t>
        </is>
      </c>
    </row>
    <row r="34" ht="22" customHeight="1">
      <c r="A34" s="28" t="inlineStr">
        <is>
          <t>relic_033</t>
        </is>
      </c>
      <c r="B34" s="28" t="inlineStr">
        <is>
          <t>水系装备33</t>
        </is>
      </c>
      <c r="C34" s="28" t="inlineStr">
        <is>
          <t>装备</t>
        </is>
      </c>
      <c r="D34" s="28" t="inlineStr">
        <is>
          <t>青铜</t>
        </is>
      </c>
      <c r="E34" s="28" t="inlineStr">
        <is>
          <t>受击后</t>
        </is>
      </c>
      <c r="F34" s="28" t="inlineStr">
        <is>
          <t>none</t>
        </is>
      </c>
      <c r="G34" s="29">
        <f>IFERROR(VLOOKUP($F34,'04_机制词条库_60条'!$B:$S,2,FALSE),"")</f>
        <v/>
      </c>
      <c r="H34" s="28" t="inlineStr">
        <is>
          <t>{value:1}</t>
        </is>
      </c>
      <c r="I34" s="28" t="inlineStr">
        <is>
          <t>pal_097</t>
        </is>
      </c>
      <c r="J34" s="29">
        <f>IFERROR(VLOOKUP($I34,'01_宠物主表_好读版'!$A:$V,3,FALSE),"")</f>
        <v/>
      </c>
      <c r="K34" s="28" t="inlineStr">
        <is>
          <t>elem_火</t>
        </is>
      </c>
      <c r="L34" s="28" t="inlineStr">
        <is>
          <t>reward_pT2</t>
        </is>
      </c>
      <c r="M34" s="28" t="n">
        <v>5</v>
      </c>
      <c r="N34" s="28" t="n">
        <v>68</v>
      </c>
      <c r="O34" s="28" t="inlineStr">
        <is>
          <t>待接入</t>
        </is>
      </c>
      <c r="P34" s="28" t="inlineStr">
        <is>
          <t>引用宠物ID/机制ID/池ID，后续可改成更具体美术名</t>
        </is>
      </c>
    </row>
    <row r="35" ht="22" customHeight="1">
      <c r="A35" s="28" t="inlineStr">
        <is>
          <t>relic_034</t>
        </is>
      </c>
      <c r="B35" s="28" t="inlineStr">
        <is>
          <t>风系诅咒34</t>
        </is>
      </c>
      <c r="C35" s="28" t="inlineStr">
        <is>
          <t>诅咒</t>
        </is>
      </c>
      <c r="D35" s="28" t="inlineStr">
        <is>
          <t>白银</t>
        </is>
      </c>
      <c r="E35" s="28" t="inlineStr">
        <is>
          <t>死亡时</t>
        </is>
      </c>
      <c r="F35" s="28" t="inlineStr">
        <is>
          <t>none</t>
        </is>
      </c>
      <c r="G35" s="29">
        <f>IFERROR(VLOOKUP($F35,'04_机制词条库_60条'!$B:$S,2,FALSE),"")</f>
        <v/>
      </c>
      <c r="H35" s="28" t="inlineStr">
        <is>
          <t>{value:1}</t>
        </is>
      </c>
      <c r="I35" s="28" t="inlineStr">
        <is>
          <t>pal_100</t>
        </is>
      </c>
      <c r="J35" s="29">
        <f>IFERROR(VLOOKUP($I35,'01_宠物主表_好读版'!$A:$V,3,FALSE),"")</f>
        <v/>
      </c>
      <c r="K35" s="28" t="inlineStr">
        <is>
          <t>elem_风</t>
        </is>
      </c>
      <c r="L35" s="28" t="inlineStr">
        <is>
          <t>reward_pT3</t>
        </is>
      </c>
      <c r="M35" s="28" t="n">
        <v>6</v>
      </c>
      <c r="N35" s="28" t="n">
        <v>67</v>
      </c>
      <c r="O35" s="28" t="inlineStr">
        <is>
          <t>待接入</t>
        </is>
      </c>
      <c r="P35" s="28" t="inlineStr">
        <is>
          <t>引用宠物ID/机制ID/池ID，后续可改成更具体美术名</t>
        </is>
      </c>
    </row>
    <row r="36" ht="22" customHeight="1">
      <c r="A36" s="28" t="inlineStr">
        <is>
          <t>relic_035</t>
        </is>
      </c>
      <c r="B36" s="28" t="inlineStr">
        <is>
          <t>风系商店券35</t>
        </is>
      </c>
      <c r="C36" s="28" t="inlineStr">
        <is>
          <t>商店券</t>
        </is>
      </c>
      <c r="D36" s="28" t="inlineStr">
        <is>
          <t>黄金</t>
        </is>
      </c>
      <c r="E36" s="28" t="inlineStr">
        <is>
          <t>商店刷新</t>
        </is>
      </c>
      <c r="F36" s="28" t="inlineStr">
        <is>
          <t>none</t>
        </is>
      </c>
      <c r="G36" s="29">
        <f>IFERROR(VLOOKUP($F36,'04_机制词条库_60条'!$B:$S,2,FALSE),"")</f>
        <v/>
      </c>
      <c r="H36" s="28" t="inlineStr">
        <is>
          <t>{value:1}</t>
        </is>
      </c>
      <c r="I36" s="28" t="inlineStr">
        <is>
          <t>pal_103</t>
        </is>
      </c>
      <c r="J36" s="29">
        <f>IFERROR(VLOOKUP($I36,'01_宠物主表_好读版'!$A:$V,3,FALSE),"")</f>
        <v/>
      </c>
      <c r="K36" s="28" t="inlineStr">
        <is>
          <t>night_base</t>
        </is>
      </c>
      <c r="L36" s="28" t="inlineStr">
        <is>
          <t>reward_pT1</t>
        </is>
      </c>
      <c r="M36" s="28" t="n">
        <v>7</v>
      </c>
      <c r="N36" s="28" t="n">
        <v>66</v>
      </c>
      <c r="O36" s="28" t="inlineStr">
        <is>
          <t>待接入</t>
        </is>
      </c>
      <c r="P36" s="28" t="inlineStr">
        <is>
          <t>引用宠物ID/机制ID/池ID，后续可改成更具体美术名</t>
        </is>
      </c>
    </row>
    <row r="37" ht="22" customHeight="1">
      <c r="A37" s="28" t="inlineStr">
        <is>
          <t>relic_036</t>
        </is>
      </c>
      <c r="B37" s="28" t="inlineStr">
        <is>
          <t>土系遗物36</t>
        </is>
      </c>
      <c r="C37" s="28" t="inlineStr">
        <is>
          <t>遗物</t>
        </is>
      </c>
      <c r="D37" s="28" t="inlineStr">
        <is>
          <t>钻石</t>
        </is>
      </c>
      <c r="E37" s="28" t="inlineStr">
        <is>
          <t>战斗结算</t>
        </is>
      </c>
      <c r="F37" s="28" t="inlineStr">
        <is>
          <t>none</t>
        </is>
      </c>
      <c r="G37" s="29">
        <f>IFERROR(VLOOKUP($F37,'04_机制词条库_60条'!$B:$S,2,FALSE),"")</f>
        <v/>
      </c>
      <c r="H37" s="28" t="inlineStr">
        <is>
          <t>{value:1}</t>
        </is>
      </c>
      <c r="I37" s="28" t="inlineStr">
        <is>
          <t>pal_106</t>
        </is>
      </c>
      <c r="J37" s="29">
        <f>IFERROR(VLOOKUP($I37,'01_宠物主表_好读版'!$A:$V,3,FALSE),"")</f>
        <v/>
      </c>
      <c r="K37" s="28" t="inlineStr">
        <is>
          <t>role_召唤</t>
        </is>
      </c>
      <c r="L37" s="28" t="inlineStr">
        <is>
          <t>reward_pT2</t>
        </is>
      </c>
      <c r="M37" s="28" t="n">
        <v>1</v>
      </c>
      <c r="N37" s="28" t="n">
        <v>65</v>
      </c>
      <c r="O37" s="28" t="inlineStr">
        <is>
          <t>待接入</t>
        </is>
      </c>
      <c r="P37" s="28" t="inlineStr">
        <is>
          <t>引用宠物ID/机制ID/池ID，后续可改成更具体美术名</t>
        </is>
      </c>
    </row>
    <row r="38" ht="22" customHeight="1">
      <c r="A38" s="28" t="inlineStr">
        <is>
          <t>relic_037</t>
        </is>
      </c>
      <c r="B38" s="28" t="inlineStr">
        <is>
          <t>土系祝福37</t>
        </is>
      </c>
      <c r="C38" s="28" t="inlineStr">
        <is>
          <t>祝福</t>
        </is>
      </c>
      <c r="D38" s="28" t="inlineStr">
        <is>
          <t>青铜</t>
        </is>
      </c>
      <c r="E38" s="28" t="inlineStr">
        <is>
          <t>战斗开始</t>
        </is>
      </c>
      <c r="F38" s="28" t="inlineStr">
        <is>
          <t>none</t>
        </is>
      </c>
      <c r="G38" s="29">
        <f>IFERROR(VLOOKUP($F38,'04_机制词条库_60条'!$B:$S,2,FALSE),"")</f>
        <v/>
      </c>
      <c r="H38" s="28" t="inlineStr">
        <is>
          <t>{value:1}</t>
        </is>
      </c>
      <c r="I38" s="28" t="inlineStr">
        <is>
          <t>pal_109</t>
        </is>
      </c>
      <c r="J38" s="29">
        <f>IFERROR(VLOOKUP($I38,'01_宠物主表_好读版'!$A:$V,3,FALSE),"")</f>
        <v/>
      </c>
      <c r="K38" s="28" t="inlineStr">
        <is>
          <t>role_坦克</t>
        </is>
      </c>
      <c r="L38" s="28" t="inlineStr">
        <is>
          <t>reward_pT3</t>
        </is>
      </c>
      <c r="M38" s="28" t="n">
        <v>2</v>
      </c>
      <c r="N38" s="28" t="n">
        <v>64</v>
      </c>
      <c r="O38" s="28" t="inlineStr">
        <is>
          <t>待接入</t>
        </is>
      </c>
      <c r="P38" s="28" t="inlineStr">
        <is>
          <t>引用宠物ID/机制ID/池ID，后续可改成更具体美术名</t>
        </is>
      </c>
    </row>
    <row r="39" ht="22" customHeight="1">
      <c r="A39" s="28" t="inlineStr">
        <is>
          <t>relic_038</t>
        </is>
      </c>
      <c r="B39" s="28" t="inlineStr">
        <is>
          <t>土系装备38</t>
        </is>
      </c>
      <c r="C39" s="28" t="inlineStr">
        <is>
          <t>装备</t>
        </is>
      </c>
      <c r="D39" s="28" t="inlineStr">
        <is>
          <t>白银</t>
        </is>
      </c>
      <c r="E39" s="28" t="inlineStr">
        <is>
          <t>攻击后</t>
        </is>
      </c>
      <c r="F39" s="28" t="inlineStr">
        <is>
          <t>none</t>
        </is>
      </c>
      <c r="G39" s="29">
        <f>IFERROR(VLOOKUP($F39,'04_机制词条库_60条'!$B:$S,2,FALSE),"")</f>
        <v/>
      </c>
      <c r="H39" s="28" t="inlineStr">
        <is>
          <t>{value:1}</t>
        </is>
      </c>
      <c r="I39" s="28" t="inlineStr">
        <is>
          <t>pal_112</t>
        </is>
      </c>
      <c r="J39" s="29">
        <f>IFERROR(VLOOKUP($I39,'01_宠物主表_好读版'!$A:$V,3,FALSE),"")</f>
        <v/>
      </c>
      <c r="K39" s="28" t="inlineStr">
        <is>
          <t>role_控制</t>
        </is>
      </c>
      <c r="L39" s="28" t="inlineStr">
        <is>
          <t>reward_pT1</t>
        </is>
      </c>
      <c r="M39" s="28" t="n">
        <v>3</v>
      </c>
      <c r="N39" s="28" t="n">
        <v>63</v>
      </c>
      <c r="O39" s="28" t="inlineStr">
        <is>
          <t>待接入</t>
        </is>
      </c>
      <c r="P39" s="28" t="inlineStr">
        <is>
          <t>引用宠物ID/机制ID/池ID，后续可改成更具体美术名</t>
        </is>
      </c>
    </row>
    <row r="40" ht="22" customHeight="1">
      <c r="A40" s="28" t="inlineStr">
        <is>
          <t>relic_039</t>
        </is>
      </c>
      <c r="B40" s="28" t="inlineStr">
        <is>
          <t>火系诅咒39</t>
        </is>
      </c>
      <c r="C40" s="28" t="inlineStr">
        <is>
          <t>诅咒</t>
        </is>
      </c>
      <c r="D40" s="28" t="inlineStr">
        <is>
          <t>黄金</t>
        </is>
      </c>
      <c r="E40" s="28" t="inlineStr">
        <is>
          <t>受击后</t>
        </is>
      </c>
      <c r="F40" s="28" t="inlineStr">
        <is>
          <t>none</t>
        </is>
      </c>
      <c r="G40" s="29">
        <f>IFERROR(VLOOKUP($F40,'04_机制词条库_60条'!$B:$S,2,FALSE),"")</f>
        <v/>
      </c>
      <c r="H40" s="28" t="inlineStr">
        <is>
          <t>{value:1}</t>
        </is>
      </c>
      <c r="I40" s="28" t="inlineStr">
        <is>
          <t>pal_115</t>
        </is>
      </c>
      <c r="J40" s="29">
        <f>IFERROR(VLOOKUP($I40,'01_宠物主表_好读版'!$A:$V,3,FALSE),"")</f>
        <v/>
      </c>
      <c r="K40" s="28" t="inlineStr">
        <is>
          <t>role_机动</t>
        </is>
      </c>
      <c r="L40" s="28" t="inlineStr">
        <is>
          <t>reward_pT2</t>
        </is>
      </c>
      <c r="M40" s="28" t="n">
        <v>4</v>
      </c>
      <c r="N40" s="28" t="n">
        <v>62</v>
      </c>
      <c r="O40" s="28" t="inlineStr">
        <is>
          <t>待接入</t>
        </is>
      </c>
      <c r="P40" s="28" t="inlineStr">
        <is>
          <t>引用宠物ID/机制ID/池ID，后续可改成更具体美术名</t>
        </is>
      </c>
    </row>
    <row r="41" ht="22" customHeight="1">
      <c r="A41" s="28" t="inlineStr">
        <is>
          <t>relic_040</t>
        </is>
      </c>
      <c r="B41" s="28" t="inlineStr">
        <is>
          <t>风系商店券40</t>
        </is>
      </c>
      <c r="C41" s="28" t="inlineStr">
        <is>
          <t>商店券</t>
        </is>
      </c>
      <c r="D41" s="28" t="inlineStr">
        <is>
          <t>钻石</t>
        </is>
      </c>
      <c r="E41" s="28" t="inlineStr">
        <is>
          <t>死亡时</t>
        </is>
      </c>
      <c r="F41" s="28" t="inlineStr">
        <is>
          <t>none</t>
        </is>
      </c>
      <c r="G41" s="29">
        <f>IFERROR(VLOOKUP($F41,'04_机制词条库_60条'!$B:$S,2,FALSE),"")</f>
        <v/>
      </c>
      <c r="H41" s="28" t="inlineStr">
        <is>
          <t>{value:1}</t>
        </is>
      </c>
      <c r="I41" s="28" t="inlineStr">
        <is>
          <t>pal_118</t>
        </is>
      </c>
      <c r="J41" s="29">
        <f>IFERROR(VLOOKUP($I41,'01_宠物主表_好读版'!$A:$V,3,FALSE),"")</f>
        <v/>
      </c>
      <c r="K41" s="28" t="inlineStr">
        <is>
          <t>role_治疗</t>
        </is>
      </c>
      <c r="L41" s="28" t="inlineStr">
        <is>
          <t>reward_pT3</t>
        </is>
      </c>
      <c r="M41" s="28" t="n">
        <v>5</v>
      </c>
      <c r="N41" s="28" t="n">
        <v>61</v>
      </c>
      <c r="O41" s="28" t="inlineStr">
        <is>
          <t>待接入</t>
        </is>
      </c>
      <c r="P41" s="28" t="inlineStr">
        <is>
          <t>引用宠物ID/机制ID/池ID，后续可改成更具体美术名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28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3" max="3"/>
    <col width="18" customWidth="1" min="5" max="5"/>
    <col width="14" customWidth="1" min="6" max="6"/>
    <col width="18" customWidth="1" min="17" max="17"/>
    <col width="14" customWidth="1" min="19" max="19"/>
    <col width="32" customWidth="1" min="20" max="20"/>
  </cols>
  <sheetData>
    <row r="1" ht="28" customHeight="1">
      <c r="A1" s="27" t="inlineStr">
        <is>
          <t>宠物ID</t>
        </is>
      </c>
      <c r="B1" s="27" t="inlineStr">
        <is>
          <t>名称(自动)</t>
        </is>
      </c>
      <c r="C1" s="27" t="inlineStr">
        <is>
          <t>元素(自动)</t>
        </is>
      </c>
      <c r="D1" s="27" t="inlineStr">
        <is>
          <t>定位(自动)</t>
        </is>
      </c>
      <c r="E1" s="27" t="inlineStr">
        <is>
          <t>形状ID</t>
        </is>
      </c>
      <c r="F1" s="27" t="inlineStr">
        <is>
          <t>形状名</t>
        </is>
      </c>
      <c r="G1" s="27" t="inlineStr">
        <is>
          <t>形状分类</t>
        </is>
      </c>
      <c r="H1" s="27" t="inlineStr">
        <is>
          <t>命中格数</t>
        </is>
      </c>
      <c r="I1" s="27" t="inlineStr">
        <is>
          <t>方向</t>
        </is>
      </c>
      <c r="J1" s="27" t="inlineStr">
        <is>
          <t>槽数</t>
        </is>
      </c>
      <c r="K1" s="27" t="inlineStr">
        <is>
          <t>槽1元素</t>
        </is>
      </c>
      <c r="L1" s="27" t="inlineStr">
        <is>
          <t>槽2元素</t>
        </is>
      </c>
      <c r="M1" s="27" t="inlineStr">
        <is>
          <t>槽3元素</t>
        </is>
      </c>
      <c r="N1" s="27" t="inlineStr">
        <is>
          <t>基础层数</t>
        </is>
      </c>
      <c r="O1" s="27" t="inlineStr">
        <is>
          <t>行动类型</t>
        </is>
      </c>
      <c r="P1" s="27" t="inlineStr">
        <is>
          <t>技能</t>
        </is>
      </c>
      <c r="Q1" s="27" t="inlineStr">
        <is>
          <t>机制ID</t>
        </is>
      </c>
      <c r="R1" s="27" t="inlineStr">
        <is>
          <t>机制名(自动)</t>
        </is>
      </c>
      <c r="S1" s="27" t="inlineStr">
        <is>
          <t>接入状态</t>
        </is>
      </c>
      <c r="T1" s="27" t="inlineStr">
        <is>
          <t>备注</t>
        </is>
      </c>
    </row>
    <row r="2" ht="22" customHeight="1">
      <c r="A2" s="28" t="inlineStr">
        <is>
          <t>pal_001</t>
        </is>
      </c>
      <c r="B2" s="29">
        <f>IFERROR(VLOOKUP($A2,'01_宠物主表_好读版'!$A:$V,3,FALSE),"")</f>
        <v/>
      </c>
      <c r="C2" s="29">
        <f>IFERROR(VLOOKUP($A2,'01_宠物主表_好读版'!$A:$V,4,FALSE),"")</f>
        <v/>
      </c>
      <c r="D2" s="29">
        <f>IFERROR(VLOOKUP($A2,'01_宠物主表_好读版'!$A:$V,8,FALSE),"")</f>
        <v/>
      </c>
      <c r="E2" s="28" t="inlineStr">
        <is>
          <t>A1</t>
        </is>
      </c>
      <c r="F2" s="28" t="inlineStr">
        <is>
          <t>单点刺</t>
        </is>
      </c>
      <c r="G2" s="28" t="inlineStr">
        <is>
          <t>单体</t>
        </is>
      </c>
      <c r="H2" s="28" t="n">
        <v>1</v>
      </c>
      <c r="I2" s="28" t="inlineStr">
        <is>
          <t>默认向右</t>
        </is>
      </c>
      <c r="J2" s="28" t="n">
        <v>3</v>
      </c>
      <c r="K2" s="28" t="inlineStr">
        <is>
          <t>风</t>
        </is>
      </c>
      <c r="L2" s="28" t="inlineStr">
        <is>
          <t>风</t>
        </is>
      </c>
      <c r="M2" s="28" t="inlineStr">
        <is>
          <t>风</t>
        </is>
      </c>
      <c r="N2" s="28" t="n">
        <v>1</v>
      </c>
      <c r="O2" s="28" t="inlineStr">
        <is>
          <t>召唤</t>
        </is>
      </c>
      <c r="P2" s="28" t="inlineStr">
        <is>
          <t>buffAllSummons</t>
        </is>
      </c>
      <c r="Q2" s="28" t="inlineStr">
        <is>
          <t>none</t>
        </is>
      </c>
      <c r="R2" s="29">
        <f>IFERROR(VLOOKUP($Q2,'04_机制词条库_60条'!$B:$S,2,FALSE),"")</f>
        <v/>
      </c>
      <c r="S2" s="28" t="inlineStr">
        <is>
          <t>正式</t>
        </is>
      </c>
      <c r="T2" s="28" t="inlineStr">
        <is>
          <t>同宠3槽默认同形状；坐标细节放shape_rules.yaml</t>
        </is>
      </c>
    </row>
    <row r="3" ht="22" customHeight="1">
      <c r="A3" s="28" t="inlineStr">
        <is>
          <t>pal_002</t>
        </is>
      </c>
      <c r="B3" s="29">
        <f>IFERROR(VLOOKUP($A3,'01_宠物主表_好读版'!$A:$V,3,FALSE),"")</f>
        <v/>
      </c>
      <c r="C3" s="29">
        <f>IFERROR(VLOOKUP($A3,'01_宠物主表_好读版'!$A:$V,4,FALSE),"")</f>
        <v/>
      </c>
      <c r="D3" s="29">
        <f>IFERROR(VLOOKUP($A3,'01_宠物主表_好读版'!$A:$V,8,FALSE),"")</f>
        <v/>
      </c>
      <c r="E3" s="28" t="inlineStr">
        <is>
          <t>B1</t>
        </is>
      </c>
      <c r="F3" s="28" t="inlineStr">
        <is>
          <t>横扫三格</t>
        </is>
      </c>
      <c r="G3" s="28" t="inlineStr">
        <is>
          <t>横排</t>
        </is>
      </c>
      <c r="H3" s="28" t="n">
        <v>3</v>
      </c>
      <c r="I3" s="28" t="inlineStr">
        <is>
          <t>默认向右</t>
        </is>
      </c>
      <c r="J3" s="28" t="n">
        <v>3</v>
      </c>
      <c r="K3" s="28" t="inlineStr">
        <is>
          <t>风</t>
        </is>
      </c>
      <c r="L3" s="28" t="inlineStr">
        <is>
          <t>风</t>
        </is>
      </c>
      <c r="M3" s="28" t="inlineStr">
        <is>
          <t>风</t>
        </is>
      </c>
      <c r="N3" s="28" t="n">
        <v>1</v>
      </c>
      <c r="O3" s="28" t="inlineStr">
        <is>
          <t>阻挡</t>
        </is>
      </c>
      <c r="P3" s="28" t="inlineStr">
        <is>
          <t>castleReduce</t>
        </is>
      </c>
      <c r="Q3" s="28" t="inlineStr">
        <is>
          <t>none</t>
        </is>
      </c>
      <c r="R3" s="29">
        <f>IFERROR(VLOOKUP($Q3,'04_机制词条库_60条'!$B:$S,2,FALSE),"")</f>
        <v/>
      </c>
      <c r="S3" s="28" t="inlineStr">
        <is>
          <t>正式</t>
        </is>
      </c>
      <c r="T3" s="28" t="inlineStr">
        <is>
          <t>同宠3槽默认同形状；坐标细节放shape_rules.yaml</t>
        </is>
      </c>
    </row>
    <row r="4" ht="22" customHeight="1">
      <c r="A4" s="28" t="inlineStr">
        <is>
          <t>pal_003</t>
        </is>
      </c>
      <c r="B4" s="29">
        <f>IFERROR(VLOOKUP($A4,'01_宠物主表_好读版'!$A:$V,3,FALSE),"")</f>
        <v/>
      </c>
      <c r="C4" s="29">
        <f>IFERROR(VLOOKUP($A4,'01_宠物主表_好读版'!$A:$V,4,FALSE),"")</f>
        <v/>
      </c>
      <c r="D4" s="29">
        <f>IFERROR(VLOOKUP($A4,'01_宠物主表_好读版'!$A:$V,8,FALSE),"")</f>
        <v/>
      </c>
      <c r="E4" s="28" t="inlineStr">
        <is>
          <t>A1</t>
        </is>
      </c>
      <c r="F4" s="28" t="inlineStr">
        <is>
          <t>单点刺</t>
        </is>
      </c>
      <c r="G4" s="28" t="inlineStr">
        <is>
          <t>单体</t>
        </is>
      </c>
      <c r="H4" s="28" t="n">
        <v>1</v>
      </c>
      <c r="I4" s="28" t="inlineStr">
        <is>
          <t>默认向右</t>
        </is>
      </c>
      <c r="J4" s="28" t="n">
        <v>3</v>
      </c>
      <c r="K4" s="28" t="inlineStr">
        <is>
          <t>风</t>
        </is>
      </c>
      <c r="L4" s="28" t="inlineStr">
        <is>
          <t>风</t>
        </is>
      </c>
      <c r="M4" s="28" t="inlineStr">
        <is>
          <t>风</t>
        </is>
      </c>
      <c r="N4" s="28" t="n">
        <v>1</v>
      </c>
      <c r="O4" s="28" t="inlineStr">
        <is>
          <t>召唤</t>
        </is>
      </c>
      <c r="P4" s="28" t="inlineStr">
        <is>
          <t>buffAllSummons</t>
        </is>
      </c>
      <c r="Q4" s="28" t="inlineStr">
        <is>
          <t>none</t>
        </is>
      </c>
      <c r="R4" s="29">
        <f>IFERROR(VLOOKUP($Q4,'04_机制词条库_60条'!$B:$S,2,FALSE),"")</f>
        <v/>
      </c>
      <c r="S4" s="28" t="inlineStr">
        <is>
          <t>正式</t>
        </is>
      </c>
      <c r="T4" s="28" t="inlineStr">
        <is>
          <t>同宠3槽默认同形状；坐标细节放shape_rules.yaml</t>
        </is>
      </c>
    </row>
    <row r="5" ht="22" customHeight="1">
      <c r="A5" s="28" t="inlineStr">
        <is>
          <t>pal_004</t>
        </is>
      </c>
      <c r="B5" s="29">
        <f>IFERROR(VLOOKUP($A5,'01_宠物主表_好读版'!$A:$V,3,FALSE),"")</f>
        <v/>
      </c>
      <c r="C5" s="29">
        <f>IFERROR(VLOOKUP($A5,'01_宠物主表_好读版'!$A:$V,4,FALSE),"")</f>
        <v/>
      </c>
      <c r="D5" s="29">
        <f>IFERROR(VLOOKUP($A5,'01_宠物主表_好读版'!$A:$V,8,FALSE),"")</f>
        <v/>
      </c>
      <c r="E5" s="28" t="inlineStr">
        <is>
          <t>B1</t>
        </is>
      </c>
      <c r="F5" s="28" t="inlineStr">
        <is>
          <t>横扫三格</t>
        </is>
      </c>
      <c r="G5" s="28" t="inlineStr">
        <is>
          <t>横排</t>
        </is>
      </c>
      <c r="H5" s="28" t="n">
        <v>3</v>
      </c>
      <c r="I5" s="28" t="inlineStr">
        <is>
          <t>默认向右</t>
        </is>
      </c>
      <c r="J5" s="28" t="n">
        <v>3</v>
      </c>
      <c r="K5" s="28" t="inlineStr">
        <is>
          <t>风</t>
        </is>
      </c>
      <c r="L5" s="28" t="inlineStr">
        <is>
          <t>风</t>
        </is>
      </c>
      <c r="M5" s="28" t="inlineStr">
        <is>
          <t>风</t>
        </is>
      </c>
      <c r="N5" s="28" t="n">
        <v>1</v>
      </c>
      <c r="O5" s="28" t="inlineStr">
        <is>
          <t>场地</t>
        </is>
      </c>
      <c r="P5" s="28" t="inlineStr">
        <is>
          <t>healAmpBonus</t>
        </is>
      </c>
      <c r="Q5" s="28" t="inlineStr">
        <is>
          <t>none</t>
        </is>
      </c>
      <c r="R5" s="29">
        <f>IFERROR(VLOOKUP($Q5,'04_机制词条库_60条'!$B:$S,2,FALSE),"")</f>
        <v/>
      </c>
      <c r="S5" s="28" t="inlineStr">
        <is>
          <t>正式</t>
        </is>
      </c>
      <c r="T5" s="28" t="inlineStr">
        <is>
          <t>同宠3槽默认同形状；坐标细节放shape_rules.yaml</t>
        </is>
      </c>
    </row>
    <row r="6" ht="22" customHeight="1">
      <c r="A6" s="28" t="inlineStr">
        <is>
          <t>pal_005</t>
        </is>
      </c>
      <c r="B6" s="29">
        <f>IFERROR(VLOOKUP($A6,'01_宠物主表_好读版'!$A:$V,3,FALSE),"")</f>
        <v/>
      </c>
      <c r="C6" s="29">
        <f>IFERROR(VLOOKUP($A6,'01_宠物主表_好读版'!$A:$V,4,FALSE),"")</f>
        <v/>
      </c>
      <c r="D6" s="29">
        <f>IFERROR(VLOOKUP($A6,'01_宠物主表_好读版'!$A:$V,8,FALSE),"")</f>
        <v/>
      </c>
      <c r="E6" s="28" t="inlineStr">
        <is>
          <t>A1</t>
        </is>
      </c>
      <c r="F6" s="28" t="inlineStr">
        <is>
          <t>单点刺</t>
        </is>
      </c>
      <c r="G6" s="28" t="inlineStr">
        <is>
          <t>单体</t>
        </is>
      </c>
      <c r="H6" s="28" t="n">
        <v>1</v>
      </c>
      <c r="I6" s="28" t="inlineStr">
        <is>
          <t>默认向右</t>
        </is>
      </c>
      <c r="J6" s="28" t="n">
        <v>3</v>
      </c>
      <c r="K6" s="28" t="inlineStr">
        <is>
          <t>火</t>
        </is>
      </c>
      <c r="L6" s="28" t="inlineStr">
        <is>
          <t>火</t>
        </is>
      </c>
      <c r="M6" s="28" t="inlineStr">
        <is>
          <t>火</t>
        </is>
      </c>
      <c r="N6" s="28" t="n">
        <v>1</v>
      </c>
      <c r="O6" s="28" t="inlineStr">
        <is>
          <t>输出</t>
        </is>
      </c>
      <c r="P6" s="28" t="inlineStr">
        <is>
          <t>spaceExplosionBonus</t>
        </is>
      </c>
      <c r="Q6" s="28" t="inlineStr">
        <is>
          <t>none</t>
        </is>
      </c>
      <c r="R6" s="29">
        <f>IFERROR(VLOOKUP($Q6,'04_机制词条库_60条'!$B:$S,2,FALSE),"")</f>
        <v/>
      </c>
      <c r="S6" s="28" t="inlineStr">
        <is>
          <t>正式</t>
        </is>
      </c>
      <c r="T6" s="28" t="inlineStr">
        <is>
          <t>同宠3槽默认同形状；坐标细节放shape_rules.yaml</t>
        </is>
      </c>
    </row>
    <row r="7" ht="22" customHeight="1">
      <c r="A7" s="28" t="inlineStr">
        <is>
          <t>pal_006</t>
        </is>
      </c>
      <c r="B7" s="29">
        <f>IFERROR(VLOOKUP($A7,'01_宠物主表_好读版'!$A:$V,3,FALSE),"")</f>
        <v/>
      </c>
      <c r="C7" s="29">
        <f>IFERROR(VLOOKUP($A7,'01_宠物主表_好读版'!$A:$V,4,FALSE),"")</f>
        <v/>
      </c>
      <c r="D7" s="29">
        <f>IFERROR(VLOOKUP($A7,'01_宠物主表_好读版'!$A:$V,8,FALSE),"")</f>
        <v/>
      </c>
      <c r="E7" s="28" t="inlineStr">
        <is>
          <t>B1</t>
        </is>
      </c>
      <c r="F7" s="28" t="inlineStr">
        <is>
          <t>横扫三格</t>
        </is>
      </c>
      <c r="G7" s="28" t="inlineStr">
        <is>
          <t>横排</t>
        </is>
      </c>
      <c r="H7" s="28" t="n">
        <v>3</v>
      </c>
      <c r="I7" s="28" t="inlineStr">
        <is>
          <t>默认向右</t>
        </is>
      </c>
      <c r="J7" s="28" t="n">
        <v>3</v>
      </c>
      <c r="K7" s="28" t="inlineStr">
        <is>
          <t>水</t>
        </is>
      </c>
      <c r="L7" s="28" t="inlineStr">
        <is>
          <t>水</t>
        </is>
      </c>
      <c r="M7" s="28" t="inlineStr">
        <is>
          <t>水</t>
        </is>
      </c>
      <c r="N7" s="28" t="n">
        <v>1</v>
      </c>
      <c r="O7" s="28" t="inlineStr">
        <is>
          <t>场地</t>
        </is>
      </c>
      <c r="P7" s="28" t="inlineStr">
        <is>
          <t>healAmpBonus</t>
        </is>
      </c>
      <c r="Q7" s="28" t="inlineStr">
        <is>
          <t>none</t>
        </is>
      </c>
      <c r="R7" s="29">
        <f>IFERROR(VLOOKUP($Q7,'04_机制词条库_60条'!$B:$S,2,FALSE),"")</f>
        <v/>
      </c>
      <c r="S7" s="28" t="inlineStr">
        <is>
          <t>正式</t>
        </is>
      </c>
      <c r="T7" s="28" t="inlineStr">
        <is>
          <t>同宠3槽默认同形状；坐标细节放shape_rules.yaml</t>
        </is>
      </c>
    </row>
    <row r="8" ht="22" customHeight="1">
      <c r="A8" s="28" t="inlineStr">
        <is>
          <t>pal_007</t>
        </is>
      </c>
      <c r="B8" s="29">
        <f>IFERROR(VLOOKUP($A8,'01_宠物主表_好读版'!$A:$V,3,FALSE),"")</f>
        <v/>
      </c>
      <c r="C8" s="29">
        <f>IFERROR(VLOOKUP($A8,'01_宠物主表_好读版'!$A:$V,4,FALSE),"")</f>
        <v/>
      </c>
      <c r="D8" s="29">
        <f>IFERROR(VLOOKUP($A8,'01_宠物主表_好读版'!$A:$V,8,FALSE),"")</f>
        <v/>
      </c>
      <c r="E8" s="28" t="inlineStr">
        <is>
          <t>B1</t>
        </is>
      </c>
      <c r="F8" s="28" t="inlineStr">
        <is>
          <t>横扫三格</t>
        </is>
      </c>
      <c r="G8" s="28" t="inlineStr">
        <is>
          <t>横排</t>
        </is>
      </c>
      <c r="H8" s="28" t="n">
        <v>3</v>
      </c>
      <c r="I8" s="28" t="inlineStr">
        <is>
          <t>默认向右</t>
        </is>
      </c>
      <c r="J8" s="28" t="n">
        <v>3</v>
      </c>
      <c r="K8" s="28" t="inlineStr">
        <is>
          <t>风</t>
        </is>
      </c>
      <c r="L8" s="28" t="inlineStr">
        <is>
          <t>风</t>
        </is>
      </c>
      <c r="M8" s="28" t="inlineStr">
        <is>
          <t>风</t>
        </is>
      </c>
      <c r="N8" s="28" t="n">
        <v>1</v>
      </c>
      <c r="O8" s="28" t="inlineStr">
        <is>
          <t>阻挡</t>
        </is>
      </c>
      <c r="P8" s="28" t="inlineStr">
        <is>
          <t>castleReduce</t>
        </is>
      </c>
      <c r="Q8" s="28" t="inlineStr">
        <is>
          <t>none</t>
        </is>
      </c>
      <c r="R8" s="29">
        <f>IFERROR(VLOOKUP($Q8,'04_机制词条库_60条'!$B:$S,2,FALSE),"")</f>
        <v/>
      </c>
      <c r="S8" s="28" t="inlineStr">
        <is>
          <t>正式</t>
        </is>
      </c>
      <c r="T8" s="28" t="inlineStr">
        <is>
          <t>同宠3槽默认同形状；坐标细节放shape_rules.yaml</t>
        </is>
      </c>
    </row>
    <row r="9" ht="22" customHeight="1">
      <c r="A9" s="28" t="inlineStr">
        <is>
          <t>pal_008</t>
        </is>
      </c>
      <c r="B9" s="29">
        <f>IFERROR(VLOOKUP($A9,'01_宠物主表_好读版'!$A:$V,3,FALSE),"")</f>
        <v/>
      </c>
      <c r="C9" s="29">
        <f>IFERROR(VLOOKUP($A9,'01_宠物主表_好读版'!$A:$V,4,FALSE),"")</f>
        <v/>
      </c>
      <c r="D9" s="29">
        <f>IFERROR(VLOOKUP($A9,'01_宠物主表_好读版'!$A:$V,8,FALSE),"")</f>
        <v/>
      </c>
      <c r="E9" s="28" t="inlineStr">
        <is>
          <t>B1</t>
        </is>
      </c>
      <c r="F9" s="28" t="inlineStr">
        <is>
          <t>横扫三格</t>
        </is>
      </c>
      <c r="G9" s="28" t="inlineStr">
        <is>
          <t>横排</t>
        </is>
      </c>
      <c r="H9" s="28" t="n">
        <v>3</v>
      </c>
      <c r="I9" s="28" t="inlineStr">
        <is>
          <t>默认向右</t>
        </is>
      </c>
      <c r="J9" s="28" t="n">
        <v>3</v>
      </c>
      <c r="K9" s="28" t="inlineStr">
        <is>
          <t>风</t>
        </is>
      </c>
      <c r="L9" s="28" t="inlineStr">
        <is>
          <t>风</t>
        </is>
      </c>
      <c r="M9" s="28" t="inlineStr">
        <is>
          <t>风</t>
        </is>
      </c>
      <c r="N9" s="28" t="n">
        <v>1</v>
      </c>
      <c r="O9" s="28" t="inlineStr">
        <is>
          <t>阻挡</t>
        </is>
      </c>
      <c r="P9" s="28" t="inlineStr">
        <is>
          <t>castleReduce</t>
        </is>
      </c>
      <c r="Q9" s="28" t="inlineStr">
        <is>
          <t>none</t>
        </is>
      </c>
      <c r="R9" s="29">
        <f>IFERROR(VLOOKUP($Q9,'04_机制词条库_60条'!$B:$S,2,FALSE),"")</f>
        <v/>
      </c>
      <c r="S9" s="28" t="inlineStr">
        <is>
          <t>正式</t>
        </is>
      </c>
      <c r="T9" s="28" t="inlineStr">
        <is>
          <t>同宠3槽默认同形状；坐标细节放shape_rules.yaml</t>
        </is>
      </c>
    </row>
    <row r="10" ht="22" customHeight="1">
      <c r="A10" s="28" t="inlineStr">
        <is>
          <t>pal_009</t>
        </is>
      </c>
      <c r="B10" s="29">
        <f>IFERROR(VLOOKUP($A10,'01_宠物主表_好读版'!$A:$V,3,FALSE),"")</f>
        <v/>
      </c>
      <c r="C10" s="29">
        <f>IFERROR(VLOOKUP($A10,'01_宠物主表_好读版'!$A:$V,4,FALSE),"")</f>
        <v/>
      </c>
      <c r="D10" s="29">
        <f>IFERROR(VLOOKUP($A10,'01_宠物主表_好读版'!$A:$V,8,FALSE),"")</f>
        <v/>
      </c>
      <c r="E10" s="28" t="inlineStr">
        <is>
          <t>A1</t>
        </is>
      </c>
      <c r="F10" s="28" t="inlineStr">
        <is>
          <t>单点刺</t>
        </is>
      </c>
      <c r="G10" s="28" t="inlineStr">
        <is>
          <t>单体</t>
        </is>
      </c>
      <c r="H10" s="28" t="n">
        <v>1</v>
      </c>
      <c r="I10" s="28" t="inlineStr">
        <is>
          <t>默认向右</t>
        </is>
      </c>
      <c r="J10" s="28" t="n">
        <v>3</v>
      </c>
      <c r="K10" s="28" t="inlineStr">
        <is>
          <t>火</t>
        </is>
      </c>
      <c r="L10" s="28" t="inlineStr">
        <is>
          <t>火</t>
        </is>
      </c>
      <c r="M10" s="28" t="inlineStr">
        <is>
          <t>火</t>
        </is>
      </c>
      <c r="N10" s="28" t="n">
        <v>1</v>
      </c>
      <c r="O10" s="28" t="inlineStr">
        <is>
          <t>输出</t>
        </is>
      </c>
      <c r="P10" s="28" t="inlineStr">
        <is>
          <t>spaceExplosionBonus</t>
        </is>
      </c>
      <c r="Q10" s="28" t="inlineStr">
        <is>
          <t>none</t>
        </is>
      </c>
      <c r="R10" s="29">
        <f>IFERROR(VLOOKUP($Q10,'04_机制词条库_60条'!$B:$S,2,FALSE),"")</f>
        <v/>
      </c>
      <c r="S10" s="28" t="inlineStr">
        <is>
          <t>正式</t>
        </is>
      </c>
      <c r="T10" s="28" t="inlineStr">
        <is>
          <t>同宠3槽默认同形状；坐标细节放shape_rules.yaml</t>
        </is>
      </c>
    </row>
    <row r="11" ht="22" customHeight="1">
      <c r="A11" s="28" t="inlineStr">
        <is>
          <t>pal_010</t>
        </is>
      </c>
      <c r="B11" s="29">
        <f>IFERROR(VLOOKUP($A11,'01_宠物主表_好读版'!$A:$V,3,FALSE),"")</f>
        <v/>
      </c>
      <c r="C11" s="29">
        <f>IFERROR(VLOOKUP($A11,'01_宠物主表_好读版'!$A:$V,4,FALSE),"")</f>
        <v/>
      </c>
      <c r="D11" s="29">
        <f>IFERROR(VLOOKUP($A11,'01_宠物主表_好读版'!$A:$V,8,FALSE),"")</f>
        <v/>
      </c>
      <c r="E11" s="28" t="inlineStr">
        <is>
          <t>B1</t>
        </is>
      </c>
      <c r="F11" s="28" t="inlineStr">
        <is>
          <t>横扫三格</t>
        </is>
      </c>
      <c r="G11" s="28" t="inlineStr">
        <is>
          <t>横排</t>
        </is>
      </c>
      <c r="H11" s="28" t="n">
        <v>3</v>
      </c>
      <c r="I11" s="28" t="inlineStr">
        <is>
          <t>默认向右</t>
        </is>
      </c>
      <c r="J11" s="28" t="n">
        <v>3</v>
      </c>
      <c r="K11" s="28" t="inlineStr">
        <is>
          <t>水</t>
        </is>
      </c>
      <c r="L11" s="28" t="inlineStr">
        <is>
          <t>水</t>
        </is>
      </c>
      <c r="M11" s="28" t="inlineStr">
        <is>
          <t>水</t>
        </is>
      </c>
      <c r="N11" s="28" t="n">
        <v>1</v>
      </c>
      <c r="O11" s="28" t="inlineStr">
        <is>
          <t>场地</t>
        </is>
      </c>
      <c r="P11" s="28" t="inlineStr">
        <is>
          <t>healAmpBonus</t>
        </is>
      </c>
      <c r="Q11" s="28" t="inlineStr">
        <is>
          <t>none</t>
        </is>
      </c>
      <c r="R11" s="29">
        <f>IFERROR(VLOOKUP($Q11,'04_机制词条库_60条'!$B:$S,2,FALSE),"")</f>
        <v/>
      </c>
      <c r="S11" s="28" t="inlineStr">
        <is>
          <t>正式</t>
        </is>
      </c>
      <c r="T11" s="28" t="inlineStr">
        <is>
          <t>同宠3槽默认同形状；坐标细节放shape_rules.yaml</t>
        </is>
      </c>
    </row>
    <row r="12" ht="22" customHeight="1">
      <c r="A12" s="28" t="inlineStr">
        <is>
          <t>pal_011</t>
        </is>
      </c>
      <c r="B12" s="29">
        <f>IFERROR(VLOOKUP($A12,'01_宠物主表_好读版'!$A:$V,3,FALSE),"")</f>
        <v/>
      </c>
      <c r="C12" s="29">
        <f>IFERROR(VLOOKUP($A12,'01_宠物主表_好读版'!$A:$V,4,FALSE),"")</f>
        <v/>
      </c>
      <c r="D12" s="29">
        <f>IFERROR(VLOOKUP($A12,'01_宠物主表_好读版'!$A:$V,8,FALSE),"")</f>
        <v/>
      </c>
      <c r="E12" s="28" t="inlineStr">
        <is>
          <t>B1</t>
        </is>
      </c>
      <c r="F12" s="28" t="inlineStr">
        <is>
          <t>横扫三格</t>
        </is>
      </c>
      <c r="G12" s="28" t="inlineStr">
        <is>
          <t>横排</t>
        </is>
      </c>
      <c r="H12" s="28" t="n">
        <v>3</v>
      </c>
      <c r="I12" s="28" t="inlineStr">
        <is>
          <t>默认向右</t>
        </is>
      </c>
      <c r="J12" s="28" t="n">
        <v>3</v>
      </c>
      <c r="K12" s="28" t="inlineStr">
        <is>
          <t>水</t>
        </is>
      </c>
      <c r="L12" s="28" t="inlineStr">
        <is>
          <t>水</t>
        </is>
      </c>
      <c r="M12" s="28" t="inlineStr">
        <is>
          <t>水</t>
        </is>
      </c>
      <c r="N12" s="28" t="n">
        <v>1</v>
      </c>
      <c r="O12" s="28" t="inlineStr">
        <is>
          <t>场地</t>
        </is>
      </c>
      <c r="P12" s="28" t="inlineStr">
        <is>
          <t>healAmpBonus</t>
        </is>
      </c>
      <c r="Q12" s="28" t="inlineStr">
        <is>
          <t>none</t>
        </is>
      </c>
      <c r="R12" s="29">
        <f>IFERROR(VLOOKUP($Q12,'04_机制词条库_60条'!$B:$S,2,FALSE),"")</f>
        <v/>
      </c>
      <c r="S12" s="28" t="inlineStr">
        <is>
          <t>正式</t>
        </is>
      </c>
      <c r="T12" s="28" t="inlineStr">
        <is>
          <t>同宠3槽默认同形状；坐标细节放shape_rules.yaml</t>
        </is>
      </c>
    </row>
    <row r="13" ht="22" customHeight="1">
      <c r="A13" s="28" t="inlineStr">
        <is>
          <t>pal_012</t>
        </is>
      </c>
      <c r="B13" s="29">
        <f>IFERROR(VLOOKUP($A13,'01_宠物主表_好读版'!$A:$V,3,FALSE),"")</f>
        <v/>
      </c>
      <c r="C13" s="29">
        <f>IFERROR(VLOOKUP($A13,'01_宠物主表_好读版'!$A:$V,4,FALSE),"")</f>
        <v/>
      </c>
      <c r="D13" s="29">
        <f>IFERROR(VLOOKUP($A13,'01_宠物主表_好读版'!$A:$V,8,FALSE),"")</f>
        <v/>
      </c>
      <c r="E13" s="28" t="inlineStr">
        <is>
          <t>T2</t>
        </is>
      </c>
      <c r="F13" s="28" t="inlineStr">
        <is>
          <t>长柄T</t>
        </is>
      </c>
      <c r="G13" s="28" t="inlineStr">
        <is>
          <t>T形</t>
        </is>
      </c>
      <c r="H13" s="28" t="n">
        <v>4</v>
      </c>
      <c r="I13" s="28" t="inlineStr">
        <is>
          <t>默认向右</t>
        </is>
      </c>
      <c r="J13" s="28" t="n">
        <v>3</v>
      </c>
      <c r="K13" s="28" t="inlineStr">
        <is>
          <t>风</t>
        </is>
      </c>
      <c r="L13" s="28" t="inlineStr">
        <is>
          <t>风</t>
        </is>
      </c>
      <c r="M13" s="28" t="inlineStr">
        <is>
          <t>风</t>
        </is>
      </c>
      <c r="N13" s="28" t="n">
        <v>1</v>
      </c>
      <c r="O13" s="28" t="inlineStr">
        <is>
          <t>牵制</t>
        </is>
      </c>
      <c r="P13" s="28" t="inlineStr">
        <is>
          <t>advHitBonus</t>
        </is>
      </c>
      <c r="Q13" s="28" t="inlineStr">
        <is>
          <t>none</t>
        </is>
      </c>
      <c r="R13" s="29">
        <f>IFERROR(VLOOKUP($Q13,'04_机制词条库_60条'!$B:$S,2,FALSE),"")</f>
        <v/>
      </c>
      <c r="S13" s="28" t="inlineStr">
        <is>
          <t>正式</t>
        </is>
      </c>
      <c r="T13" s="28" t="inlineStr">
        <is>
          <t>同宠3槽默认同形状；坐标细节放shape_rules.yaml</t>
        </is>
      </c>
    </row>
    <row r="14" ht="22" customHeight="1">
      <c r="A14" s="28" t="inlineStr">
        <is>
          <t>pal_013</t>
        </is>
      </c>
      <c r="B14" s="29">
        <f>IFERROR(VLOOKUP($A14,'01_宠物主表_好读版'!$A:$V,3,FALSE),"")</f>
        <v/>
      </c>
      <c r="C14" s="29">
        <f>IFERROR(VLOOKUP($A14,'01_宠物主表_好读版'!$A:$V,4,FALSE),"")</f>
        <v/>
      </c>
      <c r="D14" s="29">
        <f>IFERROR(VLOOKUP($A14,'01_宠物主表_好读版'!$A:$V,8,FALSE),"")</f>
        <v/>
      </c>
      <c r="E14" s="28" t="inlineStr">
        <is>
          <t>B1</t>
        </is>
      </c>
      <c r="F14" s="28" t="inlineStr">
        <is>
          <t>横扫三格</t>
        </is>
      </c>
      <c r="G14" s="28" t="inlineStr">
        <is>
          <t>横排</t>
        </is>
      </c>
      <c r="H14" s="28" t="n">
        <v>3</v>
      </c>
      <c r="I14" s="28" t="inlineStr">
        <is>
          <t>默认向右</t>
        </is>
      </c>
      <c r="J14" s="28" t="n">
        <v>3</v>
      </c>
      <c r="K14" s="28" t="inlineStr">
        <is>
          <t>土</t>
        </is>
      </c>
      <c r="L14" s="28" t="inlineStr">
        <is>
          <t>土</t>
        </is>
      </c>
      <c r="M14" s="28" t="inlineStr">
        <is>
          <t>土</t>
        </is>
      </c>
      <c r="N14" s="28" t="n">
        <v>1</v>
      </c>
      <c r="O14" s="28" t="inlineStr">
        <is>
          <t>阻挡</t>
        </is>
      </c>
      <c r="P14" s="28" t="inlineStr">
        <is>
          <t>castleReduce</t>
        </is>
      </c>
      <c r="Q14" s="28" t="inlineStr">
        <is>
          <t>none</t>
        </is>
      </c>
      <c r="R14" s="29">
        <f>IFERROR(VLOOKUP($Q14,'04_机制词条库_60条'!$B:$S,2,FALSE),"")</f>
        <v/>
      </c>
      <c r="S14" s="28" t="inlineStr">
        <is>
          <t>正式</t>
        </is>
      </c>
      <c r="T14" s="28" t="inlineStr">
        <is>
          <t>同宠3槽默认同形状；坐标细节放shape_rules.yaml</t>
        </is>
      </c>
    </row>
    <row r="15" ht="22" customHeight="1">
      <c r="A15" s="28" t="inlineStr">
        <is>
          <t>pal_014</t>
        </is>
      </c>
      <c r="B15" s="29">
        <f>IFERROR(VLOOKUP($A15,'01_宠物主表_好读版'!$A:$V,3,FALSE),"")</f>
        <v/>
      </c>
      <c r="C15" s="29">
        <f>IFERROR(VLOOKUP($A15,'01_宠物主表_好读版'!$A:$V,4,FALSE),"")</f>
        <v/>
      </c>
      <c r="D15" s="29">
        <f>IFERROR(VLOOKUP($A15,'01_宠物主表_好读版'!$A:$V,8,FALSE),"")</f>
        <v/>
      </c>
      <c r="E15" s="28" t="inlineStr">
        <is>
          <t>A1</t>
        </is>
      </c>
      <c r="F15" s="28" t="inlineStr">
        <is>
          <t>单点刺</t>
        </is>
      </c>
      <c r="G15" s="28" t="inlineStr">
        <is>
          <t>单体</t>
        </is>
      </c>
      <c r="H15" s="28" t="n">
        <v>1</v>
      </c>
      <c r="I15" s="28" t="inlineStr">
        <is>
          <t>默认向右</t>
        </is>
      </c>
      <c r="J15" s="28" t="n">
        <v>3</v>
      </c>
      <c r="K15" s="28" t="inlineStr">
        <is>
          <t>风</t>
        </is>
      </c>
      <c r="L15" s="28" t="inlineStr">
        <is>
          <t>风</t>
        </is>
      </c>
      <c r="M15" s="28" t="inlineStr">
        <is>
          <t>风</t>
        </is>
      </c>
      <c r="N15" s="28" t="n">
        <v>1</v>
      </c>
      <c r="O15" s="28" t="inlineStr">
        <is>
          <t>召唤</t>
        </is>
      </c>
      <c r="P15" s="28" t="inlineStr">
        <is>
          <t>buffAllSummons</t>
        </is>
      </c>
      <c r="Q15" s="28" t="inlineStr">
        <is>
          <t>none</t>
        </is>
      </c>
      <c r="R15" s="29">
        <f>IFERROR(VLOOKUP($Q15,'04_机制词条库_60条'!$B:$S,2,FALSE),"")</f>
        <v/>
      </c>
      <c r="S15" s="28" t="inlineStr">
        <is>
          <t>正式</t>
        </is>
      </c>
      <c r="T15" s="28" t="inlineStr">
        <is>
          <t>同宠3槽默认同形状；坐标细节放shape_rules.yaml</t>
        </is>
      </c>
    </row>
    <row r="16" ht="22" customHeight="1">
      <c r="A16" s="28" t="inlineStr">
        <is>
          <t>pal_015</t>
        </is>
      </c>
      <c r="B16" s="29">
        <f>IFERROR(VLOOKUP($A16,'01_宠物主表_好读版'!$A:$V,3,FALSE),"")</f>
        <v/>
      </c>
      <c r="C16" s="29">
        <f>IFERROR(VLOOKUP($A16,'01_宠物主表_好读版'!$A:$V,4,FALSE),"")</f>
        <v/>
      </c>
      <c r="D16" s="29">
        <f>IFERROR(VLOOKUP($A16,'01_宠物主表_好读版'!$A:$V,8,FALSE),"")</f>
        <v/>
      </c>
      <c r="E16" s="28" t="inlineStr">
        <is>
          <t>B1</t>
        </is>
      </c>
      <c r="F16" s="28" t="inlineStr">
        <is>
          <t>横扫三格</t>
        </is>
      </c>
      <c r="G16" s="28" t="inlineStr">
        <is>
          <t>横排</t>
        </is>
      </c>
      <c r="H16" s="28" t="n">
        <v>3</v>
      </c>
      <c r="I16" s="28" t="inlineStr">
        <is>
          <t>默认向右</t>
        </is>
      </c>
      <c r="J16" s="28" t="n">
        <v>3</v>
      </c>
      <c r="K16" s="28" t="inlineStr">
        <is>
          <t>土</t>
        </is>
      </c>
      <c r="L16" s="28" t="inlineStr">
        <is>
          <t>土</t>
        </is>
      </c>
      <c r="M16" s="28" t="inlineStr">
        <is>
          <t>土</t>
        </is>
      </c>
      <c r="N16" s="28" t="n">
        <v>1</v>
      </c>
      <c r="O16" s="28" t="inlineStr">
        <is>
          <t>阻挡</t>
        </is>
      </c>
      <c r="P16" s="28" t="inlineStr">
        <is>
          <t>castleReduce</t>
        </is>
      </c>
      <c r="Q16" s="28" t="inlineStr">
        <is>
          <t>none</t>
        </is>
      </c>
      <c r="R16" s="29">
        <f>IFERROR(VLOOKUP($Q16,'04_机制词条库_60条'!$B:$S,2,FALSE),"")</f>
        <v/>
      </c>
      <c r="S16" s="28" t="inlineStr">
        <is>
          <t>正式</t>
        </is>
      </c>
      <c r="T16" s="28" t="inlineStr">
        <is>
          <t>同宠3槽默认同形状；坐标细节放shape_rules.yaml</t>
        </is>
      </c>
    </row>
    <row r="17" ht="22" customHeight="1">
      <c r="A17" s="28" t="inlineStr">
        <is>
          <t>pal_016</t>
        </is>
      </c>
      <c r="B17" s="29">
        <f>IFERROR(VLOOKUP($A17,'01_宠物主表_好读版'!$A:$V,3,FALSE),"")</f>
        <v/>
      </c>
      <c r="C17" s="29">
        <f>IFERROR(VLOOKUP($A17,'01_宠物主表_好读版'!$A:$V,4,FALSE),"")</f>
        <v/>
      </c>
      <c r="D17" s="29">
        <f>IFERROR(VLOOKUP($A17,'01_宠物主表_好读版'!$A:$V,8,FALSE),"")</f>
        <v/>
      </c>
      <c r="E17" s="28" t="inlineStr">
        <is>
          <t>B1</t>
        </is>
      </c>
      <c r="F17" s="28" t="inlineStr">
        <is>
          <t>横扫三格</t>
        </is>
      </c>
      <c r="G17" s="28" t="inlineStr">
        <is>
          <t>横排</t>
        </is>
      </c>
      <c r="H17" s="28" t="n">
        <v>3</v>
      </c>
      <c r="I17" s="28" t="inlineStr">
        <is>
          <t>默认向右</t>
        </is>
      </c>
      <c r="J17" s="28" t="n">
        <v>3</v>
      </c>
      <c r="K17" s="28" t="inlineStr">
        <is>
          <t>水</t>
        </is>
      </c>
      <c r="L17" s="28" t="inlineStr">
        <is>
          <t>水</t>
        </is>
      </c>
      <c r="M17" s="28" t="inlineStr">
        <is>
          <t>水</t>
        </is>
      </c>
      <c r="N17" s="28" t="n">
        <v>1</v>
      </c>
      <c r="O17" s="28" t="inlineStr">
        <is>
          <t>场地</t>
        </is>
      </c>
      <c r="P17" s="28" t="inlineStr">
        <is>
          <t>healAmpBonus</t>
        </is>
      </c>
      <c r="Q17" s="28" t="inlineStr">
        <is>
          <t>none</t>
        </is>
      </c>
      <c r="R17" s="29">
        <f>IFERROR(VLOOKUP($Q17,'04_机制词条库_60条'!$B:$S,2,FALSE),"")</f>
        <v/>
      </c>
      <c r="S17" s="28" t="inlineStr">
        <is>
          <t>正式</t>
        </is>
      </c>
      <c r="T17" s="28" t="inlineStr">
        <is>
          <t>同宠3槽默认同形状；坐标细节放shape_rules.yaml</t>
        </is>
      </c>
    </row>
    <row r="18" ht="22" customHeight="1">
      <c r="A18" s="28" t="inlineStr">
        <is>
          <t>pal_017</t>
        </is>
      </c>
      <c r="B18" s="29">
        <f>IFERROR(VLOOKUP($A18,'01_宠物主表_好读版'!$A:$V,3,FALSE),"")</f>
        <v/>
      </c>
      <c r="C18" s="29">
        <f>IFERROR(VLOOKUP($A18,'01_宠物主表_好读版'!$A:$V,4,FALSE),"")</f>
        <v/>
      </c>
      <c r="D18" s="29">
        <f>IFERROR(VLOOKUP($A18,'01_宠物主表_好读版'!$A:$V,8,FALSE),"")</f>
        <v/>
      </c>
      <c r="E18" s="28" t="inlineStr">
        <is>
          <t>B1</t>
        </is>
      </c>
      <c r="F18" s="28" t="inlineStr">
        <is>
          <t>横扫三格</t>
        </is>
      </c>
      <c r="G18" s="28" t="inlineStr">
        <is>
          <t>横排</t>
        </is>
      </c>
      <c r="H18" s="28" t="n">
        <v>3</v>
      </c>
      <c r="I18" s="28" t="inlineStr">
        <is>
          <t>默认向右</t>
        </is>
      </c>
      <c r="J18" s="28" t="n">
        <v>3</v>
      </c>
      <c r="K18" s="28" t="inlineStr">
        <is>
          <t>土</t>
        </is>
      </c>
      <c r="L18" s="28" t="inlineStr">
        <is>
          <t>土</t>
        </is>
      </c>
      <c r="M18" s="28" t="inlineStr">
        <is>
          <t>土</t>
        </is>
      </c>
      <c r="N18" s="28" t="n">
        <v>1</v>
      </c>
      <c r="O18" s="28" t="inlineStr">
        <is>
          <t>阻挡</t>
        </is>
      </c>
      <c r="P18" s="28" t="inlineStr">
        <is>
          <t>castleReduce</t>
        </is>
      </c>
      <c r="Q18" s="28" t="inlineStr">
        <is>
          <t>none</t>
        </is>
      </c>
      <c r="R18" s="29">
        <f>IFERROR(VLOOKUP($Q18,'04_机制词条库_60条'!$B:$S,2,FALSE),"")</f>
        <v/>
      </c>
      <c r="S18" s="28" t="inlineStr">
        <is>
          <t>正式</t>
        </is>
      </c>
      <c r="T18" s="28" t="inlineStr">
        <is>
          <t>同宠3槽默认同形状；坐标细节放shape_rules.yaml</t>
        </is>
      </c>
    </row>
    <row r="19" ht="22" customHeight="1">
      <c r="A19" s="28" t="inlineStr">
        <is>
          <t>pal_018</t>
        </is>
      </c>
      <c r="B19" s="29">
        <f>IFERROR(VLOOKUP($A19,'01_宠物主表_好读版'!$A:$V,3,FALSE),"")</f>
        <v/>
      </c>
      <c r="C19" s="29">
        <f>IFERROR(VLOOKUP($A19,'01_宠物主表_好读版'!$A:$V,4,FALSE),"")</f>
        <v/>
      </c>
      <c r="D19" s="29">
        <f>IFERROR(VLOOKUP($A19,'01_宠物主表_好读版'!$A:$V,8,FALSE),"")</f>
        <v/>
      </c>
      <c r="E19" s="28" t="inlineStr">
        <is>
          <t>A1</t>
        </is>
      </c>
      <c r="F19" s="28" t="inlineStr">
        <is>
          <t>单点刺</t>
        </is>
      </c>
      <c r="G19" s="28" t="inlineStr">
        <is>
          <t>单体</t>
        </is>
      </c>
      <c r="H19" s="28" t="n">
        <v>1</v>
      </c>
      <c r="I19" s="28" t="inlineStr">
        <is>
          <t>默认向右</t>
        </is>
      </c>
      <c r="J19" s="28" t="n">
        <v>3</v>
      </c>
      <c r="K19" s="28" t="inlineStr">
        <is>
          <t>风</t>
        </is>
      </c>
      <c r="L19" s="28" t="inlineStr">
        <is>
          <t>风</t>
        </is>
      </c>
      <c r="M19" s="28" t="inlineStr">
        <is>
          <t>风</t>
        </is>
      </c>
      <c r="N19" s="28" t="n">
        <v>1</v>
      </c>
      <c r="O19" s="28" t="inlineStr">
        <is>
          <t>召唤</t>
        </is>
      </c>
      <c r="P19" s="28" t="inlineStr">
        <is>
          <t>buffAllSummons</t>
        </is>
      </c>
      <c r="Q19" s="28" t="inlineStr">
        <is>
          <t>none</t>
        </is>
      </c>
      <c r="R19" s="29">
        <f>IFERROR(VLOOKUP($Q19,'04_机制词条库_60条'!$B:$S,2,FALSE),"")</f>
        <v/>
      </c>
      <c r="S19" s="28" t="inlineStr">
        <is>
          <t>正式</t>
        </is>
      </c>
      <c r="T19" s="28" t="inlineStr">
        <is>
          <t>同宠3槽默认同形状；坐标细节放shape_rules.yaml</t>
        </is>
      </c>
    </row>
    <row r="20" ht="22" customHeight="1">
      <c r="A20" s="28" t="inlineStr">
        <is>
          <t>pal_019</t>
        </is>
      </c>
      <c r="B20" s="29">
        <f>IFERROR(VLOOKUP($A20,'01_宠物主表_好读版'!$A:$V,3,FALSE),"")</f>
        <v/>
      </c>
      <c r="C20" s="29">
        <f>IFERROR(VLOOKUP($A20,'01_宠物主表_好读版'!$A:$V,4,FALSE),"")</f>
        <v/>
      </c>
      <c r="D20" s="29">
        <f>IFERROR(VLOOKUP($A20,'01_宠物主表_好读版'!$A:$V,8,FALSE),"")</f>
        <v/>
      </c>
      <c r="E20" s="28" t="inlineStr">
        <is>
          <t>B1</t>
        </is>
      </c>
      <c r="F20" s="28" t="inlineStr">
        <is>
          <t>横扫三格</t>
        </is>
      </c>
      <c r="G20" s="28" t="inlineStr">
        <is>
          <t>横排</t>
        </is>
      </c>
      <c r="H20" s="28" t="n">
        <v>3</v>
      </c>
      <c r="I20" s="28" t="inlineStr">
        <is>
          <t>默认向右</t>
        </is>
      </c>
      <c r="J20" s="28" t="n">
        <v>3</v>
      </c>
      <c r="K20" s="28" t="inlineStr">
        <is>
          <t>土</t>
        </is>
      </c>
      <c r="L20" s="28" t="inlineStr">
        <is>
          <t>土</t>
        </is>
      </c>
      <c r="M20" s="28" t="inlineStr">
        <is>
          <t>土</t>
        </is>
      </c>
      <c r="N20" s="28" t="n">
        <v>1</v>
      </c>
      <c r="O20" s="28" t="inlineStr">
        <is>
          <t>阻挡</t>
        </is>
      </c>
      <c r="P20" s="28" t="inlineStr">
        <is>
          <t>castleReduce</t>
        </is>
      </c>
      <c r="Q20" s="28" t="inlineStr">
        <is>
          <t>none</t>
        </is>
      </c>
      <c r="R20" s="29">
        <f>IFERROR(VLOOKUP($Q20,'04_机制词条库_60条'!$B:$S,2,FALSE),"")</f>
        <v/>
      </c>
      <c r="S20" s="28" t="inlineStr">
        <is>
          <t>正式</t>
        </is>
      </c>
      <c r="T20" s="28" t="inlineStr">
        <is>
          <t>同宠3槽默认同形状；坐标细节放shape_rules.yaml</t>
        </is>
      </c>
    </row>
    <row r="21" ht="22" customHeight="1">
      <c r="A21" s="28" t="inlineStr">
        <is>
          <t>pal_020</t>
        </is>
      </c>
      <c r="B21" s="29">
        <f>IFERROR(VLOOKUP($A21,'01_宠物主表_好读版'!$A:$V,3,FALSE),"")</f>
        <v/>
      </c>
      <c r="C21" s="29">
        <f>IFERROR(VLOOKUP($A21,'01_宠物主表_好读版'!$A:$V,4,FALSE),"")</f>
        <v/>
      </c>
      <c r="D21" s="29">
        <f>IFERROR(VLOOKUP($A21,'01_宠物主表_好读版'!$A:$V,8,FALSE),"")</f>
        <v/>
      </c>
      <c r="E21" s="28" t="inlineStr">
        <is>
          <t>B1</t>
        </is>
      </c>
      <c r="F21" s="28" t="inlineStr">
        <is>
          <t>横扫三格</t>
        </is>
      </c>
      <c r="G21" s="28" t="inlineStr">
        <is>
          <t>横排</t>
        </is>
      </c>
      <c r="H21" s="28" t="n">
        <v>3</v>
      </c>
      <c r="I21" s="28" t="inlineStr">
        <is>
          <t>默认向右</t>
        </is>
      </c>
      <c r="J21" s="28" t="n">
        <v>3</v>
      </c>
      <c r="K21" s="28" t="inlineStr">
        <is>
          <t>土</t>
        </is>
      </c>
      <c r="L21" s="28" t="inlineStr">
        <is>
          <t>土</t>
        </is>
      </c>
      <c r="M21" s="28" t="inlineStr">
        <is>
          <t>土</t>
        </is>
      </c>
      <c r="N21" s="28" t="n">
        <v>1</v>
      </c>
      <c r="O21" s="28" t="inlineStr">
        <is>
          <t>阻挡</t>
        </is>
      </c>
      <c r="P21" s="28" t="inlineStr">
        <is>
          <t>castleReduce</t>
        </is>
      </c>
      <c r="Q21" s="28" t="inlineStr">
        <is>
          <t>none</t>
        </is>
      </c>
      <c r="R21" s="29">
        <f>IFERROR(VLOOKUP($Q21,'04_机制词条库_60条'!$B:$S,2,FALSE),"")</f>
        <v/>
      </c>
      <c r="S21" s="28" t="inlineStr">
        <is>
          <t>正式</t>
        </is>
      </c>
      <c r="T21" s="28" t="inlineStr">
        <is>
          <t>同宠3槽默认同形状；坐标细节放shape_rules.yaml</t>
        </is>
      </c>
    </row>
    <row r="22" ht="22" customHeight="1">
      <c r="A22" s="28" t="inlineStr">
        <is>
          <t>pal_021</t>
        </is>
      </c>
      <c r="B22" s="29">
        <f>IFERROR(VLOOKUP($A22,'01_宠物主表_好读版'!$A:$V,3,FALSE),"")</f>
        <v/>
      </c>
      <c r="C22" s="29">
        <f>IFERROR(VLOOKUP($A22,'01_宠物主表_好读版'!$A:$V,4,FALSE),"")</f>
        <v/>
      </c>
      <c r="D22" s="29">
        <f>IFERROR(VLOOKUP($A22,'01_宠物主表_好读版'!$A:$V,8,FALSE),"")</f>
        <v/>
      </c>
      <c r="E22" s="28" t="inlineStr">
        <is>
          <t>B1</t>
        </is>
      </c>
      <c r="F22" s="28" t="inlineStr">
        <is>
          <t>横扫三格</t>
        </is>
      </c>
      <c r="G22" s="28" t="inlineStr">
        <is>
          <t>横排</t>
        </is>
      </c>
      <c r="H22" s="28" t="n">
        <v>3</v>
      </c>
      <c r="I22" s="28" t="inlineStr">
        <is>
          <t>默认向右</t>
        </is>
      </c>
      <c r="J22" s="28" t="n">
        <v>3</v>
      </c>
      <c r="K22" s="28" t="inlineStr">
        <is>
          <t>土</t>
        </is>
      </c>
      <c r="L22" s="28" t="inlineStr">
        <is>
          <t>土</t>
        </is>
      </c>
      <c r="M22" s="28" t="inlineStr">
        <is>
          <t>土</t>
        </is>
      </c>
      <c r="N22" s="28" t="n">
        <v>1</v>
      </c>
      <c r="O22" s="28" t="inlineStr">
        <is>
          <t>阻挡</t>
        </is>
      </c>
      <c r="P22" s="28" t="inlineStr">
        <is>
          <t>castleReduce</t>
        </is>
      </c>
      <c r="Q22" s="28" t="inlineStr">
        <is>
          <t>none</t>
        </is>
      </c>
      <c r="R22" s="29">
        <f>IFERROR(VLOOKUP($Q22,'04_机制词条库_60条'!$B:$S,2,FALSE),"")</f>
        <v/>
      </c>
      <c r="S22" s="28" t="inlineStr">
        <is>
          <t>正式</t>
        </is>
      </c>
      <c r="T22" s="28" t="inlineStr">
        <is>
          <t>同宠3槽默认同形状；坐标细节放shape_rules.yaml</t>
        </is>
      </c>
    </row>
    <row r="23" ht="22" customHeight="1">
      <c r="A23" s="28" t="inlineStr">
        <is>
          <t>pal_022</t>
        </is>
      </c>
      <c r="B23" s="29">
        <f>IFERROR(VLOOKUP($A23,'01_宠物主表_好读版'!$A:$V,3,FALSE),"")</f>
        <v/>
      </c>
      <c r="C23" s="29">
        <f>IFERROR(VLOOKUP($A23,'01_宠物主表_好读版'!$A:$V,4,FALSE),"")</f>
        <v/>
      </c>
      <c r="D23" s="29">
        <f>IFERROR(VLOOKUP($A23,'01_宠物主表_好读版'!$A:$V,8,FALSE),"")</f>
        <v/>
      </c>
      <c r="E23" s="28" t="inlineStr">
        <is>
          <t>B1</t>
        </is>
      </c>
      <c r="F23" s="28" t="inlineStr">
        <is>
          <t>横扫三格</t>
        </is>
      </c>
      <c r="G23" s="28" t="inlineStr">
        <is>
          <t>横排</t>
        </is>
      </c>
      <c r="H23" s="28" t="n">
        <v>3</v>
      </c>
      <c r="I23" s="28" t="inlineStr">
        <is>
          <t>默认向右</t>
        </is>
      </c>
      <c r="J23" s="28" t="n">
        <v>3</v>
      </c>
      <c r="K23" s="28" t="inlineStr">
        <is>
          <t>土</t>
        </is>
      </c>
      <c r="L23" s="28" t="inlineStr">
        <is>
          <t>土</t>
        </is>
      </c>
      <c r="M23" s="28" t="inlineStr">
        <is>
          <t>土</t>
        </is>
      </c>
      <c r="N23" s="28" t="n">
        <v>1</v>
      </c>
      <c r="O23" s="28" t="inlineStr">
        <is>
          <t>阻挡</t>
        </is>
      </c>
      <c r="P23" s="28" t="inlineStr">
        <is>
          <t>castleReduce</t>
        </is>
      </c>
      <c r="Q23" s="28" t="inlineStr">
        <is>
          <t>none</t>
        </is>
      </c>
      <c r="R23" s="29">
        <f>IFERROR(VLOOKUP($Q23,'04_机制词条库_60条'!$B:$S,2,FALSE),"")</f>
        <v/>
      </c>
      <c r="S23" s="28" t="inlineStr">
        <is>
          <t>正式</t>
        </is>
      </c>
      <c r="T23" s="28" t="inlineStr">
        <is>
          <t>同宠3槽默认同形状；坐标细节放shape_rules.yaml</t>
        </is>
      </c>
    </row>
    <row r="24" ht="22" customHeight="1">
      <c r="A24" s="28" t="inlineStr">
        <is>
          <t>pal_023</t>
        </is>
      </c>
      <c r="B24" s="29">
        <f>IFERROR(VLOOKUP($A24,'01_宠物主表_好读版'!$A:$V,3,FALSE),"")</f>
        <v/>
      </c>
      <c r="C24" s="29">
        <f>IFERROR(VLOOKUP($A24,'01_宠物主表_好读版'!$A:$V,4,FALSE),"")</f>
        <v/>
      </c>
      <c r="D24" s="29">
        <f>IFERROR(VLOOKUP($A24,'01_宠物主表_好读版'!$A:$V,8,FALSE),"")</f>
        <v/>
      </c>
      <c r="E24" s="28" t="inlineStr">
        <is>
          <t>B1</t>
        </is>
      </c>
      <c r="F24" s="28" t="inlineStr">
        <is>
          <t>横扫三格</t>
        </is>
      </c>
      <c r="G24" s="28" t="inlineStr">
        <is>
          <t>横排</t>
        </is>
      </c>
      <c r="H24" s="28" t="n">
        <v>3</v>
      </c>
      <c r="I24" s="28" t="inlineStr">
        <is>
          <t>默认向右</t>
        </is>
      </c>
      <c r="J24" s="28" t="n">
        <v>3</v>
      </c>
      <c r="K24" s="28" t="inlineStr">
        <is>
          <t>土</t>
        </is>
      </c>
      <c r="L24" s="28" t="inlineStr">
        <is>
          <t>土</t>
        </is>
      </c>
      <c r="M24" s="28" t="inlineStr">
        <is>
          <t>土</t>
        </is>
      </c>
      <c r="N24" s="28" t="n">
        <v>1</v>
      </c>
      <c r="O24" s="28" t="inlineStr">
        <is>
          <t>阻挡</t>
        </is>
      </c>
      <c r="P24" s="28" t="inlineStr">
        <is>
          <t>castleReduce</t>
        </is>
      </c>
      <c r="Q24" s="28" t="inlineStr">
        <is>
          <t>mech_shield_regen</t>
        </is>
      </c>
      <c r="R24" s="29">
        <f>IFERROR(VLOOKUP($Q24,'04_机制词条库_60条'!$B:$S,2,FALSE),"")</f>
        <v/>
      </c>
      <c r="S24" s="28" t="inlineStr">
        <is>
          <t>正式</t>
        </is>
      </c>
      <c r="T24" s="28" t="inlineStr">
        <is>
          <t>同宠3槽默认同形状；坐标细节放shape_rules.yaml</t>
        </is>
      </c>
    </row>
    <row r="25" ht="22" customHeight="1">
      <c r="A25" s="28" t="inlineStr">
        <is>
          <t>pal_024</t>
        </is>
      </c>
      <c r="B25" s="29">
        <f>IFERROR(VLOOKUP($A25,'01_宠物主表_好读版'!$A:$V,3,FALSE),"")</f>
        <v/>
      </c>
      <c r="C25" s="29">
        <f>IFERROR(VLOOKUP($A25,'01_宠物主表_好读版'!$A:$V,4,FALSE),"")</f>
        <v/>
      </c>
      <c r="D25" s="29">
        <f>IFERROR(VLOOKUP($A25,'01_宠物主表_好读版'!$A:$V,8,FALSE),"")</f>
        <v/>
      </c>
      <c r="E25" s="28" t="inlineStr">
        <is>
          <t>A1</t>
        </is>
      </c>
      <c r="F25" s="28" t="inlineStr">
        <is>
          <t>单点刺</t>
        </is>
      </c>
      <c r="G25" s="28" t="inlineStr">
        <is>
          <t>单体</t>
        </is>
      </c>
      <c r="H25" s="28" t="n">
        <v>1</v>
      </c>
      <c r="I25" s="28" t="inlineStr">
        <is>
          <t>默认向右</t>
        </is>
      </c>
      <c r="J25" s="28" t="n">
        <v>3</v>
      </c>
      <c r="K25" s="28" t="inlineStr">
        <is>
          <t>土</t>
        </is>
      </c>
      <c r="L25" s="28" t="inlineStr">
        <is>
          <t>土</t>
        </is>
      </c>
      <c r="M25" s="28" t="inlineStr">
        <is>
          <t>土</t>
        </is>
      </c>
      <c r="N25" s="28" t="n">
        <v>1</v>
      </c>
      <c r="O25" s="28" t="inlineStr">
        <is>
          <t>召唤</t>
        </is>
      </c>
      <c r="P25" s="28" t="inlineStr">
        <is>
          <t>buffAllSummons</t>
        </is>
      </c>
      <c r="Q25" s="28" t="inlineStr">
        <is>
          <t>none</t>
        </is>
      </c>
      <c r="R25" s="29">
        <f>IFERROR(VLOOKUP($Q25,'04_机制词条库_60条'!$B:$S,2,FALSE),"")</f>
        <v/>
      </c>
      <c r="S25" s="28" t="inlineStr">
        <is>
          <t>正式</t>
        </is>
      </c>
      <c r="T25" s="28" t="inlineStr">
        <is>
          <t>同宠3槽默认同形状；坐标细节放shape_rules.yaml</t>
        </is>
      </c>
    </row>
    <row r="26" ht="22" customHeight="1">
      <c r="A26" s="28" t="inlineStr">
        <is>
          <t>pal_025</t>
        </is>
      </c>
      <c r="B26" s="29">
        <f>IFERROR(VLOOKUP($A26,'01_宠物主表_好读版'!$A:$V,3,FALSE),"")</f>
        <v/>
      </c>
      <c r="C26" s="29">
        <f>IFERROR(VLOOKUP($A26,'01_宠物主表_好读版'!$A:$V,4,FALSE),"")</f>
        <v/>
      </c>
      <c r="D26" s="29">
        <f>IFERROR(VLOOKUP($A26,'01_宠物主表_好读版'!$A:$V,8,FALSE),"")</f>
        <v/>
      </c>
      <c r="E26" s="28" t="inlineStr">
        <is>
          <t>B1</t>
        </is>
      </c>
      <c r="F26" s="28" t="inlineStr">
        <is>
          <t>横扫三格</t>
        </is>
      </c>
      <c r="G26" s="28" t="inlineStr">
        <is>
          <t>横排</t>
        </is>
      </c>
      <c r="H26" s="28" t="n">
        <v>3</v>
      </c>
      <c r="I26" s="28" t="inlineStr">
        <is>
          <t>默认向右</t>
        </is>
      </c>
      <c r="J26" s="28" t="n">
        <v>3</v>
      </c>
      <c r="K26" s="28" t="inlineStr">
        <is>
          <t>水</t>
        </is>
      </c>
      <c r="L26" s="28" t="inlineStr">
        <is>
          <t>水</t>
        </is>
      </c>
      <c r="M26" s="28" t="inlineStr">
        <is>
          <t>水</t>
        </is>
      </c>
      <c r="N26" s="28" t="n">
        <v>1</v>
      </c>
      <c r="O26" s="28" t="inlineStr">
        <is>
          <t>场地</t>
        </is>
      </c>
      <c r="P26" s="28" t="inlineStr">
        <is>
          <t>healAmpBonus</t>
        </is>
      </c>
      <c r="Q26" s="28" t="inlineStr">
        <is>
          <t>none</t>
        </is>
      </c>
      <c r="R26" s="29">
        <f>IFERROR(VLOOKUP($Q26,'04_机制词条库_60条'!$B:$S,2,FALSE),"")</f>
        <v/>
      </c>
      <c r="S26" s="28" t="inlineStr">
        <is>
          <t>正式</t>
        </is>
      </c>
      <c r="T26" s="28" t="inlineStr">
        <is>
          <t>同宠3槽默认同形状；坐标细节放shape_rules.yaml</t>
        </is>
      </c>
    </row>
    <row r="27" ht="22" customHeight="1">
      <c r="A27" s="28" t="inlineStr">
        <is>
          <t>pal_026</t>
        </is>
      </c>
      <c r="B27" s="29">
        <f>IFERROR(VLOOKUP($A27,'01_宠物主表_好读版'!$A:$V,3,FALSE),"")</f>
        <v/>
      </c>
      <c r="C27" s="29">
        <f>IFERROR(VLOOKUP($A27,'01_宠物主表_好读版'!$A:$V,4,FALSE),"")</f>
        <v/>
      </c>
      <c r="D27" s="29">
        <f>IFERROR(VLOOKUP($A27,'01_宠物主表_好读版'!$A:$V,8,FALSE),"")</f>
        <v/>
      </c>
      <c r="E27" s="28" t="inlineStr">
        <is>
          <t>A1</t>
        </is>
      </c>
      <c r="F27" s="28" t="inlineStr">
        <is>
          <t>单点刺</t>
        </is>
      </c>
      <c r="G27" s="28" t="inlineStr">
        <is>
          <t>单体</t>
        </is>
      </c>
      <c r="H27" s="28" t="n">
        <v>1</v>
      </c>
      <c r="I27" s="28" t="inlineStr">
        <is>
          <t>默认向右</t>
        </is>
      </c>
      <c r="J27" s="28" t="n">
        <v>3</v>
      </c>
      <c r="K27" s="28" t="inlineStr">
        <is>
          <t>风</t>
        </is>
      </c>
      <c r="L27" s="28" t="inlineStr">
        <is>
          <t>风</t>
        </is>
      </c>
      <c r="M27" s="28" t="inlineStr">
        <is>
          <t>风</t>
        </is>
      </c>
      <c r="N27" s="28" t="n">
        <v>1</v>
      </c>
      <c r="O27" s="28" t="inlineStr">
        <is>
          <t>召唤</t>
        </is>
      </c>
      <c r="P27" s="28" t="inlineStr">
        <is>
          <t>buffAllSummons</t>
        </is>
      </c>
      <c r="Q27" s="28" t="inlineStr">
        <is>
          <t>none</t>
        </is>
      </c>
      <c r="R27" s="29">
        <f>IFERROR(VLOOKUP($Q27,'04_机制词条库_60条'!$B:$S,2,FALSE),"")</f>
        <v/>
      </c>
      <c r="S27" s="28" t="inlineStr">
        <is>
          <t>正式</t>
        </is>
      </c>
      <c r="T27" s="28" t="inlineStr">
        <is>
          <t>同宠3槽默认同形状；坐标细节放shape_rules.yaml</t>
        </is>
      </c>
    </row>
    <row r="28" ht="22" customHeight="1">
      <c r="A28" s="28" t="inlineStr">
        <is>
          <t>pal_027</t>
        </is>
      </c>
      <c r="B28" s="29">
        <f>IFERROR(VLOOKUP($A28,'01_宠物主表_好读版'!$A:$V,3,FALSE),"")</f>
        <v/>
      </c>
      <c r="C28" s="29">
        <f>IFERROR(VLOOKUP($A28,'01_宠物主表_好读版'!$A:$V,4,FALSE),"")</f>
        <v/>
      </c>
      <c r="D28" s="29">
        <f>IFERROR(VLOOKUP($A28,'01_宠物主表_好读版'!$A:$V,8,FALSE),"")</f>
        <v/>
      </c>
      <c r="E28" s="28" t="inlineStr">
        <is>
          <t>A1</t>
        </is>
      </c>
      <c r="F28" s="28" t="inlineStr">
        <is>
          <t>单点刺</t>
        </is>
      </c>
      <c r="G28" s="28" t="inlineStr">
        <is>
          <t>单体</t>
        </is>
      </c>
      <c r="H28" s="28" t="n">
        <v>1</v>
      </c>
      <c r="I28" s="28" t="inlineStr">
        <is>
          <t>默认向右</t>
        </is>
      </c>
      <c r="J28" s="28" t="n">
        <v>3</v>
      </c>
      <c r="K28" s="28" t="inlineStr">
        <is>
          <t>风</t>
        </is>
      </c>
      <c r="L28" s="28" t="inlineStr">
        <is>
          <t>风</t>
        </is>
      </c>
      <c r="M28" s="28" t="inlineStr">
        <is>
          <t>风</t>
        </is>
      </c>
      <c r="N28" s="28" t="n">
        <v>1</v>
      </c>
      <c r="O28" s="28" t="inlineStr">
        <is>
          <t>召唤</t>
        </is>
      </c>
      <c r="P28" s="28" t="inlineStr">
        <is>
          <t>buffAllSummons</t>
        </is>
      </c>
      <c r="Q28" s="28" t="inlineStr">
        <is>
          <t>none</t>
        </is>
      </c>
      <c r="R28" s="29">
        <f>IFERROR(VLOOKUP($Q28,'04_机制词条库_60条'!$B:$S,2,FALSE),"")</f>
        <v/>
      </c>
      <c r="S28" s="28" t="inlineStr">
        <is>
          <t>正式</t>
        </is>
      </c>
      <c r="T28" s="28" t="inlineStr">
        <is>
          <t>同宠3槽默认同形状；坐标细节放shape_rules.yaml</t>
        </is>
      </c>
    </row>
    <row r="29" ht="22" customHeight="1">
      <c r="A29" s="28" t="inlineStr">
        <is>
          <t>pal_028</t>
        </is>
      </c>
      <c r="B29" s="29">
        <f>IFERROR(VLOOKUP($A29,'01_宠物主表_好读版'!$A:$V,3,FALSE),"")</f>
        <v/>
      </c>
      <c r="C29" s="29">
        <f>IFERROR(VLOOKUP($A29,'01_宠物主表_好读版'!$A:$V,4,FALSE),"")</f>
        <v/>
      </c>
      <c r="D29" s="29">
        <f>IFERROR(VLOOKUP($A29,'01_宠物主表_好读版'!$A:$V,8,FALSE),"")</f>
        <v/>
      </c>
      <c r="E29" s="28" t="inlineStr">
        <is>
          <t>B1</t>
        </is>
      </c>
      <c r="F29" s="28" t="inlineStr">
        <is>
          <t>横扫三格</t>
        </is>
      </c>
      <c r="G29" s="28" t="inlineStr">
        <is>
          <t>横排</t>
        </is>
      </c>
      <c r="H29" s="28" t="n">
        <v>3</v>
      </c>
      <c r="I29" s="28" t="inlineStr">
        <is>
          <t>默认向右</t>
        </is>
      </c>
      <c r="J29" s="28" t="n">
        <v>3</v>
      </c>
      <c r="K29" s="28" t="inlineStr">
        <is>
          <t>风</t>
        </is>
      </c>
      <c r="L29" s="28" t="inlineStr">
        <is>
          <t>风</t>
        </is>
      </c>
      <c r="M29" s="28" t="inlineStr">
        <is>
          <t>风</t>
        </is>
      </c>
      <c r="N29" s="28" t="n">
        <v>1</v>
      </c>
      <c r="O29" s="28" t="inlineStr">
        <is>
          <t>场地</t>
        </is>
      </c>
      <c r="P29" s="28" t="inlineStr">
        <is>
          <t>healAmpBonus</t>
        </is>
      </c>
      <c r="Q29" s="28" t="inlineStr">
        <is>
          <t>none</t>
        </is>
      </c>
      <c r="R29" s="29">
        <f>IFERROR(VLOOKUP($Q29,'04_机制词条库_60条'!$B:$S,2,FALSE),"")</f>
        <v/>
      </c>
      <c r="S29" s="28" t="inlineStr">
        <is>
          <t>正式</t>
        </is>
      </c>
      <c r="T29" s="28" t="inlineStr">
        <is>
          <t>同宠3槽默认同形状；坐标细节放shape_rules.yaml</t>
        </is>
      </c>
    </row>
    <row r="30" ht="22" customHeight="1">
      <c r="A30" s="28" t="inlineStr">
        <is>
          <t>pal_029</t>
        </is>
      </c>
      <c r="B30" s="29">
        <f>IFERROR(VLOOKUP($A30,'01_宠物主表_好读版'!$A:$V,3,FALSE),"")</f>
        <v/>
      </c>
      <c r="C30" s="29">
        <f>IFERROR(VLOOKUP($A30,'01_宠物主表_好读版'!$A:$V,4,FALSE),"")</f>
        <v/>
      </c>
      <c r="D30" s="29">
        <f>IFERROR(VLOOKUP($A30,'01_宠物主表_好读版'!$A:$V,8,FALSE),"")</f>
        <v/>
      </c>
      <c r="E30" s="28" t="inlineStr">
        <is>
          <t>A1</t>
        </is>
      </c>
      <c r="F30" s="28" t="inlineStr">
        <is>
          <t>单点刺</t>
        </is>
      </c>
      <c r="G30" s="28" t="inlineStr">
        <is>
          <t>单体</t>
        </is>
      </c>
      <c r="H30" s="28" t="n">
        <v>1</v>
      </c>
      <c r="I30" s="28" t="inlineStr">
        <is>
          <t>默认向右</t>
        </is>
      </c>
      <c r="J30" s="28" t="n">
        <v>3</v>
      </c>
      <c r="K30" s="28" t="inlineStr">
        <is>
          <t>风</t>
        </is>
      </c>
      <c r="L30" s="28" t="inlineStr">
        <is>
          <t>风</t>
        </is>
      </c>
      <c r="M30" s="28" t="inlineStr">
        <is>
          <t>风</t>
        </is>
      </c>
      <c r="N30" s="28" t="n">
        <v>1</v>
      </c>
      <c r="O30" s="28" t="inlineStr">
        <is>
          <t>召唤</t>
        </is>
      </c>
      <c r="P30" s="28" t="inlineStr">
        <is>
          <t>buffAllSummons</t>
        </is>
      </c>
      <c r="Q30" s="28" t="inlineStr">
        <is>
          <t>none</t>
        </is>
      </c>
      <c r="R30" s="29">
        <f>IFERROR(VLOOKUP($Q30,'04_机制词条库_60条'!$B:$S,2,FALSE),"")</f>
        <v/>
      </c>
      <c r="S30" s="28" t="inlineStr">
        <is>
          <t>正式</t>
        </is>
      </c>
      <c r="T30" s="28" t="inlineStr">
        <is>
          <t>同宠3槽默认同形状；坐标细节放shape_rules.yaml</t>
        </is>
      </c>
    </row>
    <row r="31" ht="22" customHeight="1">
      <c r="A31" s="28" t="inlineStr">
        <is>
          <t>pal_030</t>
        </is>
      </c>
      <c r="B31" s="29">
        <f>IFERROR(VLOOKUP($A31,'01_宠物主表_好读版'!$A:$V,3,FALSE),"")</f>
        <v/>
      </c>
      <c r="C31" s="29">
        <f>IFERROR(VLOOKUP($A31,'01_宠物主表_好读版'!$A:$V,4,FALSE),"")</f>
        <v/>
      </c>
      <c r="D31" s="29">
        <f>IFERROR(VLOOKUP($A31,'01_宠物主表_好读版'!$A:$V,8,FALSE),"")</f>
        <v/>
      </c>
      <c r="E31" s="28" t="inlineStr">
        <is>
          <t>B1</t>
        </is>
      </c>
      <c r="F31" s="28" t="inlineStr">
        <is>
          <t>横扫三格</t>
        </is>
      </c>
      <c r="G31" s="28" t="inlineStr">
        <is>
          <t>横排</t>
        </is>
      </c>
      <c r="H31" s="28" t="n">
        <v>3</v>
      </c>
      <c r="I31" s="28" t="inlineStr">
        <is>
          <t>默认向右</t>
        </is>
      </c>
      <c r="J31" s="28" t="n">
        <v>3</v>
      </c>
      <c r="K31" s="28" t="inlineStr">
        <is>
          <t>风</t>
        </is>
      </c>
      <c r="L31" s="28" t="inlineStr">
        <is>
          <t>风</t>
        </is>
      </c>
      <c r="M31" s="28" t="inlineStr">
        <is>
          <t>风</t>
        </is>
      </c>
      <c r="N31" s="28" t="n">
        <v>1</v>
      </c>
      <c r="O31" s="28" t="inlineStr">
        <is>
          <t>场地</t>
        </is>
      </c>
      <c r="P31" s="28" t="inlineStr">
        <is>
          <t>healAmpBonus</t>
        </is>
      </c>
      <c r="Q31" s="28" t="inlineStr">
        <is>
          <t>none</t>
        </is>
      </c>
      <c r="R31" s="29">
        <f>IFERROR(VLOOKUP($Q31,'04_机制词条库_60条'!$B:$S,2,FALSE),"")</f>
        <v/>
      </c>
      <c r="S31" s="28" t="inlineStr">
        <is>
          <t>正式</t>
        </is>
      </c>
      <c r="T31" s="28" t="inlineStr">
        <is>
          <t>同宠3槽默认同形状；坐标细节放shape_rules.yaml</t>
        </is>
      </c>
    </row>
    <row r="32" ht="22" customHeight="1">
      <c r="A32" s="28" t="inlineStr">
        <is>
          <t>pal_031</t>
        </is>
      </c>
      <c r="B32" s="29">
        <f>IFERROR(VLOOKUP($A32,'01_宠物主表_好读版'!$A:$V,3,FALSE),"")</f>
        <v/>
      </c>
      <c r="C32" s="29">
        <f>IFERROR(VLOOKUP($A32,'01_宠物主表_好读版'!$A:$V,4,FALSE),"")</f>
        <v/>
      </c>
      <c r="D32" s="29">
        <f>IFERROR(VLOOKUP($A32,'01_宠物主表_好读版'!$A:$V,8,FALSE),"")</f>
        <v/>
      </c>
      <c r="E32" s="28" t="inlineStr">
        <is>
          <t>B1</t>
        </is>
      </c>
      <c r="F32" s="28" t="inlineStr">
        <is>
          <t>横扫三格</t>
        </is>
      </c>
      <c r="G32" s="28" t="inlineStr">
        <is>
          <t>横排</t>
        </is>
      </c>
      <c r="H32" s="28" t="n">
        <v>3</v>
      </c>
      <c r="I32" s="28" t="inlineStr">
        <is>
          <t>默认向右</t>
        </is>
      </c>
      <c r="J32" s="28" t="n">
        <v>3</v>
      </c>
      <c r="K32" s="28" t="inlineStr">
        <is>
          <t>水</t>
        </is>
      </c>
      <c r="L32" s="28" t="inlineStr">
        <is>
          <t>水</t>
        </is>
      </c>
      <c r="M32" s="28" t="inlineStr">
        <is>
          <t>水</t>
        </is>
      </c>
      <c r="N32" s="28" t="n">
        <v>1</v>
      </c>
      <c r="O32" s="28" t="inlineStr">
        <is>
          <t>场地</t>
        </is>
      </c>
      <c r="P32" s="28" t="inlineStr">
        <is>
          <t>healAmpBonus</t>
        </is>
      </c>
      <c r="Q32" s="28" t="inlineStr">
        <is>
          <t>none</t>
        </is>
      </c>
      <c r="R32" s="29">
        <f>IFERROR(VLOOKUP($Q32,'04_机制词条库_60条'!$B:$S,2,FALSE),"")</f>
        <v/>
      </c>
      <c r="S32" s="28" t="inlineStr">
        <is>
          <t>正式</t>
        </is>
      </c>
      <c r="T32" s="28" t="inlineStr">
        <is>
          <t>同宠3槽默认同形状；坐标细节放shape_rules.yaml</t>
        </is>
      </c>
    </row>
    <row r="33" ht="22" customHeight="1">
      <c r="A33" s="28" t="inlineStr">
        <is>
          <t>pal_032</t>
        </is>
      </c>
      <c r="B33" s="29">
        <f>IFERROR(VLOOKUP($A33,'01_宠物主表_好读版'!$A:$V,3,FALSE),"")</f>
        <v/>
      </c>
      <c r="C33" s="29">
        <f>IFERROR(VLOOKUP($A33,'01_宠物主表_好读版'!$A:$V,4,FALSE),"")</f>
        <v/>
      </c>
      <c r="D33" s="29">
        <f>IFERROR(VLOOKUP($A33,'01_宠物主表_好读版'!$A:$V,8,FALSE),"")</f>
        <v/>
      </c>
      <c r="E33" s="28" t="inlineStr">
        <is>
          <t>B1</t>
        </is>
      </c>
      <c r="F33" s="28" t="inlineStr">
        <is>
          <t>横扫三格</t>
        </is>
      </c>
      <c r="G33" s="28" t="inlineStr">
        <is>
          <t>横排</t>
        </is>
      </c>
      <c r="H33" s="28" t="n">
        <v>3</v>
      </c>
      <c r="I33" s="28" t="inlineStr">
        <is>
          <t>默认向右</t>
        </is>
      </c>
      <c r="J33" s="28" t="n">
        <v>3</v>
      </c>
      <c r="K33" s="28" t="inlineStr">
        <is>
          <t>土</t>
        </is>
      </c>
      <c r="L33" s="28" t="inlineStr">
        <is>
          <t>土</t>
        </is>
      </c>
      <c r="M33" s="28" t="inlineStr">
        <is>
          <t>土</t>
        </is>
      </c>
      <c r="N33" s="28" t="n">
        <v>1</v>
      </c>
      <c r="O33" s="28" t="inlineStr">
        <is>
          <t>阻挡</t>
        </is>
      </c>
      <c r="P33" s="28" t="inlineStr">
        <is>
          <t>castleReduce</t>
        </is>
      </c>
      <c r="Q33" s="28" t="inlineStr">
        <is>
          <t>none</t>
        </is>
      </c>
      <c r="R33" s="29">
        <f>IFERROR(VLOOKUP($Q33,'04_机制词条库_60条'!$B:$S,2,FALSE),"")</f>
        <v/>
      </c>
      <c r="S33" s="28" t="inlineStr">
        <is>
          <t>正式</t>
        </is>
      </c>
      <c r="T33" s="28" t="inlineStr">
        <is>
          <t>同宠3槽默认同形状；坐标细节放shape_rules.yaml</t>
        </is>
      </c>
    </row>
    <row r="34" ht="22" customHeight="1">
      <c r="A34" s="28" t="inlineStr">
        <is>
          <t>pal_033</t>
        </is>
      </c>
      <c r="B34" s="29">
        <f>IFERROR(VLOOKUP($A34,'01_宠物主表_好读版'!$A:$V,3,FALSE),"")</f>
        <v/>
      </c>
      <c r="C34" s="29">
        <f>IFERROR(VLOOKUP($A34,'01_宠物主表_好读版'!$A:$V,4,FALSE),"")</f>
        <v/>
      </c>
      <c r="D34" s="29">
        <f>IFERROR(VLOOKUP($A34,'01_宠物主表_好读版'!$A:$V,8,FALSE),"")</f>
        <v/>
      </c>
      <c r="E34" s="28" t="inlineStr">
        <is>
          <t>B1</t>
        </is>
      </c>
      <c r="F34" s="28" t="inlineStr">
        <is>
          <t>横扫三格</t>
        </is>
      </c>
      <c r="G34" s="28" t="inlineStr">
        <is>
          <t>横排</t>
        </is>
      </c>
      <c r="H34" s="28" t="n">
        <v>3</v>
      </c>
      <c r="I34" s="28" t="inlineStr">
        <is>
          <t>默认向右</t>
        </is>
      </c>
      <c r="J34" s="28" t="n">
        <v>3</v>
      </c>
      <c r="K34" s="28" t="inlineStr">
        <is>
          <t>风</t>
        </is>
      </c>
      <c r="L34" s="28" t="inlineStr">
        <is>
          <t>风</t>
        </is>
      </c>
      <c r="M34" s="28" t="inlineStr">
        <is>
          <t>风</t>
        </is>
      </c>
      <c r="N34" s="28" t="n">
        <v>1</v>
      </c>
      <c r="O34" s="28" t="inlineStr">
        <is>
          <t>阻挡</t>
        </is>
      </c>
      <c r="P34" s="28" t="inlineStr">
        <is>
          <t>castleReduce</t>
        </is>
      </c>
      <c r="Q34" s="28" t="inlineStr">
        <is>
          <t>none</t>
        </is>
      </c>
      <c r="R34" s="29">
        <f>IFERROR(VLOOKUP($Q34,'04_机制词条库_60条'!$B:$S,2,FALSE),"")</f>
        <v/>
      </c>
      <c r="S34" s="28" t="inlineStr">
        <is>
          <t>正式</t>
        </is>
      </c>
      <c r="T34" s="28" t="inlineStr">
        <is>
          <t>同宠3槽默认同形状；坐标细节放shape_rules.yaml</t>
        </is>
      </c>
    </row>
    <row r="35" ht="22" customHeight="1">
      <c r="A35" s="28" t="inlineStr">
        <is>
          <t>pal_034</t>
        </is>
      </c>
      <c r="B35" s="29">
        <f>IFERROR(VLOOKUP($A35,'01_宠物主表_好读版'!$A:$V,3,FALSE),"")</f>
        <v/>
      </c>
      <c r="C35" s="29">
        <f>IFERROR(VLOOKUP($A35,'01_宠物主表_好读版'!$A:$V,4,FALSE),"")</f>
        <v/>
      </c>
      <c r="D35" s="29">
        <f>IFERROR(VLOOKUP($A35,'01_宠物主表_好读版'!$A:$V,8,FALSE),"")</f>
        <v/>
      </c>
      <c r="E35" s="28" t="inlineStr">
        <is>
          <t>A1</t>
        </is>
      </c>
      <c r="F35" s="28" t="inlineStr">
        <is>
          <t>单点刺</t>
        </is>
      </c>
      <c r="G35" s="28" t="inlineStr">
        <is>
          <t>单体</t>
        </is>
      </c>
      <c r="H35" s="28" t="n">
        <v>1</v>
      </c>
      <c r="I35" s="28" t="inlineStr">
        <is>
          <t>默认向右</t>
        </is>
      </c>
      <c r="J35" s="28" t="n">
        <v>3</v>
      </c>
      <c r="K35" s="28" t="inlineStr">
        <is>
          <t>风</t>
        </is>
      </c>
      <c r="L35" s="28" t="inlineStr">
        <is>
          <t>风</t>
        </is>
      </c>
      <c r="M35" s="28" t="inlineStr">
        <is>
          <t>风</t>
        </is>
      </c>
      <c r="N35" s="28" t="n">
        <v>1</v>
      </c>
      <c r="O35" s="28" t="inlineStr">
        <is>
          <t>召唤</t>
        </is>
      </c>
      <c r="P35" s="28" t="inlineStr">
        <is>
          <t>buffAllSummons</t>
        </is>
      </c>
      <c r="Q35" s="28" t="inlineStr">
        <is>
          <t>none</t>
        </is>
      </c>
      <c r="R35" s="29">
        <f>IFERROR(VLOOKUP($Q35,'04_机制词条库_60条'!$B:$S,2,FALSE),"")</f>
        <v/>
      </c>
      <c r="S35" s="28" t="inlineStr">
        <is>
          <t>正式</t>
        </is>
      </c>
      <c r="T35" s="28" t="inlineStr">
        <is>
          <t>同宠3槽默认同形状；坐标细节放shape_rules.yaml</t>
        </is>
      </c>
    </row>
    <row r="36" ht="22" customHeight="1">
      <c r="A36" s="28" t="inlineStr">
        <is>
          <t>pal_035</t>
        </is>
      </c>
      <c r="B36" s="29">
        <f>IFERROR(VLOOKUP($A36,'01_宠物主表_好读版'!$A:$V,3,FALSE),"")</f>
        <v/>
      </c>
      <c r="C36" s="29">
        <f>IFERROR(VLOOKUP($A36,'01_宠物主表_好读版'!$A:$V,4,FALSE),"")</f>
        <v/>
      </c>
      <c r="D36" s="29">
        <f>IFERROR(VLOOKUP($A36,'01_宠物主表_好读版'!$A:$V,8,FALSE),"")</f>
        <v/>
      </c>
      <c r="E36" s="28" t="inlineStr">
        <is>
          <t>A1</t>
        </is>
      </c>
      <c r="F36" s="28" t="inlineStr">
        <is>
          <t>单点刺</t>
        </is>
      </c>
      <c r="G36" s="28" t="inlineStr">
        <is>
          <t>单体</t>
        </is>
      </c>
      <c r="H36" s="28" t="n">
        <v>1</v>
      </c>
      <c r="I36" s="28" t="inlineStr">
        <is>
          <t>默认向右</t>
        </is>
      </c>
      <c r="J36" s="28" t="n">
        <v>3</v>
      </c>
      <c r="K36" s="28" t="inlineStr">
        <is>
          <t>风</t>
        </is>
      </c>
      <c r="L36" s="28" t="inlineStr">
        <is>
          <t>风</t>
        </is>
      </c>
      <c r="M36" s="28" t="inlineStr">
        <is>
          <t>风</t>
        </is>
      </c>
      <c r="N36" s="28" t="n">
        <v>1</v>
      </c>
      <c r="O36" s="28" t="inlineStr">
        <is>
          <t>召唤</t>
        </is>
      </c>
      <c r="P36" s="28" t="inlineStr">
        <is>
          <t>buffAllSummons</t>
        </is>
      </c>
      <c r="Q36" s="28" t="inlineStr">
        <is>
          <t>none</t>
        </is>
      </c>
      <c r="R36" s="29">
        <f>IFERROR(VLOOKUP($Q36,'04_机制词条库_60条'!$B:$S,2,FALSE),"")</f>
        <v/>
      </c>
      <c r="S36" s="28" t="inlineStr">
        <is>
          <t>正式</t>
        </is>
      </c>
      <c r="T36" s="28" t="inlineStr">
        <is>
          <t>同宠3槽默认同形状；坐标细节放shape_rules.yaml</t>
        </is>
      </c>
    </row>
    <row r="37" ht="22" customHeight="1">
      <c r="A37" s="28" t="inlineStr">
        <is>
          <t>pal_036</t>
        </is>
      </c>
      <c r="B37" s="29">
        <f>IFERROR(VLOOKUP($A37,'01_宠物主表_好读版'!$A:$V,3,FALSE),"")</f>
        <v/>
      </c>
      <c r="C37" s="29">
        <f>IFERROR(VLOOKUP($A37,'01_宠物主表_好读版'!$A:$V,4,FALSE),"")</f>
        <v/>
      </c>
      <c r="D37" s="29">
        <f>IFERROR(VLOOKUP($A37,'01_宠物主表_好读版'!$A:$V,8,FALSE),"")</f>
        <v/>
      </c>
      <c r="E37" s="28" t="inlineStr">
        <is>
          <t>A1</t>
        </is>
      </c>
      <c r="F37" s="28" t="inlineStr">
        <is>
          <t>单点刺</t>
        </is>
      </c>
      <c r="G37" s="28" t="inlineStr">
        <is>
          <t>单体</t>
        </is>
      </c>
      <c r="H37" s="28" t="n">
        <v>1</v>
      </c>
      <c r="I37" s="28" t="inlineStr">
        <is>
          <t>默认向右</t>
        </is>
      </c>
      <c r="J37" s="28" t="n">
        <v>3</v>
      </c>
      <c r="K37" s="28" t="inlineStr">
        <is>
          <t>风</t>
        </is>
      </c>
      <c r="L37" s="28" t="inlineStr">
        <is>
          <t>风</t>
        </is>
      </c>
      <c r="M37" s="28" t="inlineStr">
        <is>
          <t>风</t>
        </is>
      </c>
      <c r="N37" s="28" t="n">
        <v>1</v>
      </c>
      <c r="O37" s="28" t="inlineStr">
        <is>
          <t>召唤</t>
        </is>
      </c>
      <c r="P37" s="28" t="inlineStr">
        <is>
          <t>buffAllSummons</t>
        </is>
      </c>
      <c r="Q37" s="28" t="inlineStr">
        <is>
          <t>none</t>
        </is>
      </c>
      <c r="R37" s="29">
        <f>IFERROR(VLOOKUP($Q37,'04_机制词条库_60条'!$B:$S,2,FALSE),"")</f>
        <v/>
      </c>
      <c r="S37" s="28" t="inlineStr">
        <is>
          <t>正式</t>
        </is>
      </c>
      <c r="T37" s="28" t="inlineStr">
        <is>
          <t>同宠3槽默认同形状；坐标细节放shape_rules.yaml</t>
        </is>
      </c>
    </row>
    <row r="38" ht="22" customHeight="1">
      <c r="A38" s="28" t="inlineStr">
        <is>
          <t>pal_037</t>
        </is>
      </c>
      <c r="B38" s="29">
        <f>IFERROR(VLOOKUP($A38,'01_宠物主表_好读版'!$A:$V,3,FALSE),"")</f>
        <v/>
      </c>
      <c r="C38" s="29">
        <f>IFERROR(VLOOKUP($A38,'01_宠物主表_好读版'!$A:$V,4,FALSE),"")</f>
        <v/>
      </c>
      <c r="D38" s="29">
        <f>IFERROR(VLOOKUP($A38,'01_宠物主表_好读版'!$A:$V,8,FALSE),"")</f>
        <v/>
      </c>
      <c r="E38" s="28" t="inlineStr">
        <is>
          <t>T2</t>
        </is>
      </c>
      <c r="F38" s="28" t="inlineStr">
        <is>
          <t>长柄T</t>
        </is>
      </c>
      <c r="G38" s="28" t="inlineStr">
        <is>
          <t>T形</t>
        </is>
      </c>
      <c r="H38" s="28" t="n">
        <v>4</v>
      </c>
      <c r="I38" s="28" t="inlineStr">
        <is>
          <t>默认向右</t>
        </is>
      </c>
      <c r="J38" s="28" t="n">
        <v>3</v>
      </c>
      <c r="K38" s="28" t="inlineStr">
        <is>
          <t>风</t>
        </is>
      </c>
      <c r="L38" s="28" t="inlineStr">
        <is>
          <t>风</t>
        </is>
      </c>
      <c r="M38" s="28" t="inlineStr">
        <is>
          <t>风</t>
        </is>
      </c>
      <c r="N38" s="28" t="n">
        <v>1</v>
      </c>
      <c r="O38" s="28" t="inlineStr">
        <is>
          <t>牵制</t>
        </is>
      </c>
      <c r="P38" s="28" t="inlineStr">
        <is>
          <t>advHitBonus</t>
        </is>
      </c>
      <c r="Q38" s="28" t="inlineStr">
        <is>
          <t>none</t>
        </is>
      </c>
      <c r="R38" s="29">
        <f>IFERROR(VLOOKUP($Q38,'04_机制词条库_60条'!$B:$S,2,FALSE),"")</f>
        <v/>
      </c>
      <c r="S38" s="28" t="inlineStr">
        <is>
          <t>正式</t>
        </is>
      </c>
      <c r="T38" s="28" t="inlineStr">
        <is>
          <t>同宠3槽默认同形状；坐标细节放shape_rules.yaml</t>
        </is>
      </c>
    </row>
    <row r="39" ht="22" customHeight="1">
      <c r="A39" s="28" t="inlineStr">
        <is>
          <t>pal_038</t>
        </is>
      </c>
      <c r="B39" s="29">
        <f>IFERROR(VLOOKUP($A39,'01_宠物主表_好读版'!$A:$V,3,FALSE),"")</f>
        <v/>
      </c>
      <c r="C39" s="29">
        <f>IFERROR(VLOOKUP($A39,'01_宠物主表_好读版'!$A:$V,4,FALSE),"")</f>
        <v/>
      </c>
      <c r="D39" s="29">
        <f>IFERROR(VLOOKUP($A39,'01_宠物主表_好读版'!$A:$V,8,FALSE),"")</f>
        <v/>
      </c>
      <c r="E39" s="28" t="inlineStr">
        <is>
          <t>T2</t>
        </is>
      </c>
      <c r="F39" s="28" t="inlineStr">
        <is>
          <t>长柄T</t>
        </is>
      </c>
      <c r="G39" s="28" t="inlineStr">
        <is>
          <t>T形</t>
        </is>
      </c>
      <c r="H39" s="28" t="n">
        <v>4</v>
      </c>
      <c r="I39" s="28" t="inlineStr">
        <is>
          <t>默认向右</t>
        </is>
      </c>
      <c r="J39" s="28" t="n">
        <v>3</v>
      </c>
      <c r="K39" s="28" t="inlineStr">
        <is>
          <t>风</t>
        </is>
      </c>
      <c r="L39" s="28" t="inlineStr">
        <is>
          <t>风</t>
        </is>
      </c>
      <c r="M39" s="28" t="inlineStr">
        <is>
          <t>风</t>
        </is>
      </c>
      <c r="N39" s="28" t="n">
        <v>1</v>
      </c>
      <c r="O39" s="28" t="inlineStr">
        <is>
          <t>牵制</t>
        </is>
      </c>
      <c r="P39" s="28" t="inlineStr">
        <is>
          <t>advHitBonus</t>
        </is>
      </c>
      <c r="Q39" s="28" t="inlineStr">
        <is>
          <t>none</t>
        </is>
      </c>
      <c r="R39" s="29">
        <f>IFERROR(VLOOKUP($Q39,'04_机制词条库_60条'!$B:$S,2,FALSE),"")</f>
        <v/>
      </c>
      <c r="S39" s="28" t="inlineStr">
        <is>
          <t>正式</t>
        </is>
      </c>
      <c r="T39" s="28" t="inlineStr">
        <is>
          <t>同宠3槽默认同形状；坐标细节放shape_rules.yaml</t>
        </is>
      </c>
    </row>
    <row r="40" ht="22" customHeight="1">
      <c r="A40" s="28" t="inlineStr">
        <is>
          <t>pal_039</t>
        </is>
      </c>
      <c r="B40" s="29">
        <f>IFERROR(VLOOKUP($A40,'01_宠物主表_好读版'!$A:$V,3,FALSE),"")</f>
        <v/>
      </c>
      <c r="C40" s="29">
        <f>IFERROR(VLOOKUP($A40,'01_宠物主表_好读版'!$A:$V,4,FALSE),"")</f>
        <v/>
      </c>
      <c r="D40" s="29">
        <f>IFERROR(VLOOKUP($A40,'01_宠物主表_好读版'!$A:$V,8,FALSE),"")</f>
        <v/>
      </c>
      <c r="E40" s="28" t="inlineStr">
        <is>
          <t>B1</t>
        </is>
      </c>
      <c r="F40" s="28" t="inlineStr">
        <is>
          <t>横扫三格</t>
        </is>
      </c>
      <c r="G40" s="28" t="inlineStr">
        <is>
          <t>横排</t>
        </is>
      </c>
      <c r="H40" s="28" t="n">
        <v>3</v>
      </c>
      <c r="I40" s="28" t="inlineStr">
        <is>
          <t>默认向右</t>
        </is>
      </c>
      <c r="J40" s="28" t="n">
        <v>3</v>
      </c>
      <c r="K40" s="28" t="inlineStr">
        <is>
          <t>风</t>
        </is>
      </c>
      <c r="L40" s="28" t="inlineStr">
        <is>
          <t>风</t>
        </is>
      </c>
      <c r="M40" s="28" t="inlineStr">
        <is>
          <t>风</t>
        </is>
      </c>
      <c r="N40" s="28" t="n">
        <v>1</v>
      </c>
      <c r="O40" s="28" t="inlineStr">
        <is>
          <t>阻挡</t>
        </is>
      </c>
      <c r="P40" s="28" t="inlineStr">
        <is>
          <t>castleReduce</t>
        </is>
      </c>
      <c r="Q40" s="28" t="inlineStr">
        <is>
          <t>none</t>
        </is>
      </c>
      <c r="R40" s="29">
        <f>IFERROR(VLOOKUP($Q40,'04_机制词条库_60条'!$B:$S,2,FALSE),"")</f>
        <v/>
      </c>
      <c r="S40" s="28" t="inlineStr">
        <is>
          <t>正式</t>
        </is>
      </c>
      <c r="T40" s="28" t="inlineStr">
        <is>
          <t>同宠3槽默认同形状；坐标细节放shape_rules.yaml</t>
        </is>
      </c>
    </row>
    <row r="41" ht="22" customHeight="1">
      <c r="A41" s="28" t="inlineStr">
        <is>
          <t>pal_040</t>
        </is>
      </c>
      <c r="B41" s="29">
        <f>IFERROR(VLOOKUP($A41,'01_宠物主表_好读版'!$A:$V,3,FALSE),"")</f>
        <v/>
      </c>
      <c r="C41" s="29">
        <f>IFERROR(VLOOKUP($A41,'01_宠物主表_好读版'!$A:$V,4,FALSE),"")</f>
        <v/>
      </c>
      <c r="D41" s="29">
        <f>IFERROR(VLOOKUP($A41,'01_宠物主表_好读版'!$A:$V,8,FALSE),"")</f>
        <v/>
      </c>
      <c r="E41" s="28" t="inlineStr">
        <is>
          <t>B1</t>
        </is>
      </c>
      <c r="F41" s="28" t="inlineStr">
        <is>
          <t>横扫三格</t>
        </is>
      </c>
      <c r="G41" s="28" t="inlineStr">
        <is>
          <t>横排</t>
        </is>
      </c>
      <c r="H41" s="28" t="n">
        <v>3</v>
      </c>
      <c r="I41" s="28" t="inlineStr">
        <is>
          <t>默认向右</t>
        </is>
      </c>
      <c r="J41" s="28" t="n">
        <v>3</v>
      </c>
      <c r="K41" s="28" t="inlineStr">
        <is>
          <t>火</t>
        </is>
      </c>
      <c r="L41" s="28" t="inlineStr">
        <is>
          <t>火</t>
        </is>
      </c>
      <c r="M41" s="28" t="inlineStr">
        <is>
          <t>火</t>
        </is>
      </c>
      <c r="N41" s="28" t="n">
        <v>1</v>
      </c>
      <c r="O41" s="28" t="inlineStr">
        <is>
          <t>输出</t>
        </is>
      </c>
      <c r="P41" s="28" t="inlineStr">
        <is>
          <t>castleReduce</t>
        </is>
      </c>
      <c r="Q41" s="28" t="inlineStr">
        <is>
          <t>none</t>
        </is>
      </c>
      <c r="R41" s="29">
        <f>IFERROR(VLOOKUP($Q41,'04_机制词条库_60条'!$B:$S,2,FALSE),"")</f>
        <v/>
      </c>
      <c r="S41" s="28" t="inlineStr">
        <is>
          <t>正式</t>
        </is>
      </c>
      <c r="T41" s="28" t="inlineStr">
        <is>
          <t>同宠3槽默认同形状；坐标细节放shape_rules.yaml</t>
        </is>
      </c>
    </row>
    <row r="42" ht="22" customHeight="1">
      <c r="A42" s="28" t="inlineStr">
        <is>
          <t>pal_041</t>
        </is>
      </c>
      <c r="B42" s="29">
        <f>IFERROR(VLOOKUP($A42,'01_宠物主表_好读版'!$A:$V,3,FALSE),"")</f>
        <v/>
      </c>
      <c r="C42" s="29">
        <f>IFERROR(VLOOKUP($A42,'01_宠物主表_好读版'!$A:$V,4,FALSE),"")</f>
        <v/>
      </c>
      <c r="D42" s="29">
        <f>IFERROR(VLOOKUP($A42,'01_宠物主表_好读版'!$A:$V,8,FALSE),"")</f>
        <v/>
      </c>
      <c r="E42" s="28" t="inlineStr">
        <is>
          <t>T1</t>
        </is>
      </c>
      <c r="F42" s="28" t="inlineStr">
        <is>
          <t>标准前置T</t>
        </is>
      </c>
      <c r="G42" s="28" t="inlineStr">
        <is>
          <t>T形</t>
        </is>
      </c>
      <c r="H42" s="28" t="n">
        <v>4</v>
      </c>
      <c r="I42" s="28" t="inlineStr">
        <is>
          <t>默认向右</t>
        </is>
      </c>
      <c r="J42" s="28" t="n">
        <v>3</v>
      </c>
      <c r="K42" s="28" t="inlineStr">
        <is>
          <t>风</t>
        </is>
      </c>
      <c r="L42" s="28" t="inlineStr">
        <is>
          <t>风</t>
        </is>
      </c>
      <c r="M42" s="28" t="inlineStr">
        <is>
          <t>风</t>
        </is>
      </c>
      <c r="N42" s="28" t="n">
        <v>1</v>
      </c>
      <c r="O42" s="28" t="inlineStr">
        <is>
          <t>场地</t>
        </is>
      </c>
      <c r="P42" s="28" t="inlineStr">
        <is>
          <t>healAmpBonus</t>
        </is>
      </c>
      <c r="Q42" s="28" t="inlineStr">
        <is>
          <t>none</t>
        </is>
      </c>
      <c r="R42" s="29">
        <f>IFERROR(VLOOKUP($Q42,'04_机制词条库_60条'!$B:$S,2,FALSE),"")</f>
        <v/>
      </c>
      <c r="S42" s="28" t="inlineStr">
        <is>
          <t>正式</t>
        </is>
      </c>
      <c r="T42" s="28" t="inlineStr">
        <is>
          <t>同宠3槽默认同形状；坐标细节放shape_rules.yaml</t>
        </is>
      </c>
    </row>
    <row r="43" ht="22" customHeight="1">
      <c r="A43" s="28" t="inlineStr">
        <is>
          <t>pal_042</t>
        </is>
      </c>
      <c r="B43" s="29">
        <f>IFERROR(VLOOKUP($A43,'01_宠物主表_好读版'!$A:$V,3,FALSE),"")</f>
        <v/>
      </c>
      <c r="C43" s="29">
        <f>IFERROR(VLOOKUP($A43,'01_宠物主表_好读版'!$A:$V,4,FALSE),"")</f>
        <v/>
      </c>
      <c r="D43" s="29">
        <f>IFERROR(VLOOKUP($A43,'01_宠物主表_好读版'!$A:$V,8,FALSE),"")</f>
        <v/>
      </c>
      <c r="E43" s="28" t="inlineStr">
        <is>
          <t>B1</t>
        </is>
      </c>
      <c r="F43" s="28" t="inlineStr">
        <is>
          <t>横扫三格</t>
        </is>
      </c>
      <c r="G43" s="28" t="inlineStr">
        <is>
          <t>横排</t>
        </is>
      </c>
      <c r="H43" s="28" t="n">
        <v>3</v>
      </c>
      <c r="I43" s="28" t="inlineStr">
        <is>
          <t>默认向右</t>
        </is>
      </c>
      <c r="J43" s="28" t="n">
        <v>3</v>
      </c>
      <c r="K43" s="28" t="inlineStr">
        <is>
          <t>火</t>
        </is>
      </c>
      <c r="L43" s="28" t="inlineStr">
        <is>
          <t>火</t>
        </is>
      </c>
      <c r="M43" s="28" t="inlineStr">
        <is>
          <t>火</t>
        </is>
      </c>
      <c r="N43" s="28" t="n">
        <v>1</v>
      </c>
      <c r="O43" s="28" t="inlineStr">
        <is>
          <t>输出</t>
        </is>
      </c>
      <c r="P43" s="28" t="inlineStr">
        <is>
          <t>castleReduce</t>
        </is>
      </c>
      <c r="Q43" s="28" t="inlineStr">
        <is>
          <t>mech_self_destruct</t>
        </is>
      </c>
      <c r="R43" s="29">
        <f>IFERROR(VLOOKUP($Q43,'04_机制词条库_60条'!$B:$S,2,FALSE),"")</f>
        <v/>
      </c>
      <c r="S43" s="28" t="inlineStr">
        <is>
          <t>正式</t>
        </is>
      </c>
      <c r="T43" s="28" t="inlineStr">
        <is>
          <t>同宠3槽默认同形状；坐标细节放shape_rules.yaml</t>
        </is>
      </c>
    </row>
    <row r="44" ht="22" customHeight="1">
      <c r="A44" s="28" t="inlineStr">
        <is>
          <t>pal_043</t>
        </is>
      </c>
      <c r="B44" s="29">
        <f>IFERROR(VLOOKUP($A44,'01_宠物主表_好读版'!$A:$V,3,FALSE),"")</f>
        <v/>
      </c>
      <c r="C44" s="29">
        <f>IFERROR(VLOOKUP($A44,'01_宠物主表_好读版'!$A:$V,4,FALSE),"")</f>
        <v/>
      </c>
      <c r="D44" s="29">
        <f>IFERROR(VLOOKUP($A44,'01_宠物主表_好读版'!$A:$V,8,FALSE),"")</f>
        <v/>
      </c>
      <c r="E44" s="28" t="inlineStr">
        <is>
          <t>T1</t>
        </is>
      </c>
      <c r="F44" s="28" t="inlineStr">
        <is>
          <t>标准前置T</t>
        </is>
      </c>
      <c r="G44" s="28" t="inlineStr">
        <is>
          <t>T形</t>
        </is>
      </c>
      <c r="H44" s="28" t="n">
        <v>4</v>
      </c>
      <c r="I44" s="28" t="inlineStr">
        <is>
          <t>默认向右</t>
        </is>
      </c>
      <c r="J44" s="28" t="n">
        <v>3</v>
      </c>
      <c r="K44" s="28" t="inlineStr">
        <is>
          <t>土</t>
        </is>
      </c>
      <c r="L44" s="28" t="inlineStr">
        <is>
          <t>土</t>
        </is>
      </c>
      <c r="M44" s="28" t="inlineStr">
        <is>
          <t>土</t>
        </is>
      </c>
      <c r="N44" s="28" t="n">
        <v>1</v>
      </c>
      <c r="O44" s="28" t="inlineStr">
        <is>
          <t>场地</t>
        </is>
      </c>
      <c r="P44" s="28" t="inlineStr">
        <is>
          <t>healAmpBonus</t>
        </is>
      </c>
      <c r="Q44" s="28" t="inlineStr">
        <is>
          <t>none</t>
        </is>
      </c>
      <c r="R44" s="29">
        <f>IFERROR(VLOOKUP($Q44,'04_机制词条库_60条'!$B:$S,2,FALSE),"")</f>
        <v/>
      </c>
      <c r="S44" s="28" t="inlineStr">
        <is>
          <t>正式</t>
        </is>
      </c>
      <c r="T44" s="28" t="inlineStr">
        <is>
          <t>同宠3槽默认同形状；坐标细节放shape_rules.yaml</t>
        </is>
      </c>
    </row>
    <row r="45" ht="22" customHeight="1">
      <c r="A45" s="28" t="inlineStr">
        <is>
          <t>pal_044</t>
        </is>
      </c>
      <c r="B45" s="29">
        <f>IFERROR(VLOOKUP($A45,'01_宠物主表_好读版'!$A:$V,3,FALSE),"")</f>
        <v/>
      </c>
      <c r="C45" s="29">
        <f>IFERROR(VLOOKUP($A45,'01_宠物主表_好读版'!$A:$V,4,FALSE),"")</f>
        <v/>
      </c>
      <c r="D45" s="29">
        <f>IFERROR(VLOOKUP($A45,'01_宠物主表_好读版'!$A:$V,8,FALSE),"")</f>
        <v/>
      </c>
      <c r="E45" s="28" t="inlineStr">
        <is>
          <t>B1</t>
        </is>
      </c>
      <c r="F45" s="28" t="inlineStr">
        <is>
          <t>横扫三格</t>
        </is>
      </c>
      <c r="G45" s="28" t="inlineStr">
        <is>
          <t>横排</t>
        </is>
      </c>
      <c r="H45" s="28" t="n">
        <v>3</v>
      </c>
      <c r="I45" s="28" t="inlineStr">
        <is>
          <t>默认向右</t>
        </is>
      </c>
      <c r="J45" s="28" t="n">
        <v>3</v>
      </c>
      <c r="K45" s="28" t="inlineStr">
        <is>
          <t>土</t>
        </is>
      </c>
      <c r="L45" s="28" t="inlineStr">
        <is>
          <t>土</t>
        </is>
      </c>
      <c r="M45" s="28" t="inlineStr">
        <is>
          <t>土</t>
        </is>
      </c>
      <c r="N45" s="28" t="n">
        <v>1</v>
      </c>
      <c r="O45" s="28" t="inlineStr">
        <is>
          <t>阻挡</t>
        </is>
      </c>
      <c r="P45" s="28" t="inlineStr">
        <is>
          <t>castleReduce</t>
        </is>
      </c>
      <c r="Q45" s="28" t="inlineStr">
        <is>
          <t>none</t>
        </is>
      </c>
      <c r="R45" s="29">
        <f>IFERROR(VLOOKUP($Q45,'04_机制词条库_60条'!$B:$S,2,FALSE),"")</f>
        <v/>
      </c>
      <c r="S45" s="28" t="inlineStr">
        <is>
          <t>正式</t>
        </is>
      </c>
      <c r="T45" s="28" t="inlineStr">
        <is>
          <t>同宠3槽默认同形状；坐标细节放shape_rules.yaml</t>
        </is>
      </c>
    </row>
    <row r="46" ht="22" customHeight="1">
      <c r="A46" s="28" t="inlineStr">
        <is>
          <t>pal_045</t>
        </is>
      </c>
      <c r="B46" s="29">
        <f>IFERROR(VLOOKUP($A46,'01_宠物主表_好读版'!$A:$V,3,FALSE),"")</f>
        <v/>
      </c>
      <c r="C46" s="29">
        <f>IFERROR(VLOOKUP($A46,'01_宠物主表_好读版'!$A:$V,4,FALSE),"")</f>
        <v/>
      </c>
      <c r="D46" s="29">
        <f>IFERROR(VLOOKUP($A46,'01_宠物主表_好读版'!$A:$V,8,FALSE),"")</f>
        <v/>
      </c>
      <c r="E46" s="28" t="inlineStr">
        <is>
          <t>B1</t>
        </is>
      </c>
      <c r="F46" s="28" t="inlineStr">
        <is>
          <t>横扫三格</t>
        </is>
      </c>
      <c r="G46" s="28" t="inlineStr">
        <is>
          <t>横排</t>
        </is>
      </c>
      <c r="H46" s="28" t="n">
        <v>3</v>
      </c>
      <c r="I46" s="28" t="inlineStr">
        <is>
          <t>默认向右</t>
        </is>
      </c>
      <c r="J46" s="28" t="n">
        <v>3</v>
      </c>
      <c r="K46" s="28" t="inlineStr">
        <is>
          <t>土</t>
        </is>
      </c>
      <c r="L46" s="28" t="inlineStr">
        <is>
          <t>土</t>
        </is>
      </c>
      <c r="M46" s="28" t="inlineStr">
        <is>
          <t>土</t>
        </is>
      </c>
      <c r="N46" s="28" t="n">
        <v>1</v>
      </c>
      <c r="O46" s="28" t="inlineStr">
        <is>
          <t>阻挡</t>
        </is>
      </c>
      <c r="P46" s="28" t="inlineStr">
        <is>
          <t>castleReduce</t>
        </is>
      </c>
      <c r="Q46" s="28" t="inlineStr">
        <is>
          <t>none</t>
        </is>
      </c>
      <c r="R46" s="29">
        <f>IFERROR(VLOOKUP($Q46,'04_机制词条库_60条'!$B:$S,2,FALSE),"")</f>
        <v/>
      </c>
      <c r="S46" s="28" t="inlineStr">
        <is>
          <t>正式</t>
        </is>
      </c>
      <c r="T46" s="28" t="inlineStr">
        <is>
          <t>同宠3槽默认同形状；坐标细节放shape_rules.yaml</t>
        </is>
      </c>
    </row>
    <row r="47" ht="22" customHeight="1">
      <c r="A47" s="28" t="inlineStr">
        <is>
          <t>pal_046</t>
        </is>
      </c>
      <c r="B47" s="29">
        <f>IFERROR(VLOOKUP($A47,'01_宠物主表_好读版'!$A:$V,3,FALSE),"")</f>
        <v/>
      </c>
      <c r="C47" s="29">
        <f>IFERROR(VLOOKUP($A47,'01_宠物主表_好读版'!$A:$V,4,FALSE),"")</f>
        <v/>
      </c>
      <c r="D47" s="29">
        <f>IFERROR(VLOOKUP($A47,'01_宠物主表_好读版'!$A:$V,8,FALSE),"")</f>
        <v/>
      </c>
      <c r="E47" s="28" t="inlineStr">
        <is>
          <t>B1</t>
        </is>
      </c>
      <c r="F47" s="28" t="inlineStr">
        <is>
          <t>横扫三格</t>
        </is>
      </c>
      <c r="G47" s="28" t="inlineStr">
        <is>
          <t>横排</t>
        </is>
      </c>
      <c r="H47" s="28" t="n">
        <v>3</v>
      </c>
      <c r="I47" s="28" t="inlineStr">
        <is>
          <t>默认向右</t>
        </is>
      </c>
      <c r="J47" s="28" t="n">
        <v>3</v>
      </c>
      <c r="K47" s="28" t="inlineStr">
        <is>
          <t>土</t>
        </is>
      </c>
      <c r="L47" s="28" t="inlineStr">
        <is>
          <t>土</t>
        </is>
      </c>
      <c r="M47" s="28" t="inlineStr">
        <is>
          <t>土</t>
        </is>
      </c>
      <c r="N47" s="28" t="n">
        <v>1</v>
      </c>
      <c r="O47" s="28" t="inlineStr">
        <is>
          <t>阻挡</t>
        </is>
      </c>
      <c r="P47" s="28" t="inlineStr">
        <is>
          <t>castleReduce</t>
        </is>
      </c>
      <c r="Q47" s="28" t="inlineStr">
        <is>
          <t>none</t>
        </is>
      </c>
      <c r="R47" s="29">
        <f>IFERROR(VLOOKUP($Q47,'04_机制词条库_60条'!$B:$S,2,FALSE),"")</f>
        <v/>
      </c>
      <c r="S47" s="28" t="inlineStr">
        <is>
          <t>正式</t>
        </is>
      </c>
      <c r="T47" s="28" t="inlineStr">
        <is>
          <t>同宠3槽默认同形状；坐标细节放shape_rules.yaml</t>
        </is>
      </c>
    </row>
    <row r="48" ht="22" customHeight="1">
      <c r="A48" s="28" t="inlineStr">
        <is>
          <t>pal_047</t>
        </is>
      </c>
      <c r="B48" s="29">
        <f>IFERROR(VLOOKUP($A48,'01_宠物主表_好读版'!$A:$V,3,FALSE),"")</f>
        <v/>
      </c>
      <c r="C48" s="29">
        <f>IFERROR(VLOOKUP($A48,'01_宠物主表_好读版'!$A:$V,4,FALSE),"")</f>
        <v/>
      </c>
      <c r="D48" s="29">
        <f>IFERROR(VLOOKUP($A48,'01_宠物主表_好读版'!$A:$V,8,FALSE),"")</f>
        <v/>
      </c>
      <c r="E48" s="28" t="inlineStr">
        <is>
          <t>T2</t>
        </is>
      </c>
      <c r="F48" s="28" t="inlineStr">
        <is>
          <t>长柄T</t>
        </is>
      </c>
      <c r="G48" s="28" t="inlineStr">
        <is>
          <t>T形</t>
        </is>
      </c>
      <c r="H48" s="28" t="n">
        <v>4</v>
      </c>
      <c r="I48" s="28" t="inlineStr">
        <is>
          <t>默认向右</t>
        </is>
      </c>
      <c r="J48" s="28" t="n">
        <v>3</v>
      </c>
      <c r="K48" s="28" t="inlineStr">
        <is>
          <t>风</t>
        </is>
      </c>
      <c r="L48" s="28" t="inlineStr">
        <is>
          <t>风</t>
        </is>
      </c>
      <c r="M48" s="28" t="inlineStr">
        <is>
          <t>风</t>
        </is>
      </c>
      <c r="N48" s="28" t="n">
        <v>1</v>
      </c>
      <c r="O48" s="28" t="inlineStr">
        <is>
          <t>牵制</t>
        </is>
      </c>
      <c r="P48" s="28" t="inlineStr">
        <is>
          <t>advHitBonus</t>
        </is>
      </c>
      <c r="Q48" s="28" t="inlineStr">
        <is>
          <t>none</t>
        </is>
      </c>
      <c r="R48" s="29">
        <f>IFERROR(VLOOKUP($Q48,'04_机制词条库_60条'!$B:$S,2,FALSE),"")</f>
        <v/>
      </c>
      <c r="S48" s="28" t="inlineStr">
        <is>
          <t>正式</t>
        </is>
      </c>
      <c r="T48" s="28" t="inlineStr">
        <is>
          <t>同宠3槽默认同形状；坐标细节放shape_rules.yaml</t>
        </is>
      </c>
    </row>
    <row r="49" ht="22" customHeight="1">
      <c r="A49" s="28" t="inlineStr">
        <is>
          <t>pal_048</t>
        </is>
      </c>
      <c r="B49" s="29">
        <f>IFERROR(VLOOKUP($A49,'01_宠物主表_好读版'!$A:$V,3,FALSE),"")</f>
        <v/>
      </c>
      <c r="C49" s="29">
        <f>IFERROR(VLOOKUP($A49,'01_宠物主表_好读版'!$A:$V,4,FALSE),"")</f>
        <v/>
      </c>
      <c r="D49" s="29">
        <f>IFERROR(VLOOKUP($A49,'01_宠物主表_好读版'!$A:$V,8,FALSE),"")</f>
        <v/>
      </c>
      <c r="E49" s="28" t="inlineStr">
        <is>
          <t>T1</t>
        </is>
      </c>
      <c r="F49" s="28" t="inlineStr">
        <is>
          <t>标准前置T</t>
        </is>
      </c>
      <c r="G49" s="28" t="inlineStr">
        <is>
          <t>T形</t>
        </is>
      </c>
      <c r="H49" s="28" t="n">
        <v>4</v>
      </c>
      <c r="I49" s="28" t="inlineStr">
        <is>
          <t>默认向右</t>
        </is>
      </c>
      <c r="J49" s="28" t="n">
        <v>3</v>
      </c>
      <c r="K49" s="28" t="inlineStr">
        <is>
          <t>风</t>
        </is>
      </c>
      <c r="L49" s="28" t="inlineStr">
        <is>
          <t>风</t>
        </is>
      </c>
      <c r="M49" s="28" t="inlineStr">
        <is>
          <t>风</t>
        </is>
      </c>
      <c r="N49" s="28" t="n">
        <v>1</v>
      </c>
      <c r="O49" s="28" t="inlineStr">
        <is>
          <t>场地</t>
        </is>
      </c>
      <c r="P49" s="28" t="inlineStr">
        <is>
          <t>healAmpBonus</t>
        </is>
      </c>
      <c r="Q49" s="28" t="inlineStr">
        <is>
          <t>none</t>
        </is>
      </c>
      <c r="R49" s="29">
        <f>IFERROR(VLOOKUP($Q49,'04_机制词条库_60条'!$B:$S,2,FALSE),"")</f>
        <v/>
      </c>
      <c r="S49" s="28" t="inlineStr">
        <is>
          <t>正式</t>
        </is>
      </c>
      <c r="T49" s="28" t="inlineStr">
        <is>
          <t>同宠3槽默认同形状；坐标细节放shape_rules.yaml</t>
        </is>
      </c>
    </row>
    <row r="50" ht="22" customHeight="1">
      <c r="A50" s="28" t="inlineStr">
        <is>
          <t>pal_049</t>
        </is>
      </c>
      <c r="B50" s="29">
        <f>IFERROR(VLOOKUP($A50,'01_宠物主表_好读版'!$A:$V,3,FALSE),"")</f>
        <v/>
      </c>
      <c r="C50" s="29">
        <f>IFERROR(VLOOKUP($A50,'01_宠物主表_好读版'!$A:$V,4,FALSE),"")</f>
        <v/>
      </c>
      <c r="D50" s="29">
        <f>IFERROR(VLOOKUP($A50,'01_宠物主表_好读版'!$A:$V,8,FALSE),"")</f>
        <v/>
      </c>
      <c r="E50" s="28" t="inlineStr">
        <is>
          <t>B1</t>
        </is>
      </c>
      <c r="F50" s="28" t="inlineStr">
        <is>
          <t>横扫三格</t>
        </is>
      </c>
      <c r="G50" s="28" t="inlineStr">
        <is>
          <t>横排</t>
        </is>
      </c>
      <c r="H50" s="28" t="n">
        <v>3</v>
      </c>
      <c r="I50" s="28" t="inlineStr">
        <is>
          <t>默认向右</t>
        </is>
      </c>
      <c r="J50" s="28" t="n">
        <v>3</v>
      </c>
      <c r="K50" s="28" t="inlineStr">
        <is>
          <t>风</t>
        </is>
      </c>
      <c r="L50" s="28" t="inlineStr">
        <is>
          <t>风</t>
        </is>
      </c>
      <c r="M50" s="28" t="inlineStr">
        <is>
          <t>风</t>
        </is>
      </c>
      <c r="N50" s="28" t="n">
        <v>1</v>
      </c>
      <c r="O50" s="28" t="inlineStr">
        <is>
          <t>阻挡</t>
        </is>
      </c>
      <c r="P50" s="28" t="inlineStr">
        <is>
          <t>castleReduce</t>
        </is>
      </c>
      <c r="Q50" s="28" t="inlineStr">
        <is>
          <t>none</t>
        </is>
      </c>
      <c r="R50" s="29">
        <f>IFERROR(VLOOKUP($Q50,'04_机制词条库_60条'!$B:$S,2,FALSE),"")</f>
        <v/>
      </c>
      <c r="S50" s="28" t="inlineStr">
        <is>
          <t>正式</t>
        </is>
      </c>
      <c r="T50" s="28" t="inlineStr">
        <is>
          <t>同宠3槽默认同形状；坐标细节放shape_rules.yaml</t>
        </is>
      </c>
    </row>
    <row r="51" ht="22" customHeight="1">
      <c r="A51" s="28" t="inlineStr">
        <is>
          <t>pal_050</t>
        </is>
      </c>
      <c r="B51" s="29">
        <f>IFERROR(VLOOKUP($A51,'01_宠物主表_好读版'!$A:$V,3,FALSE),"")</f>
        <v/>
      </c>
      <c r="C51" s="29">
        <f>IFERROR(VLOOKUP($A51,'01_宠物主表_好读版'!$A:$V,4,FALSE),"")</f>
        <v/>
      </c>
      <c r="D51" s="29">
        <f>IFERROR(VLOOKUP($A51,'01_宠物主表_好读版'!$A:$V,8,FALSE),"")</f>
        <v/>
      </c>
      <c r="E51" s="28" t="inlineStr">
        <is>
          <t>A1</t>
        </is>
      </c>
      <c r="F51" s="28" t="inlineStr">
        <is>
          <t>单点刺</t>
        </is>
      </c>
      <c r="G51" s="28" t="inlineStr">
        <is>
          <t>单体</t>
        </is>
      </c>
      <c r="H51" s="28" t="n">
        <v>1</v>
      </c>
      <c r="I51" s="28" t="inlineStr">
        <is>
          <t>默认向右</t>
        </is>
      </c>
      <c r="J51" s="28" t="n">
        <v>3</v>
      </c>
      <c r="K51" s="28" t="inlineStr">
        <is>
          <t>风</t>
        </is>
      </c>
      <c r="L51" s="28" t="inlineStr">
        <is>
          <t>风</t>
        </is>
      </c>
      <c r="M51" s="28" t="inlineStr">
        <is>
          <t>风</t>
        </is>
      </c>
      <c r="N51" s="28" t="n">
        <v>1</v>
      </c>
      <c r="O51" s="28" t="inlineStr">
        <is>
          <t>召唤</t>
        </is>
      </c>
      <c r="P51" s="28" t="inlineStr">
        <is>
          <t>summonFromCell</t>
        </is>
      </c>
      <c r="Q51" s="28" t="inlineStr">
        <is>
          <t>none</t>
        </is>
      </c>
      <c r="R51" s="29">
        <f>IFERROR(VLOOKUP($Q51,'04_机制词条库_60条'!$B:$S,2,FALSE),"")</f>
        <v/>
      </c>
      <c r="S51" s="28" t="inlineStr">
        <is>
          <t>正式</t>
        </is>
      </c>
      <c r="T51" s="28" t="inlineStr">
        <is>
          <t>同宠3槽默认同形状；坐标细节放shape_rules.yaml</t>
        </is>
      </c>
    </row>
    <row r="52" ht="22" customHeight="1">
      <c r="A52" s="28" t="inlineStr">
        <is>
          <t>pal_051</t>
        </is>
      </c>
      <c r="B52" s="29">
        <f>IFERROR(VLOOKUP($A52,'01_宠物主表_好读版'!$A:$V,3,FALSE),"")</f>
        <v/>
      </c>
      <c r="C52" s="29">
        <f>IFERROR(VLOOKUP($A52,'01_宠物主表_好读版'!$A:$V,4,FALSE),"")</f>
        <v/>
      </c>
      <c r="D52" s="29">
        <f>IFERROR(VLOOKUP($A52,'01_宠物主表_好读版'!$A:$V,8,FALSE),"")</f>
        <v/>
      </c>
      <c r="E52" s="28" t="inlineStr">
        <is>
          <t>T1</t>
        </is>
      </c>
      <c r="F52" s="28" t="inlineStr">
        <is>
          <t>标准前置T</t>
        </is>
      </c>
      <c r="G52" s="28" t="inlineStr">
        <is>
          <t>T形</t>
        </is>
      </c>
      <c r="H52" s="28" t="n">
        <v>4</v>
      </c>
      <c r="I52" s="28" t="inlineStr">
        <is>
          <t>默认向右</t>
        </is>
      </c>
      <c r="J52" s="28" t="n">
        <v>3</v>
      </c>
      <c r="K52" s="28" t="inlineStr">
        <is>
          <t>风</t>
        </is>
      </c>
      <c r="L52" s="28" t="inlineStr">
        <is>
          <t>风</t>
        </is>
      </c>
      <c r="M52" s="28" t="inlineStr">
        <is>
          <t>风</t>
        </is>
      </c>
      <c r="N52" s="28" t="n">
        <v>1</v>
      </c>
      <c r="O52" s="28" t="inlineStr">
        <is>
          <t>场地</t>
        </is>
      </c>
      <c r="P52" s="28" t="inlineStr">
        <is>
          <t>healAmpBonus</t>
        </is>
      </c>
      <c r="Q52" s="28" t="inlineStr">
        <is>
          <t>none</t>
        </is>
      </c>
      <c r="R52" s="29">
        <f>IFERROR(VLOOKUP($Q52,'04_机制词条库_60条'!$B:$S,2,FALSE),"")</f>
        <v/>
      </c>
      <c r="S52" s="28" t="inlineStr">
        <is>
          <t>正式</t>
        </is>
      </c>
      <c r="T52" s="28" t="inlineStr">
        <is>
          <t>同宠3槽默认同形状；坐标细节放shape_rules.yaml</t>
        </is>
      </c>
    </row>
    <row r="53" ht="22" customHeight="1">
      <c r="A53" s="28" t="inlineStr">
        <is>
          <t>pal_052</t>
        </is>
      </c>
      <c r="B53" s="29">
        <f>IFERROR(VLOOKUP($A53,'01_宠物主表_好读版'!$A:$V,3,FALSE),"")</f>
        <v/>
      </c>
      <c r="C53" s="29">
        <f>IFERROR(VLOOKUP($A53,'01_宠物主表_好读版'!$A:$V,4,FALSE),"")</f>
        <v/>
      </c>
      <c r="D53" s="29">
        <f>IFERROR(VLOOKUP($A53,'01_宠物主表_好读版'!$A:$V,8,FALSE),"")</f>
        <v/>
      </c>
      <c r="E53" s="28" t="inlineStr">
        <is>
          <t>T2</t>
        </is>
      </c>
      <c r="F53" s="28" t="inlineStr">
        <is>
          <t>长柄T</t>
        </is>
      </c>
      <c r="G53" s="28" t="inlineStr">
        <is>
          <t>T形</t>
        </is>
      </c>
      <c r="H53" s="28" t="n">
        <v>4</v>
      </c>
      <c r="I53" s="28" t="inlineStr">
        <is>
          <t>默认向右</t>
        </is>
      </c>
      <c r="J53" s="28" t="n">
        <v>3</v>
      </c>
      <c r="K53" s="28" t="inlineStr">
        <is>
          <t>风</t>
        </is>
      </c>
      <c r="L53" s="28" t="inlineStr">
        <is>
          <t>风</t>
        </is>
      </c>
      <c r="M53" s="28" t="inlineStr">
        <is>
          <t>风</t>
        </is>
      </c>
      <c r="N53" s="28" t="n">
        <v>1</v>
      </c>
      <c r="O53" s="28" t="inlineStr">
        <is>
          <t>牵制</t>
        </is>
      </c>
      <c r="P53" s="28" t="inlineStr">
        <is>
          <t>advHitBonus</t>
        </is>
      </c>
      <c r="Q53" s="28" t="inlineStr">
        <is>
          <t>none</t>
        </is>
      </c>
      <c r="R53" s="29">
        <f>IFERROR(VLOOKUP($Q53,'04_机制词条库_60条'!$B:$S,2,FALSE),"")</f>
        <v/>
      </c>
      <c r="S53" s="28" t="inlineStr">
        <is>
          <t>正式</t>
        </is>
      </c>
      <c r="T53" s="28" t="inlineStr">
        <is>
          <t>同宠3槽默认同形状；坐标细节放shape_rules.yaml</t>
        </is>
      </c>
    </row>
    <row r="54" ht="22" customHeight="1">
      <c r="A54" s="28" t="inlineStr">
        <is>
          <t>pal_053</t>
        </is>
      </c>
      <c r="B54" s="29">
        <f>IFERROR(VLOOKUP($A54,'01_宠物主表_好读版'!$A:$V,3,FALSE),"")</f>
        <v/>
      </c>
      <c r="C54" s="29">
        <f>IFERROR(VLOOKUP($A54,'01_宠物主表_好读版'!$A:$V,4,FALSE),"")</f>
        <v/>
      </c>
      <c r="D54" s="29">
        <f>IFERROR(VLOOKUP($A54,'01_宠物主表_好读版'!$A:$V,8,FALSE),"")</f>
        <v/>
      </c>
      <c r="E54" s="28" t="inlineStr">
        <is>
          <t>T1</t>
        </is>
      </c>
      <c r="F54" s="28" t="inlineStr">
        <is>
          <t>标准前置T</t>
        </is>
      </c>
      <c r="G54" s="28" t="inlineStr">
        <is>
          <t>T形</t>
        </is>
      </c>
      <c r="H54" s="28" t="n">
        <v>4</v>
      </c>
      <c r="I54" s="28" t="inlineStr">
        <is>
          <t>默认向右</t>
        </is>
      </c>
      <c r="J54" s="28" t="n">
        <v>3</v>
      </c>
      <c r="K54" s="28" t="inlineStr">
        <is>
          <t>水</t>
        </is>
      </c>
      <c r="L54" s="28" t="inlineStr">
        <is>
          <t>水</t>
        </is>
      </c>
      <c r="M54" s="28" t="inlineStr">
        <is>
          <t>水</t>
        </is>
      </c>
      <c r="N54" s="28" t="n">
        <v>1</v>
      </c>
      <c r="O54" s="28" t="inlineStr">
        <is>
          <t>牵制</t>
        </is>
      </c>
      <c r="P54" s="28" t="inlineStr">
        <is>
          <t>healAmpBonus</t>
        </is>
      </c>
      <c r="Q54" s="28" t="inlineStr">
        <is>
          <t>none</t>
        </is>
      </c>
      <c r="R54" s="29">
        <f>IFERROR(VLOOKUP($Q54,'04_机制词条库_60条'!$B:$S,2,FALSE),"")</f>
        <v/>
      </c>
      <c r="S54" s="28" t="inlineStr">
        <is>
          <t>正式</t>
        </is>
      </c>
      <c r="T54" s="28" t="inlineStr">
        <is>
          <t>同宠3槽默认同形状；坐标细节放shape_rules.yaml</t>
        </is>
      </c>
    </row>
    <row r="55" ht="22" customHeight="1">
      <c r="A55" s="28" t="inlineStr">
        <is>
          <t>pal_054</t>
        </is>
      </c>
      <c r="B55" s="29">
        <f>IFERROR(VLOOKUP($A55,'01_宠物主表_好读版'!$A:$V,3,FALSE),"")</f>
        <v/>
      </c>
      <c r="C55" s="29">
        <f>IFERROR(VLOOKUP($A55,'01_宠物主表_好读版'!$A:$V,4,FALSE),"")</f>
        <v/>
      </c>
      <c r="D55" s="29">
        <f>IFERROR(VLOOKUP($A55,'01_宠物主表_好读版'!$A:$V,8,FALSE),"")</f>
        <v/>
      </c>
      <c r="E55" s="28" t="inlineStr">
        <is>
          <t>T1</t>
        </is>
      </c>
      <c r="F55" s="28" t="inlineStr">
        <is>
          <t>标准前置T</t>
        </is>
      </c>
      <c r="G55" s="28" t="inlineStr">
        <is>
          <t>T形</t>
        </is>
      </c>
      <c r="H55" s="28" t="n">
        <v>4</v>
      </c>
      <c r="I55" s="28" t="inlineStr">
        <is>
          <t>默认向右</t>
        </is>
      </c>
      <c r="J55" s="28" t="n">
        <v>3</v>
      </c>
      <c r="K55" s="28" t="inlineStr">
        <is>
          <t>水</t>
        </is>
      </c>
      <c r="L55" s="28" t="inlineStr">
        <is>
          <t>水</t>
        </is>
      </c>
      <c r="M55" s="28" t="inlineStr">
        <is>
          <t>水</t>
        </is>
      </c>
      <c r="N55" s="28" t="n">
        <v>1</v>
      </c>
      <c r="O55" s="28" t="inlineStr">
        <is>
          <t>牵制</t>
        </is>
      </c>
      <c r="P55" s="28" t="inlineStr">
        <is>
          <t>healAmpBonus</t>
        </is>
      </c>
      <c r="Q55" s="28" t="inlineStr">
        <is>
          <t>none</t>
        </is>
      </c>
      <c r="R55" s="29">
        <f>IFERROR(VLOOKUP($Q55,'04_机制词条库_60条'!$B:$S,2,FALSE),"")</f>
        <v/>
      </c>
      <c r="S55" s="28" t="inlineStr">
        <is>
          <t>正式</t>
        </is>
      </c>
      <c r="T55" s="28" t="inlineStr">
        <is>
          <t>同宠3槽默认同形状；坐标细节放shape_rules.yaml</t>
        </is>
      </c>
    </row>
    <row r="56" ht="22" customHeight="1">
      <c r="A56" s="28" t="inlineStr">
        <is>
          <t>pal_055</t>
        </is>
      </c>
      <c r="B56" s="29">
        <f>IFERROR(VLOOKUP($A56,'01_宠物主表_好读版'!$A:$V,3,FALSE),"")</f>
        <v/>
      </c>
      <c r="C56" s="29">
        <f>IFERROR(VLOOKUP($A56,'01_宠物主表_好读版'!$A:$V,4,FALSE),"")</f>
        <v/>
      </c>
      <c r="D56" s="29">
        <f>IFERROR(VLOOKUP($A56,'01_宠物主表_好读版'!$A:$V,8,FALSE),"")</f>
        <v/>
      </c>
      <c r="E56" s="28" t="inlineStr">
        <is>
          <t>T1</t>
        </is>
      </c>
      <c r="F56" s="28" t="inlineStr">
        <is>
          <t>标准前置T</t>
        </is>
      </c>
      <c r="G56" s="28" t="inlineStr">
        <is>
          <t>T形</t>
        </is>
      </c>
      <c r="H56" s="28" t="n">
        <v>4</v>
      </c>
      <c r="I56" s="28" t="inlineStr">
        <is>
          <t>默认向右</t>
        </is>
      </c>
      <c r="J56" s="28" t="n">
        <v>3</v>
      </c>
      <c r="K56" s="28" t="inlineStr">
        <is>
          <t>水</t>
        </is>
      </c>
      <c r="L56" s="28" t="inlineStr">
        <is>
          <t>水</t>
        </is>
      </c>
      <c r="M56" s="28" t="inlineStr">
        <is>
          <t>水</t>
        </is>
      </c>
      <c r="N56" s="28" t="n">
        <v>1</v>
      </c>
      <c r="O56" s="28" t="inlineStr">
        <is>
          <t>牵制</t>
        </is>
      </c>
      <c r="P56" s="28" t="inlineStr">
        <is>
          <t>healAmpBonus</t>
        </is>
      </c>
      <c r="Q56" s="28" t="inlineStr">
        <is>
          <t>none</t>
        </is>
      </c>
      <c r="R56" s="29">
        <f>IFERROR(VLOOKUP($Q56,'04_机制词条库_60条'!$B:$S,2,FALSE),"")</f>
        <v/>
      </c>
      <c r="S56" s="28" t="inlineStr">
        <is>
          <t>正式</t>
        </is>
      </c>
      <c r="T56" s="28" t="inlineStr">
        <is>
          <t>同宠3槽默认同形状；坐标细节放shape_rules.yaml</t>
        </is>
      </c>
    </row>
    <row r="57" ht="22" customHeight="1">
      <c r="A57" s="28" t="inlineStr">
        <is>
          <t>pal_056</t>
        </is>
      </c>
      <c r="B57" s="29">
        <f>IFERROR(VLOOKUP($A57,'01_宠物主表_好读版'!$A:$V,3,FALSE),"")</f>
        <v/>
      </c>
      <c r="C57" s="29">
        <f>IFERROR(VLOOKUP($A57,'01_宠物主表_好读版'!$A:$V,4,FALSE),"")</f>
        <v/>
      </c>
      <c r="D57" s="29">
        <f>IFERROR(VLOOKUP($A57,'01_宠物主表_好读版'!$A:$V,8,FALSE),"")</f>
        <v/>
      </c>
      <c r="E57" s="28" t="inlineStr">
        <is>
          <t>T2</t>
        </is>
      </c>
      <c r="F57" s="28" t="inlineStr">
        <is>
          <t>长柄T</t>
        </is>
      </c>
      <c r="G57" s="28" t="inlineStr">
        <is>
          <t>T形</t>
        </is>
      </c>
      <c r="H57" s="28" t="n">
        <v>4</v>
      </c>
      <c r="I57" s="28" t="inlineStr">
        <is>
          <t>默认向右</t>
        </is>
      </c>
      <c r="J57" s="28" t="n">
        <v>3</v>
      </c>
      <c r="K57" s="28" t="inlineStr">
        <is>
          <t>风</t>
        </is>
      </c>
      <c r="L57" s="28" t="inlineStr">
        <is>
          <t>风</t>
        </is>
      </c>
      <c r="M57" s="28" t="inlineStr">
        <is>
          <t>风</t>
        </is>
      </c>
      <c r="N57" s="28" t="n">
        <v>1</v>
      </c>
      <c r="O57" s="28" t="inlineStr">
        <is>
          <t>牵制</t>
        </is>
      </c>
      <c r="P57" s="28" t="inlineStr">
        <is>
          <t>advHitBonus</t>
        </is>
      </c>
      <c r="Q57" s="28" t="inlineStr">
        <is>
          <t>none</t>
        </is>
      </c>
      <c r="R57" s="29">
        <f>IFERROR(VLOOKUP($Q57,'04_机制词条库_60条'!$B:$S,2,FALSE),"")</f>
        <v/>
      </c>
      <c r="S57" s="28" t="inlineStr">
        <is>
          <t>正式</t>
        </is>
      </c>
      <c r="T57" s="28" t="inlineStr">
        <is>
          <t>同宠3槽默认同形状；坐标细节放shape_rules.yaml</t>
        </is>
      </c>
    </row>
    <row r="58" ht="22" customHeight="1">
      <c r="A58" s="28" t="inlineStr">
        <is>
          <t>pal_057</t>
        </is>
      </c>
      <c r="B58" s="29">
        <f>IFERROR(VLOOKUP($A58,'01_宠物主表_好读版'!$A:$V,3,FALSE),"")</f>
        <v/>
      </c>
      <c r="C58" s="29">
        <f>IFERROR(VLOOKUP($A58,'01_宠物主表_好读版'!$A:$V,4,FALSE),"")</f>
        <v/>
      </c>
      <c r="D58" s="29">
        <f>IFERROR(VLOOKUP($A58,'01_宠物主表_好读版'!$A:$V,8,FALSE),"")</f>
        <v/>
      </c>
      <c r="E58" s="28" t="inlineStr">
        <is>
          <t>T1</t>
        </is>
      </c>
      <c r="F58" s="28" t="inlineStr">
        <is>
          <t>标准前置T</t>
        </is>
      </c>
      <c r="G58" s="28" t="inlineStr">
        <is>
          <t>T形</t>
        </is>
      </c>
      <c r="H58" s="28" t="n">
        <v>4</v>
      </c>
      <c r="I58" s="28" t="inlineStr">
        <is>
          <t>默认向右</t>
        </is>
      </c>
      <c r="J58" s="28" t="n">
        <v>3</v>
      </c>
      <c r="K58" s="28" t="inlineStr">
        <is>
          <t>水</t>
        </is>
      </c>
      <c r="L58" s="28" t="inlineStr">
        <is>
          <t>水</t>
        </is>
      </c>
      <c r="M58" s="28" t="inlineStr">
        <is>
          <t>水</t>
        </is>
      </c>
      <c r="N58" s="28" t="n">
        <v>1</v>
      </c>
      <c r="O58" s="28" t="inlineStr">
        <is>
          <t>牵制</t>
        </is>
      </c>
      <c r="P58" s="28" t="inlineStr">
        <is>
          <t>healAmpBonus</t>
        </is>
      </c>
      <c r="Q58" s="28" t="inlineStr">
        <is>
          <t>none</t>
        </is>
      </c>
      <c r="R58" s="29">
        <f>IFERROR(VLOOKUP($Q58,'04_机制词条库_60条'!$B:$S,2,FALSE),"")</f>
        <v/>
      </c>
      <c r="S58" s="28" t="inlineStr">
        <is>
          <t>正式</t>
        </is>
      </c>
      <c r="T58" s="28" t="inlineStr">
        <is>
          <t>同宠3槽默认同形状；坐标细节放shape_rules.yaml</t>
        </is>
      </c>
    </row>
    <row r="59" ht="22" customHeight="1">
      <c r="A59" s="28" t="inlineStr">
        <is>
          <t>pal_058</t>
        </is>
      </c>
      <c r="B59" s="29">
        <f>IFERROR(VLOOKUP($A59,'01_宠物主表_好读版'!$A:$V,3,FALSE),"")</f>
        <v/>
      </c>
      <c r="C59" s="29">
        <f>IFERROR(VLOOKUP($A59,'01_宠物主表_好读版'!$A:$V,4,FALSE),"")</f>
        <v/>
      </c>
      <c r="D59" s="29">
        <f>IFERROR(VLOOKUP($A59,'01_宠物主表_好读版'!$A:$V,8,FALSE),"")</f>
        <v/>
      </c>
      <c r="E59" s="28" t="inlineStr">
        <is>
          <t>B1</t>
        </is>
      </c>
      <c r="F59" s="28" t="inlineStr">
        <is>
          <t>横扫三格</t>
        </is>
      </c>
      <c r="G59" s="28" t="inlineStr">
        <is>
          <t>横排</t>
        </is>
      </c>
      <c r="H59" s="28" t="n">
        <v>3</v>
      </c>
      <c r="I59" s="28" t="inlineStr">
        <is>
          <t>默认向右</t>
        </is>
      </c>
      <c r="J59" s="28" t="n">
        <v>3</v>
      </c>
      <c r="K59" s="28" t="inlineStr">
        <is>
          <t>火</t>
        </is>
      </c>
      <c r="L59" s="28" t="inlineStr">
        <is>
          <t>火</t>
        </is>
      </c>
      <c r="M59" s="28" t="inlineStr">
        <is>
          <t>火</t>
        </is>
      </c>
      <c r="N59" s="28" t="n">
        <v>1</v>
      </c>
      <c r="O59" s="28" t="inlineStr">
        <is>
          <t>输出</t>
        </is>
      </c>
      <c r="P59" s="28" t="inlineStr">
        <is>
          <t>castleReduce</t>
        </is>
      </c>
      <c r="Q59" s="28" t="inlineStr">
        <is>
          <t>none</t>
        </is>
      </c>
      <c r="R59" s="29">
        <f>IFERROR(VLOOKUP($Q59,'04_机制词条库_60条'!$B:$S,2,FALSE),"")</f>
        <v/>
      </c>
      <c r="S59" s="28" t="inlineStr">
        <is>
          <t>正式</t>
        </is>
      </c>
      <c r="T59" s="28" t="inlineStr">
        <is>
          <t>同宠3槽默认同形状；坐标细节放shape_rules.yaml</t>
        </is>
      </c>
    </row>
    <row r="60" ht="22" customHeight="1">
      <c r="A60" s="28" t="inlineStr">
        <is>
          <t>pal_059</t>
        </is>
      </c>
      <c r="B60" s="29">
        <f>IFERROR(VLOOKUP($A60,'01_宠物主表_好读版'!$A:$V,3,FALSE),"")</f>
        <v/>
      </c>
      <c r="C60" s="29">
        <f>IFERROR(VLOOKUP($A60,'01_宠物主表_好读版'!$A:$V,4,FALSE),"")</f>
        <v/>
      </c>
      <c r="D60" s="29">
        <f>IFERROR(VLOOKUP($A60,'01_宠物主表_好读版'!$A:$V,8,FALSE),"")</f>
        <v/>
      </c>
      <c r="E60" s="28" t="inlineStr">
        <is>
          <t>T1</t>
        </is>
      </c>
      <c r="F60" s="28" t="inlineStr">
        <is>
          <t>标准前置T</t>
        </is>
      </c>
      <c r="G60" s="28" t="inlineStr">
        <is>
          <t>T形</t>
        </is>
      </c>
      <c r="H60" s="28" t="n">
        <v>4</v>
      </c>
      <c r="I60" s="28" t="inlineStr">
        <is>
          <t>默认向右</t>
        </is>
      </c>
      <c r="J60" s="28" t="n">
        <v>3</v>
      </c>
      <c r="K60" s="28" t="inlineStr">
        <is>
          <t>水</t>
        </is>
      </c>
      <c r="L60" s="28" t="inlineStr">
        <is>
          <t>水</t>
        </is>
      </c>
      <c r="M60" s="28" t="inlineStr">
        <is>
          <t>水</t>
        </is>
      </c>
      <c r="N60" s="28" t="n">
        <v>1</v>
      </c>
      <c r="O60" s="28" t="inlineStr">
        <is>
          <t>牵制</t>
        </is>
      </c>
      <c r="P60" s="28" t="inlineStr">
        <is>
          <t>healAmpBonus</t>
        </is>
      </c>
      <c r="Q60" s="28" t="inlineStr">
        <is>
          <t>none</t>
        </is>
      </c>
      <c r="R60" s="29">
        <f>IFERROR(VLOOKUP($Q60,'04_机制词条库_60条'!$B:$S,2,FALSE),"")</f>
        <v/>
      </c>
      <c r="S60" s="28" t="inlineStr">
        <is>
          <t>正式</t>
        </is>
      </c>
      <c r="T60" s="28" t="inlineStr">
        <is>
          <t>同宠3槽默认同形状；坐标细节放shape_rules.yaml</t>
        </is>
      </c>
    </row>
    <row r="61" ht="22" customHeight="1">
      <c r="A61" s="28" t="inlineStr">
        <is>
          <t>pal_060</t>
        </is>
      </c>
      <c r="B61" s="29">
        <f>IFERROR(VLOOKUP($A61,'01_宠物主表_好读版'!$A:$V,3,FALSE),"")</f>
        <v/>
      </c>
      <c r="C61" s="29">
        <f>IFERROR(VLOOKUP($A61,'01_宠物主表_好读版'!$A:$V,4,FALSE),"")</f>
        <v/>
      </c>
      <c r="D61" s="29">
        <f>IFERROR(VLOOKUP($A61,'01_宠物主表_好读版'!$A:$V,8,FALSE),"")</f>
        <v/>
      </c>
      <c r="E61" s="28" t="inlineStr">
        <is>
          <t>T2</t>
        </is>
      </c>
      <c r="F61" s="28" t="inlineStr">
        <is>
          <t>长柄T</t>
        </is>
      </c>
      <c r="G61" s="28" t="inlineStr">
        <is>
          <t>T形</t>
        </is>
      </c>
      <c r="H61" s="28" t="n">
        <v>4</v>
      </c>
      <c r="I61" s="28" t="inlineStr">
        <is>
          <t>默认向右</t>
        </is>
      </c>
      <c r="J61" s="28" t="n">
        <v>3</v>
      </c>
      <c r="K61" s="28" t="inlineStr">
        <is>
          <t>风</t>
        </is>
      </c>
      <c r="L61" s="28" t="inlineStr">
        <is>
          <t>风</t>
        </is>
      </c>
      <c r="M61" s="28" t="inlineStr">
        <is>
          <t>风</t>
        </is>
      </c>
      <c r="N61" s="28" t="n">
        <v>1</v>
      </c>
      <c r="O61" s="28" t="inlineStr">
        <is>
          <t>牵制</t>
        </is>
      </c>
      <c r="P61" s="28" t="inlineStr">
        <is>
          <t>advHitBonus</t>
        </is>
      </c>
      <c r="Q61" s="28" t="inlineStr">
        <is>
          <t>none</t>
        </is>
      </c>
      <c r="R61" s="29">
        <f>IFERROR(VLOOKUP($Q61,'04_机制词条库_60条'!$B:$S,2,FALSE),"")</f>
        <v/>
      </c>
      <c r="S61" s="28" t="inlineStr">
        <is>
          <t>正式</t>
        </is>
      </c>
      <c r="T61" s="28" t="inlineStr">
        <is>
          <t>同宠3槽默认同形状；坐标细节放shape_rules.yaml</t>
        </is>
      </c>
    </row>
    <row r="62" ht="22" customHeight="1">
      <c r="A62" s="28" t="inlineStr">
        <is>
          <t>pal_061</t>
        </is>
      </c>
      <c r="B62" s="29">
        <f>IFERROR(VLOOKUP($A62,'01_宠物主表_好读版'!$A:$V,3,FALSE),"")</f>
        <v/>
      </c>
      <c r="C62" s="29">
        <f>IFERROR(VLOOKUP($A62,'01_宠物主表_好读版'!$A:$V,4,FALSE),"")</f>
        <v/>
      </c>
      <c r="D62" s="29">
        <f>IFERROR(VLOOKUP($A62,'01_宠物主表_好读版'!$A:$V,8,FALSE),"")</f>
        <v/>
      </c>
      <c r="E62" s="28" t="inlineStr">
        <is>
          <t>B1</t>
        </is>
      </c>
      <c r="F62" s="28" t="inlineStr">
        <is>
          <t>横扫三格</t>
        </is>
      </c>
      <c r="G62" s="28" t="inlineStr">
        <is>
          <t>横排</t>
        </is>
      </c>
      <c r="H62" s="28" t="n">
        <v>3</v>
      </c>
      <c r="I62" s="28" t="inlineStr">
        <is>
          <t>默认向右</t>
        </is>
      </c>
      <c r="J62" s="28" t="n">
        <v>3</v>
      </c>
      <c r="K62" s="28" t="inlineStr">
        <is>
          <t>火</t>
        </is>
      </c>
      <c r="L62" s="28" t="inlineStr">
        <is>
          <t>火</t>
        </is>
      </c>
      <c r="M62" s="28" t="inlineStr">
        <is>
          <t>火</t>
        </is>
      </c>
      <c r="N62" s="28" t="n">
        <v>1</v>
      </c>
      <c r="O62" s="28" t="inlineStr">
        <is>
          <t>输出</t>
        </is>
      </c>
      <c r="P62" s="28" t="inlineStr">
        <is>
          <t>castleReduce</t>
        </is>
      </c>
      <c r="Q62" s="28" t="inlineStr">
        <is>
          <t>none</t>
        </is>
      </c>
      <c r="R62" s="29">
        <f>IFERROR(VLOOKUP($Q62,'04_机制词条库_60条'!$B:$S,2,FALSE),"")</f>
        <v/>
      </c>
      <c r="S62" s="28" t="inlineStr">
        <is>
          <t>正式</t>
        </is>
      </c>
      <c r="T62" s="28" t="inlineStr">
        <is>
          <t>同宠3槽默认同形状；坐标细节放shape_rules.yaml</t>
        </is>
      </c>
    </row>
    <row r="63" ht="22" customHeight="1">
      <c r="A63" s="28" t="inlineStr">
        <is>
          <t>pal_062</t>
        </is>
      </c>
      <c r="B63" s="29">
        <f>IFERROR(VLOOKUP($A63,'01_宠物主表_好读版'!$A:$V,3,FALSE),"")</f>
        <v/>
      </c>
      <c r="C63" s="29">
        <f>IFERROR(VLOOKUP($A63,'01_宠物主表_好读版'!$A:$V,4,FALSE),"")</f>
        <v/>
      </c>
      <c r="D63" s="29">
        <f>IFERROR(VLOOKUP($A63,'01_宠物主表_好读版'!$A:$V,8,FALSE),"")</f>
        <v/>
      </c>
      <c r="E63" s="28" t="inlineStr">
        <is>
          <t>T2</t>
        </is>
      </c>
      <c r="F63" s="28" t="inlineStr">
        <is>
          <t>长柄T</t>
        </is>
      </c>
      <c r="G63" s="28" t="inlineStr">
        <is>
          <t>T形</t>
        </is>
      </c>
      <c r="H63" s="28" t="n">
        <v>4</v>
      </c>
      <c r="I63" s="28" t="inlineStr">
        <is>
          <t>默认向右</t>
        </is>
      </c>
      <c r="J63" s="28" t="n">
        <v>3</v>
      </c>
      <c r="K63" s="28" t="inlineStr">
        <is>
          <t>风</t>
        </is>
      </c>
      <c r="L63" s="28" t="inlineStr">
        <is>
          <t>风</t>
        </is>
      </c>
      <c r="M63" s="28" t="inlineStr">
        <is>
          <t>风</t>
        </is>
      </c>
      <c r="N63" s="28" t="n">
        <v>1</v>
      </c>
      <c r="O63" s="28" t="inlineStr">
        <is>
          <t>牵制</t>
        </is>
      </c>
      <c r="P63" s="28" t="inlineStr">
        <is>
          <t>advHitBonus</t>
        </is>
      </c>
      <c r="Q63" s="28" t="inlineStr">
        <is>
          <t>none</t>
        </is>
      </c>
      <c r="R63" s="29">
        <f>IFERROR(VLOOKUP($Q63,'04_机制词条库_60条'!$B:$S,2,FALSE),"")</f>
        <v/>
      </c>
      <c r="S63" s="28" t="inlineStr">
        <is>
          <t>正式</t>
        </is>
      </c>
      <c r="T63" s="28" t="inlineStr">
        <is>
          <t>同宠3槽默认同形状；坐标细节放shape_rules.yaml</t>
        </is>
      </c>
    </row>
    <row r="64" ht="22" customHeight="1">
      <c r="A64" s="28" t="inlineStr">
        <is>
          <t>pal_063</t>
        </is>
      </c>
      <c r="B64" s="29">
        <f>IFERROR(VLOOKUP($A64,'01_宠物主表_好读版'!$A:$V,3,FALSE),"")</f>
        <v/>
      </c>
      <c r="C64" s="29">
        <f>IFERROR(VLOOKUP($A64,'01_宠物主表_好读版'!$A:$V,4,FALSE),"")</f>
        <v/>
      </c>
      <c r="D64" s="29">
        <f>IFERROR(VLOOKUP($A64,'01_宠物主表_好读版'!$A:$V,8,FALSE),"")</f>
        <v/>
      </c>
      <c r="E64" s="28" t="inlineStr">
        <is>
          <t>A1</t>
        </is>
      </c>
      <c r="F64" s="28" t="inlineStr">
        <is>
          <t>单点刺</t>
        </is>
      </c>
      <c r="G64" s="28" t="inlineStr">
        <is>
          <t>单体</t>
        </is>
      </c>
      <c r="H64" s="28" t="n">
        <v>1</v>
      </c>
      <c r="I64" s="28" t="inlineStr">
        <is>
          <t>默认向右</t>
        </is>
      </c>
      <c r="J64" s="28" t="n">
        <v>3</v>
      </c>
      <c r="K64" s="28" t="inlineStr">
        <is>
          <t>风</t>
        </is>
      </c>
      <c r="L64" s="28" t="inlineStr">
        <is>
          <t>风</t>
        </is>
      </c>
      <c r="M64" s="28" t="inlineStr">
        <is>
          <t>风</t>
        </is>
      </c>
      <c r="N64" s="28" t="n">
        <v>1</v>
      </c>
      <c r="O64" s="28" t="inlineStr">
        <is>
          <t>召唤</t>
        </is>
      </c>
      <c r="P64" s="28" t="inlineStr">
        <is>
          <t>summonFromCell</t>
        </is>
      </c>
      <c r="Q64" s="28" t="inlineStr">
        <is>
          <t>none</t>
        </is>
      </c>
      <c r="R64" s="29">
        <f>IFERROR(VLOOKUP($Q64,'04_机制词条库_60条'!$B:$S,2,FALSE),"")</f>
        <v/>
      </c>
      <c r="S64" s="28" t="inlineStr">
        <is>
          <t>正式</t>
        </is>
      </c>
      <c r="T64" s="28" t="inlineStr">
        <is>
          <t>同宠3槽默认同形状；坐标细节放shape_rules.yaml</t>
        </is>
      </c>
    </row>
    <row r="65" ht="22" customHeight="1">
      <c r="A65" s="28" t="inlineStr">
        <is>
          <t>pal_064</t>
        </is>
      </c>
      <c r="B65" s="29">
        <f>IFERROR(VLOOKUP($A65,'01_宠物主表_好读版'!$A:$V,3,FALSE),"")</f>
        <v/>
      </c>
      <c r="C65" s="29">
        <f>IFERROR(VLOOKUP($A65,'01_宠物主表_好读版'!$A:$V,4,FALSE),"")</f>
        <v/>
      </c>
      <c r="D65" s="29">
        <f>IFERROR(VLOOKUP($A65,'01_宠物主表_好读版'!$A:$V,8,FALSE),"")</f>
        <v/>
      </c>
      <c r="E65" s="28" t="inlineStr">
        <is>
          <t>A1</t>
        </is>
      </c>
      <c r="F65" s="28" t="inlineStr">
        <is>
          <t>单点刺</t>
        </is>
      </c>
      <c r="G65" s="28" t="inlineStr">
        <is>
          <t>单体</t>
        </is>
      </c>
      <c r="H65" s="28" t="n">
        <v>1</v>
      </c>
      <c r="I65" s="28" t="inlineStr">
        <is>
          <t>默认向右</t>
        </is>
      </c>
      <c r="J65" s="28" t="n">
        <v>3</v>
      </c>
      <c r="K65" s="28" t="inlineStr">
        <is>
          <t>风</t>
        </is>
      </c>
      <c r="L65" s="28" t="inlineStr">
        <is>
          <t>风</t>
        </is>
      </c>
      <c r="M65" s="28" t="inlineStr">
        <is>
          <t>风</t>
        </is>
      </c>
      <c r="N65" s="28" t="n">
        <v>1</v>
      </c>
      <c r="O65" s="28" t="inlineStr">
        <is>
          <t>召唤</t>
        </is>
      </c>
      <c r="P65" s="28" t="inlineStr">
        <is>
          <t>summonFromCell</t>
        </is>
      </c>
      <c r="Q65" s="28" t="inlineStr">
        <is>
          <t>none</t>
        </is>
      </c>
      <c r="R65" s="29">
        <f>IFERROR(VLOOKUP($Q65,'04_机制词条库_60条'!$B:$S,2,FALSE),"")</f>
        <v/>
      </c>
      <c r="S65" s="28" t="inlineStr">
        <is>
          <t>正式</t>
        </is>
      </c>
      <c r="T65" s="28" t="inlineStr">
        <is>
          <t>同宠3槽默认同形状；坐标细节放shape_rules.yaml</t>
        </is>
      </c>
    </row>
    <row r="66" ht="22" customHeight="1">
      <c r="A66" s="28" t="inlineStr">
        <is>
          <t>pal_065</t>
        </is>
      </c>
      <c r="B66" s="29">
        <f>IFERROR(VLOOKUP($A66,'01_宠物主表_好读版'!$A:$V,3,FALSE),"")</f>
        <v/>
      </c>
      <c r="C66" s="29">
        <f>IFERROR(VLOOKUP($A66,'01_宠物主表_好读版'!$A:$V,4,FALSE),"")</f>
        <v/>
      </c>
      <c r="D66" s="29">
        <f>IFERROR(VLOOKUP($A66,'01_宠物主表_好读版'!$A:$V,8,FALSE),"")</f>
        <v/>
      </c>
      <c r="E66" s="28" t="inlineStr">
        <is>
          <t>T2</t>
        </is>
      </c>
      <c r="F66" s="28" t="inlineStr">
        <is>
          <t>长柄T</t>
        </is>
      </c>
      <c r="G66" s="28" t="inlineStr">
        <is>
          <t>T形</t>
        </is>
      </c>
      <c r="H66" s="28" t="n">
        <v>4</v>
      </c>
      <c r="I66" s="28" t="inlineStr">
        <is>
          <t>默认向右</t>
        </is>
      </c>
      <c r="J66" s="28" t="n">
        <v>3</v>
      </c>
      <c r="K66" s="28" t="inlineStr">
        <is>
          <t>风</t>
        </is>
      </c>
      <c r="L66" s="28" t="inlineStr">
        <is>
          <t>风</t>
        </is>
      </c>
      <c r="M66" s="28" t="inlineStr">
        <is>
          <t>风</t>
        </is>
      </c>
      <c r="N66" s="28" t="n">
        <v>1</v>
      </c>
      <c r="O66" s="28" t="inlineStr">
        <is>
          <t>牵制</t>
        </is>
      </c>
      <c r="P66" s="28" t="inlineStr">
        <is>
          <t>advHitBonus</t>
        </is>
      </c>
      <c r="Q66" s="28" t="inlineStr">
        <is>
          <t>none</t>
        </is>
      </c>
      <c r="R66" s="29">
        <f>IFERROR(VLOOKUP($Q66,'04_机制词条库_60条'!$B:$S,2,FALSE),"")</f>
        <v/>
      </c>
      <c r="S66" s="28" t="inlineStr">
        <is>
          <t>正式</t>
        </is>
      </c>
      <c r="T66" s="28" t="inlineStr">
        <is>
          <t>同宠3槽默认同形状；坐标细节放shape_rules.yaml</t>
        </is>
      </c>
    </row>
    <row r="67" ht="22" customHeight="1">
      <c r="A67" s="28" t="inlineStr">
        <is>
          <t>pal_066</t>
        </is>
      </c>
      <c r="B67" s="29">
        <f>IFERROR(VLOOKUP($A67,'01_宠物主表_好读版'!$A:$V,3,FALSE),"")</f>
        <v/>
      </c>
      <c r="C67" s="29">
        <f>IFERROR(VLOOKUP($A67,'01_宠物主表_好读版'!$A:$V,4,FALSE),"")</f>
        <v/>
      </c>
      <c r="D67" s="29">
        <f>IFERROR(VLOOKUP($A67,'01_宠物主表_好读版'!$A:$V,8,FALSE),"")</f>
        <v/>
      </c>
      <c r="E67" s="28" t="inlineStr">
        <is>
          <t>T1</t>
        </is>
      </c>
      <c r="F67" s="28" t="inlineStr">
        <is>
          <t>标准前置T</t>
        </is>
      </c>
      <c r="G67" s="28" t="inlineStr">
        <is>
          <t>T形</t>
        </is>
      </c>
      <c r="H67" s="28" t="n">
        <v>4</v>
      </c>
      <c r="I67" s="28" t="inlineStr">
        <is>
          <t>默认向右</t>
        </is>
      </c>
      <c r="J67" s="28" t="n">
        <v>3</v>
      </c>
      <c r="K67" s="28" t="inlineStr">
        <is>
          <t>水</t>
        </is>
      </c>
      <c r="L67" s="28" t="inlineStr">
        <is>
          <t>水</t>
        </is>
      </c>
      <c r="M67" s="28" t="inlineStr">
        <is>
          <t>水</t>
        </is>
      </c>
      <c r="N67" s="28" t="n">
        <v>1</v>
      </c>
      <c r="O67" s="28" t="inlineStr">
        <is>
          <t>场地</t>
        </is>
      </c>
      <c r="P67" s="28" t="inlineStr">
        <is>
          <t>healAmpBonus</t>
        </is>
      </c>
      <c r="Q67" s="28" t="inlineStr">
        <is>
          <t>none</t>
        </is>
      </c>
      <c r="R67" s="29">
        <f>IFERROR(VLOOKUP($Q67,'04_机制词条库_60条'!$B:$S,2,FALSE),"")</f>
        <v/>
      </c>
      <c r="S67" s="28" t="inlineStr">
        <is>
          <t>正式</t>
        </is>
      </c>
      <c r="T67" s="28" t="inlineStr">
        <is>
          <t>同宠3槽默认同形状；坐标细节放shape_rules.yaml</t>
        </is>
      </c>
    </row>
    <row r="68" ht="22" customHeight="1">
      <c r="A68" s="28" t="inlineStr">
        <is>
          <t>pal_067</t>
        </is>
      </c>
      <c r="B68" s="29">
        <f>IFERROR(VLOOKUP($A68,'01_宠物主表_好读版'!$A:$V,3,FALSE),"")</f>
        <v/>
      </c>
      <c r="C68" s="29">
        <f>IFERROR(VLOOKUP($A68,'01_宠物主表_好读版'!$A:$V,4,FALSE),"")</f>
        <v/>
      </c>
      <c r="D68" s="29">
        <f>IFERROR(VLOOKUP($A68,'01_宠物主表_好读版'!$A:$V,8,FALSE),"")</f>
        <v/>
      </c>
      <c r="E68" s="28" t="inlineStr">
        <is>
          <t>B1</t>
        </is>
      </c>
      <c r="F68" s="28" t="inlineStr">
        <is>
          <t>横扫三格</t>
        </is>
      </c>
      <c r="G68" s="28" t="inlineStr">
        <is>
          <t>横排</t>
        </is>
      </c>
      <c r="H68" s="28" t="n">
        <v>3</v>
      </c>
      <c r="I68" s="28" t="inlineStr">
        <is>
          <t>默认向右</t>
        </is>
      </c>
      <c r="J68" s="28" t="n">
        <v>3</v>
      </c>
      <c r="K68" s="28" t="inlineStr">
        <is>
          <t>土</t>
        </is>
      </c>
      <c r="L68" s="28" t="inlineStr">
        <is>
          <t>土</t>
        </is>
      </c>
      <c r="M68" s="28" t="inlineStr">
        <is>
          <t>土</t>
        </is>
      </c>
      <c r="N68" s="28" t="n">
        <v>1</v>
      </c>
      <c r="O68" s="28" t="inlineStr">
        <is>
          <t>阻挡</t>
        </is>
      </c>
      <c r="P68" s="28" t="inlineStr">
        <is>
          <t>castleReduce</t>
        </is>
      </c>
      <c r="Q68" s="28" t="inlineStr">
        <is>
          <t>none</t>
        </is>
      </c>
      <c r="R68" s="29">
        <f>IFERROR(VLOOKUP($Q68,'04_机制词条库_60条'!$B:$S,2,FALSE),"")</f>
        <v/>
      </c>
      <c r="S68" s="28" t="inlineStr">
        <is>
          <t>正式</t>
        </is>
      </c>
      <c r="T68" s="28" t="inlineStr">
        <is>
          <t>同宠3槽默认同形状；坐标细节放shape_rules.yaml</t>
        </is>
      </c>
    </row>
    <row r="69" ht="22" customHeight="1">
      <c r="A69" s="28" t="inlineStr">
        <is>
          <t>pal_068</t>
        </is>
      </c>
      <c r="B69" s="29">
        <f>IFERROR(VLOOKUP($A69,'01_宠物主表_好读版'!$A:$V,3,FALSE),"")</f>
        <v/>
      </c>
      <c r="C69" s="29">
        <f>IFERROR(VLOOKUP($A69,'01_宠物主表_好读版'!$A:$V,4,FALSE),"")</f>
        <v/>
      </c>
      <c r="D69" s="29">
        <f>IFERROR(VLOOKUP($A69,'01_宠物主表_好读版'!$A:$V,8,FALSE),"")</f>
        <v/>
      </c>
      <c r="E69" s="28" t="inlineStr">
        <is>
          <t>B1</t>
        </is>
      </c>
      <c r="F69" s="28" t="inlineStr">
        <is>
          <t>横扫三格</t>
        </is>
      </c>
      <c r="G69" s="28" t="inlineStr">
        <is>
          <t>横排</t>
        </is>
      </c>
      <c r="H69" s="28" t="n">
        <v>3</v>
      </c>
      <c r="I69" s="28" t="inlineStr">
        <is>
          <t>默认向右</t>
        </is>
      </c>
      <c r="J69" s="28" t="n">
        <v>3</v>
      </c>
      <c r="K69" s="28" t="inlineStr">
        <is>
          <t>土</t>
        </is>
      </c>
      <c r="L69" s="28" t="inlineStr">
        <is>
          <t>土</t>
        </is>
      </c>
      <c r="M69" s="28" t="inlineStr">
        <is>
          <t>土</t>
        </is>
      </c>
      <c r="N69" s="28" t="n">
        <v>1</v>
      </c>
      <c r="O69" s="28" t="inlineStr">
        <is>
          <t>阻挡</t>
        </is>
      </c>
      <c r="P69" s="28" t="inlineStr">
        <is>
          <t>castleReduce</t>
        </is>
      </c>
      <c r="Q69" s="28" t="inlineStr">
        <is>
          <t>none</t>
        </is>
      </c>
      <c r="R69" s="29">
        <f>IFERROR(VLOOKUP($Q69,'04_机制词条库_60条'!$B:$S,2,FALSE),"")</f>
        <v/>
      </c>
      <c r="S69" s="28" t="inlineStr">
        <is>
          <t>正式</t>
        </is>
      </c>
      <c r="T69" s="28" t="inlineStr">
        <is>
          <t>同宠3槽默认同形状；坐标细节放shape_rules.yaml</t>
        </is>
      </c>
    </row>
    <row r="70" ht="22" customHeight="1">
      <c r="A70" s="28" t="inlineStr">
        <is>
          <t>pal_069</t>
        </is>
      </c>
      <c r="B70" s="29">
        <f>IFERROR(VLOOKUP($A70,'01_宠物主表_好读版'!$A:$V,3,FALSE),"")</f>
        <v/>
      </c>
      <c r="C70" s="29">
        <f>IFERROR(VLOOKUP($A70,'01_宠物主表_好读版'!$A:$V,4,FALSE),"")</f>
        <v/>
      </c>
      <c r="D70" s="29">
        <f>IFERROR(VLOOKUP($A70,'01_宠物主表_好读版'!$A:$V,8,FALSE),"")</f>
        <v/>
      </c>
      <c r="E70" s="28" t="inlineStr">
        <is>
          <t>B1</t>
        </is>
      </c>
      <c r="F70" s="28" t="inlineStr">
        <is>
          <t>横扫三格</t>
        </is>
      </c>
      <c r="G70" s="28" t="inlineStr">
        <is>
          <t>横排</t>
        </is>
      </c>
      <c r="H70" s="28" t="n">
        <v>3</v>
      </c>
      <c r="I70" s="28" t="inlineStr">
        <is>
          <t>默认向右</t>
        </is>
      </c>
      <c r="J70" s="28" t="n">
        <v>3</v>
      </c>
      <c r="K70" s="28" t="inlineStr">
        <is>
          <t>土</t>
        </is>
      </c>
      <c r="L70" s="28" t="inlineStr">
        <is>
          <t>土</t>
        </is>
      </c>
      <c r="M70" s="28" t="inlineStr">
        <is>
          <t>土</t>
        </is>
      </c>
      <c r="N70" s="28" t="n">
        <v>1</v>
      </c>
      <c r="O70" s="28" t="inlineStr">
        <is>
          <t>阻挡</t>
        </is>
      </c>
      <c r="P70" s="28" t="inlineStr">
        <is>
          <t>castleReduce</t>
        </is>
      </c>
      <c r="Q70" s="28" t="inlineStr">
        <is>
          <t>none</t>
        </is>
      </c>
      <c r="R70" s="29">
        <f>IFERROR(VLOOKUP($Q70,'04_机制词条库_60条'!$B:$S,2,FALSE),"")</f>
        <v/>
      </c>
      <c r="S70" s="28" t="inlineStr">
        <is>
          <t>正式</t>
        </is>
      </c>
      <c r="T70" s="28" t="inlineStr">
        <is>
          <t>同宠3槽默认同形状；坐标细节放shape_rules.yaml</t>
        </is>
      </c>
    </row>
    <row r="71" ht="22" customHeight="1">
      <c r="A71" s="28" t="inlineStr">
        <is>
          <t>pal_070</t>
        </is>
      </c>
      <c r="B71" s="29">
        <f>IFERROR(VLOOKUP($A71,'01_宠物主表_好读版'!$A:$V,3,FALSE),"")</f>
        <v/>
      </c>
      <c r="C71" s="29">
        <f>IFERROR(VLOOKUP($A71,'01_宠物主表_好读版'!$A:$V,4,FALSE),"")</f>
        <v/>
      </c>
      <c r="D71" s="29">
        <f>IFERROR(VLOOKUP($A71,'01_宠物主表_好读版'!$A:$V,8,FALSE),"")</f>
        <v/>
      </c>
      <c r="E71" s="28" t="inlineStr">
        <is>
          <t>B1</t>
        </is>
      </c>
      <c r="F71" s="28" t="inlineStr">
        <is>
          <t>横扫三格</t>
        </is>
      </c>
      <c r="G71" s="28" t="inlineStr">
        <is>
          <t>横排</t>
        </is>
      </c>
      <c r="H71" s="28" t="n">
        <v>3</v>
      </c>
      <c r="I71" s="28" t="inlineStr">
        <is>
          <t>默认向右</t>
        </is>
      </c>
      <c r="J71" s="28" t="n">
        <v>3</v>
      </c>
      <c r="K71" s="28" t="inlineStr">
        <is>
          <t>土</t>
        </is>
      </c>
      <c r="L71" s="28" t="inlineStr">
        <is>
          <t>土</t>
        </is>
      </c>
      <c r="M71" s="28" t="inlineStr">
        <is>
          <t>土</t>
        </is>
      </c>
      <c r="N71" s="28" t="n">
        <v>1</v>
      </c>
      <c r="O71" s="28" t="inlineStr">
        <is>
          <t>阻挡</t>
        </is>
      </c>
      <c r="P71" s="28" t="inlineStr">
        <is>
          <t>castleReduce</t>
        </is>
      </c>
      <c r="Q71" s="28" t="inlineStr">
        <is>
          <t>none</t>
        </is>
      </c>
      <c r="R71" s="29">
        <f>IFERROR(VLOOKUP($Q71,'04_机制词条库_60条'!$B:$S,2,FALSE),"")</f>
        <v/>
      </c>
      <c r="S71" s="28" t="inlineStr">
        <is>
          <t>正式</t>
        </is>
      </c>
      <c r="T71" s="28" t="inlineStr">
        <is>
          <t>同宠3槽默认同形状；坐标细节放shape_rules.yaml</t>
        </is>
      </c>
    </row>
    <row r="72" ht="22" customHeight="1">
      <c r="A72" s="28" t="inlineStr">
        <is>
          <t>pal_071</t>
        </is>
      </c>
      <c r="B72" s="29">
        <f>IFERROR(VLOOKUP($A72,'01_宠物主表_好读版'!$A:$V,3,FALSE),"")</f>
        <v/>
      </c>
      <c r="C72" s="29">
        <f>IFERROR(VLOOKUP($A72,'01_宠物主表_好读版'!$A:$V,4,FALSE),"")</f>
        <v/>
      </c>
      <c r="D72" s="29">
        <f>IFERROR(VLOOKUP($A72,'01_宠物主表_好读版'!$A:$V,8,FALSE),"")</f>
        <v/>
      </c>
      <c r="E72" s="28" t="inlineStr">
        <is>
          <t>T1</t>
        </is>
      </c>
      <c r="F72" s="28" t="inlineStr">
        <is>
          <t>标准前置T</t>
        </is>
      </c>
      <c r="G72" s="28" t="inlineStr">
        <is>
          <t>T形</t>
        </is>
      </c>
      <c r="H72" s="28" t="n">
        <v>4</v>
      </c>
      <c r="I72" s="28" t="inlineStr">
        <is>
          <t>默认向右</t>
        </is>
      </c>
      <c r="J72" s="28" t="n">
        <v>3</v>
      </c>
      <c r="K72" s="28" t="inlineStr">
        <is>
          <t>风</t>
        </is>
      </c>
      <c r="L72" s="28" t="inlineStr">
        <is>
          <t>风</t>
        </is>
      </c>
      <c r="M72" s="28" t="inlineStr">
        <is>
          <t>风</t>
        </is>
      </c>
      <c r="N72" s="28" t="n">
        <v>1</v>
      </c>
      <c r="O72" s="28" t="inlineStr">
        <is>
          <t>场地</t>
        </is>
      </c>
      <c r="P72" s="28" t="inlineStr">
        <is>
          <t>healAmpBonus</t>
        </is>
      </c>
      <c r="Q72" s="28" t="inlineStr">
        <is>
          <t>none</t>
        </is>
      </c>
      <c r="R72" s="29">
        <f>IFERROR(VLOOKUP($Q72,'04_机制词条库_60条'!$B:$S,2,FALSE),"")</f>
        <v/>
      </c>
      <c r="S72" s="28" t="inlineStr">
        <is>
          <t>正式</t>
        </is>
      </c>
      <c r="T72" s="28" t="inlineStr">
        <is>
          <t>同宠3槽默认同形状；坐标细节放shape_rules.yaml</t>
        </is>
      </c>
    </row>
    <row r="73" ht="22" customHeight="1">
      <c r="A73" s="28" t="inlineStr">
        <is>
          <t>pal_072</t>
        </is>
      </c>
      <c r="B73" s="29">
        <f>IFERROR(VLOOKUP($A73,'01_宠物主表_好读版'!$A:$V,3,FALSE),"")</f>
        <v/>
      </c>
      <c r="C73" s="29">
        <f>IFERROR(VLOOKUP($A73,'01_宠物主表_好读版'!$A:$V,4,FALSE),"")</f>
        <v/>
      </c>
      <c r="D73" s="29">
        <f>IFERROR(VLOOKUP($A73,'01_宠物主表_好读版'!$A:$V,8,FALSE),"")</f>
        <v/>
      </c>
      <c r="E73" s="28" t="inlineStr">
        <is>
          <t>A1</t>
        </is>
      </c>
      <c r="F73" s="28" t="inlineStr">
        <is>
          <t>单点刺</t>
        </is>
      </c>
      <c r="G73" s="28" t="inlineStr">
        <is>
          <t>单体</t>
        </is>
      </c>
      <c r="H73" s="28" t="n">
        <v>1</v>
      </c>
      <c r="I73" s="28" t="inlineStr">
        <is>
          <t>默认向右</t>
        </is>
      </c>
      <c r="J73" s="28" t="n">
        <v>3</v>
      </c>
      <c r="K73" s="28" t="inlineStr">
        <is>
          <t>火</t>
        </is>
      </c>
      <c r="L73" s="28" t="inlineStr">
        <is>
          <t>火</t>
        </is>
      </c>
      <c r="M73" s="28" t="inlineStr">
        <is>
          <t>火</t>
        </is>
      </c>
      <c r="N73" s="28" t="n">
        <v>1</v>
      </c>
      <c r="O73" s="28" t="inlineStr">
        <is>
          <t>召唤</t>
        </is>
      </c>
      <c r="P73" s="28" t="inlineStr">
        <is>
          <t>summonFromCell</t>
        </is>
      </c>
      <c r="Q73" s="28" t="inlineStr">
        <is>
          <t>none</t>
        </is>
      </c>
      <c r="R73" s="29">
        <f>IFERROR(VLOOKUP($Q73,'04_机制词条库_60条'!$B:$S,2,FALSE),"")</f>
        <v/>
      </c>
      <c r="S73" s="28" t="inlineStr">
        <is>
          <t>正式</t>
        </is>
      </c>
      <c r="T73" s="28" t="inlineStr">
        <is>
          <t>同宠3槽默认同形状；坐标细节放shape_rules.yaml</t>
        </is>
      </c>
    </row>
    <row r="74" ht="22" customHeight="1">
      <c r="A74" s="28" t="inlineStr">
        <is>
          <t>pal_073</t>
        </is>
      </c>
      <c r="B74" s="29">
        <f>IFERROR(VLOOKUP($A74,'01_宠物主表_好读版'!$A:$V,3,FALSE),"")</f>
        <v/>
      </c>
      <c r="C74" s="29">
        <f>IFERROR(VLOOKUP($A74,'01_宠物主表_好读版'!$A:$V,4,FALSE),"")</f>
        <v/>
      </c>
      <c r="D74" s="29">
        <f>IFERROR(VLOOKUP($A74,'01_宠物主表_好读版'!$A:$V,8,FALSE),"")</f>
        <v/>
      </c>
      <c r="E74" s="28" t="inlineStr">
        <is>
          <t>T2</t>
        </is>
      </c>
      <c r="F74" s="28" t="inlineStr">
        <is>
          <t>长柄T</t>
        </is>
      </c>
      <c r="G74" s="28" t="inlineStr">
        <is>
          <t>T形</t>
        </is>
      </c>
      <c r="H74" s="28" t="n">
        <v>4</v>
      </c>
      <c r="I74" s="28" t="inlineStr">
        <is>
          <t>默认向右</t>
        </is>
      </c>
      <c r="J74" s="28" t="n">
        <v>3</v>
      </c>
      <c r="K74" s="28" t="inlineStr">
        <is>
          <t>火</t>
        </is>
      </c>
      <c r="L74" s="28" t="inlineStr">
        <is>
          <t>火</t>
        </is>
      </c>
      <c r="M74" s="28" t="inlineStr">
        <is>
          <t>火</t>
        </is>
      </c>
      <c r="N74" s="28" t="n">
        <v>1</v>
      </c>
      <c r="O74" s="28" t="inlineStr">
        <is>
          <t>牵制</t>
        </is>
      </c>
      <c r="P74" s="28" t="inlineStr">
        <is>
          <t>advHitBonus</t>
        </is>
      </c>
      <c r="Q74" s="28" t="inlineStr">
        <is>
          <t>none</t>
        </is>
      </c>
      <c r="R74" s="29">
        <f>IFERROR(VLOOKUP($Q74,'04_机制词条库_60条'!$B:$S,2,FALSE),"")</f>
        <v/>
      </c>
      <c r="S74" s="28" t="inlineStr">
        <is>
          <t>正式</t>
        </is>
      </c>
      <c r="T74" s="28" t="inlineStr">
        <is>
          <t>同宠3槽默认同形状；坐标细节放shape_rules.yaml</t>
        </is>
      </c>
    </row>
    <row r="75" ht="22" customHeight="1">
      <c r="A75" s="28" t="inlineStr">
        <is>
          <t>pal_074</t>
        </is>
      </c>
      <c r="B75" s="29">
        <f>IFERROR(VLOOKUP($A75,'01_宠物主表_好读版'!$A:$V,3,FALSE),"")</f>
        <v/>
      </c>
      <c r="C75" s="29">
        <f>IFERROR(VLOOKUP($A75,'01_宠物主表_好读版'!$A:$V,4,FALSE),"")</f>
        <v/>
      </c>
      <c r="D75" s="29">
        <f>IFERROR(VLOOKUP($A75,'01_宠物主表_好读版'!$A:$V,8,FALSE),"")</f>
        <v/>
      </c>
      <c r="E75" s="28" t="inlineStr">
        <is>
          <t>T1</t>
        </is>
      </c>
      <c r="F75" s="28" t="inlineStr">
        <is>
          <t>标准前置T</t>
        </is>
      </c>
      <c r="G75" s="28" t="inlineStr">
        <is>
          <t>T形</t>
        </is>
      </c>
      <c r="H75" s="28" t="n">
        <v>4</v>
      </c>
      <c r="I75" s="28" t="inlineStr">
        <is>
          <t>默认向右</t>
        </is>
      </c>
      <c r="J75" s="28" t="n">
        <v>3</v>
      </c>
      <c r="K75" s="28" t="inlineStr">
        <is>
          <t>水</t>
        </is>
      </c>
      <c r="L75" s="28" t="inlineStr">
        <is>
          <t>水</t>
        </is>
      </c>
      <c r="M75" s="28" t="inlineStr">
        <is>
          <t>水</t>
        </is>
      </c>
      <c r="N75" s="28" t="n">
        <v>1</v>
      </c>
      <c r="O75" s="28" t="inlineStr">
        <is>
          <t>牵制</t>
        </is>
      </c>
      <c r="P75" s="28" t="inlineStr">
        <is>
          <t>healAmpBonus</t>
        </is>
      </c>
      <c r="Q75" s="28" t="inlineStr">
        <is>
          <t>none</t>
        </is>
      </c>
      <c r="R75" s="29">
        <f>IFERROR(VLOOKUP($Q75,'04_机制词条库_60条'!$B:$S,2,FALSE),"")</f>
        <v/>
      </c>
      <c r="S75" s="28" t="inlineStr">
        <is>
          <t>正式</t>
        </is>
      </c>
      <c r="T75" s="28" t="inlineStr">
        <is>
          <t>同宠3槽默认同形状；坐标细节放shape_rules.yaml</t>
        </is>
      </c>
    </row>
    <row r="76" ht="22" customHeight="1">
      <c r="A76" s="28" t="inlineStr">
        <is>
          <t>pal_075</t>
        </is>
      </c>
      <c r="B76" s="29">
        <f>IFERROR(VLOOKUP($A76,'01_宠物主表_好读版'!$A:$V,3,FALSE),"")</f>
        <v/>
      </c>
      <c r="C76" s="29">
        <f>IFERROR(VLOOKUP($A76,'01_宠物主表_好读版'!$A:$V,4,FALSE),"")</f>
        <v/>
      </c>
      <c r="D76" s="29">
        <f>IFERROR(VLOOKUP($A76,'01_宠物主表_好读版'!$A:$V,8,FALSE),"")</f>
        <v/>
      </c>
      <c r="E76" s="28" t="inlineStr">
        <is>
          <t>B1</t>
        </is>
      </c>
      <c r="F76" s="28" t="inlineStr">
        <is>
          <t>横扫三格</t>
        </is>
      </c>
      <c r="G76" s="28" t="inlineStr">
        <is>
          <t>横排</t>
        </is>
      </c>
      <c r="H76" s="28" t="n">
        <v>3</v>
      </c>
      <c r="I76" s="28" t="inlineStr">
        <is>
          <t>默认向右</t>
        </is>
      </c>
      <c r="J76" s="28" t="n">
        <v>3</v>
      </c>
      <c r="K76" s="28" t="inlineStr">
        <is>
          <t>火</t>
        </is>
      </c>
      <c r="L76" s="28" t="inlineStr">
        <is>
          <t>火</t>
        </is>
      </c>
      <c r="M76" s="28" t="inlineStr">
        <is>
          <t>火</t>
        </is>
      </c>
      <c r="N76" s="28" t="n">
        <v>1</v>
      </c>
      <c r="O76" s="28" t="inlineStr">
        <is>
          <t>输出</t>
        </is>
      </c>
      <c r="P76" s="28" t="inlineStr">
        <is>
          <t>castleReduce</t>
        </is>
      </c>
      <c r="Q76" s="28" t="inlineStr">
        <is>
          <t>none</t>
        </is>
      </c>
      <c r="R76" s="29">
        <f>IFERROR(VLOOKUP($Q76,'04_机制词条库_60条'!$B:$S,2,FALSE),"")</f>
        <v/>
      </c>
      <c r="S76" s="28" t="inlineStr">
        <is>
          <t>正式</t>
        </is>
      </c>
      <c r="T76" s="28" t="inlineStr">
        <is>
          <t>同宠3槽默认同形状；坐标细节放shape_rules.yaml</t>
        </is>
      </c>
    </row>
    <row r="77" ht="22" customHeight="1">
      <c r="A77" s="28" t="inlineStr">
        <is>
          <t>pal_076</t>
        </is>
      </c>
      <c r="B77" s="29">
        <f>IFERROR(VLOOKUP($A77,'01_宠物主表_好读版'!$A:$V,3,FALSE),"")</f>
        <v/>
      </c>
      <c r="C77" s="29">
        <f>IFERROR(VLOOKUP($A77,'01_宠物主表_好读版'!$A:$V,4,FALSE),"")</f>
        <v/>
      </c>
      <c r="D77" s="29">
        <f>IFERROR(VLOOKUP($A77,'01_宠物主表_好读版'!$A:$V,8,FALSE),"")</f>
        <v/>
      </c>
      <c r="E77" s="28" t="inlineStr">
        <is>
          <t>T2</t>
        </is>
      </c>
      <c r="F77" s="28" t="inlineStr">
        <is>
          <t>长柄T</t>
        </is>
      </c>
      <c r="G77" s="28" t="inlineStr">
        <is>
          <t>T形</t>
        </is>
      </c>
      <c r="H77" s="28" t="n">
        <v>4</v>
      </c>
      <c r="I77" s="28" t="inlineStr">
        <is>
          <t>默认向右</t>
        </is>
      </c>
      <c r="J77" s="28" t="n">
        <v>3</v>
      </c>
      <c r="K77" s="28" t="inlineStr">
        <is>
          <t>风</t>
        </is>
      </c>
      <c r="L77" s="28" t="inlineStr">
        <is>
          <t>风</t>
        </is>
      </c>
      <c r="M77" s="28" t="inlineStr">
        <is>
          <t>风</t>
        </is>
      </c>
      <c r="N77" s="28" t="n">
        <v>1</v>
      </c>
      <c r="O77" s="28" t="inlineStr">
        <is>
          <t>牵制</t>
        </is>
      </c>
      <c r="P77" s="28" t="inlineStr">
        <is>
          <t>advHitBonus</t>
        </is>
      </c>
      <c r="Q77" s="28" t="inlineStr">
        <is>
          <t>none</t>
        </is>
      </c>
      <c r="R77" s="29">
        <f>IFERROR(VLOOKUP($Q77,'04_机制词条库_60条'!$B:$S,2,FALSE),"")</f>
        <v/>
      </c>
      <c r="S77" s="28" t="inlineStr">
        <is>
          <t>正式</t>
        </is>
      </c>
      <c r="T77" s="28" t="inlineStr">
        <is>
          <t>同宠3槽默认同形状；坐标细节放shape_rules.yaml</t>
        </is>
      </c>
    </row>
    <row r="78" ht="22" customHeight="1">
      <c r="A78" s="28" t="inlineStr">
        <is>
          <t>pal_077</t>
        </is>
      </c>
      <c r="B78" s="29">
        <f>IFERROR(VLOOKUP($A78,'01_宠物主表_好读版'!$A:$V,3,FALSE),"")</f>
        <v/>
      </c>
      <c r="C78" s="29">
        <f>IFERROR(VLOOKUP($A78,'01_宠物主表_好读版'!$A:$V,4,FALSE),"")</f>
        <v/>
      </c>
      <c r="D78" s="29">
        <f>IFERROR(VLOOKUP($A78,'01_宠物主表_好读版'!$A:$V,8,FALSE),"")</f>
        <v/>
      </c>
      <c r="E78" s="28" t="inlineStr">
        <is>
          <t>T2</t>
        </is>
      </c>
      <c r="F78" s="28" t="inlineStr">
        <is>
          <t>长柄T</t>
        </is>
      </c>
      <c r="G78" s="28" t="inlineStr">
        <is>
          <t>T形</t>
        </is>
      </c>
      <c r="H78" s="28" t="n">
        <v>4</v>
      </c>
      <c r="I78" s="28" t="inlineStr">
        <is>
          <t>默认向右</t>
        </is>
      </c>
      <c r="J78" s="28" t="n">
        <v>3</v>
      </c>
      <c r="K78" s="28" t="inlineStr">
        <is>
          <t>火</t>
        </is>
      </c>
      <c r="L78" s="28" t="inlineStr">
        <is>
          <t>火</t>
        </is>
      </c>
      <c r="M78" s="28" t="inlineStr">
        <is>
          <t>火</t>
        </is>
      </c>
      <c r="N78" s="28" t="n">
        <v>1</v>
      </c>
      <c r="O78" s="28" t="inlineStr">
        <is>
          <t>牵制</t>
        </is>
      </c>
      <c r="P78" s="28" t="inlineStr">
        <is>
          <t>advHitBonus</t>
        </is>
      </c>
      <c r="Q78" s="28" t="inlineStr">
        <is>
          <t>none</t>
        </is>
      </c>
      <c r="R78" s="29">
        <f>IFERROR(VLOOKUP($Q78,'04_机制词条库_60条'!$B:$S,2,FALSE),"")</f>
        <v/>
      </c>
      <c r="S78" s="28" t="inlineStr">
        <is>
          <t>正式</t>
        </is>
      </c>
      <c r="T78" s="28" t="inlineStr">
        <is>
          <t>同宠3槽默认同形状；坐标细节放shape_rules.yaml</t>
        </is>
      </c>
    </row>
    <row r="79" ht="22" customHeight="1">
      <c r="A79" s="28" t="inlineStr">
        <is>
          <t>pal_078</t>
        </is>
      </c>
      <c r="B79" s="29">
        <f>IFERROR(VLOOKUP($A79,'01_宠物主表_好读版'!$A:$V,3,FALSE),"")</f>
        <v/>
      </c>
      <c r="C79" s="29">
        <f>IFERROR(VLOOKUP($A79,'01_宠物主表_好读版'!$A:$V,4,FALSE),"")</f>
        <v/>
      </c>
      <c r="D79" s="29">
        <f>IFERROR(VLOOKUP($A79,'01_宠物主表_好读版'!$A:$V,8,FALSE),"")</f>
        <v/>
      </c>
      <c r="E79" s="28" t="inlineStr">
        <is>
          <t>T1</t>
        </is>
      </c>
      <c r="F79" s="28" t="inlineStr">
        <is>
          <t>标准前置T</t>
        </is>
      </c>
      <c r="G79" s="28" t="inlineStr">
        <is>
          <t>T形</t>
        </is>
      </c>
      <c r="H79" s="28" t="n">
        <v>4</v>
      </c>
      <c r="I79" s="28" t="inlineStr">
        <is>
          <t>默认向右</t>
        </is>
      </c>
      <c r="J79" s="28" t="n">
        <v>3</v>
      </c>
      <c r="K79" s="28" t="inlineStr">
        <is>
          <t>土</t>
        </is>
      </c>
      <c r="L79" s="28" t="inlineStr">
        <is>
          <t>土</t>
        </is>
      </c>
      <c r="M79" s="28" t="inlineStr">
        <is>
          <t>土</t>
        </is>
      </c>
      <c r="N79" s="28" t="n">
        <v>1</v>
      </c>
      <c r="O79" s="28" t="inlineStr">
        <is>
          <t>场地</t>
        </is>
      </c>
      <c r="P79" s="28" t="inlineStr">
        <is>
          <t>healAmpBonus</t>
        </is>
      </c>
      <c r="Q79" s="28" t="inlineStr">
        <is>
          <t>none</t>
        </is>
      </c>
      <c r="R79" s="29">
        <f>IFERROR(VLOOKUP($Q79,'04_机制词条库_60条'!$B:$S,2,FALSE),"")</f>
        <v/>
      </c>
      <c r="S79" s="28" t="inlineStr">
        <is>
          <t>正式</t>
        </is>
      </c>
      <c r="T79" s="28" t="inlineStr">
        <is>
          <t>同宠3槽默认同形状；坐标细节放shape_rules.yaml</t>
        </is>
      </c>
    </row>
    <row r="80" ht="22" customHeight="1">
      <c r="A80" s="28" t="inlineStr">
        <is>
          <t>pal_079</t>
        </is>
      </c>
      <c r="B80" s="29">
        <f>IFERROR(VLOOKUP($A80,'01_宠物主表_好读版'!$A:$V,3,FALSE),"")</f>
        <v/>
      </c>
      <c r="C80" s="29">
        <f>IFERROR(VLOOKUP($A80,'01_宠物主表_好读版'!$A:$V,4,FALSE),"")</f>
        <v/>
      </c>
      <c r="D80" s="29">
        <f>IFERROR(VLOOKUP($A80,'01_宠物主表_好读版'!$A:$V,8,FALSE),"")</f>
        <v/>
      </c>
      <c r="E80" s="28" t="inlineStr">
        <is>
          <t>B1</t>
        </is>
      </c>
      <c r="F80" s="28" t="inlineStr">
        <is>
          <t>横扫三格</t>
        </is>
      </c>
      <c r="G80" s="28" t="inlineStr">
        <is>
          <t>横排</t>
        </is>
      </c>
      <c r="H80" s="28" t="n">
        <v>3</v>
      </c>
      <c r="I80" s="28" t="inlineStr">
        <is>
          <t>默认向右</t>
        </is>
      </c>
      <c r="J80" s="28" t="n">
        <v>3</v>
      </c>
      <c r="K80" s="28" t="inlineStr">
        <is>
          <t>火</t>
        </is>
      </c>
      <c r="L80" s="28" t="inlineStr">
        <is>
          <t>火</t>
        </is>
      </c>
      <c r="M80" s="28" t="inlineStr">
        <is>
          <t>火</t>
        </is>
      </c>
      <c r="N80" s="28" t="n">
        <v>1</v>
      </c>
      <c r="O80" s="28" t="inlineStr">
        <is>
          <t>输出</t>
        </is>
      </c>
      <c r="P80" s="28" t="inlineStr">
        <is>
          <t>castleReduce</t>
        </is>
      </c>
      <c r="Q80" s="28" t="inlineStr">
        <is>
          <t>none</t>
        </is>
      </c>
      <c r="R80" s="29">
        <f>IFERROR(VLOOKUP($Q80,'04_机制词条库_60条'!$B:$S,2,FALSE),"")</f>
        <v/>
      </c>
      <c r="S80" s="28" t="inlineStr">
        <is>
          <t>正式</t>
        </is>
      </c>
      <c r="T80" s="28" t="inlineStr">
        <is>
          <t>同宠3槽默认同形状；坐标细节放shape_rules.yaml</t>
        </is>
      </c>
    </row>
    <row r="81" ht="22" customHeight="1">
      <c r="A81" s="28" t="inlineStr">
        <is>
          <t>pal_080</t>
        </is>
      </c>
      <c r="B81" s="29">
        <f>IFERROR(VLOOKUP($A81,'01_宠物主表_好读版'!$A:$V,3,FALSE),"")</f>
        <v/>
      </c>
      <c r="C81" s="29">
        <f>IFERROR(VLOOKUP($A81,'01_宠物主表_好读版'!$A:$V,4,FALSE),"")</f>
        <v/>
      </c>
      <c r="D81" s="29">
        <f>IFERROR(VLOOKUP($A81,'01_宠物主表_好读版'!$A:$V,8,FALSE),"")</f>
        <v/>
      </c>
      <c r="E81" s="28" t="inlineStr">
        <is>
          <t>T1</t>
        </is>
      </c>
      <c r="F81" s="28" t="inlineStr">
        <is>
          <t>标准前置T</t>
        </is>
      </c>
      <c r="G81" s="28" t="inlineStr">
        <is>
          <t>T形</t>
        </is>
      </c>
      <c r="H81" s="28" t="n">
        <v>4</v>
      </c>
      <c r="I81" s="28" t="inlineStr">
        <is>
          <t>默认向右</t>
        </is>
      </c>
      <c r="J81" s="28" t="n">
        <v>3</v>
      </c>
      <c r="K81" s="28" t="inlineStr">
        <is>
          <t>风</t>
        </is>
      </c>
      <c r="L81" s="28" t="inlineStr">
        <is>
          <t>风</t>
        </is>
      </c>
      <c r="M81" s="28" t="inlineStr">
        <is>
          <t>风</t>
        </is>
      </c>
      <c r="N81" s="28" t="n">
        <v>1</v>
      </c>
      <c r="O81" s="28" t="inlineStr">
        <is>
          <t>场地</t>
        </is>
      </c>
      <c r="P81" s="28" t="inlineStr">
        <is>
          <t>healAmpBonus</t>
        </is>
      </c>
      <c r="Q81" s="28" t="inlineStr">
        <is>
          <t>none</t>
        </is>
      </c>
      <c r="R81" s="29">
        <f>IFERROR(VLOOKUP($Q81,'04_机制词条库_60条'!$B:$S,2,FALSE),"")</f>
        <v/>
      </c>
      <c r="S81" s="28" t="inlineStr">
        <is>
          <t>正式</t>
        </is>
      </c>
      <c r="T81" s="28" t="inlineStr">
        <is>
          <t>同宠3槽默认同形状；坐标细节放shape_rules.yaml</t>
        </is>
      </c>
    </row>
    <row r="82" ht="22" customHeight="1">
      <c r="A82" s="28" t="inlineStr">
        <is>
          <t>pal_081</t>
        </is>
      </c>
      <c r="B82" s="29">
        <f>IFERROR(VLOOKUP($A82,'01_宠物主表_好读版'!$A:$V,3,FALSE),"")</f>
        <v/>
      </c>
      <c r="C82" s="29">
        <f>IFERROR(VLOOKUP($A82,'01_宠物主表_好读版'!$A:$V,4,FALSE),"")</f>
        <v/>
      </c>
      <c r="D82" s="29">
        <f>IFERROR(VLOOKUP($A82,'01_宠物主表_好读版'!$A:$V,8,FALSE),"")</f>
        <v/>
      </c>
      <c r="E82" s="28" t="inlineStr">
        <is>
          <t>T1</t>
        </is>
      </c>
      <c r="F82" s="28" t="inlineStr">
        <is>
          <t>标准前置T</t>
        </is>
      </c>
      <c r="G82" s="28" t="inlineStr">
        <is>
          <t>T形</t>
        </is>
      </c>
      <c r="H82" s="28" t="n">
        <v>4</v>
      </c>
      <c r="I82" s="28" t="inlineStr">
        <is>
          <t>默认向右</t>
        </is>
      </c>
      <c r="J82" s="28" t="n">
        <v>3</v>
      </c>
      <c r="K82" s="28" t="inlineStr">
        <is>
          <t>风</t>
        </is>
      </c>
      <c r="L82" s="28" t="inlineStr">
        <is>
          <t>风</t>
        </is>
      </c>
      <c r="M82" s="28" t="inlineStr">
        <is>
          <t>风</t>
        </is>
      </c>
      <c r="N82" s="28" t="n">
        <v>1</v>
      </c>
      <c r="O82" s="28" t="inlineStr">
        <is>
          <t>场地</t>
        </is>
      </c>
      <c r="P82" s="28" t="inlineStr">
        <is>
          <t>healAmpBonus</t>
        </is>
      </c>
      <c r="Q82" s="28" t="inlineStr">
        <is>
          <t>none</t>
        </is>
      </c>
      <c r="R82" s="29">
        <f>IFERROR(VLOOKUP($Q82,'04_机制词条库_60条'!$B:$S,2,FALSE),"")</f>
        <v/>
      </c>
      <c r="S82" s="28" t="inlineStr">
        <is>
          <t>正式</t>
        </is>
      </c>
      <c r="T82" s="28" t="inlineStr">
        <is>
          <t>同宠3槽默认同形状；坐标细节放shape_rules.yaml</t>
        </is>
      </c>
    </row>
    <row r="83" ht="22" customHeight="1">
      <c r="A83" s="28" t="inlineStr">
        <is>
          <t>pal_082</t>
        </is>
      </c>
      <c r="B83" s="29">
        <f>IFERROR(VLOOKUP($A83,'01_宠物主表_好读版'!$A:$V,3,FALSE),"")</f>
        <v/>
      </c>
      <c r="C83" s="29">
        <f>IFERROR(VLOOKUP($A83,'01_宠物主表_好读版'!$A:$V,4,FALSE),"")</f>
        <v/>
      </c>
      <c r="D83" s="29">
        <f>IFERROR(VLOOKUP($A83,'01_宠物主表_好读版'!$A:$V,8,FALSE),"")</f>
        <v/>
      </c>
      <c r="E83" s="28" t="inlineStr">
        <is>
          <t>T1</t>
        </is>
      </c>
      <c r="F83" s="28" t="inlineStr">
        <is>
          <t>标准前置T</t>
        </is>
      </c>
      <c r="G83" s="28" t="inlineStr">
        <is>
          <t>T形</t>
        </is>
      </c>
      <c r="H83" s="28" t="n">
        <v>4</v>
      </c>
      <c r="I83" s="28" t="inlineStr">
        <is>
          <t>默认向右</t>
        </is>
      </c>
      <c r="J83" s="28" t="n">
        <v>3</v>
      </c>
      <c r="K83" s="28" t="inlineStr">
        <is>
          <t>水</t>
        </is>
      </c>
      <c r="L83" s="28" t="inlineStr">
        <is>
          <t>水</t>
        </is>
      </c>
      <c r="M83" s="28" t="inlineStr">
        <is>
          <t>水</t>
        </is>
      </c>
      <c r="N83" s="28" t="n">
        <v>1</v>
      </c>
      <c r="O83" s="28" t="inlineStr">
        <is>
          <t>场地</t>
        </is>
      </c>
      <c r="P83" s="28" t="inlineStr">
        <is>
          <t>healAmpBonus</t>
        </is>
      </c>
      <c r="Q83" s="28" t="inlineStr">
        <is>
          <t>none</t>
        </is>
      </c>
      <c r="R83" s="29">
        <f>IFERROR(VLOOKUP($Q83,'04_机制词条库_60条'!$B:$S,2,FALSE),"")</f>
        <v/>
      </c>
      <c r="S83" s="28" t="inlineStr">
        <is>
          <t>正式</t>
        </is>
      </c>
      <c r="T83" s="28" t="inlineStr">
        <is>
          <t>同宠3槽默认同形状；坐标细节放shape_rules.yaml</t>
        </is>
      </c>
    </row>
    <row r="84" ht="22" customHeight="1">
      <c r="A84" s="28" t="inlineStr">
        <is>
          <t>pal_083</t>
        </is>
      </c>
      <c r="B84" s="29">
        <f>IFERROR(VLOOKUP($A84,'01_宠物主表_好读版'!$A:$V,3,FALSE),"")</f>
        <v/>
      </c>
      <c r="C84" s="29">
        <f>IFERROR(VLOOKUP($A84,'01_宠物主表_好读版'!$A:$V,4,FALSE),"")</f>
        <v/>
      </c>
      <c r="D84" s="29">
        <f>IFERROR(VLOOKUP($A84,'01_宠物主表_好读版'!$A:$V,8,FALSE),"")</f>
        <v/>
      </c>
      <c r="E84" s="28" t="inlineStr">
        <is>
          <t>A1</t>
        </is>
      </c>
      <c r="F84" s="28" t="inlineStr">
        <is>
          <t>单点刺</t>
        </is>
      </c>
      <c r="G84" s="28" t="inlineStr">
        <is>
          <t>单体</t>
        </is>
      </c>
      <c r="H84" s="28" t="n">
        <v>1</v>
      </c>
      <c r="I84" s="28" t="inlineStr">
        <is>
          <t>默认向右</t>
        </is>
      </c>
      <c r="J84" s="28" t="n">
        <v>3</v>
      </c>
      <c r="K84" s="28" t="inlineStr">
        <is>
          <t>风</t>
        </is>
      </c>
      <c r="L84" s="28" t="inlineStr">
        <is>
          <t>风</t>
        </is>
      </c>
      <c r="M84" s="28" t="inlineStr">
        <is>
          <t>风</t>
        </is>
      </c>
      <c r="N84" s="28" t="n">
        <v>1</v>
      </c>
      <c r="O84" s="28" t="inlineStr">
        <is>
          <t>召唤</t>
        </is>
      </c>
      <c r="P84" s="28" t="inlineStr">
        <is>
          <t>summonFromCell</t>
        </is>
      </c>
      <c r="Q84" s="28" t="inlineStr">
        <is>
          <t>none</t>
        </is>
      </c>
      <c r="R84" s="29">
        <f>IFERROR(VLOOKUP($Q84,'04_机制词条库_60条'!$B:$S,2,FALSE),"")</f>
        <v/>
      </c>
      <c r="S84" s="28" t="inlineStr">
        <is>
          <t>正式</t>
        </is>
      </c>
      <c r="T84" s="28" t="inlineStr">
        <is>
          <t>同宠3槽默认同形状；坐标细节放shape_rules.yaml</t>
        </is>
      </c>
    </row>
    <row r="85" ht="22" customHeight="1">
      <c r="A85" s="28" t="inlineStr">
        <is>
          <t>pal_084</t>
        </is>
      </c>
      <c r="B85" s="29">
        <f>IFERROR(VLOOKUP($A85,'01_宠物主表_好读版'!$A:$V,3,FALSE),"")</f>
        <v/>
      </c>
      <c r="C85" s="29">
        <f>IFERROR(VLOOKUP($A85,'01_宠物主表_好读版'!$A:$V,4,FALSE),"")</f>
        <v/>
      </c>
      <c r="D85" s="29">
        <f>IFERROR(VLOOKUP($A85,'01_宠物主表_好读版'!$A:$V,8,FALSE),"")</f>
        <v/>
      </c>
      <c r="E85" s="28" t="inlineStr">
        <is>
          <t>T1</t>
        </is>
      </c>
      <c r="F85" s="28" t="inlineStr">
        <is>
          <t>标准前置T</t>
        </is>
      </c>
      <c r="G85" s="28" t="inlineStr">
        <is>
          <t>T形</t>
        </is>
      </c>
      <c r="H85" s="28" t="n">
        <v>4</v>
      </c>
      <c r="I85" s="28" t="inlineStr">
        <is>
          <t>默认向右</t>
        </is>
      </c>
      <c r="J85" s="28" t="n">
        <v>3</v>
      </c>
      <c r="K85" s="28" t="inlineStr">
        <is>
          <t>水</t>
        </is>
      </c>
      <c r="L85" s="28" t="inlineStr">
        <is>
          <t>水</t>
        </is>
      </c>
      <c r="M85" s="28" t="inlineStr">
        <is>
          <t>水</t>
        </is>
      </c>
      <c r="N85" s="28" t="n">
        <v>1</v>
      </c>
      <c r="O85" s="28" t="inlineStr">
        <is>
          <t>场地</t>
        </is>
      </c>
      <c r="P85" s="28" t="inlineStr">
        <is>
          <t>healAmpBonus</t>
        </is>
      </c>
      <c r="Q85" s="28" t="inlineStr">
        <is>
          <t>none</t>
        </is>
      </c>
      <c r="R85" s="29">
        <f>IFERROR(VLOOKUP($Q85,'04_机制词条库_60条'!$B:$S,2,FALSE),"")</f>
        <v/>
      </c>
      <c r="S85" s="28" t="inlineStr">
        <is>
          <t>正式</t>
        </is>
      </c>
      <c r="T85" s="28" t="inlineStr">
        <is>
          <t>同宠3槽默认同形状；坐标细节放shape_rules.yaml</t>
        </is>
      </c>
    </row>
    <row r="86" ht="22" customHeight="1">
      <c r="A86" s="28" t="inlineStr">
        <is>
          <t>pal_085</t>
        </is>
      </c>
      <c r="B86" s="29">
        <f>IFERROR(VLOOKUP($A86,'01_宠物主表_好读版'!$A:$V,3,FALSE),"")</f>
        <v/>
      </c>
      <c r="C86" s="29">
        <f>IFERROR(VLOOKUP($A86,'01_宠物主表_好读版'!$A:$V,4,FALSE),"")</f>
        <v/>
      </c>
      <c r="D86" s="29">
        <f>IFERROR(VLOOKUP($A86,'01_宠物主表_好读版'!$A:$V,8,FALSE),"")</f>
        <v/>
      </c>
      <c r="E86" s="28" t="inlineStr">
        <is>
          <t>T1</t>
        </is>
      </c>
      <c r="F86" s="28" t="inlineStr">
        <is>
          <t>标准前置T</t>
        </is>
      </c>
      <c r="G86" s="28" t="inlineStr">
        <is>
          <t>T形</t>
        </is>
      </c>
      <c r="H86" s="28" t="n">
        <v>4</v>
      </c>
      <c r="I86" s="28" t="inlineStr">
        <is>
          <t>默认向右</t>
        </is>
      </c>
      <c r="J86" s="28" t="n">
        <v>3</v>
      </c>
      <c r="K86" s="28" t="inlineStr">
        <is>
          <t>水</t>
        </is>
      </c>
      <c r="L86" s="28" t="inlineStr">
        <is>
          <t>水</t>
        </is>
      </c>
      <c r="M86" s="28" t="inlineStr">
        <is>
          <t>水</t>
        </is>
      </c>
      <c r="N86" s="28" t="n">
        <v>1</v>
      </c>
      <c r="O86" s="28" t="inlineStr">
        <is>
          <t>场地</t>
        </is>
      </c>
      <c r="P86" s="28" t="inlineStr">
        <is>
          <t>healAmpBonus</t>
        </is>
      </c>
      <c r="Q86" s="28" t="inlineStr">
        <is>
          <t>none</t>
        </is>
      </c>
      <c r="R86" s="29">
        <f>IFERROR(VLOOKUP($Q86,'04_机制词条库_60条'!$B:$S,2,FALSE),"")</f>
        <v/>
      </c>
      <c r="S86" s="28" t="inlineStr">
        <is>
          <t>正式</t>
        </is>
      </c>
      <c r="T86" s="28" t="inlineStr">
        <is>
          <t>同宠3槽默认同形状；坐标细节放shape_rules.yaml</t>
        </is>
      </c>
    </row>
    <row r="87" ht="22" customHeight="1">
      <c r="A87" s="28" t="inlineStr">
        <is>
          <t>pal_086</t>
        </is>
      </c>
      <c r="B87" s="29">
        <f>IFERROR(VLOOKUP($A87,'01_宠物主表_好读版'!$A:$V,3,FALSE),"")</f>
        <v/>
      </c>
      <c r="C87" s="29">
        <f>IFERROR(VLOOKUP($A87,'01_宠物主表_好读版'!$A:$V,4,FALSE),"")</f>
        <v/>
      </c>
      <c r="D87" s="29">
        <f>IFERROR(VLOOKUP($A87,'01_宠物主表_好读版'!$A:$V,8,FALSE),"")</f>
        <v/>
      </c>
      <c r="E87" s="28" t="inlineStr">
        <is>
          <t>B1</t>
        </is>
      </c>
      <c r="F87" s="28" t="inlineStr">
        <is>
          <t>横扫三格</t>
        </is>
      </c>
      <c r="G87" s="28" t="inlineStr">
        <is>
          <t>横排</t>
        </is>
      </c>
      <c r="H87" s="28" t="n">
        <v>3</v>
      </c>
      <c r="I87" s="28" t="inlineStr">
        <is>
          <t>默认向右</t>
        </is>
      </c>
      <c r="J87" s="28" t="n">
        <v>3</v>
      </c>
      <c r="K87" s="28" t="inlineStr">
        <is>
          <t>火</t>
        </is>
      </c>
      <c r="L87" s="28" t="inlineStr">
        <is>
          <t>火</t>
        </is>
      </c>
      <c r="M87" s="28" t="inlineStr">
        <is>
          <t>火</t>
        </is>
      </c>
      <c r="N87" s="28" t="n">
        <v>1</v>
      </c>
      <c r="O87" s="28" t="inlineStr">
        <is>
          <t>输出</t>
        </is>
      </c>
      <c r="P87" s="28" t="inlineStr">
        <is>
          <t>castleReduce</t>
        </is>
      </c>
      <c r="Q87" s="28" t="inlineStr">
        <is>
          <t>none</t>
        </is>
      </c>
      <c r="R87" s="29">
        <f>IFERROR(VLOOKUP($Q87,'04_机制词条库_60条'!$B:$S,2,FALSE),"")</f>
        <v/>
      </c>
      <c r="S87" s="28" t="inlineStr">
        <is>
          <t>正式</t>
        </is>
      </c>
      <c r="T87" s="28" t="inlineStr">
        <is>
          <t>同宠3槽默认同形状；坐标细节放shape_rules.yaml</t>
        </is>
      </c>
    </row>
    <row r="88" ht="22" customHeight="1">
      <c r="A88" s="28" t="inlineStr">
        <is>
          <t>pal_087</t>
        </is>
      </c>
      <c r="B88" s="29">
        <f>IFERROR(VLOOKUP($A88,'01_宠物主表_好读版'!$A:$V,3,FALSE),"")</f>
        <v/>
      </c>
      <c r="C88" s="29">
        <f>IFERROR(VLOOKUP($A88,'01_宠物主表_好读版'!$A:$V,4,FALSE),"")</f>
        <v/>
      </c>
      <c r="D88" s="29">
        <f>IFERROR(VLOOKUP($A88,'01_宠物主表_好读版'!$A:$V,8,FALSE),"")</f>
        <v/>
      </c>
      <c r="E88" s="28" t="inlineStr">
        <is>
          <t>T1</t>
        </is>
      </c>
      <c r="F88" s="28" t="inlineStr">
        <is>
          <t>标准前置T</t>
        </is>
      </c>
      <c r="G88" s="28" t="inlineStr">
        <is>
          <t>T形</t>
        </is>
      </c>
      <c r="H88" s="28" t="n">
        <v>4</v>
      </c>
      <c r="I88" s="28" t="inlineStr">
        <is>
          <t>默认向右</t>
        </is>
      </c>
      <c r="J88" s="28" t="n">
        <v>3</v>
      </c>
      <c r="K88" s="28" t="inlineStr">
        <is>
          <t>水</t>
        </is>
      </c>
      <c r="L88" s="28" t="inlineStr">
        <is>
          <t>水</t>
        </is>
      </c>
      <c r="M88" s="28" t="inlineStr">
        <is>
          <t>水</t>
        </is>
      </c>
      <c r="N88" s="28" t="n">
        <v>1</v>
      </c>
      <c r="O88" s="28" t="inlineStr">
        <is>
          <t>场地</t>
        </is>
      </c>
      <c r="P88" s="28" t="inlineStr">
        <is>
          <t>healAmpBonus</t>
        </is>
      </c>
      <c r="Q88" s="28" t="inlineStr">
        <is>
          <t>none</t>
        </is>
      </c>
      <c r="R88" s="29">
        <f>IFERROR(VLOOKUP($Q88,'04_机制词条库_60条'!$B:$S,2,FALSE),"")</f>
        <v/>
      </c>
      <c r="S88" s="28" t="inlineStr">
        <is>
          <t>正式</t>
        </is>
      </c>
      <c r="T88" s="28" t="inlineStr">
        <is>
          <t>同宠3槽默认同形状；坐标细节放shape_rules.yaml</t>
        </is>
      </c>
    </row>
    <row r="89" ht="22" customHeight="1">
      <c r="A89" s="28" t="inlineStr">
        <is>
          <t>pal_088</t>
        </is>
      </c>
      <c r="B89" s="29">
        <f>IFERROR(VLOOKUP($A89,'01_宠物主表_好读版'!$A:$V,3,FALSE),"")</f>
        <v/>
      </c>
      <c r="C89" s="29">
        <f>IFERROR(VLOOKUP($A89,'01_宠物主表_好读版'!$A:$V,4,FALSE),"")</f>
        <v/>
      </c>
      <c r="D89" s="29">
        <f>IFERROR(VLOOKUP($A89,'01_宠物主表_好读版'!$A:$V,8,FALSE),"")</f>
        <v/>
      </c>
      <c r="E89" s="28" t="inlineStr">
        <is>
          <t>B1</t>
        </is>
      </c>
      <c r="F89" s="28" t="inlineStr">
        <is>
          <t>横扫三格</t>
        </is>
      </c>
      <c r="G89" s="28" t="inlineStr">
        <is>
          <t>横排</t>
        </is>
      </c>
      <c r="H89" s="28" t="n">
        <v>3</v>
      </c>
      <c r="I89" s="28" t="inlineStr">
        <is>
          <t>默认向右</t>
        </is>
      </c>
      <c r="J89" s="28" t="n">
        <v>3</v>
      </c>
      <c r="K89" s="28" t="inlineStr">
        <is>
          <t>水</t>
        </is>
      </c>
      <c r="L89" s="28" t="inlineStr">
        <is>
          <t>水</t>
        </is>
      </c>
      <c r="M89" s="28" t="inlineStr">
        <is>
          <t>水</t>
        </is>
      </c>
      <c r="N89" s="28" t="n">
        <v>1</v>
      </c>
      <c r="O89" s="28" t="inlineStr">
        <is>
          <t>阻挡</t>
        </is>
      </c>
      <c r="P89" s="28" t="inlineStr">
        <is>
          <t>castleReduce</t>
        </is>
      </c>
      <c r="Q89" s="28" t="inlineStr">
        <is>
          <t>none</t>
        </is>
      </c>
      <c r="R89" s="29">
        <f>IFERROR(VLOOKUP($Q89,'04_机制词条库_60条'!$B:$S,2,FALSE),"")</f>
        <v/>
      </c>
      <c r="S89" s="28" t="inlineStr">
        <is>
          <t>正式</t>
        </is>
      </c>
      <c r="T89" s="28" t="inlineStr">
        <is>
          <t>同宠3槽默认同形状；坐标细节放shape_rules.yaml</t>
        </is>
      </c>
    </row>
    <row r="90" ht="22" customHeight="1">
      <c r="A90" s="28" t="inlineStr">
        <is>
          <t>pal_089</t>
        </is>
      </c>
      <c r="B90" s="29">
        <f>IFERROR(VLOOKUP($A90,'01_宠物主表_好读版'!$A:$V,3,FALSE),"")</f>
        <v/>
      </c>
      <c r="C90" s="29">
        <f>IFERROR(VLOOKUP($A90,'01_宠物主表_好读版'!$A:$V,4,FALSE),"")</f>
        <v/>
      </c>
      <c r="D90" s="29">
        <f>IFERROR(VLOOKUP($A90,'01_宠物主表_好读版'!$A:$V,8,FALSE),"")</f>
        <v/>
      </c>
      <c r="E90" s="28" t="inlineStr">
        <is>
          <t>B1</t>
        </is>
      </c>
      <c r="F90" s="28" t="inlineStr">
        <is>
          <t>横扫三格</t>
        </is>
      </c>
      <c r="G90" s="28" t="inlineStr">
        <is>
          <t>横排</t>
        </is>
      </c>
      <c r="H90" s="28" t="n">
        <v>3</v>
      </c>
      <c r="I90" s="28" t="inlineStr">
        <is>
          <t>默认向右</t>
        </is>
      </c>
      <c r="J90" s="28" t="n">
        <v>3</v>
      </c>
      <c r="K90" s="28" t="inlineStr">
        <is>
          <t>火</t>
        </is>
      </c>
      <c r="L90" s="28" t="inlineStr">
        <is>
          <t>火</t>
        </is>
      </c>
      <c r="M90" s="28" t="inlineStr">
        <is>
          <t>火</t>
        </is>
      </c>
      <c r="N90" s="28" t="n">
        <v>1</v>
      </c>
      <c r="O90" s="28" t="inlineStr">
        <is>
          <t>输出</t>
        </is>
      </c>
      <c r="P90" s="28" t="inlineStr">
        <is>
          <t>castleReduce</t>
        </is>
      </c>
      <c r="Q90" s="28" t="inlineStr">
        <is>
          <t>none</t>
        </is>
      </c>
      <c r="R90" s="29">
        <f>IFERROR(VLOOKUP($Q90,'04_机制词条库_60条'!$B:$S,2,FALSE),"")</f>
        <v/>
      </c>
      <c r="S90" s="28" t="inlineStr">
        <is>
          <t>正式</t>
        </is>
      </c>
      <c r="T90" s="28" t="inlineStr">
        <is>
          <t>同宠3槽默认同形状；坐标细节放shape_rules.yaml</t>
        </is>
      </c>
    </row>
    <row r="91" ht="22" customHeight="1">
      <c r="A91" s="28" t="inlineStr">
        <is>
          <t>pal_090</t>
        </is>
      </c>
      <c r="B91" s="29">
        <f>IFERROR(VLOOKUP($A91,'01_宠物主表_好读版'!$A:$V,3,FALSE),"")</f>
        <v/>
      </c>
      <c r="C91" s="29">
        <f>IFERROR(VLOOKUP($A91,'01_宠物主表_好读版'!$A:$V,4,FALSE),"")</f>
        <v/>
      </c>
      <c r="D91" s="29">
        <f>IFERROR(VLOOKUP($A91,'01_宠物主表_好读版'!$A:$V,8,FALSE),"")</f>
        <v/>
      </c>
      <c r="E91" s="28" t="inlineStr">
        <is>
          <t>B1</t>
        </is>
      </c>
      <c r="F91" s="28" t="inlineStr">
        <is>
          <t>横扫三格</t>
        </is>
      </c>
      <c r="G91" s="28" t="inlineStr">
        <is>
          <t>横排</t>
        </is>
      </c>
      <c r="H91" s="28" t="n">
        <v>3</v>
      </c>
      <c r="I91" s="28" t="inlineStr">
        <is>
          <t>默认向右</t>
        </is>
      </c>
      <c r="J91" s="28" t="n">
        <v>3</v>
      </c>
      <c r="K91" s="28" t="inlineStr">
        <is>
          <t>火</t>
        </is>
      </c>
      <c r="L91" s="28" t="inlineStr">
        <is>
          <t>火</t>
        </is>
      </c>
      <c r="M91" s="28" t="inlineStr">
        <is>
          <t>火</t>
        </is>
      </c>
      <c r="N91" s="28" t="n">
        <v>1</v>
      </c>
      <c r="O91" s="28" t="inlineStr">
        <is>
          <t>输出</t>
        </is>
      </c>
      <c r="P91" s="28" t="inlineStr">
        <is>
          <t>castleReduce</t>
        </is>
      </c>
      <c r="Q91" s="28" t="inlineStr">
        <is>
          <t>none</t>
        </is>
      </c>
      <c r="R91" s="29">
        <f>IFERROR(VLOOKUP($Q91,'04_机制词条库_60条'!$B:$S,2,FALSE),"")</f>
        <v/>
      </c>
      <c r="S91" s="28" t="inlineStr">
        <is>
          <t>正式</t>
        </is>
      </c>
      <c r="T91" s="28" t="inlineStr">
        <is>
          <t>同宠3槽默认同形状；坐标细节放shape_rules.yaml</t>
        </is>
      </c>
    </row>
    <row r="92" ht="22" customHeight="1">
      <c r="A92" s="28" t="inlineStr">
        <is>
          <t>pal_091</t>
        </is>
      </c>
      <c r="B92" s="29">
        <f>IFERROR(VLOOKUP($A92,'01_宠物主表_好读版'!$A:$V,3,FALSE),"")</f>
        <v/>
      </c>
      <c r="C92" s="29">
        <f>IFERROR(VLOOKUP($A92,'01_宠物主表_好读版'!$A:$V,4,FALSE),"")</f>
        <v/>
      </c>
      <c r="D92" s="29">
        <f>IFERROR(VLOOKUP($A92,'01_宠物主表_好读版'!$A:$V,8,FALSE),"")</f>
        <v/>
      </c>
      <c r="E92" s="28" t="inlineStr">
        <is>
          <t>B1</t>
        </is>
      </c>
      <c r="F92" s="28" t="inlineStr">
        <is>
          <t>横扫三格</t>
        </is>
      </c>
      <c r="G92" s="28" t="inlineStr">
        <is>
          <t>横排</t>
        </is>
      </c>
      <c r="H92" s="28" t="n">
        <v>3</v>
      </c>
      <c r="I92" s="28" t="inlineStr">
        <is>
          <t>默认向右</t>
        </is>
      </c>
      <c r="J92" s="28" t="n">
        <v>3</v>
      </c>
      <c r="K92" s="28" t="inlineStr">
        <is>
          <t>水</t>
        </is>
      </c>
      <c r="L92" s="28" t="inlineStr">
        <is>
          <t>水</t>
        </is>
      </c>
      <c r="M92" s="28" t="inlineStr">
        <is>
          <t>水</t>
        </is>
      </c>
      <c r="N92" s="28" t="n">
        <v>1</v>
      </c>
      <c r="O92" s="28" t="inlineStr">
        <is>
          <t>阻挡</t>
        </is>
      </c>
      <c r="P92" s="28" t="inlineStr">
        <is>
          <t>castleReduce</t>
        </is>
      </c>
      <c r="Q92" s="28" t="inlineStr">
        <is>
          <t>none</t>
        </is>
      </c>
      <c r="R92" s="29">
        <f>IFERROR(VLOOKUP($Q92,'04_机制词条库_60条'!$B:$S,2,FALSE),"")</f>
        <v/>
      </c>
      <c r="S92" s="28" t="inlineStr">
        <is>
          <t>正式</t>
        </is>
      </c>
      <c r="T92" s="28" t="inlineStr">
        <is>
          <t>同宠3槽默认同形状；坐标细节放shape_rules.yaml</t>
        </is>
      </c>
    </row>
    <row r="93" ht="22" customHeight="1">
      <c r="A93" s="28" t="inlineStr">
        <is>
          <t>pal_092</t>
        </is>
      </c>
      <c r="B93" s="29">
        <f>IFERROR(VLOOKUP($A93,'01_宠物主表_好读版'!$A:$V,3,FALSE),"")</f>
        <v/>
      </c>
      <c r="C93" s="29">
        <f>IFERROR(VLOOKUP($A93,'01_宠物主表_好读版'!$A:$V,4,FALSE),"")</f>
        <v/>
      </c>
      <c r="D93" s="29">
        <f>IFERROR(VLOOKUP($A93,'01_宠物主表_好读版'!$A:$V,8,FALSE),"")</f>
        <v/>
      </c>
      <c r="E93" s="28" t="inlineStr">
        <is>
          <t>T2</t>
        </is>
      </c>
      <c r="F93" s="28" t="inlineStr">
        <is>
          <t>长柄T</t>
        </is>
      </c>
      <c r="G93" s="28" t="inlineStr">
        <is>
          <t>T形</t>
        </is>
      </c>
      <c r="H93" s="28" t="n">
        <v>4</v>
      </c>
      <c r="I93" s="28" t="inlineStr">
        <is>
          <t>默认向右</t>
        </is>
      </c>
      <c r="J93" s="28" t="n">
        <v>3</v>
      </c>
      <c r="K93" s="28" t="inlineStr">
        <is>
          <t>风</t>
        </is>
      </c>
      <c r="L93" s="28" t="inlineStr">
        <is>
          <t>风</t>
        </is>
      </c>
      <c r="M93" s="28" t="inlineStr">
        <is>
          <t>风</t>
        </is>
      </c>
      <c r="N93" s="28" t="n">
        <v>1</v>
      </c>
      <c r="O93" s="28" t="inlineStr">
        <is>
          <t>牵制</t>
        </is>
      </c>
      <c r="P93" s="28" t="inlineStr">
        <is>
          <t>advHitBonus</t>
        </is>
      </c>
      <c r="Q93" s="28" t="inlineStr">
        <is>
          <t>none</t>
        </is>
      </c>
      <c r="R93" s="29">
        <f>IFERROR(VLOOKUP($Q93,'04_机制词条库_60条'!$B:$S,2,FALSE),"")</f>
        <v/>
      </c>
      <c r="S93" s="28" t="inlineStr">
        <is>
          <t>正式</t>
        </is>
      </c>
      <c r="T93" s="28" t="inlineStr">
        <is>
          <t>同宠3槽默认同形状；坐标细节放shape_rules.yaml</t>
        </is>
      </c>
    </row>
    <row r="94" ht="22" customHeight="1">
      <c r="A94" s="28" t="inlineStr">
        <is>
          <t>pal_093</t>
        </is>
      </c>
      <c r="B94" s="29">
        <f>IFERROR(VLOOKUP($A94,'01_宠物主表_好读版'!$A:$V,3,FALSE),"")</f>
        <v/>
      </c>
      <c r="C94" s="29">
        <f>IFERROR(VLOOKUP($A94,'01_宠物主表_好读版'!$A:$V,4,FALSE),"")</f>
        <v/>
      </c>
      <c r="D94" s="29">
        <f>IFERROR(VLOOKUP($A94,'01_宠物主表_好读版'!$A:$V,8,FALSE),"")</f>
        <v/>
      </c>
      <c r="E94" s="28" t="inlineStr">
        <is>
          <t>A1</t>
        </is>
      </c>
      <c r="F94" s="28" t="inlineStr">
        <is>
          <t>单点刺</t>
        </is>
      </c>
      <c r="G94" s="28" t="inlineStr">
        <is>
          <t>单体</t>
        </is>
      </c>
      <c r="H94" s="28" t="n">
        <v>1</v>
      </c>
      <c r="I94" s="28" t="inlineStr">
        <is>
          <t>默认向右</t>
        </is>
      </c>
      <c r="J94" s="28" t="n">
        <v>3</v>
      </c>
      <c r="K94" s="28" t="inlineStr">
        <is>
          <t>风</t>
        </is>
      </c>
      <c r="L94" s="28" t="inlineStr">
        <is>
          <t>风</t>
        </is>
      </c>
      <c r="M94" s="28" t="inlineStr">
        <is>
          <t>风</t>
        </is>
      </c>
      <c r="N94" s="28" t="n">
        <v>1</v>
      </c>
      <c r="O94" s="28" t="inlineStr">
        <is>
          <t>召唤</t>
        </is>
      </c>
      <c r="P94" s="28" t="inlineStr">
        <is>
          <t>summonFromCell</t>
        </is>
      </c>
      <c r="Q94" s="28" t="inlineStr">
        <is>
          <t>none</t>
        </is>
      </c>
      <c r="R94" s="29">
        <f>IFERROR(VLOOKUP($Q94,'04_机制词条库_60条'!$B:$S,2,FALSE),"")</f>
        <v/>
      </c>
      <c r="S94" s="28" t="inlineStr">
        <is>
          <t>正式</t>
        </is>
      </c>
      <c r="T94" s="28" t="inlineStr">
        <is>
          <t>同宠3槽默认同形状；坐标细节放shape_rules.yaml</t>
        </is>
      </c>
    </row>
    <row r="95" ht="22" customHeight="1">
      <c r="A95" s="28" t="inlineStr">
        <is>
          <t>pal_094</t>
        </is>
      </c>
      <c r="B95" s="29">
        <f>IFERROR(VLOOKUP($A95,'01_宠物主表_好读版'!$A:$V,3,FALSE),"")</f>
        <v/>
      </c>
      <c r="C95" s="29">
        <f>IFERROR(VLOOKUP($A95,'01_宠物主表_好读版'!$A:$V,4,FALSE),"")</f>
        <v/>
      </c>
      <c r="D95" s="29">
        <f>IFERROR(VLOOKUP($A95,'01_宠物主表_好读版'!$A:$V,8,FALSE),"")</f>
        <v/>
      </c>
      <c r="E95" s="28" t="inlineStr">
        <is>
          <t>T1</t>
        </is>
      </c>
      <c r="F95" s="28" t="inlineStr">
        <is>
          <t>标准前置T</t>
        </is>
      </c>
      <c r="G95" s="28" t="inlineStr">
        <is>
          <t>T形</t>
        </is>
      </c>
      <c r="H95" s="28" t="n">
        <v>4</v>
      </c>
      <c r="I95" s="28" t="inlineStr">
        <is>
          <t>默认向右</t>
        </is>
      </c>
      <c r="J95" s="28" t="n">
        <v>3</v>
      </c>
      <c r="K95" s="28" t="inlineStr">
        <is>
          <t>水</t>
        </is>
      </c>
      <c r="L95" s="28" t="inlineStr">
        <is>
          <t>水</t>
        </is>
      </c>
      <c r="M95" s="28" t="inlineStr">
        <is>
          <t>水</t>
        </is>
      </c>
      <c r="N95" s="28" t="n">
        <v>1</v>
      </c>
      <c r="O95" s="28" t="inlineStr">
        <is>
          <t>场地</t>
        </is>
      </c>
      <c r="P95" s="28" t="inlineStr">
        <is>
          <t>healAmpBonus</t>
        </is>
      </c>
      <c r="Q95" s="28" t="inlineStr">
        <is>
          <t>none</t>
        </is>
      </c>
      <c r="R95" s="29">
        <f>IFERROR(VLOOKUP($Q95,'04_机制词条库_60条'!$B:$S,2,FALSE),"")</f>
        <v/>
      </c>
      <c r="S95" s="28" t="inlineStr">
        <is>
          <t>正式</t>
        </is>
      </c>
      <c r="T95" s="28" t="inlineStr">
        <is>
          <t>同宠3槽默认同形状；坐标细节放shape_rules.yaml</t>
        </is>
      </c>
    </row>
    <row r="96" ht="22" customHeight="1">
      <c r="A96" s="28" t="inlineStr">
        <is>
          <t>pal_095</t>
        </is>
      </c>
      <c r="B96" s="29">
        <f>IFERROR(VLOOKUP($A96,'01_宠物主表_好读版'!$A:$V,3,FALSE),"")</f>
        <v/>
      </c>
      <c r="C96" s="29">
        <f>IFERROR(VLOOKUP($A96,'01_宠物主表_好读版'!$A:$V,4,FALSE),"")</f>
        <v/>
      </c>
      <c r="D96" s="29">
        <f>IFERROR(VLOOKUP($A96,'01_宠物主表_好读版'!$A:$V,8,FALSE),"")</f>
        <v/>
      </c>
      <c r="E96" s="28" t="inlineStr">
        <is>
          <t>T1</t>
        </is>
      </c>
      <c r="F96" s="28" t="inlineStr">
        <is>
          <t>标准前置T</t>
        </is>
      </c>
      <c r="G96" s="28" t="inlineStr">
        <is>
          <t>T形</t>
        </is>
      </c>
      <c r="H96" s="28" t="n">
        <v>4</v>
      </c>
      <c r="I96" s="28" t="inlineStr">
        <is>
          <t>默认向右</t>
        </is>
      </c>
      <c r="J96" s="28" t="n">
        <v>3</v>
      </c>
      <c r="K96" s="28" t="inlineStr">
        <is>
          <t>风</t>
        </is>
      </c>
      <c r="L96" s="28" t="inlineStr">
        <is>
          <t>风</t>
        </is>
      </c>
      <c r="M96" s="28" t="inlineStr">
        <is>
          <t>风</t>
        </is>
      </c>
      <c r="N96" s="28" t="n">
        <v>1</v>
      </c>
      <c r="O96" s="28" t="inlineStr">
        <is>
          <t>场地</t>
        </is>
      </c>
      <c r="P96" s="28" t="inlineStr">
        <is>
          <t>healAmpBonus</t>
        </is>
      </c>
      <c r="Q96" s="28" t="inlineStr">
        <is>
          <t>none</t>
        </is>
      </c>
      <c r="R96" s="29">
        <f>IFERROR(VLOOKUP($Q96,'04_机制词条库_60条'!$B:$S,2,FALSE),"")</f>
        <v/>
      </c>
      <c r="S96" s="28" t="inlineStr">
        <is>
          <t>正式</t>
        </is>
      </c>
      <c r="T96" s="28" t="inlineStr">
        <is>
          <t>同宠3槽默认同形状；坐标细节放shape_rules.yaml</t>
        </is>
      </c>
    </row>
    <row r="97" ht="22" customHeight="1">
      <c r="A97" s="28" t="inlineStr">
        <is>
          <t>pal_096</t>
        </is>
      </c>
      <c r="B97" s="29">
        <f>IFERROR(VLOOKUP($A97,'01_宠物主表_好读版'!$A:$V,3,FALSE),"")</f>
        <v/>
      </c>
      <c r="C97" s="29">
        <f>IFERROR(VLOOKUP($A97,'01_宠物主表_好读版'!$A:$V,4,FALSE),"")</f>
        <v/>
      </c>
      <c r="D97" s="29">
        <f>IFERROR(VLOOKUP($A97,'01_宠物主表_好读版'!$A:$V,8,FALSE),"")</f>
        <v/>
      </c>
      <c r="E97" s="28" t="inlineStr">
        <is>
          <t>B1</t>
        </is>
      </c>
      <c r="F97" s="28" t="inlineStr">
        <is>
          <t>横扫三格</t>
        </is>
      </c>
      <c r="G97" s="28" t="inlineStr">
        <is>
          <t>横排</t>
        </is>
      </c>
      <c r="H97" s="28" t="n">
        <v>3</v>
      </c>
      <c r="I97" s="28" t="inlineStr">
        <is>
          <t>默认向右</t>
        </is>
      </c>
      <c r="J97" s="28" t="n">
        <v>3</v>
      </c>
      <c r="K97" s="28" t="inlineStr">
        <is>
          <t>火</t>
        </is>
      </c>
      <c r="L97" s="28" t="inlineStr">
        <is>
          <t>火</t>
        </is>
      </c>
      <c r="M97" s="28" t="inlineStr">
        <is>
          <t>火</t>
        </is>
      </c>
      <c r="N97" s="28" t="n">
        <v>1</v>
      </c>
      <c r="O97" s="28" t="inlineStr">
        <is>
          <t>阻挡</t>
        </is>
      </c>
      <c r="P97" s="28" t="inlineStr">
        <is>
          <t>castleReduce</t>
        </is>
      </c>
      <c r="Q97" s="28" t="inlineStr">
        <is>
          <t>none</t>
        </is>
      </c>
      <c r="R97" s="29">
        <f>IFERROR(VLOOKUP($Q97,'04_机制词条库_60条'!$B:$S,2,FALSE),"")</f>
        <v/>
      </c>
      <c r="S97" s="28" t="inlineStr">
        <is>
          <t>正式</t>
        </is>
      </c>
      <c r="T97" s="28" t="inlineStr">
        <is>
          <t>同宠3槽默认同形状；坐标细节放shape_rules.yaml</t>
        </is>
      </c>
    </row>
    <row r="98" ht="22" customHeight="1">
      <c r="A98" s="28" t="inlineStr">
        <is>
          <t>pal_097</t>
        </is>
      </c>
      <c r="B98" s="29">
        <f>IFERROR(VLOOKUP($A98,'01_宠物主表_好读版'!$A:$V,3,FALSE),"")</f>
        <v/>
      </c>
      <c r="C98" s="29">
        <f>IFERROR(VLOOKUP($A98,'01_宠物主表_好读版'!$A:$V,4,FALSE),"")</f>
        <v/>
      </c>
      <c r="D98" s="29">
        <f>IFERROR(VLOOKUP($A98,'01_宠物主表_好读版'!$A:$V,8,FALSE),"")</f>
        <v/>
      </c>
      <c r="E98" s="28" t="inlineStr">
        <is>
          <t>B1</t>
        </is>
      </c>
      <c r="F98" s="28" t="inlineStr">
        <is>
          <t>横扫三格</t>
        </is>
      </c>
      <c r="G98" s="28" t="inlineStr">
        <is>
          <t>横排</t>
        </is>
      </c>
      <c r="H98" s="28" t="n">
        <v>3</v>
      </c>
      <c r="I98" s="28" t="inlineStr">
        <is>
          <t>默认向右</t>
        </is>
      </c>
      <c r="J98" s="28" t="n">
        <v>3</v>
      </c>
      <c r="K98" s="28" t="inlineStr">
        <is>
          <t>水</t>
        </is>
      </c>
      <c r="L98" s="28" t="inlineStr">
        <is>
          <t>水</t>
        </is>
      </c>
      <c r="M98" s="28" t="inlineStr">
        <is>
          <t>水</t>
        </is>
      </c>
      <c r="N98" s="28" t="n">
        <v>1</v>
      </c>
      <c r="O98" s="28" t="inlineStr">
        <is>
          <t>阻挡</t>
        </is>
      </c>
      <c r="P98" s="28" t="inlineStr">
        <is>
          <t>castleReduce</t>
        </is>
      </c>
      <c r="Q98" s="28" t="inlineStr">
        <is>
          <t>none</t>
        </is>
      </c>
      <c r="R98" s="29">
        <f>IFERROR(VLOOKUP($Q98,'04_机制词条库_60条'!$B:$S,2,FALSE),"")</f>
        <v/>
      </c>
      <c r="S98" s="28" t="inlineStr">
        <is>
          <t>正式</t>
        </is>
      </c>
      <c r="T98" s="28" t="inlineStr">
        <is>
          <t>同宠3槽默认同形状；坐标细节放shape_rules.yaml</t>
        </is>
      </c>
    </row>
    <row r="99" ht="22" customHeight="1">
      <c r="A99" s="28" t="inlineStr">
        <is>
          <t>pal_098</t>
        </is>
      </c>
      <c r="B99" s="29">
        <f>IFERROR(VLOOKUP($A99,'01_宠物主表_好读版'!$A:$V,3,FALSE),"")</f>
        <v/>
      </c>
      <c r="C99" s="29">
        <f>IFERROR(VLOOKUP($A99,'01_宠物主表_好读版'!$A:$V,4,FALSE),"")</f>
        <v/>
      </c>
      <c r="D99" s="29">
        <f>IFERROR(VLOOKUP($A99,'01_宠物主表_好读版'!$A:$V,8,FALSE),"")</f>
        <v/>
      </c>
      <c r="E99" s="28" t="inlineStr">
        <is>
          <t>A1</t>
        </is>
      </c>
      <c r="F99" s="28" t="inlineStr">
        <is>
          <t>单点刺</t>
        </is>
      </c>
      <c r="G99" s="28" t="inlineStr">
        <is>
          <t>单体</t>
        </is>
      </c>
      <c r="H99" s="28" t="n">
        <v>1</v>
      </c>
      <c r="I99" s="28" t="inlineStr">
        <is>
          <t>默认向右</t>
        </is>
      </c>
      <c r="J99" s="28" t="n">
        <v>3</v>
      </c>
      <c r="K99" s="28" t="inlineStr">
        <is>
          <t>风</t>
        </is>
      </c>
      <c r="L99" s="28" t="inlineStr">
        <is>
          <t>风</t>
        </is>
      </c>
      <c r="M99" s="28" t="inlineStr">
        <is>
          <t>风</t>
        </is>
      </c>
      <c r="N99" s="28" t="n">
        <v>1</v>
      </c>
      <c r="O99" s="28" t="inlineStr">
        <is>
          <t>召唤</t>
        </is>
      </c>
      <c r="P99" s="28" t="inlineStr">
        <is>
          <t>buffAllSummons</t>
        </is>
      </c>
      <c r="Q99" s="28" t="inlineStr">
        <is>
          <t>none</t>
        </is>
      </c>
      <c r="R99" s="29">
        <f>IFERROR(VLOOKUP($Q99,'04_机制词条库_60条'!$B:$S,2,FALSE),"")</f>
        <v/>
      </c>
      <c r="S99" s="28" t="inlineStr">
        <is>
          <t>正式</t>
        </is>
      </c>
      <c r="T99" s="28" t="inlineStr">
        <is>
          <t>同宠3槽默认同形状；坐标细节放shape_rules.yaml</t>
        </is>
      </c>
    </row>
    <row r="100" ht="22" customHeight="1">
      <c r="A100" s="28" t="inlineStr">
        <is>
          <t>pal_099</t>
        </is>
      </c>
      <c r="B100" s="29">
        <f>IFERROR(VLOOKUP($A100,'01_宠物主表_好读版'!$A:$V,3,FALSE),"")</f>
        <v/>
      </c>
      <c r="C100" s="29">
        <f>IFERROR(VLOOKUP($A100,'01_宠物主表_好读版'!$A:$V,4,FALSE),"")</f>
        <v/>
      </c>
      <c r="D100" s="29">
        <f>IFERROR(VLOOKUP($A100,'01_宠物主表_好读版'!$A:$V,8,FALSE),"")</f>
        <v/>
      </c>
      <c r="E100" s="28" t="inlineStr">
        <is>
          <t>B1</t>
        </is>
      </c>
      <c r="F100" s="28" t="inlineStr">
        <is>
          <t>横扫三格</t>
        </is>
      </c>
      <c r="G100" s="28" t="inlineStr">
        <is>
          <t>横排</t>
        </is>
      </c>
      <c r="H100" s="28" t="n">
        <v>3</v>
      </c>
      <c r="I100" s="28" t="inlineStr">
        <is>
          <t>默认向右</t>
        </is>
      </c>
      <c r="J100" s="28" t="n">
        <v>3</v>
      </c>
      <c r="K100" s="28" t="inlineStr">
        <is>
          <t>水</t>
        </is>
      </c>
      <c r="L100" s="28" t="inlineStr">
        <is>
          <t>水</t>
        </is>
      </c>
      <c r="M100" s="28" t="inlineStr">
        <is>
          <t>水</t>
        </is>
      </c>
      <c r="N100" s="28" t="n">
        <v>1</v>
      </c>
      <c r="O100" s="28" t="inlineStr">
        <is>
          <t>阻挡</t>
        </is>
      </c>
      <c r="P100" s="28" t="inlineStr">
        <is>
          <t>castleReduce</t>
        </is>
      </c>
      <c r="Q100" s="28" t="inlineStr">
        <is>
          <t>none</t>
        </is>
      </c>
      <c r="R100" s="29">
        <f>IFERROR(VLOOKUP($Q100,'04_机制词条库_60条'!$B:$S,2,FALSE),"")</f>
        <v/>
      </c>
      <c r="S100" s="28" t="inlineStr">
        <is>
          <t>正式</t>
        </is>
      </c>
      <c r="T100" s="28" t="inlineStr">
        <is>
          <t>同宠3槽默认同形状；坐标细节放shape_rules.yaml</t>
        </is>
      </c>
    </row>
    <row r="101" ht="22" customHeight="1">
      <c r="A101" s="28" t="inlineStr">
        <is>
          <t>pal_100</t>
        </is>
      </c>
      <c r="B101" s="29">
        <f>IFERROR(VLOOKUP($A101,'01_宠物主表_好读版'!$A:$V,3,FALSE),"")</f>
        <v/>
      </c>
      <c r="C101" s="29">
        <f>IFERROR(VLOOKUP($A101,'01_宠物主表_好读版'!$A:$V,4,FALSE),"")</f>
        <v/>
      </c>
      <c r="D101" s="29">
        <f>IFERROR(VLOOKUP($A101,'01_宠物主表_好读版'!$A:$V,8,FALSE),"")</f>
        <v/>
      </c>
      <c r="E101" s="28" t="inlineStr">
        <is>
          <t>B1</t>
        </is>
      </c>
      <c r="F101" s="28" t="inlineStr">
        <is>
          <t>横扫三格</t>
        </is>
      </c>
      <c r="G101" s="28" t="inlineStr">
        <is>
          <t>横排</t>
        </is>
      </c>
      <c r="H101" s="28" t="n">
        <v>3</v>
      </c>
      <c r="I101" s="28" t="inlineStr">
        <is>
          <t>默认向右</t>
        </is>
      </c>
      <c r="J101" s="28" t="n">
        <v>3</v>
      </c>
      <c r="K101" s="28" t="inlineStr">
        <is>
          <t>风</t>
        </is>
      </c>
      <c r="L101" s="28" t="inlineStr">
        <is>
          <t>风</t>
        </is>
      </c>
      <c r="M101" s="28" t="inlineStr">
        <is>
          <t>风</t>
        </is>
      </c>
      <c r="N101" s="28" t="n">
        <v>1</v>
      </c>
      <c r="O101" s="28" t="inlineStr">
        <is>
          <t>阻挡</t>
        </is>
      </c>
      <c r="P101" s="28" t="inlineStr">
        <is>
          <t>castleReduce</t>
        </is>
      </c>
      <c r="Q101" s="28" t="inlineStr">
        <is>
          <t>none</t>
        </is>
      </c>
      <c r="R101" s="29">
        <f>IFERROR(VLOOKUP($Q101,'04_机制词条库_60条'!$B:$S,2,FALSE),"")</f>
        <v/>
      </c>
      <c r="S101" s="28" t="inlineStr">
        <is>
          <t>正式</t>
        </is>
      </c>
      <c r="T101" s="28" t="inlineStr">
        <is>
          <t>同宠3槽默认同形状；坐标细节放shape_rules.yaml</t>
        </is>
      </c>
    </row>
    <row r="102" ht="22" customHeight="1">
      <c r="A102" s="28" t="inlineStr">
        <is>
          <t>pal_101</t>
        </is>
      </c>
      <c r="B102" s="29">
        <f>IFERROR(VLOOKUP($A102,'01_宠物主表_好读版'!$A:$V,3,FALSE),"")</f>
        <v/>
      </c>
      <c r="C102" s="29">
        <f>IFERROR(VLOOKUP($A102,'01_宠物主表_好读版'!$A:$V,4,FALSE),"")</f>
        <v/>
      </c>
      <c r="D102" s="29">
        <f>IFERROR(VLOOKUP($A102,'01_宠物主表_好读版'!$A:$V,8,FALSE),"")</f>
        <v/>
      </c>
      <c r="E102" s="28" t="inlineStr">
        <is>
          <t>B1</t>
        </is>
      </c>
      <c r="F102" s="28" t="inlineStr">
        <is>
          <t>横扫三格</t>
        </is>
      </c>
      <c r="G102" s="28" t="inlineStr">
        <is>
          <t>横排</t>
        </is>
      </c>
      <c r="H102" s="28" t="n">
        <v>3</v>
      </c>
      <c r="I102" s="28" t="inlineStr">
        <is>
          <t>默认向右</t>
        </is>
      </c>
      <c r="J102" s="28" t="n">
        <v>3</v>
      </c>
      <c r="K102" s="28" t="inlineStr">
        <is>
          <t>水</t>
        </is>
      </c>
      <c r="L102" s="28" t="inlineStr">
        <is>
          <t>水</t>
        </is>
      </c>
      <c r="M102" s="28" t="inlineStr">
        <is>
          <t>水</t>
        </is>
      </c>
      <c r="N102" s="28" t="n">
        <v>1</v>
      </c>
      <c r="O102" s="28" t="inlineStr">
        <is>
          <t>阻挡</t>
        </is>
      </c>
      <c r="P102" s="28" t="inlineStr">
        <is>
          <t>castleReduce</t>
        </is>
      </c>
      <c r="Q102" s="28" t="inlineStr">
        <is>
          <t>none</t>
        </is>
      </c>
      <c r="R102" s="29">
        <f>IFERROR(VLOOKUP($Q102,'04_机制词条库_60条'!$B:$S,2,FALSE),"")</f>
        <v/>
      </c>
      <c r="S102" s="28" t="inlineStr">
        <is>
          <t>正式</t>
        </is>
      </c>
      <c r="T102" s="28" t="inlineStr">
        <is>
          <t>同宠3槽默认同形状；坐标细节放shape_rules.yaml</t>
        </is>
      </c>
    </row>
    <row r="103" ht="22" customHeight="1">
      <c r="A103" s="28" t="inlineStr">
        <is>
          <t>pal_102</t>
        </is>
      </c>
      <c r="B103" s="29">
        <f>IFERROR(VLOOKUP($A103,'01_宠物主表_好读版'!$A:$V,3,FALSE),"")</f>
        <v/>
      </c>
      <c r="C103" s="29">
        <f>IFERROR(VLOOKUP($A103,'01_宠物主表_好读版'!$A:$V,4,FALSE),"")</f>
        <v/>
      </c>
      <c r="D103" s="29">
        <f>IFERROR(VLOOKUP($A103,'01_宠物主表_好读版'!$A:$V,8,FALSE),"")</f>
        <v/>
      </c>
      <c r="E103" s="28" t="inlineStr">
        <is>
          <t>B1</t>
        </is>
      </c>
      <c r="F103" s="28" t="inlineStr">
        <is>
          <t>横扫三格</t>
        </is>
      </c>
      <c r="G103" s="28" t="inlineStr">
        <is>
          <t>横排</t>
        </is>
      </c>
      <c r="H103" s="28" t="n">
        <v>3</v>
      </c>
      <c r="I103" s="28" t="inlineStr">
        <is>
          <t>默认向右</t>
        </is>
      </c>
      <c r="J103" s="28" t="n">
        <v>3</v>
      </c>
      <c r="K103" s="28" t="inlineStr">
        <is>
          <t>水</t>
        </is>
      </c>
      <c r="L103" s="28" t="inlineStr">
        <is>
          <t>水</t>
        </is>
      </c>
      <c r="M103" s="28" t="inlineStr">
        <is>
          <t>水</t>
        </is>
      </c>
      <c r="N103" s="28" t="n">
        <v>1</v>
      </c>
      <c r="O103" s="28" t="inlineStr">
        <is>
          <t>阻挡</t>
        </is>
      </c>
      <c r="P103" s="28" t="inlineStr">
        <is>
          <t>castleReduce</t>
        </is>
      </c>
      <c r="Q103" s="28" t="inlineStr">
        <is>
          <t>none</t>
        </is>
      </c>
      <c r="R103" s="29">
        <f>IFERROR(VLOOKUP($Q103,'04_机制词条库_60条'!$B:$S,2,FALSE),"")</f>
        <v/>
      </c>
      <c r="S103" s="28" t="inlineStr">
        <is>
          <t>正式</t>
        </is>
      </c>
      <c r="T103" s="28" t="inlineStr">
        <is>
          <t>同宠3槽默认同形状；坐标细节放shape_rules.yaml</t>
        </is>
      </c>
    </row>
    <row r="104" ht="22" customHeight="1">
      <c r="A104" s="28" t="inlineStr">
        <is>
          <t>pal_103</t>
        </is>
      </c>
      <c r="B104" s="29">
        <f>IFERROR(VLOOKUP($A104,'01_宠物主表_好读版'!$A:$V,3,FALSE),"")</f>
        <v/>
      </c>
      <c r="C104" s="29">
        <f>IFERROR(VLOOKUP($A104,'01_宠物主表_好读版'!$A:$V,4,FALSE),"")</f>
        <v/>
      </c>
      <c r="D104" s="29">
        <f>IFERROR(VLOOKUP($A104,'01_宠物主表_好读版'!$A:$V,8,FALSE),"")</f>
        <v/>
      </c>
      <c r="E104" s="28" t="inlineStr">
        <is>
          <t>B1</t>
        </is>
      </c>
      <c r="F104" s="28" t="inlineStr">
        <is>
          <t>横扫三格</t>
        </is>
      </c>
      <c r="G104" s="28" t="inlineStr">
        <is>
          <t>横排</t>
        </is>
      </c>
      <c r="H104" s="28" t="n">
        <v>3</v>
      </c>
      <c r="I104" s="28" t="inlineStr">
        <is>
          <t>默认向右</t>
        </is>
      </c>
      <c r="J104" s="28" t="n">
        <v>3</v>
      </c>
      <c r="K104" s="28" t="inlineStr">
        <is>
          <t>风</t>
        </is>
      </c>
      <c r="L104" s="28" t="inlineStr">
        <is>
          <t>风</t>
        </is>
      </c>
      <c r="M104" s="28" t="inlineStr">
        <is>
          <t>风</t>
        </is>
      </c>
      <c r="N104" s="28" t="n">
        <v>1</v>
      </c>
      <c r="O104" s="28" t="inlineStr">
        <is>
          <t>阻挡</t>
        </is>
      </c>
      <c r="P104" s="28" t="inlineStr">
        <is>
          <t>castleReduce</t>
        </is>
      </c>
      <c r="Q104" s="28" t="inlineStr">
        <is>
          <t>none</t>
        </is>
      </c>
      <c r="R104" s="29">
        <f>IFERROR(VLOOKUP($Q104,'04_机制词条库_60条'!$B:$S,2,FALSE),"")</f>
        <v/>
      </c>
      <c r="S104" s="28" t="inlineStr">
        <is>
          <t>正式</t>
        </is>
      </c>
      <c r="T104" s="28" t="inlineStr">
        <is>
          <t>同宠3槽默认同形状；坐标细节放shape_rules.yaml</t>
        </is>
      </c>
    </row>
    <row r="105" ht="22" customHeight="1">
      <c r="A105" s="28" t="inlineStr">
        <is>
          <t>pal_104</t>
        </is>
      </c>
      <c r="B105" s="29">
        <f>IFERROR(VLOOKUP($A105,'01_宠物主表_好读版'!$A:$V,3,FALSE),"")</f>
        <v/>
      </c>
      <c r="C105" s="29">
        <f>IFERROR(VLOOKUP($A105,'01_宠物主表_好读版'!$A:$V,4,FALSE),"")</f>
        <v/>
      </c>
      <c r="D105" s="29">
        <f>IFERROR(VLOOKUP($A105,'01_宠物主表_好读版'!$A:$V,8,FALSE),"")</f>
        <v/>
      </c>
      <c r="E105" s="28" t="inlineStr">
        <is>
          <t>B1</t>
        </is>
      </c>
      <c r="F105" s="28" t="inlineStr">
        <is>
          <t>横扫三格</t>
        </is>
      </c>
      <c r="G105" s="28" t="inlineStr">
        <is>
          <t>横排</t>
        </is>
      </c>
      <c r="H105" s="28" t="n">
        <v>3</v>
      </c>
      <c r="I105" s="28" t="inlineStr">
        <is>
          <t>默认向右</t>
        </is>
      </c>
      <c r="J105" s="28" t="n">
        <v>3</v>
      </c>
      <c r="K105" s="28" t="inlineStr">
        <is>
          <t>土</t>
        </is>
      </c>
      <c r="L105" s="28" t="inlineStr">
        <is>
          <t>土</t>
        </is>
      </c>
      <c r="M105" s="28" t="inlineStr">
        <is>
          <t>土</t>
        </is>
      </c>
      <c r="N105" s="28" t="n">
        <v>1</v>
      </c>
      <c r="O105" s="28" t="inlineStr">
        <is>
          <t>阻挡</t>
        </is>
      </c>
      <c r="P105" s="28" t="inlineStr">
        <is>
          <t>castleReduce</t>
        </is>
      </c>
      <c r="Q105" s="28" t="inlineStr">
        <is>
          <t>none</t>
        </is>
      </c>
      <c r="R105" s="29">
        <f>IFERROR(VLOOKUP($Q105,'04_机制词条库_60条'!$B:$S,2,FALSE),"")</f>
        <v/>
      </c>
      <c r="S105" s="28" t="inlineStr">
        <is>
          <t>正式</t>
        </is>
      </c>
      <c r="T105" s="28" t="inlineStr">
        <is>
          <t>同宠3槽默认同形状；坐标细节放shape_rules.yaml</t>
        </is>
      </c>
    </row>
    <row r="106" ht="22" customHeight="1">
      <c r="A106" s="28" t="inlineStr">
        <is>
          <t>pal_105</t>
        </is>
      </c>
      <c r="B106" s="29">
        <f>IFERROR(VLOOKUP($A106,'01_宠物主表_好读版'!$A:$V,3,FALSE),"")</f>
        <v/>
      </c>
      <c r="C106" s="29">
        <f>IFERROR(VLOOKUP($A106,'01_宠物主表_好读版'!$A:$V,4,FALSE),"")</f>
        <v/>
      </c>
      <c r="D106" s="29">
        <f>IFERROR(VLOOKUP($A106,'01_宠物主表_好读版'!$A:$V,8,FALSE),"")</f>
        <v/>
      </c>
      <c r="E106" s="28" t="inlineStr">
        <is>
          <t>T2</t>
        </is>
      </c>
      <c r="F106" s="28" t="inlineStr">
        <is>
          <t>长柄T</t>
        </is>
      </c>
      <c r="G106" s="28" t="inlineStr">
        <is>
          <t>T形</t>
        </is>
      </c>
      <c r="H106" s="28" t="n">
        <v>4</v>
      </c>
      <c r="I106" s="28" t="inlineStr">
        <is>
          <t>默认向右</t>
        </is>
      </c>
      <c r="J106" s="28" t="n">
        <v>3</v>
      </c>
      <c r="K106" s="28" t="inlineStr">
        <is>
          <t>风</t>
        </is>
      </c>
      <c r="L106" s="28" t="inlineStr">
        <is>
          <t>风</t>
        </is>
      </c>
      <c r="M106" s="28" t="inlineStr">
        <is>
          <t>风</t>
        </is>
      </c>
      <c r="N106" s="28" t="n">
        <v>1</v>
      </c>
      <c r="O106" s="28" t="inlineStr">
        <is>
          <t>牵制</t>
        </is>
      </c>
      <c r="P106" s="28" t="inlineStr">
        <is>
          <t>advHitBonus</t>
        </is>
      </c>
      <c r="Q106" s="28" t="inlineStr">
        <is>
          <t>none</t>
        </is>
      </c>
      <c r="R106" s="29">
        <f>IFERROR(VLOOKUP($Q106,'04_机制词条库_60条'!$B:$S,2,FALSE),"")</f>
        <v/>
      </c>
      <c r="S106" s="28" t="inlineStr">
        <is>
          <t>正式</t>
        </is>
      </c>
      <c r="T106" s="28" t="inlineStr">
        <is>
          <t>同宠3槽默认同形状；坐标细节放shape_rules.yaml</t>
        </is>
      </c>
    </row>
    <row r="107" ht="22" customHeight="1">
      <c r="A107" s="28" t="inlineStr">
        <is>
          <t>pal_106</t>
        </is>
      </c>
      <c r="B107" s="29">
        <f>IFERROR(VLOOKUP($A107,'01_宠物主表_好读版'!$A:$V,3,FALSE),"")</f>
        <v/>
      </c>
      <c r="C107" s="29">
        <f>IFERROR(VLOOKUP($A107,'01_宠物主表_好读版'!$A:$V,4,FALSE),"")</f>
        <v/>
      </c>
      <c r="D107" s="29">
        <f>IFERROR(VLOOKUP($A107,'01_宠物主表_好读版'!$A:$V,8,FALSE),"")</f>
        <v/>
      </c>
      <c r="E107" s="28" t="inlineStr">
        <is>
          <t>B1</t>
        </is>
      </c>
      <c r="F107" s="28" t="inlineStr">
        <is>
          <t>横扫三格</t>
        </is>
      </c>
      <c r="G107" s="28" t="inlineStr">
        <is>
          <t>横排</t>
        </is>
      </c>
      <c r="H107" s="28" t="n">
        <v>3</v>
      </c>
      <c r="I107" s="28" t="inlineStr">
        <is>
          <t>默认向右</t>
        </is>
      </c>
      <c r="J107" s="28" t="n">
        <v>3</v>
      </c>
      <c r="K107" s="28" t="inlineStr">
        <is>
          <t>土</t>
        </is>
      </c>
      <c r="L107" s="28" t="inlineStr">
        <is>
          <t>土</t>
        </is>
      </c>
      <c r="M107" s="28" t="inlineStr">
        <is>
          <t>土</t>
        </is>
      </c>
      <c r="N107" s="28" t="n">
        <v>1</v>
      </c>
      <c r="O107" s="28" t="inlineStr">
        <is>
          <t>阻挡</t>
        </is>
      </c>
      <c r="P107" s="28" t="inlineStr">
        <is>
          <t>castleReduce</t>
        </is>
      </c>
      <c r="Q107" s="28" t="inlineStr">
        <is>
          <t>none</t>
        </is>
      </c>
      <c r="R107" s="29">
        <f>IFERROR(VLOOKUP($Q107,'04_机制词条库_60条'!$B:$S,2,FALSE),"")</f>
        <v/>
      </c>
      <c r="S107" s="28" t="inlineStr">
        <is>
          <t>正式</t>
        </is>
      </c>
      <c r="T107" s="28" t="inlineStr">
        <is>
          <t>同宠3槽默认同形状；坐标细节放shape_rules.yaml</t>
        </is>
      </c>
    </row>
    <row r="108" ht="22" customHeight="1">
      <c r="A108" s="28" t="inlineStr">
        <is>
          <t>pal_107</t>
        </is>
      </c>
      <c r="B108" s="29">
        <f>IFERROR(VLOOKUP($A108,'01_宠物主表_好读版'!$A:$V,3,FALSE),"")</f>
        <v/>
      </c>
      <c r="C108" s="29">
        <f>IFERROR(VLOOKUP($A108,'01_宠物主表_好读版'!$A:$V,4,FALSE),"")</f>
        <v/>
      </c>
      <c r="D108" s="29">
        <f>IFERROR(VLOOKUP($A108,'01_宠物主表_好读版'!$A:$V,8,FALSE),"")</f>
        <v/>
      </c>
      <c r="E108" s="28" t="inlineStr">
        <is>
          <t>T2</t>
        </is>
      </c>
      <c r="F108" s="28" t="inlineStr">
        <is>
          <t>长柄T</t>
        </is>
      </c>
      <c r="G108" s="28" t="inlineStr">
        <is>
          <t>T形</t>
        </is>
      </c>
      <c r="H108" s="28" t="n">
        <v>4</v>
      </c>
      <c r="I108" s="28" t="inlineStr">
        <is>
          <t>默认向右</t>
        </is>
      </c>
      <c r="J108" s="28" t="n">
        <v>3</v>
      </c>
      <c r="K108" s="28" t="inlineStr">
        <is>
          <t>风</t>
        </is>
      </c>
      <c r="L108" s="28" t="inlineStr">
        <is>
          <t>风</t>
        </is>
      </c>
      <c r="M108" s="28" t="inlineStr">
        <is>
          <t>风</t>
        </is>
      </c>
      <c r="N108" s="28" t="n">
        <v>1</v>
      </c>
      <c r="O108" s="28" t="inlineStr">
        <is>
          <t>牵制</t>
        </is>
      </c>
      <c r="P108" s="28" t="inlineStr">
        <is>
          <t>advHitBonus</t>
        </is>
      </c>
      <c r="Q108" s="28" t="inlineStr">
        <is>
          <t>none</t>
        </is>
      </c>
      <c r="R108" s="29">
        <f>IFERROR(VLOOKUP($Q108,'04_机制词条库_60条'!$B:$S,2,FALSE),"")</f>
        <v/>
      </c>
      <c r="S108" s="28" t="inlineStr">
        <is>
          <t>正式</t>
        </is>
      </c>
      <c r="T108" s="28" t="inlineStr">
        <is>
          <t>同宠3槽默认同形状；坐标细节放shape_rules.yaml</t>
        </is>
      </c>
    </row>
    <row r="109" ht="22" customHeight="1">
      <c r="A109" s="28" t="inlineStr">
        <is>
          <t>pal_108</t>
        </is>
      </c>
      <c r="B109" s="29">
        <f>IFERROR(VLOOKUP($A109,'01_宠物主表_好读版'!$A:$V,3,FALSE),"")</f>
        <v/>
      </c>
      <c r="C109" s="29">
        <f>IFERROR(VLOOKUP($A109,'01_宠物主表_好读版'!$A:$V,4,FALSE),"")</f>
        <v/>
      </c>
      <c r="D109" s="29">
        <f>IFERROR(VLOOKUP($A109,'01_宠物主表_好读版'!$A:$V,8,FALSE),"")</f>
        <v/>
      </c>
      <c r="E109" s="28" t="inlineStr">
        <is>
          <t>B1</t>
        </is>
      </c>
      <c r="F109" s="28" t="inlineStr">
        <is>
          <t>横扫三格</t>
        </is>
      </c>
      <c r="G109" s="28" t="inlineStr">
        <is>
          <t>横排</t>
        </is>
      </c>
      <c r="H109" s="28" t="n">
        <v>3</v>
      </c>
      <c r="I109" s="28" t="inlineStr">
        <is>
          <t>默认向右</t>
        </is>
      </c>
      <c r="J109" s="28" t="n">
        <v>3</v>
      </c>
      <c r="K109" s="28" t="inlineStr">
        <is>
          <t>火</t>
        </is>
      </c>
      <c r="L109" s="28" t="inlineStr">
        <is>
          <t>火</t>
        </is>
      </c>
      <c r="M109" s="28" t="inlineStr">
        <is>
          <t>火</t>
        </is>
      </c>
      <c r="N109" s="28" t="n">
        <v>1</v>
      </c>
      <c r="O109" s="28" t="inlineStr">
        <is>
          <t>输出</t>
        </is>
      </c>
      <c r="P109" s="28" t="inlineStr">
        <is>
          <t>castleReduce</t>
        </is>
      </c>
      <c r="Q109" s="28" t="inlineStr">
        <is>
          <t>none</t>
        </is>
      </c>
      <c r="R109" s="29">
        <f>IFERROR(VLOOKUP($Q109,'04_机制词条库_60条'!$B:$S,2,FALSE),"")</f>
        <v/>
      </c>
      <c r="S109" s="28" t="inlineStr">
        <is>
          <t>正式</t>
        </is>
      </c>
      <c r="T109" s="28" t="inlineStr">
        <is>
          <t>同宠3槽默认同形状；坐标细节放shape_rules.yaml</t>
        </is>
      </c>
    </row>
    <row r="110" ht="22" customHeight="1">
      <c r="A110" s="28" t="inlineStr">
        <is>
          <t>pal_109</t>
        </is>
      </c>
      <c r="B110" s="29">
        <f>IFERROR(VLOOKUP($A110,'01_宠物主表_好读版'!$A:$V,3,FALSE),"")</f>
        <v/>
      </c>
      <c r="C110" s="29">
        <f>IFERROR(VLOOKUP($A110,'01_宠物主表_好读版'!$A:$V,4,FALSE),"")</f>
        <v/>
      </c>
      <c r="D110" s="29">
        <f>IFERROR(VLOOKUP($A110,'01_宠物主表_好读版'!$A:$V,8,FALSE),"")</f>
        <v/>
      </c>
      <c r="E110" s="28" t="inlineStr">
        <is>
          <t>T2</t>
        </is>
      </c>
      <c r="F110" s="28" t="inlineStr">
        <is>
          <t>长柄T</t>
        </is>
      </c>
      <c r="G110" s="28" t="inlineStr">
        <is>
          <t>T形</t>
        </is>
      </c>
      <c r="H110" s="28" t="n">
        <v>4</v>
      </c>
      <c r="I110" s="28" t="inlineStr">
        <is>
          <t>默认向右</t>
        </is>
      </c>
      <c r="J110" s="28" t="n">
        <v>3</v>
      </c>
      <c r="K110" s="28" t="inlineStr">
        <is>
          <t>土</t>
        </is>
      </c>
      <c r="L110" s="28" t="inlineStr">
        <is>
          <t>土</t>
        </is>
      </c>
      <c r="M110" s="28" t="inlineStr">
        <is>
          <t>土</t>
        </is>
      </c>
      <c r="N110" s="28" t="n">
        <v>1</v>
      </c>
      <c r="O110" s="28" t="inlineStr">
        <is>
          <t>牵制</t>
        </is>
      </c>
      <c r="P110" s="28" t="inlineStr">
        <is>
          <t>advHitBonus</t>
        </is>
      </c>
      <c r="Q110" s="28" t="inlineStr">
        <is>
          <t>none</t>
        </is>
      </c>
      <c r="R110" s="29">
        <f>IFERROR(VLOOKUP($Q110,'04_机制词条库_60条'!$B:$S,2,FALSE),"")</f>
        <v/>
      </c>
      <c r="S110" s="28" t="inlineStr">
        <is>
          <t>正式</t>
        </is>
      </c>
      <c r="T110" s="28" t="inlineStr">
        <is>
          <t>同宠3槽默认同形状；坐标细节放shape_rules.yaml</t>
        </is>
      </c>
    </row>
    <row r="111" ht="22" customHeight="1">
      <c r="A111" s="28" t="inlineStr">
        <is>
          <t>pal_110</t>
        </is>
      </c>
      <c r="B111" s="29">
        <f>IFERROR(VLOOKUP($A111,'01_宠物主表_好读版'!$A:$V,3,FALSE),"")</f>
        <v/>
      </c>
      <c r="C111" s="29">
        <f>IFERROR(VLOOKUP($A111,'01_宠物主表_好读版'!$A:$V,4,FALSE),"")</f>
        <v/>
      </c>
      <c r="D111" s="29">
        <f>IFERROR(VLOOKUP($A111,'01_宠物主表_好读版'!$A:$V,8,FALSE),"")</f>
        <v/>
      </c>
      <c r="E111" s="28" t="inlineStr">
        <is>
          <t>B1</t>
        </is>
      </c>
      <c r="F111" s="28" t="inlineStr">
        <is>
          <t>横扫三格</t>
        </is>
      </c>
      <c r="G111" s="28" t="inlineStr">
        <is>
          <t>横排</t>
        </is>
      </c>
      <c r="H111" s="28" t="n">
        <v>3</v>
      </c>
      <c r="I111" s="28" t="inlineStr">
        <is>
          <t>默认向右</t>
        </is>
      </c>
      <c r="J111" s="28" t="n">
        <v>3</v>
      </c>
      <c r="K111" s="28" t="inlineStr">
        <is>
          <t>土</t>
        </is>
      </c>
      <c r="L111" s="28" t="inlineStr">
        <is>
          <t>土</t>
        </is>
      </c>
      <c r="M111" s="28" t="inlineStr">
        <is>
          <t>土</t>
        </is>
      </c>
      <c r="N111" s="28" t="n">
        <v>1</v>
      </c>
      <c r="O111" s="28" t="inlineStr">
        <is>
          <t>阻挡</t>
        </is>
      </c>
      <c r="P111" s="28" t="inlineStr">
        <is>
          <t>castleReduce</t>
        </is>
      </c>
      <c r="Q111" s="28" t="inlineStr">
        <is>
          <t>none</t>
        </is>
      </c>
      <c r="R111" s="29">
        <f>IFERROR(VLOOKUP($Q111,'04_机制词条库_60条'!$B:$S,2,FALSE),"")</f>
        <v/>
      </c>
      <c r="S111" s="28" t="inlineStr">
        <is>
          <t>正式</t>
        </is>
      </c>
      <c r="T111" s="28" t="inlineStr">
        <is>
          <t>同宠3槽默认同形状；坐标细节放shape_rules.yaml</t>
        </is>
      </c>
    </row>
    <row r="112" ht="22" customHeight="1">
      <c r="A112" s="28" t="inlineStr">
        <is>
          <t>pal_111</t>
        </is>
      </c>
      <c r="B112" s="29">
        <f>IFERROR(VLOOKUP($A112,'01_宠物主表_好读版'!$A:$V,3,FALSE),"")</f>
        <v/>
      </c>
      <c r="C112" s="29">
        <f>IFERROR(VLOOKUP($A112,'01_宠物主表_好读版'!$A:$V,4,FALSE),"")</f>
        <v/>
      </c>
      <c r="D112" s="29">
        <f>IFERROR(VLOOKUP($A112,'01_宠物主表_好读版'!$A:$V,8,FALSE),"")</f>
        <v/>
      </c>
      <c r="E112" s="28" t="inlineStr">
        <is>
          <t>T1</t>
        </is>
      </c>
      <c r="F112" s="28" t="inlineStr">
        <is>
          <t>标准前置T</t>
        </is>
      </c>
      <c r="G112" s="28" t="inlineStr">
        <is>
          <t>T形</t>
        </is>
      </c>
      <c r="H112" s="28" t="n">
        <v>4</v>
      </c>
      <c r="I112" s="28" t="inlineStr">
        <is>
          <t>默认向右</t>
        </is>
      </c>
      <c r="J112" s="28" t="n">
        <v>3</v>
      </c>
      <c r="K112" s="28" t="inlineStr">
        <is>
          <t>土</t>
        </is>
      </c>
      <c r="L112" s="28" t="inlineStr">
        <is>
          <t>土</t>
        </is>
      </c>
      <c r="M112" s="28" t="inlineStr">
        <is>
          <t>土</t>
        </is>
      </c>
      <c r="N112" s="28" t="n">
        <v>1</v>
      </c>
      <c r="O112" s="28" t="inlineStr">
        <is>
          <t>阻挡</t>
        </is>
      </c>
      <c r="P112" s="28" t="inlineStr">
        <is>
          <t>castleReduce</t>
        </is>
      </c>
      <c r="Q112" s="28" t="inlineStr">
        <is>
          <t>none</t>
        </is>
      </c>
      <c r="R112" s="29">
        <f>IFERROR(VLOOKUP($Q112,'04_机制词条库_60条'!$B:$S,2,FALSE),"")</f>
        <v/>
      </c>
      <c r="S112" s="28" t="inlineStr">
        <is>
          <t>正式</t>
        </is>
      </c>
      <c r="T112" s="28" t="inlineStr">
        <is>
          <t>同宠3槽默认同形状；坐标细节放shape_rules.yaml</t>
        </is>
      </c>
    </row>
    <row r="113" ht="22" customHeight="1">
      <c r="A113" s="28" t="inlineStr">
        <is>
          <t>pal_112</t>
        </is>
      </c>
      <c r="B113" s="29">
        <f>IFERROR(VLOOKUP($A113,'01_宠物主表_好读版'!$A:$V,3,FALSE),"")</f>
        <v/>
      </c>
      <c r="C113" s="29">
        <f>IFERROR(VLOOKUP($A113,'01_宠物主表_好读版'!$A:$V,4,FALSE),"")</f>
        <v/>
      </c>
      <c r="D113" s="29">
        <f>IFERROR(VLOOKUP($A113,'01_宠物主表_好读版'!$A:$V,8,FALSE),"")</f>
        <v/>
      </c>
      <c r="E113" s="28" t="inlineStr">
        <is>
          <t>B3</t>
        </is>
      </c>
      <c r="F113" s="28" t="inlineStr">
        <is>
          <t>前二横扫</t>
        </is>
      </c>
      <c r="G113" s="28" t="inlineStr">
        <is>
          <t>横排</t>
        </is>
      </c>
      <c r="H113" s="28" t="n">
        <v>3</v>
      </c>
      <c r="I113" s="28" t="inlineStr">
        <is>
          <t>默认向右</t>
        </is>
      </c>
      <c r="J113" s="28" t="n">
        <v>3</v>
      </c>
      <c r="K113" s="28" t="inlineStr">
        <is>
          <t>土</t>
        </is>
      </c>
      <c r="L113" s="28" t="inlineStr">
        <is>
          <t>土</t>
        </is>
      </c>
      <c r="M113" s="28" t="inlineStr">
        <is>
          <t>土</t>
        </is>
      </c>
      <c r="N113" s="28" t="n">
        <v>1</v>
      </c>
      <c r="O113" s="28" t="inlineStr">
        <is>
          <t>输出</t>
        </is>
      </c>
      <c r="P113" s="28" t="inlineStr">
        <is>
          <t>spaceExplosionBonus</t>
        </is>
      </c>
      <c r="Q113" s="28" t="inlineStr">
        <is>
          <t>none</t>
        </is>
      </c>
      <c r="R113" s="29">
        <f>IFERROR(VLOOKUP($Q113,'04_机制词条库_60条'!$B:$S,2,FALSE),"")</f>
        <v/>
      </c>
      <c r="S113" s="28" t="inlineStr">
        <is>
          <t>正式</t>
        </is>
      </c>
      <c r="T113" s="28" t="inlineStr">
        <is>
          <t>同宠3槽默认同形状；坐标细节放shape_rules.yaml</t>
        </is>
      </c>
    </row>
    <row r="114" ht="22" customHeight="1">
      <c r="A114" s="28" t="inlineStr">
        <is>
          <t>pal_113</t>
        </is>
      </c>
      <c r="B114" s="29">
        <f>IFERROR(VLOOKUP($A114,'01_宠物主表_好读版'!$A:$V,3,FALSE),"")</f>
        <v/>
      </c>
      <c r="C114" s="29">
        <f>IFERROR(VLOOKUP($A114,'01_宠物主表_好读版'!$A:$V,4,FALSE),"")</f>
        <v/>
      </c>
      <c r="D114" s="29">
        <f>IFERROR(VLOOKUP($A114,'01_宠物主表_好读版'!$A:$V,8,FALSE),"")</f>
        <v/>
      </c>
      <c r="E114" s="28" t="inlineStr">
        <is>
          <t>T1</t>
        </is>
      </c>
      <c r="F114" s="28" t="inlineStr">
        <is>
          <t>标准前置T</t>
        </is>
      </c>
      <c r="G114" s="28" t="inlineStr">
        <is>
          <t>T形</t>
        </is>
      </c>
      <c r="H114" s="28" t="n">
        <v>4</v>
      </c>
      <c r="I114" s="28" t="inlineStr">
        <is>
          <t>默认向右</t>
        </is>
      </c>
      <c r="J114" s="28" t="n">
        <v>3</v>
      </c>
      <c r="K114" s="28" t="inlineStr">
        <is>
          <t>水</t>
        </is>
      </c>
      <c r="L114" s="28" t="inlineStr">
        <is>
          <t>水</t>
        </is>
      </c>
      <c r="M114" s="28" t="inlineStr">
        <is>
          <t>水</t>
        </is>
      </c>
      <c r="N114" s="28" t="n">
        <v>1</v>
      </c>
      <c r="O114" s="28" t="inlineStr">
        <is>
          <t>场地</t>
        </is>
      </c>
      <c r="P114" s="28" t="inlineStr">
        <is>
          <t>healAmpBonus</t>
        </is>
      </c>
      <c r="Q114" s="28" t="inlineStr">
        <is>
          <t>none</t>
        </is>
      </c>
      <c r="R114" s="29">
        <f>IFERROR(VLOOKUP($Q114,'04_机制词条库_60条'!$B:$S,2,FALSE),"")</f>
        <v/>
      </c>
      <c r="S114" s="28" t="inlineStr">
        <is>
          <t>正式</t>
        </is>
      </c>
      <c r="T114" s="28" t="inlineStr">
        <is>
          <t>同宠3槽默认同形状；坐标细节放shape_rules.yaml</t>
        </is>
      </c>
    </row>
    <row r="115" ht="22" customHeight="1">
      <c r="A115" s="28" t="inlineStr">
        <is>
          <t>pal_114</t>
        </is>
      </c>
      <c r="B115" s="29">
        <f>IFERROR(VLOOKUP($A115,'01_宠物主表_好读版'!$A:$V,3,FALSE),"")</f>
        <v/>
      </c>
      <c r="C115" s="29">
        <f>IFERROR(VLOOKUP($A115,'01_宠物主表_好读版'!$A:$V,4,FALSE),"")</f>
        <v/>
      </c>
      <c r="D115" s="29">
        <f>IFERROR(VLOOKUP($A115,'01_宠物主表_好读版'!$A:$V,8,FALSE),"")</f>
        <v/>
      </c>
      <c r="E115" s="28" t="inlineStr">
        <is>
          <t>B3</t>
        </is>
      </c>
      <c r="F115" s="28" t="inlineStr">
        <is>
          <t>前二横扫</t>
        </is>
      </c>
      <c r="G115" s="28" t="inlineStr">
        <is>
          <t>横排</t>
        </is>
      </c>
      <c r="H115" s="28" t="n">
        <v>3</v>
      </c>
      <c r="I115" s="28" t="inlineStr">
        <is>
          <t>默认向右</t>
        </is>
      </c>
      <c r="J115" s="28" t="n">
        <v>3</v>
      </c>
      <c r="K115" s="28" t="inlineStr">
        <is>
          <t>火</t>
        </is>
      </c>
      <c r="L115" s="28" t="inlineStr">
        <is>
          <t>火</t>
        </is>
      </c>
      <c r="M115" s="28" t="inlineStr">
        <is>
          <t>火</t>
        </is>
      </c>
      <c r="N115" s="28" t="n">
        <v>1</v>
      </c>
      <c r="O115" s="28" t="inlineStr">
        <is>
          <t>输出</t>
        </is>
      </c>
      <c r="P115" s="28" t="inlineStr">
        <is>
          <t>spaceExplosionBonus</t>
        </is>
      </c>
      <c r="Q115" s="28" t="inlineStr">
        <is>
          <t>none</t>
        </is>
      </c>
      <c r="R115" s="29">
        <f>IFERROR(VLOOKUP($Q115,'04_机制词条库_60条'!$B:$S,2,FALSE),"")</f>
        <v/>
      </c>
      <c r="S115" s="28" t="inlineStr">
        <is>
          <t>正式</t>
        </is>
      </c>
      <c r="T115" s="28" t="inlineStr">
        <is>
          <t>同宠3槽默认同形状；坐标细节放shape_rules.yaml</t>
        </is>
      </c>
    </row>
    <row r="116" ht="22" customHeight="1">
      <c r="A116" s="28" t="inlineStr">
        <is>
          <t>pal_115</t>
        </is>
      </c>
      <c r="B116" s="29">
        <f>IFERROR(VLOOKUP($A116,'01_宠物主表_好读版'!$A:$V,3,FALSE),"")</f>
        <v/>
      </c>
      <c r="C116" s="29">
        <f>IFERROR(VLOOKUP($A116,'01_宠物主表_好读版'!$A:$V,4,FALSE),"")</f>
        <v/>
      </c>
      <c r="D116" s="29">
        <f>IFERROR(VLOOKUP($A116,'01_宠物主表_好读版'!$A:$V,8,FALSE),"")</f>
        <v/>
      </c>
      <c r="E116" s="28" t="inlineStr">
        <is>
          <t>C1</t>
        </is>
      </c>
      <c r="F116" s="28" t="inlineStr">
        <is>
          <t>前方2×2</t>
        </is>
      </c>
      <c r="G116" s="28" t="inlineStr">
        <is>
          <t>单体</t>
        </is>
      </c>
      <c r="H116" s="28" t="n">
        <v>1</v>
      </c>
      <c r="I116" s="28" t="inlineStr">
        <is>
          <t>默认向右</t>
        </is>
      </c>
      <c r="J116" s="28" t="n">
        <v>3</v>
      </c>
      <c r="K116" s="28" t="inlineStr">
        <is>
          <t>火</t>
        </is>
      </c>
      <c r="L116" s="28" t="inlineStr">
        <is>
          <t>火</t>
        </is>
      </c>
      <c r="M116" s="28" t="inlineStr">
        <is>
          <t>火</t>
        </is>
      </c>
      <c r="N116" s="28" t="n">
        <v>1</v>
      </c>
      <c r="O116" s="28" t="inlineStr">
        <is>
          <t>牵制</t>
        </is>
      </c>
      <c r="P116" s="28" t="inlineStr">
        <is>
          <t>advHitBonus</t>
        </is>
      </c>
      <c r="Q116" s="28" t="inlineStr">
        <is>
          <t>none</t>
        </is>
      </c>
      <c r="R116" s="29">
        <f>IFERROR(VLOOKUP($Q116,'04_机制词条库_60条'!$B:$S,2,FALSE),"")</f>
        <v/>
      </c>
      <c r="S116" s="28" t="inlineStr">
        <is>
          <t>正式</t>
        </is>
      </c>
      <c r="T116" s="28" t="inlineStr">
        <is>
          <t>同宠3槽默认同形状；坐标细节放shape_rules.yaml</t>
        </is>
      </c>
    </row>
    <row r="117" ht="22" customHeight="1">
      <c r="A117" s="28" t="inlineStr">
        <is>
          <t>pal_116</t>
        </is>
      </c>
      <c r="B117" s="29">
        <f>IFERROR(VLOOKUP($A117,'01_宠物主表_好读版'!$A:$V,3,FALSE),"")</f>
        <v/>
      </c>
      <c r="C117" s="29">
        <f>IFERROR(VLOOKUP($A117,'01_宠物主表_好读版'!$A:$V,4,FALSE),"")</f>
        <v/>
      </c>
      <c r="D117" s="29">
        <f>IFERROR(VLOOKUP($A117,'01_宠物主表_好读版'!$A:$V,8,FALSE),"")</f>
        <v/>
      </c>
      <c r="E117" s="28" t="inlineStr">
        <is>
          <t>T1</t>
        </is>
      </c>
      <c r="F117" s="28" t="inlineStr">
        <is>
          <t>标准前置T</t>
        </is>
      </c>
      <c r="G117" s="28" t="inlineStr">
        <is>
          <t>T形</t>
        </is>
      </c>
      <c r="H117" s="28" t="n">
        <v>4</v>
      </c>
      <c r="I117" s="28" t="inlineStr">
        <is>
          <t>默认向右</t>
        </is>
      </c>
      <c r="J117" s="28" t="n">
        <v>3</v>
      </c>
      <c r="K117" s="28" t="inlineStr">
        <is>
          <t>水</t>
        </is>
      </c>
      <c r="L117" s="28" t="inlineStr">
        <is>
          <t>水</t>
        </is>
      </c>
      <c r="M117" s="28" t="inlineStr">
        <is>
          <t>水</t>
        </is>
      </c>
      <c r="N117" s="28" t="n">
        <v>1</v>
      </c>
      <c r="O117" s="28" t="inlineStr">
        <is>
          <t>场地</t>
        </is>
      </c>
      <c r="P117" s="28" t="inlineStr">
        <is>
          <t>healAmpBonus</t>
        </is>
      </c>
      <c r="Q117" s="28" t="inlineStr">
        <is>
          <t>none</t>
        </is>
      </c>
      <c r="R117" s="29">
        <f>IFERROR(VLOOKUP($Q117,'04_机制词条库_60条'!$B:$S,2,FALSE),"")</f>
        <v/>
      </c>
      <c r="S117" s="28" t="inlineStr">
        <is>
          <t>正式</t>
        </is>
      </c>
      <c r="T117" s="28" t="inlineStr">
        <is>
          <t>同宠3槽默认同形状；坐标细节放shape_rules.yaml</t>
        </is>
      </c>
    </row>
    <row r="118" ht="22" customHeight="1">
      <c r="A118" s="28" t="inlineStr">
        <is>
          <t>pal_117</t>
        </is>
      </c>
      <c r="B118" s="29">
        <f>IFERROR(VLOOKUP($A118,'01_宠物主表_好读版'!$A:$V,3,FALSE),"")</f>
        <v/>
      </c>
      <c r="C118" s="29">
        <f>IFERROR(VLOOKUP($A118,'01_宠物主表_好读版'!$A:$V,4,FALSE),"")</f>
        <v/>
      </c>
      <c r="D118" s="29">
        <f>IFERROR(VLOOKUP($A118,'01_宠物主表_好读版'!$A:$V,8,FALSE),"")</f>
        <v/>
      </c>
      <c r="E118" s="28" t="inlineStr">
        <is>
          <t>C1</t>
        </is>
      </c>
      <c r="F118" s="28" t="inlineStr">
        <is>
          <t>前方2×2</t>
        </is>
      </c>
      <c r="G118" s="28" t="inlineStr">
        <is>
          <t>单体</t>
        </is>
      </c>
      <c r="H118" s="28" t="n">
        <v>1</v>
      </c>
      <c r="I118" s="28" t="inlineStr">
        <is>
          <t>默认向右</t>
        </is>
      </c>
      <c r="J118" s="28" t="n">
        <v>3</v>
      </c>
      <c r="K118" s="28" t="inlineStr">
        <is>
          <t>风</t>
        </is>
      </c>
      <c r="L118" s="28" t="inlineStr">
        <is>
          <t>风</t>
        </is>
      </c>
      <c r="M118" s="28" t="inlineStr">
        <is>
          <t>风</t>
        </is>
      </c>
      <c r="N118" s="28" t="n">
        <v>1</v>
      </c>
      <c r="O118" s="28" t="inlineStr">
        <is>
          <t>牵制</t>
        </is>
      </c>
      <c r="P118" s="28" t="inlineStr">
        <is>
          <t>advHitBonus</t>
        </is>
      </c>
      <c r="Q118" s="28" t="inlineStr">
        <is>
          <t>none</t>
        </is>
      </c>
      <c r="R118" s="29">
        <f>IFERROR(VLOOKUP($Q118,'04_机制词条库_60条'!$B:$S,2,FALSE),"")</f>
        <v/>
      </c>
      <c r="S118" s="28" t="inlineStr">
        <is>
          <t>正式</t>
        </is>
      </c>
      <c r="T118" s="28" t="inlineStr">
        <is>
          <t>同宠3槽默认同形状；坐标细节放shape_rules.yaml</t>
        </is>
      </c>
    </row>
    <row r="119" ht="22" customHeight="1">
      <c r="A119" s="28" t="inlineStr">
        <is>
          <t>pal_118</t>
        </is>
      </c>
      <c r="B119" s="29">
        <f>IFERROR(VLOOKUP($A119,'01_宠物主表_好读版'!$A:$V,3,FALSE),"")</f>
        <v/>
      </c>
      <c r="C119" s="29">
        <f>IFERROR(VLOOKUP($A119,'01_宠物主表_好读版'!$A:$V,4,FALSE),"")</f>
        <v/>
      </c>
      <c r="D119" s="29">
        <f>IFERROR(VLOOKUP($A119,'01_宠物主表_好读版'!$A:$V,8,FALSE),"")</f>
        <v/>
      </c>
      <c r="E119" s="28" t="inlineStr">
        <is>
          <t>T1</t>
        </is>
      </c>
      <c r="F119" s="28" t="inlineStr">
        <is>
          <t>标准前置T</t>
        </is>
      </c>
      <c r="G119" s="28" t="inlineStr">
        <is>
          <t>T形</t>
        </is>
      </c>
      <c r="H119" s="28" t="n">
        <v>4</v>
      </c>
      <c r="I119" s="28" t="inlineStr">
        <is>
          <t>默认向右</t>
        </is>
      </c>
      <c r="J119" s="28" t="n">
        <v>3</v>
      </c>
      <c r="K119" s="28" t="inlineStr">
        <is>
          <t>风</t>
        </is>
      </c>
      <c r="L119" s="28" t="inlineStr">
        <is>
          <t>风</t>
        </is>
      </c>
      <c r="M119" s="28" t="inlineStr">
        <is>
          <t>风</t>
        </is>
      </c>
      <c r="N119" s="28" t="n">
        <v>1</v>
      </c>
      <c r="O119" s="28" t="inlineStr">
        <is>
          <t>场地</t>
        </is>
      </c>
      <c r="P119" s="28" t="inlineStr">
        <is>
          <t>healAmpBonus</t>
        </is>
      </c>
      <c r="Q119" s="28" t="inlineStr">
        <is>
          <t>none</t>
        </is>
      </c>
      <c r="R119" s="29">
        <f>IFERROR(VLOOKUP($Q119,'04_机制词条库_60条'!$B:$S,2,FALSE),"")</f>
        <v/>
      </c>
      <c r="S119" s="28" t="inlineStr">
        <is>
          <t>正式</t>
        </is>
      </c>
      <c r="T119" s="28" t="inlineStr">
        <is>
          <t>同宠3槽默认同形状；坐标细节放shape_rules.yaml</t>
        </is>
      </c>
    </row>
    <row r="120" ht="22" customHeight="1">
      <c r="A120" s="28" t="inlineStr">
        <is>
          <t>pal_119</t>
        </is>
      </c>
      <c r="B120" s="29">
        <f>IFERROR(VLOOKUP($A120,'01_宠物主表_好读版'!$A:$V,3,FALSE),"")</f>
        <v/>
      </c>
      <c r="C120" s="29">
        <f>IFERROR(VLOOKUP($A120,'01_宠物主表_好读版'!$A:$V,4,FALSE),"")</f>
        <v/>
      </c>
      <c r="D120" s="29">
        <f>IFERROR(VLOOKUP($A120,'01_宠物主表_好读版'!$A:$V,8,FALSE),"")</f>
        <v/>
      </c>
      <c r="E120" s="28" t="inlineStr">
        <is>
          <t>T1</t>
        </is>
      </c>
      <c r="F120" s="28" t="inlineStr">
        <is>
          <t>标准前置T</t>
        </is>
      </c>
      <c r="G120" s="28" t="inlineStr">
        <is>
          <t>T形</t>
        </is>
      </c>
      <c r="H120" s="28" t="n">
        <v>4</v>
      </c>
      <c r="I120" s="28" t="inlineStr">
        <is>
          <t>默认向右</t>
        </is>
      </c>
      <c r="J120" s="28" t="n">
        <v>3</v>
      </c>
      <c r="K120" s="28" t="inlineStr">
        <is>
          <t>土</t>
        </is>
      </c>
      <c r="L120" s="28" t="inlineStr">
        <is>
          <t>土</t>
        </is>
      </c>
      <c r="M120" s="28" t="inlineStr">
        <is>
          <t>土</t>
        </is>
      </c>
      <c r="N120" s="28" t="n">
        <v>1</v>
      </c>
      <c r="O120" s="28" t="inlineStr">
        <is>
          <t>场地</t>
        </is>
      </c>
      <c r="P120" s="28" t="inlineStr">
        <is>
          <t>healAmpBonus</t>
        </is>
      </c>
      <c r="Q120" s="28" t="inlineStr">
        <is>
          <t>none</t>
        </is>
      </c>
      <c r="R120" s="29">
        <f>IFERROR(VLOOKUP($Q120,'04_机制词条库_60条'!$B:$S,2,FALSE),"")</f>
        <v/>
      </c>
      <c r="S120" s="28" t="inlineStr">
        <is>
          <t>正式</t>
        </is>
      </c>
      <c r="T120" s="28" t="inlineStr">
        <is>
          <t>同宠3槽默认同形状；坐标细节放shape_rules.yaml</t>
        </is>
      </c>
    </row>
    <row r="121" ht="22" customHeight="1">
      <c r="A121" s="28" t="inlineStr">
        <is>
          <t>pal_120</t>
        </is>
      </c>
      <c r="B121" s="29">
        <f>IFERROR(VLOOKUP($A121,'01_宠物主表_好读版'!$A:$V,3,FALSE),"")</f>
        <v/>
      </c>
      <c r="C121" s="29">
        <f>IFERROR(VLOOKUP($A121,'01_宠物主表_好读版'!$A:$V,4,FALSE),"")</f>
        <v/>
      </c>
      <c r="D121" s="29">
        <f>IFERROR(VLOOKUP($A121,'01_宠物主表_好读版'!$A:$V,8,FALSE),"")</f>
        <v/>
      </c>
      <c r="E121" s="28" t="inlineStr">
        <is>
          <t>C1</t>
        </is>
      </c>
      <c r="F121" s="28" t="inlineStr">
        <is>
          <t>前方2×2</t>
        </is>
      </c>
      <c r="G121" s="28" t="inlineStr">
        <is>
          <t>单体</t>
        </is>
      </c>
      <c r="H121" s="28" t="n">
        <v>1</v>
      </c>
      <c r="I121" s="28" t="inlineStr">
        <is>
          <t>默认向右</t>
        </is>
      </c>
      <c r="J121" s="28" t="n">
        <v>3</v>
      </c>
      <c r="K121" s="28" t="inlineStr">
        <is>
          <t>火</t>
        </is>
      </c>
      <c r="L121" s="28" t="inlineStr">
        <is>
          <t>火</t>
        </is>
      </c>
      <c r="M121" s="28" t="inlineStr">
        <is>
          <t>火</t>
        </is>
      </c>
      <c r="N121" s="28" t="n">
        <v>1</v>
      </c>
      <c r="O121" s="28" t="inlineStr">
        <is>
          <t>牵制</t>
        </is>
      </c>
      <c r="P121" s="28" t="inlineStr">
        <is>
          <t>advHitBonus</t>
        </is>
      </c>
      <c r="Q121" s="28" t="inlineStr">
        <is>
          <t>none</t>
        </is>
      </c>
      <c r="R121" s="29">
        <f>IFERROR(VLOOKUP($Q121,'04_机制词条库_60条'!$B:$S,2,FALSE),"")</f>
        <v/>
      </c>
      <c r="S121" s="28" t="inlineStr">
        <is>
          <t>正式</t>
        </is>
      </c>
      <c r="T121" s="28" t="inlineStr">
        <is>
          <t>同宠3槽默认同形状；坐标细节放shape_rules.yaml</t>
        </is>
      </c>
    </row>
    <row r="122" ht="22" customHeight="1">
      <c r="A122" s="28" t="inlineStr">
        <is>
          <t>pal_121</t>
        </is>
      </c>
      <c r="B122" s="29">
        <f>IFERROR(VLOOKUP($A122,'01_宠物主表_好读版'!$A:$V,3,FALSE),"")</f>
        <v/>
      </c>
      <c r="C122" s="29">
        <f>IFERROR(VLOOKUP($A122,'01_宠物主表_好读版'!$A:$V,4,FALSE),"")</f>
        <v/>
      </c>
      <c r="D122" s="29">
        <f>IFERROR(VLOOKUP($A122,'01_宠物主表_好读版'!$A:$V,8,FALSE),"")</f>
        <v/>
      </c>
      <c r="E122" s="28" t="inlineStr">
        <is>
          <t>C1</t>
        </is>
      </c>
      <c r="F122" s="28" t="inlineStr">
        <is>
          <t>前方2×2</t>
        </is>
      </c>
      <c r="G122" s="28" t="inlineStr">
        <is>
          <t>单体</t>
        </is>
      </c>
      <c r="H122" s="28" t="n">
        <v>1</v>
      </c>
      <c r="I122" s="28" t="inlineStr">
        <is>
          <t>默认向右</t>
        </is>
      </c>
      <c r="J122" s="28" t="n">
        <v>3</v>
      </c>
      <c r="K122" s="28" t="inlineStr">
        <is>
          <t>风</t>
        </is>
      </c>
      <c r="L122" s="28" t="inlineStr">
        <is>
          <t>风</t>
        </is>
      </c>
      <c r="M122" s="28" t="inlineStr">
        <is>
          <t>风</t>
        </is>
      </c>
      <c r="N122" s="28" t="n">
        <v>1</v>
      </c>
      <c r="O122" s="28" t="inlineStr">
        <is>
          <t>牵制</t>
        </is>
      </c>
      <c r="P122" s="28" t="inlineStr">
        <is>
          <t>advHitBonus</t>
        </is>
      </c>
      <c r="Q122" s="28" t="inlineStr">
        <is>
          <t>none</t>
        </is>
      </c>
      <c r="R122" s="29">
        <f>IFERROR(VLOOKUP($Q122,'04_机制词条库_60条'!$B:$S,2,FALSE),"")</f>
        <v/>
      </c>
      <c r="S122" s="28" t="inlineStr">
        <is>
          <t>正式</t>
        </is>
      </c>
      <c r="T122" s="28" t="inlineStr">
        <is>
          <t>同宠3槽默认同形状；坐标细节放shape_rules.yaml</t>
        </is>
      </c>
    </row>
    <row r="123" ht="22" customHeight="1">
      <c r="A123" s="28" t="inlineStr">
        <is>
          <t>pal_122</t>
        </is>
      </c>
      <c r="B123" s="29">
        <f>IFERROR(VLOOKUP($A123,'01_宠物主表_好读版'!$A:$V,3,FALSE),"")</f>
        <v/>
      </c>
      <c r="C123" s="29">
        <f>IFERROR(VLOOKUP($A123,'01_宠物主表_好读版'!$A:$V,4,FALSE),"")</f>
        <v/>
      </c>
      <c r="D123" s="29">
        <f>IFERROR(VLOOKUP($A123,'01_宠物主表_好读版'!$A:$V,8,FALSE),"")</f>
        <v/>
      </c>
      <c r="E123" s="28" t="inlineStr">
        <is>
          <t>C1</t>
        </is>
      </c>
      <c r="F123" s="28" t="inlineStr">
        <is>
          <t>前方2×2</t>
        </is>
      </c>
      <c r="G123" s="28" t="inlineStr">
        <is>
          <t>单体</t>
        </is>
      </c>
      <c r="H123" s="28" t="n">
        <v>1</v>
      </c>
      <c r="I123" s="28" t="inlineStr">
        <is>
          <t>默认向右</t>
        </is>
      </c>
      <c r="J123" s="28" t="n">
        <v>3</v>
      </c>
      <c r="K123" s="28" t="inlineStr">
        <is>
          <t>土</t>
        </is>
      </c>
      <c r="L123" s="28" t="inlineStr">
        <is>
          <t>土</t>
        </is>
      </c>
      <c r="M123" s="28" t="inlineStr">
        <is>
          <t>土</t>
        </is>
      </c>
      <c r="N123" s="28" t="n">
        <v>1</v>
      </c>
      <c r="O123" s="28" t="inlineStr">
        <is>
          <t>牵制</t>
        </is>
      </c>
      <c r="P123" s="28" t="inlineStr">
        <is>
          <t>advHitBonus</t>
        </is>
      </c>
      <c r="Q123" s="28" t="inlineStr">
        <is>
          <t>none</t>
        </is>
      </c>
      <c r="R123" s="29">
        <f>IFERROR(VLOOKUP($Q123,'04_机制词条库_60条'!$B:$S,2,FALSE),"")</f>
        <v/>
      </c>
      <c r="S123" s="28" t="inlineStr">
        <is>
          <t>正式</t>
        </is>
      </c>
      <c r="T123" s="28" t="inlineStr">
        <is>
          <t>同宠3槽默认同形状；坐标细节放shape_rules.yaml</t>
        </is>
      </c>
    </row>
    <row r="124" ht="22" customHeight="1">
      <c r="A124" s="28" t="inlineStr">
        <is>
          <t>pal_123</t>
        </is>
      </c>
      <c r="B124" s="29">
        <f>IFERROR(VLOOKUP($A124,'01_宠物主表_好读版'!$A:$V,3,FALSE),"")</f>
        <v/>
      </c>
      <c r="C124" s="29">
        <f>IFERROR(VLOOKUP($A124,'01_宠物主表_好读版'!$A:$V,4,FALSE),"")</f>
        <v/>
      </c>
      <c r="D124" s="29">
        <f>IFERROR(VLOOKUP($A124,'01_宠物主表_好读版'!$A:$V,8,FALSE),"")</f>
        <v/>
      </c>
      <c r="E124" s="28" t="inlineStr">
        <is>
          <t>T1</t>
        </is>
      </c>
      <c r="F124" s="28" t="inlineStr">
        <is>
          <t>标准前置T</t>
        </is>
      </c>
      <c r="G124" s="28" t="inlineStr">
        <is>
          <t>T形</t>
        </is>
      </c>
      <c r="H124" s="28" t="n">
        <v>4</v>
      </c>
      <c r="I124" s="28" t="inlineStr">
        <is>
          <t>默认向右</t>
        </is>
      </c>
      <c r="J124" s="28" t="n">
        <v>3</v>
      </c>
      <c r="K124" s="28" t="inlineStr">
        <is>
          <t>风</t>
        </is>
      </c>
      <c r="L124" s="28" t="inlineStr">
        <is>
          <t>风</t>
        </is>
      </c>
      <c r="M124" s="28" t="inlineStr">
        <is>
          <t>风</t>
        </is>
      </c>
      <c r="N124" s="28" t="n">
        <v>1</v>
      </c>
      <c r="O124" s="28" t="inlineStr">
        <is>
          <t>阻挡</t>
        </is>
      </c>
      <c r="P124" s="28" t="inlineStr">
        <is>
          <t>castleReduce</t>
        </is>
      </c>
      <c r="Q124" s="28" t="inlineStr">
        <is>
          <t>none</t>
        </is>
      </c>
      <c r="R124" s="29">
        <f>IFERROR(VLOOKUP($Q124,'04_机制词条库_60条'!$B:$S,2,FALSE),"")</f>
        <v/>
      </c>
      <c r="S124" s="28" t="inlineStr">
        <is>
          <t>正式</t>
        </is>
      </c>
      <c r="T124" s="28" t="inlineStr">
        <is>
          <t>同宠3槽默认同形状；坐标细节放shape_rules.yaml</t>
        </is>
      </c>
    </row>
    <row r="125" ht="22" customHeight="1">
      <c r="A125" s="28" t="inlineStr">
        <is>
          <t>pal_124</t>
        </is>
      </c>
      <c r="B125" s="29">
        <f>IFERROR(VLOOKUP($A125,'01_宠物主表_好读版'!$A:$V,3,FALSE),"")</f>
        <v/>
      </c>
      <c r="C125" s="29">
        <f>IFERROR(VLOOKUP($A125,'01_宠物主表_好读版'!$A:$V,4,FALSE),"")</f>
        <v/>
      </c>
      <c r="D125" s="29">
        <f>IFERROR(VLOOKUP($A125,'01_宠物主表_好读版'!$A:$V,8,FALSE),"")</f>
        <v/>
      </c>
      <c r="E125" s="28" t="inlineStr">
        <is>
          <t>T1</t>
        </is>
      </c>
      <c r="F125" s="28" t="inlineStr">
        <is>
          <t>标准前置T</t>
        </is>
      </c>
      <c r="G125" s="28" t="inlineStr">
        <is>
          <t>T形</t>
        </is>
      </c>
      <c r="H125" s="28" t="n">
        <v>4</v>
      </c>
      <c r="I125" s="28" t="inlineStr">
        <is>
          <t>默认向右</t>
        </is>
      </c>
      <c r="J125" s="28" t="n">
        <v>3</v>
      </c>
      <c r="K125" s="28" t="inlineStr">
        <is>
          <t>土</t>
        </is>
      </c>
      <c r="L125" s="28" t="inlineStr">
        <is>
          <t>土</t>
        </is>
      </c>
      <c r="M125" s="28" t="inlineStr">
        <is>
          <t>土</t>
        </is>
      </c>
      <c r="N125" s="28" t="n">
        <v>1</v>
      </c>
      <c r="O125" s="28" t="inlineStr">
        <is>
          <t>阻挡</t>
        </is>
      </c>
      <c r="P125" s="28" t="inlineStr">
        <is>
          <t>castleReduce</t>
        </is>
      </c>
      <c r="Q125" s="28" t="inlineStr">
        <is>
          <t>none</t>
        </is>
      </c>
      <c r="R125" s="29">
        <f>IFERROR(VLOOKUP($Q125,'04_机制词条库_60条'!$B:$S,2,FALSE),"")</f>
        <v/>
      </c>
      <c r="S125" s="28" t="inlineStr">
        <is>
          <t>正式</t>
        </is>
      </c>
      <c r="T125" s="28" t="inlineStr">
        <is>
          <t>同宠3槽默认同形状；坐标细节放shape_rules.yaml</t>
        </is>
      </c>
    </row>
    <row r="126" ht="22" customHeight="1">
      <c r="A126" s="28" t="inlineStr">
        <is>
          <t>pal_125</t>
        </is>
      </c>
      <c r="B126" s="29">
        <f>IFERROR(VLOOKUP($A126,'01_宠物主表_好读版'!$A:$V,3,FALSE),"")</f>
        <v/>
      </c>
      <c r="C126" s="29">
        <f>IFERROR(VLOOKUP($A126,'01_宠物主表_好读版'!$A:$V,4,FALSE),"")</f>
        <v/>
      </c>
      <c r="D126" s="29">
        <f>IFERROR(VLOOKUP($A126,'01_宠物主表_好读版'!$A:$V,8,FALSE),"")</f>
        <v/>
      </c>
      <c r="E126" s="28" t="inlineStr">
        <is>
          <t>C1</t>
        </is>
      </c>
      <c r="F126" s="28" t="inlineStr">
        <is>
          <t>前方2×2</t>
        </is>
      </c>
      <c r="G126" s="28" t="inlineStr">
        <is>
          <t>单体</t>
        </is>
      </c>
      <c r="H126" s="28" t="n">
        <v>1</v>
      </c>
      <c r="I126" s="28" t="inlineStr">
        <is>
          <t>默认向右</t>
        </is>
      </c>
      <c r="J126" s="28" t="n">
        <v>3</v>
      </c>
      <c r="K126" s="28" t="inlineStr">
        <is>
          <t>水</t>
        </is>
      </c>
      <c r="L126" s="28" t="inlineStr">
        <is>
          <t>水</t>
        </is>
      </c>
      <c r="M126" s="28" t="inlineStr">
        <is>
          <t>水</t>
        </is>
      </c>
      <c r="N126" s="28" t="n">
        <v>1</v>
      </c>
      <c r="O126" s="28" t="inlineStr">
        <is>
          <t>牵制</t>
        </is>
      </c>
      <c r="P126" s="28" t="inlineStr">
        <is>
          <t>advHitBonus</t>
        </is>
      </c>
      <c r="Q126" s="28" t="inlineStr">
        <is>
          <t>none</t>
        </is>
      </c>
      <c r="R126" s="29">
        <f>IFERROR(VLOOKUP($Q126,'04_机制词条库_60条'!$B:$S,2,FALSE),"")</f>
        <v/>
      </c>
      <c r="S126" s="28" t="inlineStr">
        <is>
          <t>正式</t>
        </is>
      </c>
      <c r="T126" s="28" t="inlineStr">
        <is>
          <t>同宠3槽默认同形状；坐标细节放shape_rules.yaml</t>
        </is>
      </c>
    </row>
    <row r="127" ht="22" customHeight="1">
      <c r="A127" s="28" t="inlineStr">
        <is>
          <t>pal_126</t>
        </is>
      </c>
      <c r="B127" s="29">
        <f>IFERROR(VLOOKUP($A127,'01_宠物主表_好读版'!$A:$V,3,FALSE),"")</f>
        <v/>
      </c>
      <c r="C127" s="29">
        <f>IFERROR(VLOOKUP($A127,'01_宠物主表_好读版'!$A:$V,4,FALSE),"")</f>
        <v/>
      </c>
      <c r="D127" s="29">
        <f>IFERROR(VLOOKUP($A127,'01_宠物主表_好读版'!$A:$V,8,FALSE),"")</f>
        <v/>
      </c>
      <c r="E127" s="28" t="inlineStr">
        <is>
          <t>T1</t>
        </is>
      </c>
      <c r="F127" s="28" t="inlineStr">
        <is>
          <t>标准前置T</t>
        </is>
      </c>
      <c r="G127" s="28" t="inlineStr">
        <is>
          <t>T形</t>
        </is>
      </c>
      <c r="H127" s="28" t="n">
        <v>4</v>
      </c>
      <c r="I127" s="28" t="inlineStr">
        <is>
          <t>默认向右</t>
        </is>
      </c>
      <c r="J127" s="28" t="n">
        <v>3</v>
      </c>
      <c r="K127" s="28" t="inlineStr">
        <is>
          <t>土</t>
        </is>
      </c>
      <c r="L127" s="28" t="inlineStr">
        <is>
          <t>土</t>
        </is>
      </c>
      <c r="M127" s="28" t="inlineStr">
        <is>
          <t>土</t>
        </is>
      </c>
      <c r="N127" s="28" t="n">
        <v>1</v>
      </c>
      <c r="O127" s="28" t="inlineStr">
        <is>
          <t>牵制</t>
        </is>
      </c>
      <c r="P127" s="28" t="inlineStr">
        <is>
          <t>healAmpBonus</t>
        </is>
      </c>
      <c r="Q127" s="28" t="inlineStr">
        <is>
          <t>none</t>
        </is>
      </c>
      <c r="R127" s="29">
        <f>IFERROR(VLOOKUP($Q127,'04_机制词条库_60条'!$B:$S,2,FALSE),"")</f>
        <v/>
      </c>
      <c r="S127" s="28" t="inlineStr">
        <is>
          <t>正式</t>
        </is>
      </c>
      <c r="T127" s="28" t="inlineStr">
        <is>
          <t>同宠3槽默认同形状；坐标细节放shape_rules.yaml</t>
        </is>
      </c>
    </row>
    <row r="128" ht="22" customHeight="1">
      <c r="A128" s="28" t="inlineStr">
        <is>
          <t>pal_127</t>
        </is>
      </c>
      <c r="B128" s="29">
        <f>IFERROR(VLOOKUP($A128,'01_宠物主表_好读版'!$A:$V,3,FALSE),"")</f>
        <v/>
      </c>
      <c r="C128" s="29">
        <f>IFERROR(VLOOKUP($A128,'01_宠物主表_好读版'!$A:$V,4,FALSE),"")</f>
        <v/>
      </c>
      <c r="D128" s="29">
        <f>IFERROR(VLOOKUP($A128,'01_宠物主表_好读版'!$A:$V,8,FALSE),"")</f>
        <v/>
      </c>
      <c r="E128" s="28" t="inlineStr">
        <is>
          <t>C1</t>
        </is>
      </c>
      <c r="F128" s="28" t="inlineStr">
        <is>
          <t>前方2×2</t>
        </is>
      </c>
      <c r="G128" s="28" t="inlineStr">
        <is>
          <t>单体</t>
        </is>
      </c>
      <c r="H128" s="28" t="n">
        <v>1</v>
      </c>
      <c r="I128" s="28" t="inlineStr">
        <is>
          <t>默认向右</t>
        </is>
      </c>
      <c r="J128" s="28" t="n">
        <v>3</v>
      </c>
      <c r="K128" s="28" t="inlineStr">
        <is>
          <t>风</t>
        </is>
      </c>
      <c r="L128" s="28" t="inlineStr">
        <is>
          <t>风</t>
        </is>
      </c>
      <c r="M128" s="28" t="inlineStr">
        <is>
          <t>风</t>
        </is>
      </c>
      <c r="N128" s="28" t="n">
        <v>1</v>
      </c>
      <c r="O128" s="28" t="inlineStr">
        <is>
          <t>牵制</t>
        </is>
      </c>
      <c r="P128" s="28" t="inlineStr">
        <is>
          <t>advHitBonus</t>
        </is>
      </c>
      <c r="Q128" s="28" t="inlineStr">
        <is>
          <t>none</t>
        </is>
      </c>
      <c r="R128" s="29">
        <f>IFERROR(VLOOKUP($Q128,'04_机制词条库_60条'!$B:$S,2,FALSE),"")</f>
        <v/>
      </c>
      <c r="S128" s="28" t="inlineStr">
        <is>
          <t>正式</t>
        </is>
      </c>
      <c r="T128" s="28" t="inlineStr">
        <is>
          <t>同宠3槽默认同形状；坐标细节放shape_rules.yaml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2" customWidth="1" min="7" max="7"/>
    <col width="14" customWidth="1" min="8" max="8"/>
  </cols>
  <sheetData>
    <row r="1" ht="28" customHeight="1">
      <c r="A1" s="27" t="inlineStr">
        <is>
          <t>校验ID</t>
        </is>
      </c>
      <c r="B1" s="27" t="inlineStr">
        <is>
          <t>模块</t>
        </is>
      </c>
      <c r="C1" s="27" t="inlineStr">
        <is>
          <t>引用字段</t>
        </is>
      </c>
      <c r="D1" s="27" t="inlineStr">
        <is>
          <t>引用数量</t>
        </is>
      </c>
      <c r="E1" s="27" t="inlineStr">
        <is>
          <t>缺失数量</t>
        </is>
      </c>
      <c r="F1" s="27" t="inlineStr">
        <is>
          <t>状态</t>
        </is>
      </c>
      <c r="G1" s="27" t="inlineStr">
        <is>
          <t>说明</t>
        </is>
      </c>
      <c r="H1" s="27" t="inlineStr">
        <is>
          <t>缺失样例</t>
        </is>
      </c>
    </row>
    <row r="2" ht="22" customHeight="1">
      <c r="A2" s="28" t="inlineStr">
        <is>
          <t>VAL001</t>
        </is>
      </c>
      <c r="B2" s="28" t="inlineStr">
        <is>
          <t>02怪物模板</t>
        </is>
      </c>
      <c r="C2" s="28" t="inlineStr">
        <is>
          <t>宠物ID</t>
        </is>
      </c>
      <c r="D2" s="28" t="n">
        <v>34</v>
      </c>
      <c r="E2" s="28" t="n">
        <v>0</v>
      </c>
      <c r="F2" s="28" t="inlineStr">
        <is>
          <t>PASS</t>
        </is>
      </c>
      <c r="G2" s="28" t="inlineStr">
        <is>
          <t>所有怪物模板必须引用宠物ID</t>
        </is>
      </c>
      <c r="H2" s="28" t="inlineStr">
        <is>
          <t>44</t>
        </is>
      </c>
    </row>
    <row r="3" ht="22" customHeight="1">
      <c r="A3" s="28" t="inlineStr">
        <is>
          <t>VAL002</t>
        </is>
      </c>
      <c r="B3" s="28" t="inlineStr">
        <is>
          <t>03怪物波次</t>
        </is>
      </c>
      <c r="C3" s="28" t="inlineStr">
        <is>
          <t>宠物ID</t>
        </is>
      </c>
      <c r="D3" s="28" t="n">
        <v>134</v>
      </c>
      <c r="E3" s="28" t="n">
        <v>0</v>
      </c>
      <c r="F3" s="28" t="inlineStr">
        <is>
          <t>PASS</t>
        </is>
      </c>
      <c r="G3" s="28" t="inlineStr">
        <is>
          <t>所有波次必须引用宠物ID</t>
        </is>
      </c>
      <c r="H3" s="28" t="inlineStr">
        <is>
          <t>44</t>
        </is>
      </c>
    </row>
    <row r="4" ht="22" customHeight="1">
      <c r="A4" s="28" t="inlineStr">
        <is>
          <t>VAL003</t>
        </is>
      </c>
      <c r="B4" s="28" t="inlineStr">
        <is>
          <t>04机制词条库</t>
        </is>
      </c>
      <c r="C4" s="28" t="inlineStr">
        <is>
          <t>机制ID</t>
        </is>
      </c>
      <c r="D4" s="28" t="n">
        <v>61</v>
      </c>
      <c r="E4" s="28" t="n">
        <v>0</v>
      </c>
      <c r="F4" s="28" t="inlineStr">
        <is>
          <t>PASS</t>
        </is>
      </c>
      <c r="G4" s="28" t="inlineStr">
        <is>
          <t>机制ID为全局效果主键</t>
        </is>
      </c>
      <c r="H4" s="28" t="inlineStr">
        <is>
          <t>44</t>
        </is>
      </c>
    </row>
    <row r="5" ht="22" customHeight="1">
      <c r="A5" s="28" t="inlineStr">
        <is>
          <t>VAL004</t>
        </is>
      </c>
      <c r="B5" s="28" t="inlineStr">
        <is>
          <t>05事件主表</t>
        </is>
      </c>
      <c r="C5" s="28" t="inlineStr">
        <is>
          <t>宠物ID</t>
        </is>
      </c>
      <c r="D5" s="28" t="n">
        <v>32</v>
      </c>
      <c r="E5" s="28" t="n">
        <v>0</v>
      </c>
      <c r="F5" s="28" t="inlineStr">
        <is>
          <t>PASS</t>
        </is>
      </c>
      <c r="G5" s="28" t="inlineStr">
        <is>
          <t>事件引用宠物ID</t>
        </is>
      </c>
      <c r="H5" s="28" t="inlineStr">
        <is>
          <t>44</t>
        </is>
      </c>
    </row>
    <row r="6" ht="22" customHeight="1">
      <c r="A6" s="28" t="inlineStr">
        <is>
          <t>VAL005</t>
        </is>
      </c>
      <c r="B6" s="28" t="inlineStr">
        <is>
          <t>05事件主表</t>
        </is>
      </c>
      <c r="C6" s="28" t="inlineStr">
        <is>
          <t>机制ID</t>
        </is>
      </c>
      <c r="D6" s="28" t="n">
        <v>32</v>
      </c>
      <c r="E6" s="28" t="n">
        <v>0</v>
      </c>
      <c r="F6" s="28" t="inlineStr">
        <is>
          <t>PASS</t>
        </is>
      </c>
      <c r="G6" s="28" t="inlineStr">
        <is>
          <t>事件机制必须来自04机制词条库</t>
        </is>
      </c>
      <c r="H6" s="28" t="inlineStr">
        <is>
          <t>44</t>
        </is>
      </c>
    </row>
    <row r="7" ht="22" customHeight="1">
      <c r="A7" s="28" t="inlineStr">
        <is>
          <t>VAL006</t>
        </is>
      </c>
      <c r="B7" s="28" t="inlineStr">
        <is>
          <t>06商店奖励池</t>
        </is>
      </c>
      <c r="C7" s="28" t="inlineStr">
        <is>
          <t>宠物ID</t>
        </is>
      </c>
      <c r="D7" s="28" t="n">
        <v>127</v>
      </c>
      <c r="E7" s="28" t="n">
        <v>0</v>
      </c>
      <c r="F7" s="28" t="inlineStr">
        <is>
          <t>PASS</t>
        </is>
      </c>
      <c r="G7" s="28" t="inlineStr">
        <is>
          <t>商店商品必须引用宠物ID</t>
        </is>
      </c>
      <c r="H7" s="28" t="inlineStr">
        <is>
          <t>44</t>
        </is>
      </c>
    </row>
    <row r="8" ht="22" customHeight="1">
      <c r="A8" s="28" t="inlineStr">
        <is>
          <t>VAL007</t>
        </is>
      </c>
      <c r="B8" s="28" t="inlineStr">
        <is>
          <t>07遗物祝福</t>
        </is>
      </c>
      <c r="C8" s="28" t="inlineStr">
        <is>
          <t>宠物ID</t>
        </is>
      </c>
      <c r="D8" s="28" t="n">
        <v>40</v>
      </c>
      <c r="E8" s="28" t="n">
        <v>0</v>
      </c>
      <c r="F8" s="28" t="inlineStr">
        <is>
          <t>PASS</t>
        </is>
      </c>
      <c r="G8" s="28" t="inlineStr">
        <is>
          <t>遗物关联宠物ID</t>
        </is>
      </c>
      <c r="H8" s="28" t="inlineStr">
        <is>
          <t>44</t>
        </is>
      </c>
    </row>
    <row r="9" ht="22" customHeight="1">
      <c r="A9" s="28" t="inlineStr">
        <is>
          <t>VAL008</t>
        </is>
      </c>
      <c r="B9" s="28" t="inlineStr">
        <is>
          <t>07遗物祝福</t>
        </is>
      </c>
      <c r="C9" s="28" t="inlineStr">
        <is>
          <t>机制ID</t>
        </is>
      </c>
      <c r="D9" s="28" t="n">
        <v>40</v>
      </c>
      <c r="E9" s="28" t="n">
        <v>0</v>
      </c>
      <c r="F9" s="28" t="inlineStr">
        <is>
          <t>PASS</t>
        </is>
      </c>
      <c r="G9" s="28" t="inlineStr">
        <is>
          <t>遗物机制必须来自04机制词条库</t>
        </is>
      </c>
      <c r="H9" s="28" t="inlineStr">
        <is>
          <t>44</t>
        </is>
      </c>
    </row>
    <row r="10" ht="22" customHeight="1">
      <c r="A10" s="28" t="inlineStr">
        <is>
          <t>VAL009</t>
        </is>
      </c>
      <c r="B10" s="28" t="inlineStr">
        <is>
          <t>08形状行动槽</t>
        </is>
      </c>
      <c r="C10" s="28" t="inlineStr">
        <is>
          <t>宠物ID</t>
        </is>
      </c>
      <c r="D10" s="28" t="n">
        <v>127</v>
      </c>
      <c r="E10" s="28" t="n">
        <v>0</v>
      </c>
      <c r="F10" s="28" t="inlineStr">
        <is>
          <t>PASS</t>
        </is>
      </c>
      <c r="G10" s="28" t="inlineStr">
        <is>
          <t>行动槽覆盖127宠物</t>
        </is>
      </c>
      <c r="H10" s="28" t="inlineStr">
        <is>
          <t>44</t>
        </is>
      </c>
    </row>
    <row r="11" ht="22" customHeight="1">
      <c r="A11" s="28" t="inlineStr">
        <is>
          <t>VAL010</t>
        </is>
      </c>
      <c r="B11" s="28" t="inlineStr">
        <is>
          <t>08形状行动槽</t>
        </is>
      </c>
      <c r="C11" s="28" t="inlineStr">
        <is>
          <t>机制ID</t>
        </is>
      </c>
      <c r="D11" s="28" t="n">
        <v>127</v>
      </c>
      <c r="E11" s="28" t="n">
        <v>0</v>
      </c>
      <c r="F11" s="28" t="inlineStr">
        <is>
          <t>PASS</t>
        </is>
      </c>
      <c r="G11" s="28" t="inlineStr">
        <is>
          <t>行动槽机制必须来自04机制词条库</t>
        </is>
      </c>
      <c r="H11" s="28" t="inlineStr">
        <is>
          <t>44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60" customWidth="1" min="3" max="3"/>
  </cols>
  <sheetData>
    <row r="1">
      <c r="A1" s="30" t="inlineStr">
        <is>
          <t>波次表改动说明</t>
        </is>
      </c>
      <c r="B1" s="1" t="n"/>
      <c r="C1" s="1" t="n"/>
    </row>
    <row r="2">
      <c r="A2" s="31" t="inlineStr">
        <is>
          <t>字段</t>
        </is>
      </c>
      <c r="B2" s="31" t="inlineStr">
        <is>
          <t>写法</t>
        </is>
      </c>
      <c r="C2" s="31" t="inlineStr">
        <is>
          <t>含义</t>
        </is>
      </c>
    </row>
    <row r="3">
      <c r="A3" s="22" t="inlineStr">
        <is>
          <t>宠物池-数量</t>
        </is>
      </c>
      <c r="B3" s="22" t="inlineStr">
        <is>
          <t>1,2,3,4,5-2</t>
        </is>
      </c>
      <c r="C3" s="22" t="inlineStr">
        <is>
          <t>从 pal_001 ~ pal_005 里随机出 2 只。数字会自动补成 pal_001 这种正式 ID。</t>
        </is>
      </c>
    </row>
    <row r="4">
      <c r="A4" s="22" t="inlineStr">
        <is>
          <t>品质权重</t>
        </is>
      </c>
      <c r="B4" s="22" t="inlineStr">
        <is>
          <t>90,10,0,0</t>
        </is>
      </c>
      <c r="C4" s="22" t="inlineStr">
        <is>
          <t>依次代表：青铜、白银、黄金、钻石。按权重归一化，不强制总和=100。</t>
        </is>
      </c>
    </row>
    <row r="5">
      <c r="A5" s="22" t="inlineStr">
        <is>
          <t>本行威胁(自动)</t>
        </is>
      </c>
      <c r="B5" s="22" t="inlineStr">
        <is>
          <t>公式自动计算</t>
        </is>
      </c>
      <c r="C5" s="22" t="inlineStr">
        <is>
          <t>候选池平均效果分 × 出怪数 × 品质期望倍率。</t>
        </is>
      </c>
    </row>
    <row r="6">
      <c r="A6" s="22" t="inlineStr">
        <is>
          <t>品质倍率</t>
        </is>
      </c>
      <c r="B6" s="22" t="inlineStr">
        <is>
          <t>1 / 1.5 / 2 / 2.5</t>
        </is>
      </c>
      <c r="C6" s="22" t="inlineStr">
        <is>
          <t>青铜×1.0，白银×1.5，黄金×2.0，钻石×2.5。</t>
        </is>
      </c>
    </row>
    <row r="7">
      <c r="A7" s="22" t="inlineStr">
        <is>
          <t>注意</t>
        </is>
      </c>
      <c r="B7" s="22" t="inlineStr">
        <is>
          <t>只改 E/F 列</t>
        </is>
      </c>
      <c r="C7" s="22" t="inlineStr">
        <is>
          <t>研究波次强度时，优先改“宠物池-数量”和“品质权重”。A-D 是波次定位，不建议频繁改。</t>
        </is>
      </c>
    </row>
    <row r="8">
      <c r="A8" s="22" t="inlineStr">
        <is>
          <t>不确定项</t>
        </is>
      </c>
      <c r="B8" s="22" t="inlineStr">
        <is>
          <t>后续可改</t>
        </is>
      </c>
      <c r="C8" s="22" t="inlineStr">
        <is>
          <t>目前我按截图规律把空白品质权重补成 90,10,0,回合-1；如果你要严格百分比，F列总和需要改成100。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50" customWidth="1" min="4" max="4"/>
  </cols>
  <sheetData>
    <row r="1">
      <c r="A1" s="17" t="inlineStr">
        <is>
          <t>模块</t>
        </is>
      </c>
      <c r="B1" s="17" t="inlineStr">
        <is>
          <t>字段/规则</t>
        </is>
      </c>
      <c r="C1" s="17" t="inlineStr">
        <is>
          <t>当前定义</t>
        </is>
      </c>
      <c r="D1" s="17" t="inlineStr">
        <is>
          <t>边界说明</t>
        </is>
      </c>
    </row>
    <row r="2">
      <c r="A2" s="22" t="inlineStr">
        <is>
          <t>波次表</t>
        </is>
      </c>
      <c r="B2" s="22" t="inlineStr">
        <is>
          <t>宠物池-数量</t>
        </is>
      </c>
      <c r="C2" s="22" t="inlineStr">
        <is>
          <t>例如 1,2,3,4,5-2</t>
        </is>
      </c>
      <c r="D2" s="22" t="inlineStr">
        <is>
          <t>左边是候选宠物编号池；右边 -2 表示本回合出怪数。编号 1 自动映射为 pal_001。</t>
        </is>
      </c>
    </row>
    <row r="3">
      <c r="A3" s="22" t="inlineStr">
        <is>
          <t>波次表</t>
        </is>
      </c>
      <c r="B3" s="22" t="inlineStr">
        <is>
          <t>品质权重</t>
        </is>
      </c>
      <c r="C3" s="22" t="inlineStr">
        <is>
          <t>例如 90,10,0,1</t>
        </is>
      </c>
      <c r="D3" s="22" t="inlineStr">
        <is>
          <t>顺序固定为 青铜,白银,黄金,钻石；建议按权重处理，不要求合计100。</t>
        </is>
      </c>
    </row>
    <row r="4">
      <c r="A4" s="22" t="inlineStr">
        <is>
          <t>威胁分</t>
        </is>
      </c>
      <c r="B4" s="22" t="inlineStr">
        <is>
          <t>公式</t>
        </is>
      </c>
      <c r="C4" s="22" t="inlineStr">
        <is>
          <t>候选池平均效果分 × 出怪数 × 品质期望倍率</t>
        </is>
      </c>
      <c r="D4" s="22" t="inlineStr">
        <is>
          <t>候选池平均效果分来自宠物主表的 效果分 列。</t>
        </is>
      </c>
    </row>
    <row r="5">
      <c r="A5" s="22" t="inlineStr">
        <is>
          <t>品质倍率</t>
        </is>
      </c>
      <c r="B5" s="22" t="inlineStr">
        <is>
          <t>青铜</t>
        </is>
      </c>
      <c r="C5" s="22" t="inlineStr">
        <is>
          <t>1.0</t>
        </is>
      </c>
      <c r="D5" s="22" t="inlineStr">
        <is>
          <t>当前沿用你之前的倍率设定。</t>
        </is>
      </c>
    </row>
    <row r="6">
      <c r="A6" s="22" t="inlineStr">
        <is>
          <t>品质倍率</t>
        </is>
      </c>
      <c r="B6" s="22" t="inlineStr">
        <is>
          <t>白银</t>
        </is>
      </c>
      <c r="C6" s="22" t="inlineStr">
        <is>
          <t>1.5</t>
        </is>
      </c>
      <c r="D6" s="22" t="inlineStr">
        <is>
          <t>如果后续有品质进阶倍率表，应以倍率表为准。</t>
        </is>
      </c>
    </row>
    <row r="7">
      <c r="A7" s="22" t="inlineStr">
        <is>
          <t>品质倍率</t>
        </is>
      </c>
      <c r="B7" s="22" t="inlineStr">
        <is>
          <t>黄金</t>
        </is>
      </c>
      <c r="C7" s="22" t="inlineStr">
        <is>
          <t>2.0</t>
        </is>
      </c>
      <c r="D7" s="22" t="n"/>
    </row>
    <row r="8">
      <c r="A8" s="22" t="inlineStr">
        <is>
          <t>品质倍率</t>
        </is>
      </c>
      <c r="B8" s="22" t="inlineStr">
        <is>
          <t>钻石</t>
        </is>
      </c>
      <c r="C8" s="22" t="inlineStr">
        <is>
          <t>2.5</t>
        </is>
      </c>
      <c r="D8" s="22" t="n"/>
    </row>
    <row r="9">
      <c r="A9" s="22" t="inlineStr">
        <is>
          <t>怪物模板表</t>
        </is>
      </c>
      <c r="B9" s="22" t="inlineStr">
        <is>
          <t>存在意义</t>
        </is>
      </c>
      <c r="C9" s="22" t="inlineStr">
        <is>
          <t>只补充宠物作为敌方时的默认行为/AI/倍率/是否可随机等</t>
        </is>
      </c>
      <c r="D9" s="22" t="inlineStr">
        <is>
          <t>波次表不再通过 monster_id 找怪，仍直接走 pal_id。</t>
        </is>
      </c>
    </row>
    <row r="10">
      <c r="A10" s="22" t="inlineStr">
        <is>
          <t>建议字段名</t>
        </is>
      </c>
      <c r="B10" s="22" t="inlineStr">
        <is>
          <t>宠物ID</t>
        </is>
      </c>
      <c r="C10" s="22" t="inlineStr">
        <is>
          <t>建议改为 宠物池-数量</t>
        </is>
      </c>
      <c r="D10" s="22" t="inlineStr">
        <is>
          <t>因为它已经不是单个宠物ID。</t>
        </is>
      </c>
    </row>
    <row r="11">
      <c r="A11" s="22" t="inlineStr">
        <is>
          <t>建议字段名</t>
        </is>
      </c>
      <c r="B11" s="22" t="inlineStr">
        <is>
          <t>概率</t>
        </is>
      </c>
      <c r="C11" s="22" t="inlineStr">
        <is>
          <t>建议改为 品质权重</t>
        </is>
      </c>
      <c r="D11" s="22" t="inlineStr">
        <is>
          <t>因为 90,10,0,1 不一定合计100。</t>
        </is>
      </c>
    </row>
    <row r="12">
      <c r="A12" s="22" t="inlineStr">
        <is>
          <t>待确认</t>
        </is>
      </c>
      <c r="B12" s="22" t="inlineStr">
        <is>
          <t>抽样规则</t>
        </is>
      </c>
      <c r="C12" s="22" t="inlineStr">
        <is>
          <t>默认每只怪独立从候选池随机</t>
        </is>
      </c>
      <c r="D12" s="22" t="inlineStr">
        <is>
          <t>是否允许同一回合抽到重复宠物，需要你确认。</t>
        </is>
      </c>
    </row>
    <row r="13">
      <c r="A13" s="22" t="inlineStr">
        <is>
          <t>待确认</t>
        </is>
      </c>
      <c r="B13" s="22" t="inlineStr">
        <is>
          <t>品质规则</t>
        </is>
      </c>
      <c r="C13" s="22" t="inlineStr">
        <is>
          <t>默认每只怪独立随机品质</t>
        </is>
      </c>
      <c r="D13" s="22" t="inlineStr">
        <is>
          <t>是否整行共用一个品质，需要你确认。</t>
        </is>
      </c>
    </row>
    <row r="14">
      <c r="A14" s="22" t="inlineStr">
        <is>
          <t>待确认</t>
        </is>
      </c>
      <c r="B14" s="22" t="inlineStr">
        <is>
          <t>出怪数大于池大小</t>
        </is>
      </c>
      <c r="C14" s="22" t="inlineStr">
        <is>
          <t>默认如果不允许重复则报错；如果允许重复则可继续</t>
        </is>
      </c>
      <c r="D14" s="22" t="inlineStr">
        <is>
          <t>需要你确认。</t>
        </is>
      </c>
    </row>
    <row r="15">
      <c r="A15" s="1" t="n"/>
      <c r="B15" s="1" t="n"/>
      <c r="C15" s="1" t="n"/>
      <c r="D15" s="1" t="n"/>
    </row>
    <row r="16">
      <c r="A16" s="22" t="inlineStr">
        <is>
          <t>实现说明</t>
        </is>
      </c>
      <c r="B16" s="22" t="inlineStr">
        <is>
          <t>当前表格</t>
        </is>
      </c>
      <c r="C16" s="22" t="inlineStr">
        <is>
          <t>本交付版已把威胁分、出怪数、品质期望倍率、候选池平均效果分算成当前值</t>
        </is>
      </c>
      <c r="D16" s="22" t="inlineStr">
        <is>
          <t>这样打开表就能直接看结果；如果改了宠物池/品质权重，需要程序或脚本重新计算。</t>
        </is>
      </c>
    </row>
    <row r="17">
      <c r="A17" s="22" t="inlineStr">
        <is>
          <t>实现说明</t>
        </is>
      </c>
      <c r="B17" s="22" t="inlineStr">
        <is>
          <t>程序接入</t>
        </is>
      </c>
      <c r="C17" s="22" t="inlineStr">
        <is>
          <t>建议程序读取 宠物池-数量 与 品质权重 后实时计算</t>
        </is>
      </c>
      <c r="D17" s="22" t="inlineStr">
        <is>
          <t>不要依赖 Excel 公式作为唯一逻辑。</t>
        </is>
      </c>
    </row>
    <row r="18">
      <c r="A18" s="22" t="inlineStr">
        <is>
          <t>实现说明</t>
        </is>
      </c>
      <c r="B18" s="22" t="inlineStr">
        <is>
          <t>ID简写</t>
        </is>
      </c>
      <c r="C18" s="22" t="inlineStr">
        <is>
          <t>1 等价 pal_001，5 等价 pal_005</t>
        </is>
      </c>
      <c r="D18" s="22" t="inlineStr">
        <is>
          <t>源ID仍以宠物主表的 pal_XXX 为准。</t>
        </is>
      </c>
    </row>
    <row r="19">
      <c r="A19" s="22" t="inlineStr">
        <is>
          <t>实现说明</t>
        </is>
      </c>
      <c r="B19" s="22" t="inlineStr">
        <is>
          <t>威胁分来源</t>
        </is>
      </c>
      <c r="C19" s="22" t="inlineStr">
        <is>
          <t>使用 01_宠物主表_好读版 的 效果分 列</t>
        </is>
      </c>
      <c r="D19" s="22" t="inlineStr">
        <is>
          <t>我按当前表内实际数值计算，未改宠物主表。</t>
        </is>
      </c>
    </row>
    <row r="20">
      <c r="A20" s="22" t="inlineStr">
        <is>
          <t>实现说明</t>
        </is>
      </c>
      <c r="B20" s="22" t="inlineStr">
        <is>
          <t>不确定项</t>
        </is>
      </c>
      <c r="C20" s="22" t="inlineStr">
        <is>
          <t>怪物模板表是否还要参与倍率，目前未纳入威胁分</t>
        </is>
      </c>
      <c r="D20" s="22" t="inlineStr">
        <is>
          <t>需要你确认。</t>
        </is>
      </c>
    </row>
    <row r="21">
      <c r="A21" s="22" t="inlineStr">
        <is>
          <t>实现说明</t>
        </is>
      </c>
      <c r="B21" s="22" t="inlineStr">
        <is>
          <t>不确定项</t>
        </is>
      </c>
      <c r="C21" s="22" t="inlineStr">
        <is>
          <t>是否允许同回合随机出重复宠，目前未影响期望威胁分</t>
        </is>
      </c>
      <c r="D21" s="22" t="inlineStr">
        <is>
          <t>但会影响实战阵容多样性。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0" t="inlineStr">
        <is>
          <t>阵营</t>
        </is>
      </c>
      <c r="B1" s="10" t="inlineStr">
        <is>
          <t>槽位</t>
        </is>
      </c>
      <c r="C1" s="10" t="inlineStr">
        <is>
          <t>宠物ID</t>
        </is>
      </c>
      <c r="D1" s="10" t="inlineStr">
        <is>
          <t>行(1-8)</t>
        </is>
      </c>
      <c r="E1" s="10" t="inlineStr">
        <is>
          <t>列(1-8)</t>
        </is>
      </c>
      <c r="F1" s="10" t="inlineStr">
        <is>
          <t>启用</t>
        </is>
      </c>
      <c r="G1" s="10" t="inlineStr">
        <is>
          <t>备注</t>
        </is>
      </c>
    </row>
    <row r="2">
      <c r="A2" s="11" t="inlineStr">
        <is>
          <t>player</t>
        </is>
      </c>
      <c r="B2" s="11" t="inlineStr">
        <is>
          <t>1</t>
        </is>
      </c>
      <c r="C2" s="11" t="inlineStr">
        <is>
          <t>pal_072</t>
        </is>
      </c>
      <c r="D2" s="11" t="inlineStr">
        <is>
          <t>7</t>
        </is>
      </c>
      <c r="E2" s="11" t="inlineStr">
        <is>
          <t>2</t>
        </is>
      </c>
      <c r="F2" s="11" t="inlineStr">
        <is>
          <t>是</t>
        </is>
      </c>
      <c r="G2" s="11" t="inlineStr">
        <is>
          <t>第7天火核心：融焰娘，品质覆盖=黄金，实际快照见13</t>
        </is>
      </c>
    </row>
    <row r="3">
      <c r="A3" s="11" t="inlineStr">
        <is>
          <t>player</t>
        </is>
      </c>
      <c r="B3" s="11" t="inlineStr">
        <is>
          <t>2</t>
        </is>
      </c>
      <c r="C3" s="11" t="inlineStr">
        <is>
          <t>pal_005</t>
        </is>
      </c>
      <c r="D3" s="11" t="inlineStr">
        <is>
          <t>6</t>
        </is>
      </c>
      <c r="E3" s="11" t="inlineStr">
        <is>
          <t>2</t>
        </is>
      </c>
      <c r="F3" s="11" t="inlineStr">
        <is>
          <t>是</t>
        </is>
      </c>
      <c r="G3" s="11" t="inlineStr">
        <is>
          <t>火绒狐，品质覆盖=白银，实际快照见13</t>
        </is>
      </c>
    </row>
    <row r="4">
      <c r="A4" s="11" t="inlineStr">
        <is>
          <t>player</t>
        </is>
      </c>
      <c r="B4" s="11" t="inlineStr">
        <is>
          <t>3</t>
        </is>
      </c>
      <c r="C4" s="11" t="inlineStr">
        <is>
          <t>pal_006</t>
        </is>
      </c>
      <c r="D4" s="11" t="inlineStr">
        <is>
          <t>7</t>
        </is>
      </c>
      <c r="E4" s="11" t="inlineStr">
        <is>
          <t>3</t>
        </is>
      </c>
      <c r="F4" s="11" t="inlineStr">
        <is>
          <t>是</t>
        </is>
      </c>
      <c r="G4" s="11" t="inlineStr">
        <is>
          <t>冲浪鸭，品质覆盖=白银，实际快照见13</t>
        </is>
      </c>
    </row>
    <row r="5">
      <c r="A5" s="11" t="inlineStr">
        <is>
          <t>player</t>
        </is>
      </c>
      <c r="B5" s="11" t="inlineStr">
        <is>
          <t>4</t>
        </is>
      </c>
      <c r="C5" s="11" t="inlineStr">
        <is>
          <t>pal_038</t>
        </is>
      </c>
      <c r="D5" s="11" t="inlineStr">
        <is>
          <t>6</t>
        </is>
      </c>
      <c r="E5" s="11" t="inlineStr">
        <is>
          <t>3</t>
        </is>
      </c>
      <c r="F5" s="11" t="inlineStr">
        <is>
          <t>是</t>
        </is>
      </c>
      <c r="G5" s="11" t="inlineStr">
        <is>
          <t>疾风隼，承接旋风狸风聚火功能，品质覆盖=白银，实际快照见13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0" t="inlineStr">
        <is>
          <t>领域ID</t>
        </is>
      </c>
      <c r="B1" s="10" t="inlineStr">
        <is>
          <t>提供者宠物ID</t>
        </is>
      </c>
      <c r="C1" s="10" t="inlineStr">
        <is>
          <t>提供者名称</t>
        </is>
      </c>
      <c r="D1" s="10" t="inlineStr">
        <is>
          <t>挂接到</t>
        </is>
      </c>
      <c r="E1" s="10" t="inlineStr">
        <is>
          <t>触发</t>
        </is>
      </c>
      <c r="F1" s="10" t="inlineStr">
        <is>
          <t>效果ID</t>
        </is>
      </c>
      <c r="G1" s="10" t="inlineStr">
        <is>
          <t>参数</t>
        </is>
      </c>
      <c r="H1" s="10" t="inlineStr">
        <is>
          <t>是否持续</t>
        </is>
      </c>
      <c r="I1" s="10" t="inlineStr">
        <is>
          <t>说明</t>
        </is>
      </c>
    </row>
    <row r="2">
      <c r="A2" s="11" t="inlineStr">
        <is>
          <t>domain_fire_core</t>
        </is>
      </c>
      <c r="B2" s="11" t="inlineStr">
        <is>
          <t>pal_072</t>
        </is>
      </c>
      <c r="C2" s="11" t="inlineStr">
        <is>
          <t>融焰娘</t>
        </is>
      </c>
      <c r="D2" s="11" t="inlineStr">
        <is>
          <t>player_hero</t>
        </is>
      </c>
      <c r="E2" s="11" t="inlineStr">
        <is>
          <t>battle_start</t>
        </is>
      </c>
      <c r="F2" s="11" t="inlineStr">
        <is>
          <t>mech_fire_core_domain</t>
        </is>
      </c>
      <c r="G2" s="11" t="inlineStr">
        <is>
          <t>{"threshold":3,"damage":"sum_1_to_N","clear_after_explode":true}</t>
        </is>
      </c>
      <c r="H2" s="11" t="inlineStr">
        <is>
          <t>是</t>
        </is>
      </c>
      <c r="I2" s="11" t="inlineStr">
        <is>
          <t>火脉爆心：火3+形成爆火/陷阱</t>
        </is>
      </c>
    </row>
    <row r="3">
      <c r="A3" s="11" t="inlineStr">
        <is>
          <t>domain_player_free_move</t>
        </is>
      </c>
      <c r="B3" s="11" t="inlineStr">
        <is>
          <t>pal_072</t>
        </is>
      </c>
      <c r="C3" s="11" t="inlineStr">
        <is>
          <t>融焰娘</t>
        </is>
      </c>
      <c r="D3" s="11" t="inlineStr">
        <is>
          <t>player_hero</t>
        </is>
      </c>
      <c r="E3" s="11" t="inlineStr">
        <is>
          <t>battle_start</t>
        </is>
      </c>
      <c r="F3" s="11" t="inlineStr">
        <is>
          <t>mech_move_free_field</t>
        </is>
      </c>
      <c r="G3" s="11" t="inlineStr">
        <is>
          <t>{"side":"player"}</t>
        </is>
      </c>
      <c r="H3" s="11" t="inlineStr">
        <is>
          <t>是</t>
        </is>
      </c>
      <c r="I3" s="11" t="inlineStr">
        <is>
          <t>我方宠物移动不消耗行动力，但攻击后锁定</t>
        </is>
      </c>
    </row>
    <row r="4">
      <c r="A4" s="11" t="inlineStr">
        <is>
          <t>domain_water_catalyst</t>
        </is>
      </c>
      <c r="B4" s="11" t="inlineStr">
        <is>
          <t>pal_006</t>
        </is>
      </c>
      <c r="C4" s="11" t="inlineStr">
        <is>
          <t>冲浪鸭</t>
        </is>
      </c>
      <c r="D4" s="11" t="inlineStr">
        <is>
          <t>player_hero</t>
        </is>
      </c>
      <c r="E4" s="11" t="inlineStr">
        <is>
          <t>battle_start</t>
        </is>
      </c>
      <c r="F4" s="11" t="inlineStr">
        <is>
          <t>mech_water_catalyst_seed</t>
        </is>
      </c>
      <c r="G4" s="11" t="inlineStr">
        <is>
          <t>{"consume_water":1,"multiplier":2}</t>
        </is>
      </c>
      <c r="H4" s="11" t="inlineStr">
        <is>
          <t>是</t>
        </is>
      </c>
      <c r="I4" s="11" t="inlineStr">
        <is>
          <t>水汽催化：下次元素层翻倍</t>
        </is>
      </c>
    </row>
    <row r="5">
      <c r="A5" s="11" t="inlineStr">
        <is>
          <t>domain_wind_gather</t>
        </is>
      </c>
      <c r="B5" s="11" t="inlineStr">
        <is>
          <t>pal_038</t>
        </is>
      </c>
      <c r="C5" s="11" t="inlineStr">
        <is>
          <t>疾风隼</t>
        </is>
      </c>
      <c r="D5" s="11" t="inlineStr">
        <is>
          <t>player_hero</t>
        </is>
      </c>
      <c r="E5" s="11" t="inlineStr">
        <is>
          <t>battle_start</t>
        </is>
      </c>
      <c r="F5" s="11" t="inlineStr">
        <is>
          <t>mech_wind_gather_fire</t>
        </is>
      </c>
      <c r="G5" s="11" t="inlineStr">
        <is>
          <t>{"max_transfer":2}</t>
        </is>
      </c>
      <c r="H5" s="11" t="inlineStr">
        <is>
          <t>是</t>
        </is>
      </c>
      <c r="I5" s="11" t="inlineStr">
        <is>
          <t>风聚火：搬运周围火层到目标格</t>
        </is>
      </c>
    </row>
    <row r="6">
      <c r="A6" s="11" t="inlineStr">
        <is>
          <t>domain_beast_trial</t>
        </is>
      </c>
      <c r="B6" s="11" t="inlineStr">
        <is>
          <t>enemy_beast_master</t>
        </is>
      </c>
      <c r="C6" s="11" t="inlineStr">
        <is>
          <t>兽群统领</t>
        </is>
      </c>
      <c r="D6" s="11" t="inlineStr">
        <is>
          <t>enemy_hero</t>
        </is>
      </c>
      <c r="E6" s="11" t="inlineStr">
        <is>
          <t>battle_start</t>
        </is>
      </c>
      <c r="F6" s="11" t="inlineStr">
        <is>
          <t>mech_beast_trial</t>
        </is>
      </c>
      <c r="G6" s="11" t="inlineStr">
        <is>
          <t>{"area":"rows1-4_cols5-8","hero_pos":"R1C8"}</t>
        </is>
      </c>
      <c r="H6" s="11" t="inlineStr">
        <is>
          <t>是</t>
        </is>
      </c>
      <c r="I6" s="11" t="inlineStr">
        <is>
          <t>兽群试炼考官领域</t>
        </is>
      </c>
    </row>
    <row r="7">
      <c r="A7" s="11" t="inlineStr">
        <is>
          <t>domain_water_poison</t>
        </is>
      </c>
      <c r="B7" s="11" t="inlineStr">
        <is>
          <t>pal_085</t>
        </is>
      </c>
      <c r="C7" s="11" t="inlineStr">
        <is>
          <t>水灵儿</t>
        </is>
      </c>
      <c r="D7" s="11" t="inlineStr">
        <is>
          <t>player_hero</t>
        </is>
      </c>
      <c r="E7" s="11" t="inlineStr">
        <is>
          <t>battle_start</t>
        </is>
      </c>
      <c r="F7" s="11" t="inlineStr">
        <is>
          <t>mech_water_poison_domain</t>
        </is>
      </c>
      <c r="G7" s="11" t="inlineStr">
        <is>
          <t>{}</t>
        </is>
      </c>
      <c r="H7" s="11" t="inlineStr">
        <is>
          <t>是</t>
        </is>
      </c>
      <c r="I7" s="11" t="inlineStr">
        <is>
          <t>水毒续航核心，后续开放</t>
        </is>
      </c>
    </row>
    <row r="8">
      <c r="A8" s="11" t="inlineStr">
        <is>
          <t>domain_summon</t>
        </is>
      </c>
      <c r="B8" s="11" t="inlineStr">
        <is>
          <t>pal_063</t>
        </is>
      </c>
      <c r="C8" s="11" t="inlineStr">
        <is>
          <t>秘斯媞雅</t>
        </is>
      </c>
      <c r="D8" s="11" t="inlineStr">
        <is>
          <t>player_hero</t>
        </is>
      </c>
      <c r="E8" s="11" t="inlineStr">
        <is>
          <t>battle_start</t>
        </is>
      </c>
      <c r="F8" s="11" t="inlineStr">
        <is>
          <t>mech_summon_domain</t>
        </is>
      </c>
      <c r="G8" s="11" t="inlineStr">
        <is>
          <t>{"summon_no_element":true}</t>
        </is>
      </c>
      <c r="H8" s="11" t="inlineStr">
        <is>
          <t>是</t>
        </is>
      </c>
      <c r="I8" s="11" t="inlineStr">
        <is>
          <t>宠物流核心，召唤物不铺元素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0" t="inlineStr">
        <is>
          <t>反应ID</t>
        </is>
      </c>
      <c r="B1" s="10" t="inlineStr">
        <is>
          <t>触发</t>
        </is>
      </c>
      <c r="C1" s="10" t="inlineStr">
        <is>
          <t>条件</t>
        </is>
      </c>
      <c r="D1" s="10" t="inlineStr">
        <is>
          <t>效果</t>
        </is>
      </c>
      <c r="E1" s="10" t="inlineStr">
        <is>
          <t>消耗</t>
        </is>
      </c>
      <c r="F1" s="10" t="inlineStr">
        <is>
          <t>伤害公式</t>
        </is>
      </c>
      <c r="G1" s="10" t="inlineStr">
        <is>
          <t>优先级</t>
        </is>
      </c>
      <c r="H1" s="10" t="inlineStr">
        <is>
          <t>说明</t>
        </is>
      </c>
    </row>
    <row r="2">
      <c r="A2" s="11" t="inlineStr">
        <is>
          <t>fire_explosion</t>
        </is>
      </c>
      <c r="B2" s="11" t="inlineStr">
        <is>
          <t>on_fire_layers_changed</t>
        </is>
      </c>
      <c r="C2" s="11" t="inlineStr">
        <is>
          <t>fire&gt;=3 and enemy_on_cell</t>
        </is>
      </c>
      <c r="D2" s="11" t="inlineStr">
        <is>
          <t>explode_fire</t>
        </is>
      </c>
      <c r="E2" s="11" t="inlineStr">
        <is>
          <t>clear_fire</t>
        </is>
      </c>
      <c r="F2" s="11" t="inlineStr">
        <is>
          <t>sum_1_to_fire_layers</t>
        </is>
      </c>
      <c r="G2" s="11" t="inlineStr">
        <is>
          <t>100</t>
        </is>
      </c>
      <c r="H2" s="11" t="inlineStr">
        <is>
          <t>有敌方单位站在火3+格，立即引爆</t>
        </is>
      </c>
    </row>
    <row r="3">
      <c r="A3" s="11" t="inlineStr">
        <is>
          <t>fire_trap</t>
        </is>
      </c>
      <c r="B3" s="11" t="inlineStr">
        <is>
          <t>on_fire_layers_changed</t>
        </is>
      </c>
      <c r="C3" s="11" t="inlineStr">
        <is>
          <t>fire&gt;=3 and empty_cell</t>
        </is>
      </c>
      <c r="D3" s="11" t="inlineStr">
        <is>
          <t>mark_fire_trap</t>
        </is>
      </c>
      <c r="E3" s="11" t="inlineStr">
        <is>
          <t>none</t>
        </is>
      </c>
      <c r="F3" s="11" t="inlineStr">
        <is>
          <t>none</t>
        </is>
      </c>
      <c r="G3" s="11" t="inlineStr">
        <is>
          <t>90</t>
        </is>
      </c>
      <c r="H3" s="11" t="inlineStr">
        <is>
          <t>空格火3+保留为一次性爆火陷阱</t>
        </is>
      </c>
    </row>
    <row r="4">
      <c r="A4" s="11" t="inlineStr">
        <is>
          <t>fire_trap_enter</t>
        </is>
      </c>
      <c r="B4" s="11" t="inlineStr">
        <is>
          <t>on_unit_enter_cell</t>
        </is>
      </c>
      <c r="C4" s="11" t="inlineStr">
        <is>
          <t>cell_has_fire_trap and unit_side=enemy</t>
        </is>
      </c>
      <c r="D4" s="11" t="inlineStr">
        <is>
          <t>explode_fire</t>
        </is>
      </c>
      <c r="E4" s="11" t="inlineStr">
        <is>
          <t>clear_fire</t>
        </is>
      </c>
      <c r="F4" s="11" t="inlineStr">
        <is>
          <t>sum_1_to_fire_layers</t>
        </is>
      </c>
      <c r="G4" s="11" t="inlineStr">
        <is>
          <t>100</t>
        </is>
      </c>
      <c r="H4" s="11" t="inlineStr">
        <is>
          <t>敌方进入/被推入/被聚入爆火陷阱时引爆</t>
        </is>
      </c>
    </row>
    <row r="5">
      <c r="A5" s="11" t="inlineStr">
        <is>
          <t>water_catalyst</t>
        </is>
      </c>
      <c r="B5" s="11" t="inlineStr">
        <is>
          <t>on_add_element</t>
        </is>
      </c>
      <c r="C5" s="11" t="inlineStr">
        <is>
          <t>cell_water&gt;0 and added_element in 火水风 and source_side=player and domain_water_catalyst</t>
        </is>
      </c>
      <c r="D5" s="11" t="inlineStr">
        <is>
          <t>double_added_layers</t>
        </is>
      </c>
      <c r="E5" s="11" t="inlineStr">
        <is>
          <t>water-1</t>
        </is>
      </c>
      <c r="F5" s="11" t="inlineStr">
        <is>
          <t>none</t>
        </is>
      </c>
      <c r="G5" s="11" t="inlineStr">
        <is>
          <t>80</t>
        </is>
      </c>
      <c r="H5" s="11" t="inlineStr">
        <is>
          <t>消耗1水，使本次添加元素层翻倍</t>
        </is>
      </c>
    </row>
    <row r="6">
      <c r="A6" s="11" t="inlineStr">
        <is>
          <t>wind_gather_fire</t>
        </is>
      </c>
      <c r="B6" s="11" t="inlineStr">
        <is>
          <t>on_wind_gather</t>
        </is>
      </c>
      <c r="C6" s="11" t="inlineStr">
        <is>
          <t>source_fire_cell&gt;0 and target_cell_valid and domain_wind_gather</t>
        </is>
      </c>
      <c r="D6" s="11" t="inlineStr">
        <is>
          <t>transfer_fire</t>
        </is>
      </c>
      <c r="E6" s="11" t="inlineStr">
        <is>
          <t>source_fire-amount</t>
        </is>
      </c>
      <c r="F6" s="11" t="inlineStr">
        <is>
          <t>none</t>
        </is>
      </c>
      <c r="G6" s="11" t="inlineStr">
        <is>
          <t>70</t>
        </is>
      </c>
      <c r="H6" s="11" t="inlineStr">
        <is>
          <t>把来源格火层搬运到目标格</t>
        </is>
      </c>
    </row>
    <row r="7">
      <c r="A7" s="11" t="inlineStr">
        <is>
          <t>shield_regen</t>
        </is>
      </c>
      <c r="B7" s="11" t="inlineStr">
        <is>
          <t>on_round_end</t>
        </is>
      </c>
      <c r="C7" s="11" t="inlineStr">
        <is>
          <t>unit_shield_max&gt;0</t>
        </is>
      </c>
      <c r="D7" s="11" t="inlineStr">
        <is>
          <t>restore_shield_to_max</t>
        </is>
      </c>
      <c r="E7" s="11" t="inlineStr">
        <is>
          <t>none</t>
        </is>
      </c>
      <c r="F7" s="11" t="inlineStr">
        <is>
          <t>none</t>
        </is>
      </c>
      <c r="G7" s="11" t="inlineStr">
        <is>
          <t>50</t>
        </is>
      </c>
      <c r="H7" s="11" t="inlineStr">
        <is>
          <t>盾每回合结束后重生到最大盾</t>
        </is>
      </c>
    </row>
    <row r="8">
      <c r="A8" s="11" t="inlineStr">
        <is>
          <t>water_poison</t>
        </is>
      </c>
      <c r="B8" s="11" t="inlineStr">
        <is>
          <t>on_unit_stay_or_enter_water</t>
        </is>
      </c>
      <c r="C8" s="11" t="inlineStr">
        <is>
          <t>domain_water_poison and unit_side=enemy</t>
        </is>
      </c>
      <c r="D8" s="11" t="inlineStr">
        <is>
          <t>apply_poison</t>
        </is>
      </c>
      <c r="E8" s="11" t="inlineStr">
        <is>
          <t>none</t>
        </is>
      </c>
      <c r="F8" s="11" t="inlineStr">
        <is>
          <t>poison_layers</t>
        </is>
      </c>
      <c r="G8" s="11" t="inlineStr">
        <is>
          <t>60</t>
        </is>
      </c>
      <c r="H8" s="11" t="inlineStr">
        <is>
          <t>水核心开启后才有毒</t>
        </is>
      </c>
    </row>
    <row r="9">
      <c r="A9" s="11" t="inlineStr">
        <is>
          <t>water_heal</t>
        </is>
      </c>
      <c r="B9" s="11" t="inlineStr">
        <is>
          <t>on_round_end</t>
        </is>
      </c>
      <c r="C9" s="11" t="inlineStr">
        <is>
          <t>domain_water_poison and unit_side=player and on_water_cell</t>
        </is>
      </c>
      <c r="D9" s="11" t="inlineStr">
        <is>
          <t>heal</t>
        </is>
      </c>
      <c r="E9" s="11" t="inlineStr">
        <is>
          <t>none</t>
        </is>
      </c>
      <c r="F9" s="11" t="inlineStr">
        <is>
          <t>min(water_layers,3)</t>
        </is>
      </c>
      <c r="G9" s="11" t="inlineStr">
        <is>
          <t>60</t>
        </is>
      </c>
      <c r="H9" s="11" t="inlineStr">
        <is>
          <t>水核心开启后我方站水回血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0" t="inlineStr">
        <is>
          <t>配置ID</t>
        </is>
      </c>
      <c r="B1" s="10" t="inlineStr">
        <is>
          <t>类型</t>
        </is>
      </c>
      <c r="C1" s="10" t="inlineStr">
        <is>
          <t>阵营</t>
        </is>
      </c>
      <c r="D1" s="10" t="inlineStr">
        <is>
          <t>宠物ID</t>
        </is>
      </c>
      <c r="E1" s="10" t="inlineStr">
        <is>
          <t>名称</t>
        </is>
      </c>
      <c r="F1" s="10" t="inlineStr">
        <is>
          <t>品质覆盖</t>
        </is>
      </c>
      <c r="G1" s="10" t="inlineStr">
        <is>
          <t>行(1-8)</t>
        </is>
      </c>
      <c r="H1" s="10" t="inlineStr">
        <is>
          <t>列(1-8)</t>
        </is>
      </c>
      <c r="I1" s="10" t="inlineStr">
        <is>
          <t>HP</t>
        </is>
      </c>
      <c r="J1" s="10" t="inlineStr">
        <is>
          <t>攻</t>
        </is>
      </c>
      <c r="K1" s="10" t="inlineStr">
        <is>
          <t>防</t>
        </is>
      </c>
      <c r="L1" s="10" t="inlineStr">
        <is>
          <t>盾</t>
        </is>
      </c>
      <c r="M1" s="10" t="inlineStr">
        <is>
          <t>行动</t>
        </is>
      </c>
      <c r="N1" s="10" t="inlineStr">
        <is>
          <t>机制ID</t>
        </is>
      </c>
      <c r="O1" s="10" t="inlineStr">
        <is>
          <t>形状ID</t>
        </is>
      </c>
      <c r="P1" s="10" t="inlineStr">
        <is>
          <t>关键规则</t>
        </is>
      </c>
      <c r="Q1" s="10" t="inlineStr">
        <is>
          <t>备注</t>
        </is>
      </c>
    </row>
    <row r="2">
      <c r="A2" s="11" t="inlineStr">
        <is>
          <t>day7_fire_trial_v1</t>
        </is>
      </c>
      <c r="B2" s="11" t="inlineStr">
        <is>
          <t>player_unit</t>
        </is>
      </c>
      <c r="C2" s="11" t="inlineStr">
        <is>
          <t>player</t>
        </is>
      </c>
      <c r="D2" s="11" t="inlineStr">
        <is>
          <t>pal_072</t>
        </is>
      </c>
      <c r="E2" s="11" t="inlineStr">
        <is>
          <t>融焰娘</t>
        </is>
      </c>
      <c r="F2" s="11" t="inlineStr">
        <is>
          <t>黄金</t>
        </is>
      </c>
      <c r="G2" s="11" t="inlineStr">
        <is>
          <t>7</t>
        </is>
      </c>
      <c r="H2" s="11" t="inlineStr">
        <is>
          <t>2</t>
        </is>
      </c>
      <c r="I2" s="11" t="inlineStr">
        <is>
          <t>60</t>
        </is>
      </c>
      <c r="J2" s="11" t="inlineStr">
        <is>
          <t>10</t>
        </is>
      </c>
      <c r="K2" s="11" t="inlineStr">
        <is>
          <t>0</t>
        </is>
      </c>
      <c r="L2" s="11" t="inlineStr">
        <is>
          <t>0</t>
        </is>
      </c>
      <c r="M2" s="11" t="inlineStr">
        <is>
          <t>3</t>
        </is>
      </c>
      <c r="N2" s="11" t="inlineStr">
        <is>
          <t>mech_fire_core_domain</t>
        </is>
      </c>
      <c r="O2" s="11" t="inlineStr">
        <is>
          <t>B2_fire_core_double</t>
        </is>
      </c>
      <c r="P2" s="11" t="inlineStr">
        <is>
          <t>火脉爆心；主格+2火；主动高火爆</t>
        </is>
      </c>
      <c r="Q2" s="11" t="inlineStr">
        <is>
          <t>第7天刚拿火核心</t>
        </is>
      </c>
    </row>
    <row r="3">
      <c r="A3" s="11" t="inlineStr">
        <is>
          <t>day7_fire_trial_v1</t>
        </is>
      </c>
      <c r="B3" s="11" t="inlineStr">
        <is>
          <t>player_unit</t>
        </is>
      </c>
      <c r="C3" s="11" t="inlineStr">
        <is>
          <t>player</t>
        </is>
      </c>
      <c r="D3" s="11" t="inlineStr">
        <is>
          <t>pal_005</t>
        </is>
      </c>
      <c r="E3" s="11" t="inlineStr">
        <is>
          <t>火绒狐</t>
        </is>
      </c>
      <c r="F3" s="11" t="inlineStr">
        <is>
          <t>白银</t>
        </is>
      </c>
      <c r="G3" s="11" t="inlineStr">
        <is>
          <t>6</t>
        </is>
      </c>
      <c r="H3" s="11" t="inlineStr">
        <is>
          <t>2</t>
        </is>
      </c>
      <c r="I3" s="11" t="inlineStr">
        <is>
          <t>9</t>
        </is>
      </c>
      <c r="J3" s="11" t="inlineStr">
        <is>
          <t>8</t>
        </is>
      </c>
      <c r="K3" s="11" t="inlineStr">
        <is>
          <t>0</t>
        </is>
      </c>
      <c r="L3" s="11" t="inlineStr">
        <is>
          <t>9</t>
        </is>
      </c>
      <c r="M3" s="11" t="inlineStr">
        <is>
          <t>3</t>
        </is>
      </c>
      <c r="N3" s="11" t="inlineStr">
        <is>
          <t>mech_first_secondary_double</t>
        </is>
      </c>
      <c r="O3" s="11" t="inlineStr">
        <is>
          <t>B2_fire_gap_double</t>
        </is>
      </c>
      <c r="P3" s="11" t="inlineStr">
        <is>
          <t>主格+1火，副格+1火；首击副格翻倍</t>
        </is>
      </c>
      <c r="Q3" s="11" t="inlineStr">
        <is>
          <t>由青铜pal_005升级</t>
        </is>
      </c>
    </row>
    <row r="4">
      <c r="A4" s="11" t="inlineStr">
        <is>
          <t>day7_fire_trial_v1</t>
        </is>
      </c>
      <c r="B4" s="11" t="inlineStr">
        <is>
          <t>player_unit</t>
        </is>
      </c>
      <c r="C4" s="11" t="inlineStr">
        <is>
          <t>player</t>
        </is>
      </c>
      <c r="D4" s="11" t="inlineStr">
        <is>
          <t>pal_006</t>
        </is>
      </c>
      <c r="E4" s="11" t="inlineStr">
        <is>
          <t>冲浪鸭</t>
        </is>
      </c>
      <c r="F4" s="11" t="inlineStr">
        <is>
          <t>白银</t>
        </is>
      </c>
      <c r="G4" s="11" t="inlineStr">
        <is>
          <t>7</t>
        </is>
      </c>
      <c r="H4" s="11" t="inlineStr">
        <is>
          <t>3</t>
        </is>
      </c>
      <c r="I4" s="11" t="inlineStr">
        <is>
          <t>27</t>
        </is>
      </c>
      <c r="J4" s="11" t="inlineStr">
        <is>
          <t>9</t>
        </is>
      </c>
      <c r="K4" s="11" t="inlineStr">
        <is>
          <t>0</t>
        </is>
      </c>
      <c r="L4" s="11" t="inlineStr">
        <is>
          <t>6</t>
        </is>
      </c>
      <c r="M4" s="11" t="inlineStr">
        <is>
          <t>3</t>
        </is>
      </c>
      <c r="N4" s="11" t="inlineStr">
        <is>
          <t>mech_water_catalyst_seed</t>
        </is>
      </c>
      <c r="O4" s="11" t="inlineStr">
        <is>
          <t>A2_water_single</t>
        </is>
      </c>
      <c r="P4" s="11" t="inlineStr">
        <is>
          <t>水汽催化；不毒不回血</t>
        </is>
      </c>
      <c r="Q4" s="11" t="inlineStr">
        <is>
          <t>由青铜pal_006升级；盾按倍率保留</t>
        </is>
      </c>
    </row>
    <row r="5">
      <c r="A5" s="11" t="inlineStr">
        <is>
          <t>day7_fire_trial_v1</t>
        </is>
      </c>
      <c r="B5" s="11" t="inlineStr">
        <is>
          <t>player_unit</t>
        </is>
      </c>
      <c r="C5" s="11" t="inlineStr">
        <is>
          <t>player</t>
        </is>
      </c>
      <c r="D5" s="11" t="inlineStr">
        <is>
          <t>pal_038</t>
        </is>
      </c>
      <c r="E5" s="11" t="inlineStr">
        <is>
          <t>疾风隼</t>
        </is>
      </c>
      <c r="F5" s="11" t="inlineStr">
        <is>
          <t>白银</t>
        </is>
      </c>
      <c r="G5" s="11" t="inlineStr">
        <is>
          <t>6</t>
        </is>
      </c>
      <c r="H5" s="11" t="inlineStr">
        <is>
          <t>3</t>
        </is>
      </c>
      <c r="I5" s="11" t="inlineStr">
        <is>
          <t>42</t>
        </is>
      </c>
      <c r="J5" s="11" t="inlineStr">
        <is>
          <t>8</t>
        </is>
      </c>
      <c r="K5" s="11" t="inlineStr">
        <is>
          <t>0</t>
        </is>
      </c>
      <c r="L5" s="11" t="inlineStr">
        <is>
          <t>0</t>
        </is>
      </c>
      <c r="M5" s="11" t="inlineStr">
        <is>
          <t>3</t>
        </is>
      </c>
      <c r="N5" s="11" t="inlineStr">
        <is>
          <t>mech_wind_gather_fire</t>
        </is>
      </c>
      <c r="O5" s="11" t="inlineStr">
        <is>
          <t>B2_wind_gather</t>
        </is>
      </c>
      <c r="P5" s="11" t="inlineStr">
        <is>
          <t>风聚火；承接原讨论旋风狸功能</t>
        </is>
      </c>
      <c r="Q5" s="11" t="inlineStr">
        <is>
          <t>使用旧名，避免新增旋风狸</t>
        </is>
      </c>
    </row>
    <row r="6">
      <c r="A6" s="11" t="inlineStr">
        <is>
          <t>day7_fire_trial_v1</t>
        </is>
      </c>
      <c r="B6" s="11" t="inlineStr">
        <is>
          <t>enemy_hero</t>
        </is>
      </c>
      <c r="C6" s="11" t="inlineStr">
        <is>
          <t>enemy</t>
        </is>
      </c>
      <c r="D6" s="11" t="inlineStr">
        <is>
          <t>enemy_beast_master</t>
        </is>
      </c>
      <c r="E6" s="11" t="inlineStr">
        <is>
          <t>兽群统领</t>
        </is>
      </c>
      <c r="F6" s="11" t="inlineStr">
        <is>
          <t>钻石</t>
        </is>
      </c>
      <c r="G6" s="11" t="inlineStr">
        <is>
          <t>1</t>
        </is>
      </c>
      <c r="H6" s="11" t="inlineStr">
        <is>
          <t>8</t>
        </is>
      </c>
      <c r="I6" s="11" t="inlineStr">
        <is>
          <t>80</t>
        </is>
      </c>
      <c r="J6" s="11" t="inlineStr">
        <is>
          <t>0</t>
        </is>
      </c>
      <c r="K6" s="11" t="inlineStr">
        <is>
          <t>0</t>
        </is>
      </c>
      <c r="L6" s="11" t="inlineStr">
        <is>
          <t>0</t>
        </is>
      </c>
      <c r="M6" s="11" t="inlineStr">
        <is>
          <t>0</t>
        </is>
      </c>
      <c r="N6" s="11" t="inlineStr">
        <is>
          <t>mech_beast_trial</t>
        </is>
      </c>
      <c r="O6" s="11" t="inlineStr">
        <is>
          <t>NONE</t>
        </is>
      </c>
      <c r="P6" s="11" t="inlineStr">
        <is>
          <t>右上4x4试炼考官；可被斩首</t>
        </is>
      </c>
      <c r="Q6" s="11" t="inlineStr">
        <is>
          <t>固定第1行第8列</t>
        </is>
      </c>
    </row>
    <row r="7">
      <c r="A7" s="11" t="inlineStr">
        <is>
          <t>day7_fire_trial_v1</t>
        </is>
      </c>
      <c r="B7" s="11" t="inlineStr">
        <is>
          <t>enemy_clone</t>
        </is>
      </c>
      <c r="C7" s="11" t="inlineStr">
        <is>
          <t>enemy</t>
        </is>
      </c>
      <c r="D7" s="11" t="inlineStr">
        <is>
          <t>pal_083</t>
        </is>
      </c>
      <c r="E7" s="11" t="inlineStr">
        <is>
          <t>精灵龙黄金复制体</t>
        </is>
      </c>
      <c r="F7" s="11" t="inlineStr">
        <is>
          <t>黄金</t>
        </is>
      </c>
      <c r="G7" s="11" t="inlineStr">
        <is>
          <t>1</t>
        </is>
      </c>
      <c r="H7" s="11" t="inlineStr">
        <is>
          <t>6</t>
        </is>
      </c>
      <c r="I7" s="11" t="inlineStr">
        <is>
          <t>42</t>
        </is>
      </c>
      <c r="J7" s="11" t="inlineStr">
        <is>
          <t>8</t>
        </is>
      </c>
      <c r="K7" s="11" t="inlineStr">
        <is>
          <t>0</t>
        </is>
      </c>
      <c r="L7" s="11" t="inlineStr">
        <is>
          <t>6</t>
        </is>
      </c>
      <c r="M7" s="11" t="inlineStr">
        <is>
          <t>3</t>
        </is>
      </c>
      <c r="N7" s="11" t="inlineStr">
        <is>
          <t>mech_support_shield</t>
        </is>
      </c>
      <c r="O7" s="11" t="inlineStr">
        <is>
          <t>A2_support_double</t>
        </is>
      </c>
      <c r="P7" s="11" t="inlineStr">
        <is>
          <t>支援题；回合末给相邻复制体+6盾</t>
        </is>
      </c>
      <c r="Q7" s="11" t="inlineStr">
        <is>
          <t>右上4x4随机；测试固定</t>
        </is>
      </c>
    </row>
    <row r="8">
      <c r="A8" s="11" t="inlineStr">
        <is>
          <t>day7_fire_trial_v1</t>
        </is>
      </c>
      <c r="B8" s="11" t="inlineStr">
        <is>
          <t>enemy_clone</t>
        </is>
      </c>
      <c r="C8" s="11" t="inlineStr">
        <is>
          <t>enemy</t>
        </is>
      </c>
      <c r="D8" s="11" t="inlineStr">
        <is>
          <t>pal_003</t>
        </is>
      </c>
      <c r="E8" s="11" t="inlineStr">
        <is>
          <t>皮皮鸡黄金复制体</t>
        </is>
      </c>
      <c r="F8" s="11" t="inlineStr">
        <is>
          <t>黄金</t>
        </is>
      </c>
      <c r="G8" s="11" t="inlineStr">
        <is>
          <t>2</t>
        </is>
      </c>
      <c r="H8" s="11" t="inlineStr">
        <is>
          <t>7</t>
        </is>
      </c>
      <c r="I8" s="11" t="inlineStr">
        <is>
          <t>40</t>
        </is>
      </c>
      <c r="J8" s="11" t="inlineStr">
        <is>
          <t>18</t>
        </is>
      </c>
      <c r="K8" s="11" t="inlineStr">
        <is>
          <t>0</t>
        </is>
      </c>
      <c r="L8" s="11" t="inlineStr">
        <is>
          <t>20</t>
        </is>
      </c>
      <c r="M8" s="11" t="inlineStr">
        <is>
          <t>3</t>
        </is>
      </c>
      <c r="N8" s="11" t="inlineStr">
        <is>
          <t>mech_shield_max</t>
        </is>
      </c>
      <c r="O8" s="11" t="inlineStr">
        <is>
          <t>B1_sweep_three</t>
        </is>
      </c>
      <c r="P8" s="11" t="inlineStr">
        <is>
          <t>护盾题；盾每回合重生到20</t>
        </is>
      </c>
      <c r="Q8" s="11" t="inlineStr">
        <is>
          <t>右上4x4随机；测试固定</t>
        </is>
      </c>
    </row>
    <row r="9">
      <c r="A9" s="11" t="inlineStr">
        <is>
          <t>day7_fire_trial_v1</t>
        </is>
      </c>
      <c r="B9" s="11" t="inlineStr">
        <is>
          <t>enemy_clone</t>
        </is>
      </c>
      <c r="C9" s="11" t="inlineStr">
        <is>
          <t>enemy</t>
        </is>
      </c>
      <c r="D9" s="11" t="inlineStr">
        <is>
          <t>pal_050</t>
        </is>
      </c>
      <c r="E9" s="11" t="inlineStr">
        <is>
          <t>骑士蜂黄金复制体</t>
        </is>
      </c>
      <c r="F9" s="11" t="inlineStr">
        <is>
          <t>黄金</t>
        </is>
      </c>
      <c r="G9" s="11" t="inlineStr">
        <is>
          <t>3</t>
        </is>
      </c>
      <c r="H9" s="11" t="inlineStr">
        <is>
          <t>6</t>
        </is>
      </c>
      <c r="I9" s="11" t="inlineStr">
        <is>
          <t>36</t>
        </is>
      </c>
      <c r="J9" s="11" t="inlineStr">
        <is>
          <t>18</t>
        </is>
      </c>
      <c r="K9" s="11" t="inlineStr">
        <is>
          <t>0</t>
        </is>
      </c>
      <c r="L9" s="11" t="inlineStr">
        <is>
          <t>0</t>
        </is>
      </c>
      <c r="M9" s="11" t="inlineStr">
        <is>
          <t>4</t>
        </is>
      </c>
      <c r="N9" s="11" t="inlineStr">
        <is>
          <t>mech_charge_attack</t>
        </is>
      </c>
      <c r="O9" s="11" t="inlineStr">
        <is>
          <t>A2_single_stab</t>
        </is>
      </c>
      <c r="P9" s="11" t="inlineStr">
        <is>
          <t>突击题；高攻高行动，首回合优先击杀</t>
        </is>
      </c>
      <c r="Q9" s="11" t="inlineStr">
        <is>
          <t>右上4x4随机；测试固定</t>
        </is>
      </c>
    </row>
    <row r="10">
      <c r="A10" s="11" t="inlineStr">
        <is>
          <t>day7_fire_trial_v1</t>
        </is>
      </c>
      <c r="B10" s="11" t="inlineStr">
        <is>
          <t>enemy_clone</t>
        </is>
      </c>
      <c r="C10" s="11" t="inlineStr">
        <is>
          <t>enemy</t>
        </is>
      </c>
      <c r="D10" s="11" t="inlineStr">
        <is>
          <t>pal_001</t>
        </is>
      </c>
      <c r="E10" s="11" t="inlineStr">
        <is>
          <t>棉悠悠黄金复制体</t>
        </is>
      </c>
      <c r="F10" s="11" t="inlineStr">
        <is>
          <t>黄金</t>
        </is>
      </c>
      <c r="G10" s="11" t="inlineStr">
        <is>
          <t>4</t>
        </is>
      </c>
      <c r="H10" s="11" t="inlineStr">
        <is>
          <t>5</t>
        </is>
      </c>
      <c r="I10" s="11" t="inlineStr">
        <is>
          <t>60</t>
        </is>
      </c>
      <c r="J10" s="11" t="inlineStr">
        <is>
          <t>16</t>
        </is>
      </c>
      <c r="K10" s="11" t="inlineStr">
        <is>
          <t>0</t>
        </is>
      </c>
      <c r="L10" s="11" t="inlineStr">
        <is>
          <t>0</t>
        </is>
      </c>
      <c r="M10" s="11" t="inlineStr">
        <is>
          <t>3</t>
        </is>
      </c>
      <c r="N10" s="11" t="inlineStr">
        <is>
          <t>mech_hp_regen_5</t>
        </is>
      </c>
      <c r="O10" s="11" t="inlineStr">
        <is>
          <t>A2_double_stab</t>
        </is>
      </c>
      <c r="P10" s="11" t="inlineStr">
        <is>
          <t>站场题；HP高，第二回合处理</t>
        </is>
      </c>
      <c r="Q10" s="11" t="inlineStr">
        <is>
          <t>右上4x4随机；测试固定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0" t="inlineStr">
        <is>
          <t>品质</t>
        </is>
      </c>
      <c r="B1" s="10" t="inlineStr">
        <is>
          <t>倍率</t>
        </is>
      </c>
      <c r="C1" s="10" t="inlineStr">
        <is>
          <t>效果分参考</t>
        </is>
      </c>
      <c r="D1" s="10" t="inlineStr">
        <is>
          <t>HP倍率</t>
        </is>
      </c>
      <c r="E1" s="10" t="inlineStr">
        <is>
          <t>攻倍率</t>
        </is>
      </c>
      <c r="F1" s="10" t="inlineStr">
        <is>
          <t>防倍率</t>
        </is>
      </c>
      <c r="G1" s="10" t="inlineStr">
        <is>
          <t>盾倍率</t>
        </is>
      </c>
      <c r="H1" s="10" t="inlineStr">
        <is>
          <t>机制分倍率</t>
        </is>
      </c>
      <c r="I1" s="10" t="inlineStr">
        <is>
          <t>行动规则</t>
        </is>
      </c>
      <c r="J1" s="10" t="inlineStr">
        <is>
          <t>说明</t>
        </is>
      </c>
    </row>
    <row r="2">
      <c r="A2" s="11" t="inlineStr">
        <is>
          <t>青铜</t>
        </is>
      </c>
      <c r="B2" s="11" t="inlineStr">
        <is>
          <t>1.0</t>
        </is>
      </c>
      <c r="C2" s="11" t="inlineStr">
        <is>
          <t>基准</t>
        </is>
      </c>
      <c r="D2" s="11" t="inlineStr">
        <is>
          <t>1.0</t>
        </is>
      </c>
      <c r="E2" s="11" t="inlineStr">
        <is>
          <t>1.0</t>
        </is>
      </c>
      <c r="F2" s="11" t="inlineStr">
        <is>
          <t>1.0</t>
        </is>
      </c>
      <c r="G2" s="11" t="inlineStr">
        <is>
          <t>1.0</t>
        </is>
      </c>
      <c r="H2" s="11" t="inlineStr">
        <is>
          <t>1.0</t>
        </is>
      </c>
      <c r="I2" s="11" t="inlineStr">
        <is>
          <t>通常2-3</t>
        </is>
      </c>
      <c r="J2" s="11" t="inlineStr">
        <is>
          <t>30宠池低品启动件</t>
        </is>
      </c>
    </row>
    <row r="3">
      <c r="A3" s="11" t="inlineStr">
        <is>
          <t>白银</t>
        </is>
      </c>
      <c r="B3" s="11" t="inlineStr">
        <is>
          <t>1.5</t>
        </is>
      </c>
      <c r="C3" s="11" t="inlineStr">
        <is>
          <t>约青铜×1.5</t>
        </is>
      </c>
      <c r="D3" s="11" t="inlineStr">
        <is>
          <t>1.5</t>
        </is>
      </c>
      <c r="E3" s="11" t="inlineStr">
        <is>
          <t>1.5</t>
        </is>
      </c>
      <c r="F3" s="11" t="inlineStr">
        <is>
          <t>1.5</t>
        </is>
      </c>
      <c r="G3" s="11" t="inlineStr">
        <is>
          <t>1.5</t>
        </is>
      </c>
      <c r="H3" s="11" t="inlineStr">
        <is>
          <t>约1.5</t>
        </is>
      </c>
      <c r="I3" s="11" t="inlineStr">
        <is>
          <t>通常保持或+0</t>
        </is>
      </c>
      <c r="J3" s="11" t="inlineStr">
        <is>
          <t>通用辅助主力</t>
        </is>
      </c>
    </row>
    <row r="4">
      <c r="A4" s="11" t="inlineStr">
        <is>
          <t>黄金</t>
        </is>
      </c>
      <c r="B4" s="11" t="inlineStr">
        <is>
          <t>2.0</t>
        </is>
      </c>
      <c r="C4" s="11" t="inlineStr">
        <is>
          <t>约青铜×2</t>
        </is>
      </c>
      <c r="D4" s="11" t="inlineStr">
        <is>
          <t>2.0</t>
        </is>
      </c>
      <c r="E4" s="11" t="inlineStr">
        <is>
          <t>2.0</t>
        </is>
      </c>
      <c r="F4" s="11" t="inlineStr">
        <is>
          <t>2.0</t>
        </is>
      </c>
      <c r="G4" s="11" t="inlineStr">
        <is>
          <t>2.0</t>
        </is>
      </c>
      <c r="H4" s="11" t="inlineStr">
        <is>
          <t>约2</t>
        </is>
      </c>
      <c r="I4" s="11" t="inlineStr">
        <is>
          <t>通常保持，特殊+1</t>
        </is>
      </c>
      <c r="J4" s="11" t="inlineStr">
        <is>
          <t>核心/高级过渡</t>
        </is>
      </c>
    </row>
    <row r="5">
      <c r="A5" s="11" t="inlineStr">
        <is>
          <t>钻石</t>
        </is>
      </c>
      <c r="B5" s="11" t="inlineStr">
        <is>
          <t>2.5</t>
        </is>
      </c>
      <c r="C5" s="11" t="inlineStr">
        <is>
          <t>约青铜×2.5</t>
        </is>
      </c>
      <c r="D5" s="11" t="inlineStr">
        <is>
          <t>2.5</t>
        </is>
      </c>
      <c r="E5" s="11" t="inlineStr">
        <is>
          <t>2.5</t>
        </is>
      </c>
      <c r="F5" s="11" t="inlineStr">
        <is>
          <t>2.5</t>
        </is>
      </c>
      <c r="G5" s="11" t="inlineStr">
        <is>
          <t>2.5</t>
        </is>
      </c>
      <c r="H5" s="11" t="inlineStr">
        <is>
          <t>约2.5</t>
        </is>
      </c>
      <c r="I5" s="11" t="inlineStr">
        <is>
          <t>通常不直接膨胀</t>
        </is>
      </c>
      <c r="J5" s="11" t="inlineStr">
        <is>
          <t>试炼原型/终局/进阶，不占30宠主池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0" t="inlineStr">
        <is>
          <t>题库ID</t>
        </is>
      </c>
      <c r="B1" s="10" t="inlineStr">
        <is>
          <t>钻石原型宠物ID</t>
        </is>
      </c>
      <c r="C1" s="10" t="inlineStr">
        <is>
          <t>原型名称</t>
        </is>
      </c>
      <c r="D1" s="10" t="inlineStr">
        <is>
          <t>题型</t>
        </is>
      </c>
      <c r="E1" s="10" t="inlineStr">
        <is>
          <t>复制体品质</t>
        </is>
      </c>
      <c r="F1" s="10" t="inlineStr">
        <is>
          <t>复制体HP</t>
        </is>
      </c>
      <c r="G1" s="10" t="inlineStr">
        <is>
          <t>复制体攻</t>
        </is>
      </c>
      <c r="H1" s="10" t="inlineStr">
        <is>
          <t>复制体防</t>
        </is>
      </c>
      <c r="I1" s="10" t="inlineStr">
        <is>
          <t>复制体盾</t>
        </is>
      </c>
      <c r="J1" s="10" t="inlineStr">
        <is>
          <t>复制体行动</t>
        </is>
      </c>
      <c r="K1" s="10" t="inlineStr">
        <is>
          <t>机制ID</t>
        </is>
      </c>
      <c r="L1" s="10" t="inlineStr">
        <is>
          <t>是否有元素</t>
        </is>
      </c>
      <c r="M1" s="10" t="inlineStr">
        <is>
          <t>是否铺场</t>
        </is>
      </c>
      <c r="N1" s="10" t="inlineStr">
        <is>
          <t>解题方式</t>
        </is>
      </c>
      <c r="O1" s="10" t="inlineStr">
        <is>
          <t>备注</t>
        </is>
      </c>
    </row>
    <row r="2">
      <c r="A2" s="11" t="inlineStr">
        <is>
          <t>trial_q_quantity</t>
        </is>
      </c>
      <c r="B2" s="11" t="inlineStr">
        <is>
          <t>pal_001</t>
        </is>
      </c>
      <c r="C2" s="11" t="inlineStr">
        <is>
          <t>棉悠悠</t>
        </is>
      </c>
      <c r="D2" s="11" t="inlineStr">
        <is>
          <t>数量/站场</t>
        </is>
      </c>
      <c r="E2" s="11" t="inlineStr">
        <is>
          <t>黄金</t>
        </is>
      </c>
      <c r="F2" s="11" t="inlineStr">
        <is>
          <t>60</t>
        </is>
      </c>
      <c r="G2" s="11" t="inlineStr">
        <is>
          <t>16</t>
        </is>
      </c>
      <c r="H2" s="11" t="inlineStr">
        <is>
          <t>0</t>
        </is>
      </c>
      <c r="I2" s="11" t="inlineStr">
        <is>
          <t>0</t>
        </is>
      </c>
      <c r="J2" s="11" t="inlineStr">
        <is>
          <t>3</t>
        </is>
      </c>
      <c r="K2" s="11" t="inlineStr">
        <is>
          <t>mech_hp_regen_5</t>
        </is>
      </c>
      <c r="L2" s="11" t="inlineStr">
        <is>
          <t>否</t>
        </is>
      </c>
      <c r="M2" s="11" t="inlineStr">
        <is>
          <t>否</t>
        </is>
      </c>
      <c r="N2" s="11" t="inlineStr">
        <is>
          <t>用火爆/高层火/多段攻击清场</t>
        </is>
      </c>
      <c r="O2" s="11" t="inlineStr">
        <is>
          <t>钻石原型降级复制体</t>
        </is>
      </c>
    </row>
    <row r="3">
      <c r="A3" s="11" t="inlineStr">
        <is>
          <t>trial_q_shield</t>
        </is>
      </c>
      <c r="B3" s="11" t="inlineStr">
        <is>
          <t>pal_003</t>
        </is>
      </c>
      <c r="C3" s="11" t="inlineStr">
        <is>
          <t>皮皮鸡</t>
        </is>
      </c>
      <c r="D3" s="11" t="inlineStr">
        <is>
          <t>护盾/挡路</t>
        </is>
      </c>
      <c r="E3" s="11" t="inlineStr">
        <is>
          <t>黄金</t>
        </is>
      </c>
      <c r="F3" s="11" t="inlineStr">
        <is>
          <t>40</t>
        </is>
      </c>
      <c r="G3" s="11" t="inlineStr">
        <is>
          <t>18</t>
        </is>
      </c>
      <c r="H3" s="11" t="inlineStr">
        <is>
          <t>0</t>
        </is>
      </c>
      <c r="I3" s="11" t="inlineStr">
        <is>
          <t>20</t>
        </is>
      </c>
      <c r="J3" s="11" t="inlineStr">
        <is>
          <t>3</t>
        </is>
      </c>
      <c r="K3" s="11" t="inlineStr">
        <is>
          <t>mech_shield_max</t>
        </is>
      </c>
      <c r="L3" s="11" t="inlineStr">
        <is>
          <t>否</t>
        </is>
      </c>
      <c r="M3" s="11" t="inlineStr">
        <is>
          <t>否</t>
        </is>
      </c>
      <c r="N3" s="11" t="inlineStr">
        <is>
          <t>高火层爆穿或绕开，不要慢刮</t>
        </is>
      </c>
      <c r="O3" s="11" t="inlineStr">
        <is>
          <t>盾每回合重生</t>
        </is>
      </c>
    </row>
    <row r="4">
      <c r="A4" s="11" t="inlineStr">
        <is>
          <t>trial_q_charge</t>
        </is>
      </c>
      <c r="B4" s="11" t="inlineStr">
        <is>
          <t>pal_050</t>
        </is>
      </c>
      <c r="C4" s="11" t="inlineStr">
        <is>
          <t>骑士蜂</t>
        </is>
      </c>
      <c r="D4" s="11" t="inlineStr">
        <is>
          <t>突击/高攻</t>
        </is>
      </c>
      <c r="E4" s="11" t="inlineStr">
        <is>
          <t>黄金</t>
        </is>
      </c>
      <c r="F4" s="11" t="inlineStr">
        <is>
          <t>36</t>
        </is>
      </c>
      <c r="G4" s="11" t="inlineStr">
        <is>
          <t>18</t>
        </is>
      </c>
      <c r="H4" s="11" t="inlineStr">
        <is>
          <t>0</t>
        </is>
      </c>
      <c r="I4" s="11" t="inlineStr">
        <is>
          <t>0</t>
        </is>
      </c>
      <c r="J4" s="11" t="inlineStr">
        <is>
          <t>4</t>
        </is>
      </c>
      <c r="K4" s="11" t="inlineStr">
        <is>
          <t>mech_charge_attack</t>
        </is>
      </c>
      <c r="L4" s="11" t="inlineStr">
        <is>
          <t>否</t>
        </is>
      </c>
      <c r="M4" s="11" t="inlineStr">
        <is>
          <t>否</t>
        </is>
      </c>
      <c r="N4" s="11" t="inlineStr">
        <is>
          <t>首回合优先击杀/控住</t>
        </is>
      </c>
      <c r="O4" s="11" t="inlineStr">
        <is>
          <t>第7天第一回合必须解决</t>
        </is>
      </c>
    </row>
    <row r="5">
      <c r="A5" s="11" t="inlineStr">
        <is>
          <t>trial_q_support</t>
        </is>
      </c>
      <c r="B5" s="11" t="inlineStr">
        <is>
          <t>pal_083</t>
        </is>
      </c>
      <c r="C5" s="11" t="inlineStr">
        <is>
          <t>精灵龙</t>
        </is>
      </c>
      <c r="D5" s="11" t="inlineStr">
        <is>
          <t>支援/加盾</t>
        </is>
      </c>
      <c r="E5" s="11" t="inlineStr">
        <is>
          <t>黄金</t>
        </is>
      </c>
      <c r="F5" s="11" t="inlineStr">
        <is>
          <t>42</t>
        </is>
      </c>
      <c r="G5" s="11" t="inlineStr">
        <is>
          <t>8</t>
        </is>
      </c>
      <c r="H5" s="11" t="inlineStr">
        <is>
          <t>0</t>
        </is>
      </c>
      <c r="I5" s="11" t="inlineStr">
        <is>
          <t>6</t>
        </is>
      </c>
      <c r="J5" s="11" t="inlineStr">
        <is>
          <t>3</t>
        </is>
      </c>
      <c r="K5" s="11" t="inlineStr">
        <is>
          <t>mech_support_shield</t>
        </is>
      </c>
      <c r="L5" s="11" t="inlineStr">
        <is>
          <t>否</t>
        </is>
      </c>
      <c r="M5" s="11" t="inlineStr">
        <is>
          <t>否</t>
        </is>
      </c>
      <c r="N5" s="11" t="inlineStr">
        <is>
          <t>首回合优先击杀，防止支援滚盾</t>
        </is>
      </c>
      <c r="O5" s="11" t="inlineStr">
        <is>
          <t>第7天第一回合必须解决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2026-06-09T05:02:34Z</dcterms:created>
  <dcterms:modified xmlns:dcterms="http://purl.org/dc/terms/" xmlns:xsi="http://www.w3.org/2001/XMLSchema-instance" xsi:type="dcterms:W3CDTF">2026-06-09T05:04:33Z</dcterms:modified>
</cp:coreProperties>
</file>